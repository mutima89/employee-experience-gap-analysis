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ownloads\GitHub Projects\employee-experience-gap-analysis\"/>
    </mc:Choice>
  </mc:AlternateContent>
  <xr:revisionPtr revIDLastSave="0" documentId="13_ncr:1_{4B814FD4-216A-400D-B34C-6A09EE14FF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rvey" sheetId="1" r:id="rId1"/>
    <sheet name="Raw Data" sheetId="2" r:id="rId2"/>
    <sheet name="Scoring Engine" sheetId="3" r:id="rId3"/>
    <sheet name="Dashboard" sheetId="4" r:id="rId4"/>
    <sheet name="Reliability Analysis" sheetId="5" r:id="rId5"/>
    <sheet name="Driver Analysis" sheetId="6" r:id="rId6"/>
    <sheet name="Turnover Prediction" sheetId="7" r:id="rId7"/>
  </sheets>
  <calcPr calcId="181029"/>
</workbook>
</file>

<file path=xl/calcChain.xml><?xml version="1.0" encoding="utf-8"?>
<calcChain xmlns="http://schemas.openxmlformats.org/spreadsheetml/2006/main">
  <c r="G404" i="5" l="1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D10" i="5" s="1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D6" i="5" s="1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C10" i="5"/>
  <c r="C9" i="5"/>
  <c r="D8" i="5"/>
  <c r="C8" i="5"/>
  <c r="E8" i="5" s="1"/>
  <c r="F8" i="5" s="1"/>
  <c r="C7" i="5"/>
  <c r="C6" i="5"/>
  <c r="C5" i="5"/>
  <c r="C53" i="4"/>
  <c r="B53" i="4"/>
  <c r="C52" i="4"/>
  <c r="B52" i="4"/>
  <c r="D52" i="4" s="1"/>
  <c r="E52" i="4" s="1"/>
  <c r="C51" i="4"/>
  <c r="B51" i="4"/>
  <c r="D51" i="4" s="1"/>
  <c r="E51" i="4" s="1"/>
  <c r="C50" i="4"/>
  <c r="B50" i="4"/>
  <c r="D50" i="4" s="1"/>
  <c r="E50" i="4" s="1"/>
  <c r="C49" i="4"/>
  <c r="B49" i="4"/>
  <c r="D48" i="4"/>
  <c r="E48" i="4" s="1"/>
  <c r="C48" i="4"/>
  <c r="B48" i="4"/>
  <c r="F34" i="4"/>
  <c r="F33" i="4"/>
  <c r="F32" i="4"/>
  <c r="F31" i="4"/>
  <c r="F30" i="4"/>
  <c r="F29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P5" i="4"/>
  <c r="W516" i="3"/>
  <c r="V516" i="3"/>
  <c r="U516" i="3"/>
  <c r="S516" i="3"/>
  <c r="R516" i="3"/>
  <c r="T516" i="3" s="1"/>
  <c r="P516" i="3"/>
  <c r="O516" i="3"/>
  <c r="Q516" i="3" s="1"/>
  <c r="M516" i="3"/>
  <c r="L516" i="3"/>
  <c r="N516" i="3" s="1"/>
  <c r="J516" i="3"/>
  <c r="I516" i="3"/>
  <c r="K516" i="3" s="1"/>
  <c r="H516" i="3"/>
  <c r="G516" i="3"/>
  <c r="F516" i="3"/>
  <c r="E516" i="3"/>
  <c r="D516" i="3"/>
  <c r="C516" i="3"/>
  <c r="B516" i="3"/>
  <c r="A516" i="3"/>
  <c r="AB515" i="3"/>
  <c r="AA515" i="3"/>
  <c r="Z515" i="3"/>
  <c r="X515" i="3"/>
  <c r="V515" i="3"/>
  <c r="U515" i="3"/>
  <c r="W515" i="3" s="1"/>
  <c r="T515" i="3"/>
  <c r="S515" i="3"/>
  <c r="R515" i="3"/>
  <c r="P515" i="3"/>
  <c r="O515" i="3"/>
  <c r="Q515" i="3" s="1"/>
  <c r="M515" i="3"/>
  <c r="L515" i="3"/>
  <c r="N515" i="3" s="1"/>
  <c r="K515" i="3"/>
  <c r="J515" i="3"/>
  <c r="I515" i="3"/>
  <c r="H515" i="3"/>
  <c r="G515" i="3"/>
  <c r="F515" i="3"/>
  <c r="E515" i="3"/>
  <c r="D515" i="3"/>
  <c r="C515" i="3"/>
  <c r="B515" i="3"/>
  <c r="A515" i="3"/>
  <c r="Y515" i="3" s="1"/>
  <c r="AB514" i="3"/>
  <c r="AA514" i="3"/>
  <c r="X514" i="3"/>
  <c r="W514" i="3"/>
  <c r="V514" i="3"/>
  <c r="U514" i="3"/>
  <c r="T514" i="3"/>
  <c r="S514" i="3"/>
  <c r="R514" i="3"/>
  <c r="P514" i="3"/>
  <c r="O514" i="3"/>
  <c r="Q514" i="3" s="1"/>
  <c r="M514" i="3"/>
  <c r="L514" i="3"/>
  <c r="N514" i="3" s="1"/>
  <c r="K514" i="3"/>
  <c r="J514" i="3"/>
  <c r="I514" i="3"/>
  <c r="H514" i="3"/>
  <c r="G514" i="3"/>
  <c r="F514" i="3"/>
  <c r="E514" i="3"/>
  <c r="D514" i="3"/>
  <c r="C514" i="3"/>
  <c r="B514" i="3"/>
  <c r="A514" i="3"/>
  <c r="Z514" i="3" s="1"/>
  <c r="AB513" i="3"/>
  <c r="AA513" i="3"/>
  <c r="Z513" i="3"/>
  <c r="X513" i="3"/>
  <c r="W513" i="3"/>
  <c r="V513" i="3"/>
  <c r="U513" i="3"/>
  <c r="T513" i="3"/>
  <c r="S513" i="3"/>
  <c r="R513" i="3"/>
  <c r="P513" i="3"/>
  <c r="O513" i="3"/>
  <c r="Q513" i="3" s="1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A513" i="3"/>
  <c r="Y513" i="3" s="1"/>
  <c r="AB512" i="3"/>
  <c r="Y512" i="3"/>
  <c r="W512" i="3"/>
  <c r="V512" i="3"/>
  <c r="U512" i="3"/>
  <c r="T512" i="3"/>
  <c r="S512" i="3"/>
  <c r="R512" i="3"/>
  <c r="Q512" i="3"/>
  <c r="P512" i="3"/>
  <c r="O512" i="3"/>
  <c r="M512" i="3"/>
  <c r="L512" i="3"/>
  <c r="N512" i="3" s="1"/>
  <c r="K512" i="3"/>
  <c r="J512" i="3"/>
  <c r="I512" i="3"/>
  <c r="H512" i="3"/>
  <c r="G512" i="3"/>
  <c r="F512" i="3"/>
  <c r="E512" i="3"/>
  <c r="D512" i="3"/>
  <c r="C512" i="3"/>
  <c r="B512" i="3"/>
  <c r="A512" i="3"/>
  <c r="X512" i="3" s="1"/>
  <c r="AB511" i="3"/>
  <c r="AA511" i="3"/>
  <c r="Z511" i="3"/>
  <c r="X511" i="3"/>
  <c r="V511" i="3"/>
  <c r="U511" i="3"/>
  <c r="W511" i="3" s="1"/>
  <c r="T511" i="3"/>
  <c r="S511" i="3"/>
  <c r="R511" i="3"/>
  <c r="P511" i="3"/>
  <c r="O511" i="3"/>
  <c r="Q511" i="3" s="1"/>
  <c r="M511" i="3"/>
  <c r="L511" i="3"/>
  <c r="N511" i="3" s="1"/>
  <c r="K511" i="3"/>
  <c r="J511" i="3"/>
  <c r="I511" i="3"/>
  <c r="G511" i="3"/>
  <c r="F511" i="3"/>
  <c r="H511" i="3" s="1"/>
  <c r="E511" i="3"/>
  <c r="D511" i="3"/>
  <c r="C511" i="3"/>
  <c r="B511" i="3"/>
  <c r="A511" i="3"/>
  <c r="Y511" i="3" s="1"/>
  <c r="W510" i="3"/>
  <c r="V510" i="3"/>
  <c r="U510" i="3"/>
  <c r="S510" i="3"/>
  <c r="R510" i="3"/>
  <c r="T510" i="3" s="1"/>
  <c r="Q510" i="3"/>
  <c r="P510" i="3"/>
  <c r="O510" i="3"/>
  <c r="N510" i="3"/>
  <c r="M510" i="3"/>
  <c r="L510" i="3"/>
  <c r="J510" i="3"/>
  <c r="I510" i="3"/>
  <c r="K510" i="3" s="1"/>
  <c r="G510" i="3"/>
  <c r="F510" i="3"/>
  <c r="H510" i="3" s="1"/>
  <c r="E510" i="3"/>
  <c r="D510" i="3"/>
  <c r="C510" i="3"/>
  <c r="B510" i="3"/>
  <c r="A510" i="3"/>
  <c r="AB509" i="3"/>
  <c r="AA509" i="3"/>
  <c r="Z509" i="3"/>
  <c r="X509" i="3"/>
  <c r="V509" i="3"/>
  <c r="U509" i="3"/>
  <c r="W509" i="3" s="1"/>
  <c r="T509" i="3"/>
  <c r="S509" i="3"/>
  <c r="R509" i="3"/>
  <c r="P509" i="3"/>
  <c r="O509" i="3"/>
  <c r="Q509" i="3" s="1"/>
  <c r="M509" i="3"/>
  <c r="L509" i="3"/>
  <c r="N509" i="3" s="1"/>
  <c r="K509" i="3"/>
  <c r="J509" i="3"/>
  <c r="I509" i="3"/>
  <c r="H509" i="3"/>
  <c r="G509" i="3"/>
  <c r="F509" i="3"/>
  <c r="E509" i="3"/>
  <c r="D509" i="3"/>
  <c r="C509" i="3"/>
  <c r="B509" i="3"/>
  <c r="A509" i="3"/>
  <c r="Y509" i="3" s="1"/>
  <c r="AB508" i="3"/>
  <c r="AA508" i="3"/>
  <c r="Z508" i="3"/>
  <c r="X508" i="3"/>
  <c r="W508" i="3"/>
  <c r="V508" i="3"/>
  <c r="U508" i="3"/>
  <c r="T508" i="3"/>
  <c r="S508" i="3"/>
  <c r="R508" i="3"/>
  <c r="P508" i="3"/>
  <c r="O508" i="3"/>
  <c r="Q508" i="3" s="1"/>
  <c r="M508" i="3"/>
  <c r="L508" i="3"/>
  <c r="N508" i="3" s="1"/>
  <c r="K508" i="3"/>
  <c r="J508" i="3"/>
  <c r="I508" i="3"/>
  <c r="G508" i="3"/>
  <c r="F508" i="3"/>
  <c r="H508" i="3" s="1"/>
  <c r="E508" i="3"/>
  <c r="D508" i="3"/>
  <c r="C508" i="3"/>
  <c r="B508" i="3"/>
  <c r="A508" i="3"/>
  <c r="Y508" i="3" s="1"/>
  <c r="AB507" i="3"/>
  <c r="AA507" i="3"/>
  <c r="Z507" i="3"/>
  <c r="X507" i="3"/>
  <c r="W507" i="3"/>
  <c r="V507" i="3"/>
  <c r="U507" i="3"/>
  <c r="S507" i="3"/>
  <c r="R507" i="3"/>
  <c r="T507" i="3" s="1"/>
  <c r="P507" i="3"/>
  <c r="O507" i="3"/>
  <c r="Q507" i="3" s="1"/>
  <c r="N507" i="3"/>
  <c r="M507" i="3"/>
  <c r="L507" i="3"/>
  <c r="K507" i="3"/>
  <c r="J507" i="3"/>
  <c r="I507" i="3"/>
  <c r="G507" i="3"/>
  <c r="F507" i="3"/>
  <c r="H507" i="3" s="1"/>
  <c r="E507" i="3"/>
  <c r="D507" i="3"/>
  <c r="C507" i="3"/>
  <c r="B507" i="3"/>
  <c r="A507" i="3"/>
  <c r="Y507" i="3" s="1"/>
  <c r="AB506" i="3"/>
  <c r="AA506" i="3"/>
  <c r="Z506" i="3"/>
  <c r="W506" i="3"/>
  <c r="V506" i="3"/>
  <c r="U506" i="3"/>
  <c r="S506" i="3"/>
  <c r="R506" i="3"/>
  <c r="T506" i="3" s="1"/>
  <c r="Q506" i="3"/>
  <c r="P506" i="3"/>
  <c r="O506" i="3"/>
  <c r="M506" i="3"/>
  <c r="L506" i="3"/>
  <c r="N506" i="3" s="1"/>
  <c r="K506" i="3"/>
  <c r="J506" i="3"/>
  <c r="I506" i="3"/>
  <c r="G506" i="3"/>
  <c r="F506" i="3"/>
  <c r="H506" i="3" s="1"/>
  <c r="E506" i="3"/>
  <c r="D506" i="3"/>
  <c r="C506" i="3"/>
  <c r="B506" i="3"/>
  <c r="A506" i="3"/>
  <c r="Y506" i="3" s="1"/>
  <c r="AB505" i="3"/>
  <c r="AA505" i="3"/>
  <c r="Z505" i="3"/>
  <c r="X505" i="3"/>
  <c r="V505" i="3"/>
  <c r="U505" i="3"/>
  <c r="W505" i="3" s="1"/>
  <c r="T505" i="3"/>
  <c r="S505" i="3"/>
  <c r="R505" i="3"/>
  <c r="P505" i="3"/>
  <c r="O505" i="3"/>
  <c r="Q505" i="3" s="1"/>
  <c r="M505" i="3"/>
  <c r="L505" i="3"/>
  <c r="N505" i="3" s="1"/>
  <c r="K505" i="3"/>
  <c r="J505" i="3"/>
  <c r="I505" i="3"/>
  <c r="G505" i="3"/>
  <c r="F505" i="3"/>
  <c r="H505" i="3" s="1"/>
  <c r="E505" i="3"/>
  <c r="D505" i="3"/>
  <c r="C505" i="3"/>
  <c r="B505" i="3"/>
  <c r="A505" i="3"/>
  <c r="Y505" i="3" s="1"/>
  <c r="AA504" i="3"/>
  <c r="X504" i="3"/>
  <c r="W504" i="3"/>
  <c r="V504" i="3"/>
  <c r="U504" i="3"/>
  <c r="S504" i="3"/>
  <c r="R504" i="3"/>
  <c r="T504" i="3" s="1"/>
  <c r="Q504" i="3"/>
  <c r="P504" i="3"/>
  <c r="O504" i="3"/>
  <c r="M504" i="3"/>
  <c r="L504" i="3"/>
  <c r="N504" i="3" s="1"/>
  <c r="K504" i="3"/>
  <c r="J504" i="3"/>
  <c r="I504" i="3"/>
  <c r="H504" i="3"/>
  <c r="G504" i="3"/>
  <c r="F504" i="3"/>
  <c r="E504" i="3"/>
  <c r="D504" i="3"/>
  <c r="C504" i="3"/>
  <c r="B504" i="3"/>
  <c r="A504" i="3"/>
  <c r="AB504" i="3" s="1"/>
  <c r="AB503" i="3"/>
  <c r="AA503" i="3"/>
  <c r="Z503" i="3"/>
  <c r="X503" i="3"/>
  <c r="V503" i="3"/>
  <c r="U503" i="3"/>
  <c r="W503" i="3" s="1"/>
  <c r="T503" i="3"/>
  <c r="S503" i="3"/>
  <c r="R503" i="3"/>
  <c r="P503" i="3"/>
  <c r="O503" i="3"/>
  <c r="Q503" i="3" s="1"/>
  <c r="M503" i="3"/>
  <c r="L503" i="3"/>
  <c r="N503" i="3" s="1"/>
  <c r="K503" i="3"/>
  <c r="J503" i="3"/>
  <c r="I503" i="3"/>
  <c r="G503" i="3"/>
  <c r="F503" i="3"/>
  <c r="H503" i="3" s="1"/>
  <c r="E503" i="3"/>
  <c r="D503" i="3"/>
  <c r="C503" i="3"/>
  <c r="B503" i="3"/>
  <c r="A503" i="3"/>
  <c r="Y503" i="3" s="1"/>
  <c r="W502" i="3"/>
  <c r="V502" i="3"/>
  <c r="U502" i="3"/>
  <c r="S502" i="3"/>
  <c r="R502" i="3"/>
  <c r="T502" i="3" s="1"/>
  <c r="Q502" i="3"/>
  <c r="P502" i="3"/>
  <c r="O502" i="3"/>
  <c r="N502" i="3"/>
  <c r="M502" i="3"/>
  <c r="L502" i="3"/>
  <c r="J502" i="3"/>
  <c r="I502" i="3"/>
  <c r="K502" i="3" s="1"/>
  <c r="G502" i="3"/>
  <c r="F502" i="3"/>
  <c r="H502" i="3" s="1"/>
  <c r="E502" i="3"/>
  <c r="D502" i="3"/>
  <c r="C502" i="3"/>
  <c r="B502" i="3"/>
  <c r="A502" i="3"/>
  <c r="AB501" i="3"/>
  <c r="AA501" i="3"/>
  <c r="Z501" i="3"/>
  <c r="X501" i="3"/>
  <c r="V501" i="3"/>
  <c r="U501" i="3"/>
  <c r="W501" i="3" s="1"/>
  <c r="T501" i="3"/>
  <c r="S501" i="3"/>
  <c r="R501" i="3"/>
  <c r="P501" i="3"/>
  <c r="O501" i="3"/>
  <c r="Q501" i="3" s="1"/>
  <c r="M501" i="3"/>
  <c r="L501" i="3"/>
  <c r="N501" i="3" s="1"/>
  <c r="K501" i="3"/>
  <c r="J501" i="3"/>
  <c r="I501" i="3"/>
  <c r="H501" i="3"/>
  <c r="G501" i="3"/>
  <c r="F501" i="3"/>
  <c r="E501" i="3"/>
  <c r="D501" i="3"/>
  <c r="C501" i="3"/>
  <c r="B501" i="3"/>
  <c r="A501" i="3"/>
  <c r="Y501" i="3" s="1"/>
  <c r="AB500" i="3"/>
  <c r="AA500" i="3"/>
  <c r="X500" i="3"/>
  <c r="W500" i="3"/>
  <c r="V500" i="3"/>
  <c r="U500" i="3"/>
  <c r="T500" i="3"/>
  <c r="S500" i="3"/>
  <c r="R500" i="3"/>
  <c r="P500" i="3"/>
  <c r="O500" i="3"/>
  <c r="Q500" i="3" s="1"/>
  <c r="M500" i="3"/>
  <c r="L500" i="3"/>
  <c r="N500" i="3" s="1"/>
  <c r="K500" i="3"/>
  <c r="J500" i="3"/>
  <c r="I500" i="3"/>
  <c r="G500" i="3"/>
  <c r="F500" i="3"/>
  <c r="H500" i="3" s="1"/>
  <c r="E500" i="3"/>
  <c r="D500" i="3"/>
  <c r="C500" i="3"/>
  <c r="B500" i="3"/>
  <c r="A500" i="3"/>
  <c r="Z500" i="3" s="1"/>
  <c r="AB499" i="3"/>
  <c r="AA499" i="3"/>
  <c r="Z499" i="3"/>
  <c r="X499" i="3"/>
  <c r="W499" i="3"/>
  <c r="V499" i="3"/>
  <c r="U499" i="3"/>
  <c r="S499" i="3"/>
  <c r="R499" i="3"/>
  <c r="T499" i="3" s="1"/>
  <c r="P499" i="3"/>
  <c r="O499" i="3"/>
  <c r="Q499" i="3" s="1"/>
  <c r="N499" i="3"/>
  <c r="M499" i="3"/>
  <c r="L499" i="3"/>
  <c r="K499" i="3"/>
  <c r="J499" i="3"/>
  <c r="I499" i="3"/>
  <c r="G499" i="3"/>
  <c r="F499" i="3"/>
  <c r="H499" i="3" s="1"/>
  <c r="E499" i="3"/>
  <c r="D499" i="3"/>
  <c r="C499" i="3"/>
  <c r="B499" i="3"/>
  <c r="A499" i="3"/>
  <c r="Y499" i="3" s="1"/>
  <c r="AB498" i="3"/>
  <c r="AA498" i="3"/>
  <c r="Z498" i="3"/>
  <c r="W498" i="3"/>
  <c r="V498" i="3"/>
  <c r="U498" i="3"/>
  <c r="S498" i="3"/>
  <c r="R498" i="3"/>
  <c r="T498" i="3" s="1"/>
  <c r="Q498" i="3"/>
  <c r="P498" i="3"/>
  <c r="O498" i="3"/>
  <c r="M498" i="3"/>
  <c r="L498" i="3"/>
  <c r="N498" i="3" s="1"/>
  <c r="K498" i="3"/>
  <c r="J498" i="3"/>
  <c r="I498" i="3"/>
  <c r="G498" i="3"/>
  <c r="F498" i="3"/>
  <c r="H498" i="3" s="1"/>
  <c r="E498" i="3"/>
  <c r="D498" i="3"/>
  <c r="C498" i="3"/>
  <c r="B498" i="3"/>
  <c r="A498" i="3"/>
  <c r="Y498" i="3" s="1"/>
  <c r="AB497" i="3"/>
  <c r="AA497" i="3"/>
  <c r="Z497" i="3"/>
  <c r="X497" i="3"/>
  <c r="V497" i="3"/>
  <c r="U497" i="3"/>
  <c r="W497" i="3" s="1"/>
  <c r="T497" i="3"/>
  <c r="S497" i="3"/>
  <c r="R497" i="3"/>
  <c r="P497" i="3"/>
  <c r="O497" i="3"/>
  <c r="Q497" i="3" s="1"/>
  <c r="M497" i="3"/>
  <c r="L497" i="3"/>
  <c r="N497" i="3" s="1"/>
  <c r="K497" i="3"/>
  <c r="J497" i="3"/>
  <c r="I497" i="3"/>
  <c r="G497" i="3"/>
  <c r="F497" i="3"/>
  <c r="H497" i="3" s="1"/>
  <c r="E497" i="3"/>
  <c r="D497" i="3"/>
  <c r="C497" i="3"/>
  <c r="B497" i="3"/>
  <c r="A497" i="3"/>
  <c r="Y497" i="3" s="1"/>
  <c r="AA496" i="3"/>
  <c r="X496" i="3"/>
  <c r="W496" i="3"/>
  <c r="V496" i="3"/>
  <c r="U496" i="3"/>
  <c r="S496" i="3"/>
  <c r="R496" i="3"/>
  <c r="T496" i="3" s="1"/>
  <c r="Q496" i="3"/>
  <c r="P496" i="3"/>
  <c r="O496" i="3"/>
  <c r="M496" i="3"/>
  <c r="L496" i="3"/>
  <c r="N496" i="3" s="1"/>
  <c r="K496" i="3"/>
  <c r="J496" i="3"/>
  <c r="I496" i="3"/>
  <c r="H496" i="3"/>
  <c r="G496" i="3"/>
  <c r="F496" i="3"/>
  <c r="E496" i="3"/>
  <c r="D496" i="3"/>
  <c r="C496" i="3"/>
  <c r="B496" i="3"/>
  <c r="A496" i="3"/>
  <c r="AB496" i="3" s="1"/>
  <c r="AB495" i="3"/>
  <c r="AA495" i="3"/>
  <c r="Z495" i="3"/>
  <c r="X495" i="3"/>
  <c r="V495" i="3"/>
  <c r="U495" i="3"/>
  <c r="W495" i="3" s="1"/>
  <c r="T495" i="3"/>
  <c r="S495" i="3"/>
  <c r="R495" i="3"/>
  <c r="P495" i="3"/>
  <c r="O495" i="3"/>
  <c r="Q495" i="3" s="1"/>
  <c r="M495" i="3"/>
  <c r="L495" i="3"/>
  <c r="N495" i="3" s="1"/>
  <c r="K495" i="3"/>
  <c r="J495" i="3"/>
  <c r="I495" i="3"/>
  <c r="G495" i="3"/>
  <c r="F495" i="3"/>
  <c r="H495" i="3" s="1"/>
  <c r="E495" i="3"/>
  <c r="D495" i="3"/>
  <c r="C495" i="3"/>
  <c r="B495" i="3"/>
  <c r="A495" i="3"/>
  <c r="Y495" i="3" s="1"/>
  <c r="W494" i="3"/>
  <c r="V494" i="3"/>
  <c r="U494" i="3"/>
  <c r="S494" i="3"/>
  <c r="R494" i="3"/>
  <c r="T494" i="3" s="1"/>
  <c r="Q494" i="3"/>
  <c r="P494" i="3"/>
  <c r="O494" i="3"/>
  <c r="N494" i="3"/>
  <c r="M494" i="3"/>
  <c r="L494" i="3"/>
  <c r="J494" i="3"/>
  <c r="I494" i="3"/>
  <c r="K494" i="3" s="1"/>
  <c r="G494" i="3"/>
  <c r="F494" i="3"/>
  <c r="H494" i="3" s="1"/>
  <c r="E494" i="3"/>
  <c r="D494" i="3"/>
  <c r="C494" i="3"/>
  <c r="B494" i="3"/>
  <c r="A494" i="3"/>
  <c r="AB493" i="3"/>
  <c r="AA493" i="3"/>
  <c r="Z493" i="3"/>
  <c r="X493" i="3"/>
  <c r="V493" i="3"/>
  <c r="U493" i="3"/>
  <c r="W493" i="3" s="1"/>
  <c r="T493" i="3"/>
  <c r="S493" i="3"/>
  <c r="R493" i="3"/>
  <c r="P493" i="3"/>
  <c r="O493" i="3"/>
  <c r="Q493" i="3" s="1"/>
  <c r="M493" i="3"/>
  <c r="L493" i="3"/>
  <c r="N493" i="3" s="1"/>
  <c r="K493" i="3"/>
  <c r="J493" i="3"/>
  <c r="I493" i="3"/>
  <c r="H493" i="3"/>
  <c r="G493" i="3"/>
  <c r="F493" i="3"/>
  <c r="E493" i="3"/>
  <c r="D493" i="3"/>
  <c r="C493" i="3"/>
  <c r="B493" i="3"/>
  <c r="A493" i="3"/>
  <c r="Y493" i="3" s="1"/>
  <c r="AB492" i="3"/>
  <c r="AA492" i="3"/>
  <c r="X492" i="3"/>
  <c r="W492" i="3"/>
  <c r="V492" i="3"/>
  <c r="U492" i="3"/>
  <c r="T492" i="3"/>
  <c r="S492" i="3"/>
  <c r="R492" i="3"/>
  <c r="P492" i="3"/>
  <c r="O492" i="3"/>
  <c r="Q492" i="3" s="1"/>
  <c r="M492" i="3"/>
  <c r="L492" i="3"/>
  <c r="N492" i="3" s="1"/>
  <c r="K492" i="3"/>
  <c r="J492" i="3"/>
  <c r="I492" i="3"/>
  <c r="G492" i="3"/>
  <c r="F492" i="3"/>
  <c r="H492" i="3" s="1"/>
  <c r="E492" i="3"/>
  <c r="D492" i="3"/>
  <c r="C492" i="3"/>
  <c r="B492" i="3"/>
  <c r="A492" i="3"/>
  <c r="Z492" i="3" s="1"/>
  <c r="AB491" i="3"/>
  <c r="AA491" i="3"/>
  <c r="Z491" i="3"/>
  <c r="X491" i="3"/>
  <c r="W491" i="3"/>
  <c r="V491" i="3"/>
  <c r="U491" i="3"/>
  <c r="S491" i="3"/>
  <c r="R491" i="3"/>
  <c r="T491" i="3" s="1"/>
  <c r="P491" i="3"/>
  <c r="O491" i="3"/>
  <c r="Q491" i="3" s="1"/>
  <c r="N491" i="3"/>
  <c r="M491" i="3"/>
  <c r="L491" i="3"/>
  <c r="K491" i="3"/>
  <c r="J491" i="3"/>
  <c r="I491" i="3"/>
  <c r="G491" i="3"/>
  <c r="F491" i="3"/>
  <c r="H491" i="3" s="1"/>
  <c r="E491" i="3"/>
  <c r="D491" i="3"/>
  <c r="C491" i="3"/>
  <c r="B491" i="3"/>
  <c r="A491" i="3"/>
  <c r="Y491" i="3" s="1"/>
  <c r="AB490" i="3"/>
  <c r="AA490" i="3"/>
  <c r="Z490" i="3"/>
  <c r="W490" i="3"/>
  <c r="V490" i="3"/>
  <c r="U490" i="3"/>
  <c r="S490" i="3"/>
  <c r="R490" i="3"/>
  <c r="T490" i="3" s="1"/>
  <c r="Q490" i="3"/>
  <c r="P490" i="3"/>
  <c r="O490" i="3"/>
  <c r="M490" i="3"/>
  <c r="L490" i="3"/>
  <c r="N490" i="3" s="1"/>
  <c r="K490" i="3"/>
  <c r="J490" i="3"/>
  <c r="I490" i="3"/>
  <c r="G490" i="3"/>
  <c r="F490" i="3"/>
  <c r="H490" i="3" s="1"/>
  <c r="E490" i="3"/>
  <c r="D490" i="3"/>
  <c r="C490" i="3"/>
  <c r="B490" i="3"/>
  <c r="A490" i="3"/>
  <c r="Y490" i="3" s="1"/>
  <c r="X489" i="3"/>
  <c r="V489" i="3"/>
  <c r="U489" i="3"/>
  <c r="W489" i="3" s="1"/>
  <c r="T489" i="3"/>
  <c r="S489" i="3"/>
  <c r="R489" i="3"/>
  <c r="P489" i="3"/>
  <c r="O489" i="3"/>
  <c r="Q489" i="3" s="1"/>
  <c r="N489" i="3"/>
  <c r="M489" i="3"/>
  <c r="L489" i="3"/>
  <c r="J489" i="3"/>
  <c r="I489" i="3"/>
  <c r="K489" i="3" s="1"/>
  <c r="H489" i="3"/>
  <c r="G489" i="3"/>
  <c r="F489" i="3"/>
  <c r="E489" i="3"/>
  <c r="D489" i="3"/>
  <c r="C489" i="3"/>
  <c r="B489" i="3"/>
  <c r="A489" i="3"/>
  <c r="Y489" i="3" s="1"/>
  <c r="V488" i="3"/>
  <c r="U488" i="3"/>
  <c r="W488" i="3" s="1"/>
  <c r="T488" i="3"/>
  <c r="S488" i="3"/>
  <c r="R488" i="3"/>
  <c r="Q488" i="3"/>
  <c r="P488" i="3"/>
  <c r="O488" i="3"/>
  <c r="M488" i="3"/>
  <c r="L488" i="3"/>
  <c r="N488" i="3" s="1"/>
  <c r="J488" i="3"/>
  <c r="I488" i="3"/>
  <c r="K488" i="3" s="1"/>
  <c r="H488" i="3"/>
  <c r="G488" i="3"/>
  <c r="F488" i="3"/>
  <c r="E488" i="3"/>
  <c r="D488" i="3"/>
  <c r="C488" i="3"/>
  <c r="B488" i="3"/>
  <c r="A488" i="3"/>
  <c r="X487" i="3"/>
  <c r="V487" i="3"/>
  <c r="U487" i="3"/>
  <c r="W487" i="3" s="1"/>
  <c r="T487" i="3"/>
  <c r="S487" i="3"/>
  <c r="R487" i="3"/>
  <c r="P487" i="3"/>
  <c r="O487" i="3"/>
  <c r="Q487" i="3" s="1"/>
  <c r="N487" i="3"/>
  <c r="M487" i="3"/>
  <c r="L487" i="3"/>
  <c r="J487" i="3"/>
  <c r="I487" i="3"/>
  <c r="K487" i="3" s="1"/>
  <c r="H487" i="3"/>
  <c r="G487" i="3"/>
  <c r="F487" i="3"/>
  <c r="E487" i="3"/>
  <c r="D487" i="3"/>
  <c r="C487" i="3"/>
  <c r="B487" i="3"/>
  <c r="A487" i="3"/>
  <c r="AB487" i="3" s="1"/>
  <c r="AB486" i="3"/>
  <c r="Y486" i="3"/>
  <c r="V486" i="3"/>
  <c r="U486" i="3"/>
  <c r="W486" i="3" s="1"/>
  <c r="T486" i="3"/>
  <c r="S486" i="3"/>
  <c r="R486" i="3"/>
  <c r="Q486" i="3"/>
  <c r="P486" i="3"/>
  <c r="O486" i="3"/>
  <c r="M486" i="3"/>
  <c r="L486" i="3"/>
  <c r="N486" i="3" s="1"/>
  <c r="J486" i="3"/>
  <c r="I486" i="3"/>
  <c r="K486" i="3" s="1"/>
  <c r="H486" i="3"/>
  <c r="G486" i="3"/>
  <c r="F486" i="3"/>
  <c r="E486" i="3"/>
  <c r="D486" i="3"/>
  <c r="C486" i="3"/>
  <c r="B486" i="3"/>
  <c r="A486" i="3"/>
  <c r="X485" i="3"/>
  <c r="V485" i="3"/>
  <c r="U485" i="3"/>
  <c r="W485" i="3" s="1"/>
  <c r="T485" i="3"/>
  <c r="S485" i="3"/>
  <c r="R485" i="3"/>
  <c r="P485" i="3"/>
  <c r="O485" i="3"/>
  <c r="Q485" i="3" s="1"/>
  <c r="N485" i="3"/>
  <c r="M485" i="3"/>
  <c r="L485" i="3"/>
  <c r="J485" i="3"/>
  <c r="I485" i="3"/>
  <c r="K485" i="3" s="1"/>
  <c r="H485" i="3"/>
  <c r="G485" i="3"/>
  <c r="F485" i="3"/>
  <c r="E485" i="3"/>
  <c r="D485" i="3"/>
  <c r="C485" i="3"/>
  <c r="B485" i="3"/>
  <c r="A485" i="3"/>
  <c r="AB485" i="3" s="1"/>
  <c r="V484" i="3"/>
  <c r="U484" i="3"/>
  <c r="W484" i="3" s="1"/>
  <c r="T484" i="3"/>
  <c r="S484" i="3"/>
  <c r="R484" i="3"/>
  <c r="Q484" i="3"/>
  <c r="P484" i="3"/>
  <c r="O484" i="3"/>
  <c r="M484" i="3"/>
  <c r="L484" i="3"/>
  <c r="N484" i="3" s="1"/>
  <c r="J484" i="3"/>
  <c r="I484" i="3"/>
  <c r="K484" i="3" s="1"/>
  <c r="H484" i="3"/>
  <c r="G484" i="3"/>
  <c r="F484" i="3"/>
  <c r="E484" i="3"/>
  <c r="D484" i="3"/>
  <c r="C484" i="3"/>
  <c r="B484" i="3"/>
  <c r="A484" i="3"/>
  <c r="X483" i="3"/>
  <c r="V483" i="3"/>
  <c r="U483" i="3"/>
  <c r="W483" i="3" s="1"/>
  <c r="T483" i="3"/>
  <c r="S483" i="3"/>
  <c r="R483" i="3"/>
  <c r="Q483" i="3"/>
  <c r="P483" i="3"/>
  <c r="O483" i="3"/>
  <c r="N483" i="3"/>
  <c r="M483" i="3"/>
  <c r="L483" i="3"/>
  <c r="J483" i="3"/>
  <c r="I483" i="3"/>
  <c r="K483" i="3" s="1"/>
  <c r="H483" i="3"/>
  <c r="G483" i="3"/>
  <c r="F483" i="3"/>
  <c r="E483" i="3"/>
  <c r="D483" i="3"/>
  <c r="C483" i="3"/>
  <c r="B483" i="3"/>
  <c r="A483" i="3"/>
  <c r="AB483" i="3" s="1"/>
  <c r="AB482" i="3"/>
  <c r="Y482" i="3"/>
  <c r="V482" i="3"/>
  <c r="U482" i="3"/>
  <c r="W482" i="3" s="1"/>
  <c r="T482" i="3"/>
  <c r="S482" i="3"/>
  <c r="R482" i="3"/>
  <c r="Q482" i="3"/>
  <c r="P482" i="3"/>
  <c r="O482" i="3"/>
  <c r="M482" i="3"/>
  <c r="L482" i="3"/>
  <c r="N482" i="3" s="1"/>
  <c r="J482" i="3"/>
  <c r="I482" i="3"/>
  <c r="K482" i="3" s="1"/>
  <c r="H482" i="3"/>
  <c r="G482" i="3"/>
  <c r="F482" i="3"/>
  <c r="E482" i="3"/>
  <c r="D482" i="3"/>
  <c r="C482" i="3"/>
  <c r="B482" i="3"/>
  <c r="A482" i="3"/>
  <c r="X481" i="3"/>
  <c r="V481" i="3"/>
  <c r="U481" i="3"/>
  <c r="W481" i="3" s="1"/>
  <c r="T481" i="3"/>
  <c r="S481" i="3"/>
  <c r="R481" i="3"/>
  <c r="Q481" i="3"/>
  <c r="P481" i="3"/>
  <c r="O481" i="3"/>
  <c r="N481" i="3"/>
  <c r="M481" i="3"/>
  <c r="L481" i="3"/>
  <c r="J481" i="3"/>
  <c r="I481" i="3"/>
  <c r="K481" i="3" s="1"/>
  <c r="H481" i="3"/>
  <c r="G481" i="3"/>
  <c r="F481" i="3"/>
  <c r="E481" i="3"/>
  <c r="D481" i="3"/>
  <c r="C481" i="3"/>
  <c r="B481" i="3"/>
  <c r="A481" i="3"/>
  <c r="AB481" i="3" s="1"/>
  <c r="V480" i="3"/>
  <c r="U480" i="3"/>
  <c r="W480" i="3" s="1"/>
  <c r="T480" i="3"/>
  <c r="S480" i="3"/>
  <c r="R480" i="3"/>
  <c r="Q480" i="3"/>
  <c r="P480" i="3"/>
  <c r="O480" i="3"/>
  <c r="M480" i="3"/>
  <c r="L480" i="3"/>
  <c r="N480" i="3" s="1"/>
  <c r="J480" i="3"/>
  <c r="I480" i="3"/>
  <c r="K480" i="3" s="1"/>
  <c r="H480" i="3"/>
  <c r="G480" i="3"/>
  <c r="F480" i="3"/>
  <c r="E480" i="3"/>
  <c r="D480" i="3"/>
  <c r="C480" i="3"/>
  <c r="B480" i="3"/>
  <c r="A480" i="3"/>
  <c r="X479" i="3"/>
  <c r="V479" i="3"/>
  <c r="U479" i="3"/>
  <c r="W479" i="3" s="1"/>
  <c r="T479" i="3"/>
  <c r="S479" i="3"/>
  <c r="R479" i="3"/>
  <c r="Q479" i="3"/>
  <c r="P479" i="3"/>
  <c r="O479" i="3"/>
  <c r="N479" i="3"/>
  <c r="M479" i="3"/>
  <c r="L479" i="3"/>
  <c r="J479" i="3"/>
  <c r="I479" i="3"/>
  <c r="K479" i="3" s="1"/>
  <c r="H479" i="3"/>
  <c r="G479" i="3"/>
  <c r="F479" i="3"/>
  <c r="E479" i="3"/>
  <c r="D479" i="3"/>
  <c r="C479" i="3"/>
  <c r="B479" i="3"/>
  <c r="A479" i="3"/>
  <c r="AB479" i="3" s="1"/>
  <c r="AB478" i="3"/>
  <c r="Y478" i="3"/>
  <c r="V478" i="3"/>
  <c r="U478" i="3"/>
  <c r="W478" i="3" s="1"/>
  <c r="S478" i="3"/>
  <c r="R478" i="3"/>
  <c r="T478" i="3" s="1"/>
  <c r="Q478" i="3"/>
  <c r="P478" i="3"/>
  <c r="O478" i="3"/>
  <c r="M478" i="3"/>
  <c r="L478" i="3"/>
  <c r="N478" i="3" s="1"/>
  <c r="J478" i="3"/>
  <c r="I478" i="3"/>
  <c r="K478" i="3" s="1"/>
  <c r="H478" i="3"/>
  <c r="G478" i="3"/>
  <c r="F478" i="3"/>
  <c r="E478" i="3"/>
  <c r="D478" i="3"/>
  <c r="C478" i="3"/>
  <c r="B478" i="3"/>
  <c r="A478" i="3"/>
  <c r="X477" i="3"/>
  <c r="V477" i="3"/>
  <c r="U477" i="3"/>
  <c r="W477" i="3" s="1"/>
  <c r="T477" i="3"/>
  <c r="S477" i="3"/>
  <c r="R477" i="3"/>
  <c r="Q477" i="3"/>
  <c r="P477" i="3"/>
  <c r="O477" i="3"/>
  <c r="N477" i="3"/>
  <c r="M477" i="3"/>
  <c r="L477" i="3"/>
  <c r="J477" i="3"/>
  <c r="I477" i="3"/>
  <c r="K477" i="3" s="1"/>
  <c r="G477" i="3"/>
  <c r="F477" i="3"/>
  <c r="H477" i="3" s="1"/>
  <c r="E477" i="3"/>
  <c r="D477" i="3"/>
  <c r="C477" i="3"/>
  <c r="B477" i="3"/>
  <c r="A477" i="3"/>
  <c r="AB477" i="3" s="1"/>
  <c r="V476" i="3"/>
  <c r="U476" i="3"/>
  <c r="W476" i="3" s="1"/>
  <c r="S476" i="3"/>
  <c r="R476" i="3"/>
  <c r="T476" i="3" s="1"/>
  <c r="Q476" i="3"/>
  <c r="P476" i="3"/>
  <c r="O476" i="3"/>
  <c r="M476" i="3"/>
  <c r="L476" i="3"/>
  <c r="N476" i="3" s="1"/>
  <c r="J476" i="3"/>
  <c r="I476" i="3"/>
  <c r="K476" i="3" s="1"/>
  <c r="H476" i="3"/>
  <c r="G476" i="3"/>
  <c r="F476" i="3"/>
  <c r="E476" i="3"/>
  <c r="D476" i="3"/>
  <c r="C476" i="3"/>
  <c r="B476" i="3"/>
  <c r="A476" i="3"/>
  <c r="X475" i="3"/>
  <c r="V475" i="3"/>
  <c r="U475" i="3"/>
  <c r="W475" i="3" s="1"/>
  <c r="T475" i="3"/>
  <c r="S475" i="3"/>
  <c r="R475" i="3"/>
  <c r="Q475" i="3"/>
  <c r="P475" i="3"/>
  <c r="O475" i="3"/>
  <c r="N475" i="3"/>
  <c r="M475" i="3"/>
  <c r="L475" i="3"/>
  <c r="J475" i="3"/>
  <c r="I475" i="3"/>
  <c r="K475" i="3" s="1"/>
  <c r="G475" i="3"/>
  <c r="F475" i="3"/>
  <c r="H475" i="3" s="1"/>
  <c r="E475" i="3"/>
  <c r="D475" i="3"/>
  <c r="C475" i="3"/>
  <c r="B475" i="3"/>
  <c r="A475" i="3"/>
  <c r="AB475" i="3" s="1"/>
  <c r="AB474" i="3"/>
  <c r="Z474" i="3"/>
  <c r="Y474" i="3"/>
  <c r="V474" i="3"/>
  <c r="U474" i="3"/>
  <c r="W474" i="3" s="1"/>
  <c r="S474" i="3"/>
  <c r="R474" i="3"/>
  <c r="T474" i="3" s="1"/>
  <c r="Q474" i="3"/>
  <c r="P474" i="3"/>
  <c r="O474" i="3"/>
  <c r="M474" i="3"/>
  <c r="L474" i="3"/>
  <c r="N474" i="3" s="1"/>
  <c r="J474" i="3"/>
  <c r="I474" i="3"/>
  <c r="K474" i="3" s="1"/>
  <c r="H474" i="3"/>
  <c r="G474" i="3"/>
  <c r="F474" i="3"/>
  <c r="E474" i="3"/>
  <c r="D474" i="3"/>
  <c r="C474" i="3"/>
  <c r="B474" i="3"/>
  <c r="A474" i="3"/>
  <c r="Y473" i="3"/>
  <c r="X473" i="3"/>
  <c r="V473" i="3"/>
  <c r="U473" i="3"/>
  <c r="W473" i="3" s="1"/>
  <c r="T473" i="3"/>
  <c r="S473" i="3"/>
  <c r="R473" i="3"/>
  <c r="Q473" i="3"/>
  <c r="P473" i="3"/>
  <c r="O473" i="3"/>
  <c r="N473" i="3"/>
  <c r="M473" i="3"/>
  <c r="L473" i="3"/>
  <c r="J473" i="3"/>
  <c r="I473" i="3"/>
  <c r="K473" i="3" s="1"/>
  <c r="G473" i="3"/>
  <c r="F473" i="3"/>
  <c r="H473" i="3" s="1"/>
  <c r="E473" i="3"/>
  <c r="D473" i="3"/>
  <c r="C473" i="3"/>
  <c r="B473" i="3"/>
  <c r="A473" i="3"/>
  <c r="AB472" i="3"/>
  <c r="Z472" i="3"/>
  <c r="Y472" i="3"/>
  <c r="V472" i="3"/>
  <c r="U472" i="3"/>
  <c r="W472" i="3" s="1"/>
  <c r="S472" i="3"/>
  <c r="R472" i="3"/>
  <c r="T472" i="3" s="1"/>
  <c r="Q472" i="3"/>
  <c r="P472" i="3"/>
  <c r="O472" i="3"/>
  <c r="M472" i="3"/>
  <c r="L472" i="3"/>
  <c r="N472" i="3" s="1"/>
  <c r="J472" i="3"/>
  <c r="I472" i="3"/>
  <c r="K472" i="3" s="1"/>
  <c r="H472" i="3"/>
  <c r="G472" i="3"/>
  <c r="F472" i="3"/>
  <c r="E472" i="3"/>
  <c r="D472" i="3"/>
  <c r="C472" i="3"/>
  <c r="B472" i="3"/>
  <c r="A472" i="3"/>
  <c r="Y471" i="3"/>
  <c r="X471" i="3"/>
  <c r="V471" i="3"/>
  <c r="U471" i="3"/>
  <c r="W471" i="3" s="1"/>
  <c r="T471" i="3"/>
  <c r="S471" i="3"/>
  <c r="R471" i="3"/>
  <c r="P471" i="3"/>
  <c r="O471" i="3"/>
  <c r="Q471" i="3" s="1"/>
  <c r="N471" i="3"/>
  <c r="M471" i="3"/>
  <c r="L471" i="3"/>
  <c r="J471" i="3"/>
  <c r="I471" i="3"/>
  <c r="K471" i="3" s="1"/>
  <c r="G471" i="3"/>
  <c r="F471" i="3"/>
  <c r="H471" i="3" s="1"/>
  <c r="E471" i="3"/>
  <c r="D471" i="3"/>
  <c r="C471" i="3"/>
  <c r="B471" i="3"/>
  <c r="A471" i="3"/>
  <c r="AA470" i="3"/>
  <c r="Z470" i="3"/>
  <c r="Y470" i="3"/>
  <c r="V470" i="3"/>
  <c r="U470" i="3"/>
  <c r="W470" i="3" s="1"/>
  <c r="S470" i="3"/>
  <c r="R470" i="3"/>
  <c r="T470" i="3" s="1"/>
  <c r="Q470" i="3"/>
  <c r="P470" i="3"/>
  <c r="O470" i="3"/>
  <c r="M470" i="3"/>
  <c r="L470" i="3"/>
  <c r="N470" i="3" s="1"/>
  <c r="J470" i="3"/>
  <c r="I470" i="3"/>
  <c r="K470" i="3" s="1"/>
  <c r="H470" i="3"/>
  <c r="G470" i="3"/>
  <c r="F470" i="3"/>
  <c r="E470" i="3"/>
  <c r="D470" i="3"/>
  <c r="C470" i="3"/>
  <c r="B470" i="3"/>
  <c r="A470" i="3"/>
  <c r="X470" i="3" s="1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J469" i="3"/>
  <c r="I469" i="3"/>
  <c r="K469" i="3" s="1"/>
  <c r="H469" i="3"/>
  <c r="G469" i="3"/>
  <c r="F469" i="3"/>
  <c r="E469" i="3"/>
  <c r="D469" i="3"/>
  <c r="C469" i="3"/>
  <c r="B469" i="3"/>
  <c r="A469" i="3"/>
  <c r="V468" i="3"/>
  <c r="U468" i="3"/>
  <c r="W468" i="3" s="1"/>
  <c r="S468" i="3"/>
  <c r="R468" i="3"/>
  <c r="T468" i="3" s="1"/>
  <c r="Q468" i="3"/>
  <c r="P468" i="3"/>
  <c r="O468" i="3"/>
  <c r="M468" i="3"/>
  <c r="L468" i="3"/>
  <c r="N468" i="3" s="1"/>
  <c r="J468" i="3"/>
  <c r="I468" i="3"/>
  <c r="K468" i="3" s="1"/>
  <c r="H468" i="3"/>
  <c r="G468" i="3"/>
  <c r="F468" i="3"/>
  <c r="E468" i="3"/>
  <c r="D468" i="3"/>
  <c r="C468" i="3"/>
  <c r="B468" i="3"/>
  <c r="A468" i="3"/>
  <c r="W467" i="3"/>
  <c r="V467" i="3"/>
  <c r="U467" i="3"/>
  <c r="T467" i="3"/>
  <c r="S467" i="3"/>
  <c r="R467" i="3"/>
  <c r="P467" i="3"/>
  <c r="O467" i="3"/>
  <c r="Q467" i="3" s="1"/>
  <c r="N467" i="3"/>
  <c r="M467" i="3"/>
  <c r="L467" i="3"/>
  <c r="J467" i="3"/>
  <c r="I467" i="3"/>
  <c r="K467" i="3" s="1"/>
  <c r="G467" i="3"/>
  <c r="F467" i="3"/>
  <c r="H467" i="3" s="1"/>
  <c r="E467" i="3"/>
  <c r="D467" i="3"/>
  <c r="C467" i="3"/>
  <c r="B467" i="3"/>
  <c r="A467" i="3"/>
  <c r="Z466" i="3"/>
  <c r="V466" i="3"/>
  <c r="U466" i="3"/>
  <c r="W466" i="3" s="1"/>
  <c r="S466" i="3"/>
  <c r="R466" i="3"/>
  <c r="T466" i="3" s="1"/>
  <c r="Q466" i="3"/>
  <c r="P466" i="3"/>
  <c r="O466" i="3"/>
  <c r="M466" i="3"/>
  <c r="L466" i="3"/>
  <c r="N466" i="3" s="1"/>
  <c r="J466" i="3"/>
  <c r="I466" i="3"/>
  <c r="K466" i="3" s="1"/>
  <c r="H466" i="3"/>
  <c r="G466" i="3"/>
  <c r="F466" i="3"/>
  <c r="E466" i="3"/>
  <c r="D466" i="3"/>
  <c r="C466" i="3"/>
  <c r="B466" i="3"/>
  <c r="A466" i="3"/>
  <c r="X466" i="3" s="1"/>
  <c r="X465" i="3"/>
  <c r="V465" i="3"/>
  <c r="U465" i="3"/>
  <c r="W465" i="3" s="1"/>
  <c r="T465" i="3"/>
  <c r="S465" i="3"/>
  <c r="R465" i="3"/>
  <c r="Q465" i="3"/>
  <c r="P465" i="3"/>
  <c r="O465" i="3"/>
  <c r="N465" i="3"/>
  <c r="M465" i="3"/>
  <c r="L465" i="3"/>
  <c r="J465" i="3"/>
  <c r="I465" i="3"/>
  <c r="K465" i="3" s="1"/>
  <c r="H465" i="3"/>
  <c r="G465" i="3"/>
  <c r="F465" i="3"/>
  <c r="E465" i="3"/>
  <c r="D465" i="3"/>
  <c r="C465" i="3"/>
  <c r="B465" i="3"/>
  <c r="A465" i="3"/>
  <c r="Y465" i="3" s="1"/>
  <c r="AA464" i="3"/>
  <c r="V464" i="3"/>
  <c r="U464" i="3"/>
  <c r="W464" i="3" s="1"/>
  <c r="T464" i="3"/>
  <c r="S464" i="3"/>
  <c r="R464" i="3"/>
  <c r="Q464" i="3"/>
  <c r="P464" i="3"/>
  <c r="O464" i="3"/>
  <c r="M464" i="3"/>
  <c r="L464" i="3"/>
  <c r="N464" i="3" s="1"/>
  <c r="K464" i="3"/>
  <c r="J464" i="3"/>
  <c r="I464" i="3"/>
  <c r="H464" i="3"/>
  <c r="G464" i="3"/>
  <c r="F464" i="3"/>
  <c r="E464" i="3"/>
  <c r="D464" i="3"/>
  <c r="C464" i="3"/>
  <c r="B464" i="3"/>
  <c r="A464" i="3"/>
  <c r="X464" i="3" s="1"/>
  <c r="V463" i="3"/>
  <c r="U463" i="3"/>
  <c r="W463" i="3" s="1"/>
  <c r="T463" i="3"/>
  <c r="S463" i="3"/>
  <c r="R463" i="3"/>
  <c r="P463" i="3"/>
  <c r="O463" i="3"/>
  <c r="Q463" i="3" s="1"/>
  <c r="M463" i="3"/>
  <c r="L463" i="3"/>
  <c r="N463" i="3" s="1"/>
  <c r="J463" i="3"/>
  <c r="I463" i="3"/>
  <c r="K463" i="3" s="1"/>
  <c r="G463" i="3"/>
  <c r="F463" i="3"/>
  <c r="H463" i="3" s="1"/>
  <c r="E463" i="3"/>
  <c r="D463" i="3"/>
  <c r="C463" i="3"/>
  <c r="B463" i="3"/>
  <c r="A463" i="3"/>
  <c r="Y462" i="3"/>
  <c r="X462" i="3"/>
  <c r="V462" i="3"/>
  <c r="U462" i="3"/>
  <c r="W462" i="3" s="1"/>
  <c r="T462" i="3"/>
  <c r="S462" i="3"/>
  <c r="R462" i="3"/>
  <c r="Q462" i="3"/>
  <c r="P462" i="3"/>
  <c r="O462" i="3"/>
  <c r="M462" i="3"/>
  <c r="L462" i="3"/>
  <c r="N462" i="3" s="1"/>
  <c r="K462" i="3"/>
  <c r="J462" i="3"/>
  <c r="I462" i="3"/>
  <c r="H462" i="3"/>
  <c r="G462" i="3"/>
  <c r="F462" i="3"/>
  <c r="E462" i="3"/>
  <c r="D462" i="3"/>
  <c r="C462" i="3"/>
  <c r="B462" i="3"/>
  <c r="A462" i="3"/>
  <c r="AB462" i="3" s="1"/>
  <c r="Y461" i="3"/>
  <c r="X461" i="3"/>
  <c r="V461" i="3"/>
  <c r="U461" i="3"/>
  <c r="W461" i="3" s="1"/>
  <c r="T461" i="3"/>
  <c r="S461" i="3"/>
  <c r="R461" i="3"/>
  <c r="P461" i="3"/>
  <c r="O461" i="3"/>
  <c r="Q461" i="3" s="1"/>
  <c r="N461" i="3"/>
  <c r="M461" i="3"/>
  <c r="L461" i="3"/>
  <c r="J461" i="3"/>
  <c r="I461" i="3"/>
  <c r="K461" i="3" s="1"/>
  <c r="G461" i="3"/>
  <c r="F461" i="3"/>
  <c r="H461" i="3" s="1"/>
  <c r="E461" i="3"/>
  <c r="D461" i="3"/>
  <c r="C461" i="3"/>
  <c r="B461" i="3"/>
  <c r="A461" i="3"/>
  <c r="V460" i="3"/>
  <c r="U460" i="3"/>
  <c r="W460" i="3" s="1"/>
  <c r="S460" i="3"/>
  <c r="R460" i="3"/>
  <c r="T460" i="3" s="1"/>
  <c r="Q460" i="3"/>
  <c r="P460" i="3"/>
  <c r="O460" i="3"/>
  <c r="M460" i="3"/>
  <c r="L460" i="3"/>
  <c r="N460" i="3" s="1"/>
  <c r="J460" i="3"/>
  <c r="I460" i="3"/>
  <c r="K460" i="3" s="1"/>
  <c r="H460" i="3"/>
  <c r="G460" i="3"/>
  <c r="F460" i="3"/>
  <c r="E460" i="3"/>
  <c r="D460" i="3"/>
  <c r="C460" i="3"/>
  <c r="B460" i="3"/>
  <c r="A460" i="3"/>
  <c r="Y459" i="3"/>
  <c r="V459" i="3"/>
  <c r="U459" i="3"/>
  <c r="W459" i="3" s="1"/>
  <c r="T459" i="3"/>
  <c r="S459" i="3"/>
  <c r="R459" i="3"/>
  <c r="Q459" i="3"/>
  <c r="P459" i="3"/>
  <c r="O459" i="3"/>
  <c r="M459" i="3"/>
  <c r="L459" i="3"/>
  <c r="N459" i="3" s="1"/>
  <c r="J459" i="3"/>
  <c r="I459" i="3"/>
  <c r="K459" i="3" s="1"/>
  <c r="G459" i="3"/>
  <c r="F459" i="3"/>
  <c r="H459" i="3" s="1"/>
  <c r="E459" i="3"/>
  <c r="D459" i="3"/>
  <c r="C459" i="3"/>
  <c r="B459" i="3"/>
  <c r="A459" i="3"/>
  <c r="X458" i="3"/>
  <c r="V458" i="3"/>
  <c r="U458" i="3"/>
  <c r="W458" i="3" s="1"/>
  <c r="S458" i="3"/>
  <c r="R458" i="3"/>
  <c r="T458" i="3" s="1"/>
  <c r="P458" i="3"/>
  <c r="O458" i="3"/>
  <c r="Q458" i="3" s="1"/>
  <c r="N458" i="3"/>
  <c r="M458" i="3"/>
  <c r="L458" i="3"/>
  <c r="J458" i="3"/>
  <c r="I458" i="3"/>
  <c r="K458" i="3" s="1"/>
  <c r="H458" i="3"/>
  <c r="G458" i="3"/>
  <c r="F458" i="3"/>
  <c r="E458" i="3"/>
  <c r="D458" i="3"/>
  <c r="C458" i="3"/>
  <c r="B458" i="3"/>
  <c r="A458" i="3"/>
  <c r="AB458" i="3" s="1"/>
  <c r="AB457" i="3"/>
  <c r="V457" i="3"/>
  <c r="U457" i="3"/>
  <c r="W457" i="3" s="1"/>
  <c r="T457" i="3"/>
  <c r="S457" i="3"/>
  <c r="R457" i="3"/>
  <c r="Q457" i="3"/>
  <c r="P457" i="3"/>
  <c r="O457" i="3"/>
  <c r="M457" i="3"/>
  <c r="L457" i="3"/>
  <c r="N457" i="3" s="1"/>
  <c r="J457" i="3"/>
  <c r="I457" i="3"/>
  <c r="K457" i="3" s="1"/>
  <c r="G457" i="3"/>
  <c r="F457" i="3"/>
  <c r="H457" i="3" s="1"/>
  <c r="E457" i="3"/>
  <c r="D457" i="3"/>
  <c r="C457" i="3"/>
  <c r="B457" i="3"/>
  <c r="A457" i="3"/>
  <c r="X456" i="3"/>
  <c r="V456" i="3"/>
  <c r="U456" i="3"/>
  <c r="W456" i="3" s="1"/>
  <c r="S456" i="3"/>
  <c r="R456" i="3"/>
  <c r="T456" i="3" s="1"/>
  <c r="P456" i="3"/>
  <c r="O456" i="3"/>
  <c r="Q456" i="3" s="1"/>
  <c r="N456" i="3"/>
  <c r="M456" i="3"/>
  <c r="L456" i="3"/>
  <c r="J456" i="3"/>
  <c r="I456" i="3"/>
  <c r="K456" i="3" s="1"/>
  <c r="H456" i="3"/>
  <c r="G456" i="3"/>
  <c r="F456" i="3"/>
  <c r="E456" i="3"/>
  <c r="D456" i="3"/>
  <c r="C456" i="3"/>
  <c r="B456" i="3"/>
  <c r="A456" i="3"/>
  <c r="AB456" i="3" s="1"/>
  <c r="V455" i="3"/>
  <c r="U455" i="3"/>
  <c r="W455" i="3" s="1"/>
  <c r="T455" i="3"/>
  <c r="S455" i="3"/>
  <c r="R455" i="3"/>
  <c r="Q455" i="3"/>
  <c r="P455" i="3"/>
  <c r="O455" i="3"/>
  <c r="M455" i="3"/>
  <c r="L455" i="3"/>
  <c r="N455" i="3" s="1"/>
  <c r="J455" i="3"/>
  <c r="I455" i="3"/>
  <c r="K455" i="3" s="1"/>
  <c r="G455" i="3"/>
  <c r="F455" i="3"/>
  <c r="H455" i="3" s="1"/>
  <c r="E455" i="3"/>
  <c r="D455" i="3"/>
  <c r="C455" i="3"/>
  <c r="B455" i="3"/>
  <c r="A455" i="3"/>
  <c r="X454" i="3"/>
  <c r="V454" i="3"/>
  <c r="U454" i="3"/>
  <c r="W454" i="3" s="1"/>
  <c r="S454" i="3"/>
  <c r="R454" i="3"/>
  <c r="T454" i="3" s="1"/>
  <c r="P454" i="3"/>
  <c r="O454" i="3"/>
  <c r="Q454" i="3" s="1"/>
  <c r="N454" i="3"/>
  <c r="M454" i="3"/>
  <c r="L454" i="3"/>
  <c r="J454" i="3"/>
  <c r="I454" i="3"/>
  <c r="K454" i="3" s="1"/>
  <c r="H454" i="3"/>
  <c r="G454" i="3"/>
  <c r="F454" i="3"/>
  <c r="E454" i="3"/>
  <c r="D454" i="3"/>
  <c r="C454" i="3"/>
  <c r="B454" i="3"/>
  <c r="A454" i="3"/>
  <c r="AB454" i="3" s="1"/>
  <c r="V453" i="3"/>
  <c r="U453" i="3"/>
  <c r="W453" i="3" s="1"/>
  <c r="T453" i="3"/>
  <c r="S453" i="3"/>
  <c r="R453" i="3"/>
  <c r="Q453" i="3"/>
  <c r="P453" i="3"/>
  <c r="O453" i="3"/>
  <c r="M453" i="3"/>
  <c r="L453" i="3"/>
  <c r="N453" i="3" s="1"/>
  <c r="J453" i="3"/>
  <c r="I453" i="3"/>
  <c r="K453" i="3" s="1"/>
  <c r="G453" i="3"/>
  <c r="F453" i="3"/>
  <c r="H453" i="3" s="1"/>
  <c r="E453" i="3"/>
  <c r="D453" i="3"/>
  <c r="C453" i="3"/>
  <c r="B453" i="3"/>
  <c r="A453" i="3"/>
  <c r="X452" i="3"/>
  <c r="V452" i="3"/>
  <c r="U452" i="3"/>
  <c r="W452" i="3" s="1"/>
  <c r="S452" i="3"/>
  <c r="R452" i="3"/>
  <c r="T452" i="3" s="1"/>
  <c r="P452" i="3"/>
  <c r="O452" i="3"/>
  <c r="Q452" i="3" s="1"/>
  <c r="N452" i="3"/>
  <c r="M452" i="3"/>
  <c r="L452" i="3"/>
  <c r="J452" i="3"/>
  <c r="I452" i="3"/>
  <c r="K452" i="3" s="1"/>
  <c r="H452" i="3"/>
  <c r="G452" i="3"/>
  <c r="F452" i="3"/>
  <c r="E452" i="3"/>
  <c r="D452" i="3"/>
  <c r="C452" i="3"/>
  <c r="B452" i="3"/>
  <c r="A452" i="3"/>
  <c r="AB452" i="3" s="1"/>
  <c r="V451" i="3"/>
  <c r="U451" i="3"/>
  <c r="W451" i="3" s="1"/>
  <c r="T451" i="3"/>
  <c r="S451" i="3"/>
  <c r="R451" i="3"/>
  <c r="Q451" i="3"/>
  <c r="P451" i="3"/>
  <c r="O451" i="3"/>
  <c r="M451" i="3"/>
  <c r="L451" i="3"/>
  <c r="N451" i="3" s="1"/>
  <c r="J451" i="3"/>
  <c r="I451" i="3"/>
  <c r="K451" i="3" s="1"/>
  <c r="G451" i="3"/>
  <c r="F451" i="3"/>
  <c r="H451" i="3" s="1"/>
  <c r="E451" i="3"/>
  <c r="D451" i="3"/>
  <c r="C451" i="3"/>
  <c r="B451" i="3"/>
  <c r="A451" i="3"/>
  <c r="X450" i="3"/>
  <c r="V450" i="3"/>
  <c r="U450" i="3"/>
  <c r="W450" i="3" s="1"/>
  <c r="S450" i="3"/>
  <c r="R450" i="3"/>
  <c r="T450" i="3" s="1"/>
  <c r="P450" i="3"/>
  <c r="O450" i="3"/>
  <c r="Q450" i="3" s="1"/>
  <c r="N450" i="3"/>
  <c r="M450" i="3"/>
  <c r="L450" i="3"/>
  <c r="J450" i="3"/>
  <c r="I450" i="3"/>
  <c r="K450" i="3" s="1"/>
  <c r="H450" i="3"/>
  <c r="G450" i="3"/>
  <c r="F450" i="3"/>
  <c r="E450" i="3"/>
  <c r="D450" i="3"/>
  <c r="C450" i="3"/>
  <c r="B450" i="3"/>
  <c r="A450" i="3"/>
  <c r="AB450" i="3" s="1"/>
  <c r="Y449" i="3"/>
  <c r="V449" i="3"/>
  <c r="U449" i="3"/>
  <c r="W449" i="3" s="1"/>
  <c r="T449" i="3"/>
  <c r="S449" i="3"/>
  <c r="R449" i="3"/>
  <c r="Q449" i="3"/>
  <c r="P449" i="3"/>
  <c r="O449" i="3"/>
  <c r="M449" i="3"/>
  <c r="L449" i="3"/>
  <c r="N449" i="3" s="1"/>
  <c r="J449" i="3"/>
  <c r="I449" i="3"/>
  <c r="K449" i="3" s="1"/>
  <c r="G449" i="3"/>
  <c r="F449" i="3"/>
  <c r="H449" i="3" s="1"/>
  <c r="E449" i="3"/>
  <c r="D449" i="3"/>
  <c r="C449" i="3"/>
  <c r="B449" i="3"/>
  <c r="A449" i="3"/>
  <c r="X448" i="3"/>
  <c r="V448" i="3"/>
  <c r="U448" i="3"/>
  <c r="W448" i="3" s="1"/>
  <c r="S448" i="3"/>
  <c r="R448" i="3"/>
  <c r="T448" i="3" s="1"/>
  <c r="P448" i="3"/>
  <c r="O448" i="3"/>
  <c r="Q448" i="3" s="1"/>
  <c r="N448" i="3"/>
  <c r="M448" i="3"/>
  <c r="L448" i="3"/>
  <c r="J448" i="3"/>
  <c r="I448" i="3"/>
  <c r="K448" i="3" s="1"/>
  <c r="H448" i="3"/>
  <c r="G448" i="3"/>
  <c r="F448" i="3"/>
  <c r="E448" i="3"/>
  <c r="D448" i="3"/>
  <c r="C448" i="3"/>
  <c r="B448" i="3"/>
  <c r="A448" i="3"/>
  <c r="AB448" i="3" s="1"/>
  <c r="AB447" i="3"/>
  <c r="Z447" i="3"/>
  <c r="Y447" i="3"/>
  <c r="V447" i="3"/>
  <c r="U447" i="3"/>
  <c r="W447" i="3" s="1"/>
  <c r="S447" i="3"/>
  <c r="R447" i="3"/>
  <c r="T447" i="3" s="1"/>
  <c r="Q447" i="3"/>
  <c r="P447" i="3"/>
  <c r="O447" i="3"/>
  <c r="M447" i="3"/>
  <c r="L447" i="3"/>
  <c r="N447" i="3" s="1"/>
  <c r="J447" i="3"/>
  <c r="I447" i="3"/>
  <c r="K447" i="3" s="1"/>
  <c r="G447" i="3"/>
  <c r="F447" i="3"/>
  <c r="H447" i="3" s="1"/>
  <c r="E447" i="3"/>
  <c r="D447" i="3"/>
  <c r="C447" i="3"/>
  <c r="B447" i="3"/>
  <c r="A447" i="3"/>
  <c r="X446" i="3"/>
  <c r="V446" i="3"/>
  <c r="U446" i="3"/>
  <c r="W446" i="3" s="1"/>
  <c r="S446" i="3"/>
  <c r="R446" i="3"/>
  <c r="T446" i="3" s="1"/>
  <c r="P446" i="3"/>
  <c r="O446" i="3"/>
  <c r="Q446" i="3" s="1"/>
  <c r="N446" i="3"/>
  <c r="M446" i="3"/>
  <c r="L446" i="3"/>
  <c r="J446" i="3"/>
  <c r="I446" i="3"/>
  <c r="K446" i="3" s="1"/>
  <c r="H446" i="3"/>
  <c r="G446" i="3"/>
  <c r="F446" i="3"/>
  <c r="E446" i="3"/>
  <c r="D446" i="3"/>
  <c r="C446" i="3"/>
  <c r="B446" i="3"/>
  <c r="A446" i="3"/>
  <c r="AB446" i="3" s="1"/>
  <c r="Z445" i="3"/>
  <c r="V445" i="3"/>
  <c r="U445" i="3"/>
  <c r="W445" i="3" s="1"/>
  <c r="S445" i="3"/>
  <c r="R445" i="3"/>
  <c r="T445" i="3" s="1"/>
  <c r="Q445" i="3"/>
  <c r="P445" i="3"/>
  <c r="O445" i="3"/>
  <c r="M445" i="3"/>
  <c r="L445" i="3"/>
  <c r="N445" i="3" s="1"/>
  <c r="J445" i="3"/>
  <c r="I445" i="3"/>
  <c r="K445" i="3" s="1"/>
  <c r="G445" i="3"/>
  <c r="F445" i="3"/>
  <c r="H445" i="3" s="1"/>
  <c r="E445" i="3"/>
  <c r="D445" i="3"/>
  <c r="C445" i="3"/>
  <c r="B445" i="3"/>
  <c r="A445" i="3"/>
  <c r="Y444" i="3"/>
  <c r="X444" i="3"/>
  <c r="W444" i="3"/>
  <c r="V444" i="3"/>
  <c r="U444" i="3"/>
  <c r="S444" i="3"/>
  <c r="R444" i="3"/>
  <c r="T444" i="3" s="1"/>
  <c r="Q444" i="3"/>
  <c r="P444" i="3"/>
  <c r="O444" i="3"/>
  <c r="N444" i="3"/>
  <c r="M444" i="3"/>
  <c r="L444" i="3"/>
  <c r="J444" i="3"/>
  <c r="I444" i="3"/>
  <c r="K444" i="3" s="1"/>
  <c r="H444" i="3"/>
  <c r="G444" i="3"/>
  <c r="F444" i="3"/>
  <c r="E444" i="3"/>
  <c r="D444" i="3"/>
  <c r="C444" i="3"/>
  <c r="B444" i="3"/>
  <c r="A444" i="3"/>
  <c r="AB443" i="3"/>
  <c r="AA443" i="3"/>
  <c r="Z443" i="3"/>
  <c r="Y443" i="3"/>
  <c r="V443" i="3"/>
  <c r="U443" i="3"/>
  <c r="W443" i="3" s="1"/>
  <c r="S443" i="3"/>
  <c r="R443" i="3"/>
  <c r="T443" i="3" s="1"/>
  <c r="Q443" i="3"/>
  <c r="P443" i="3"/>
  <c r="O443" i="3"/>
  <c r="M443" i="3"/>
  <c r="L443" i="3"/>
  <c r="N443" i="3" s="1"/>
  <c r="J443" i="3"/>
  <c r="I443" i="3"/>
  <c r="K443" i="3" s="1"/>
  <c r="G443" i="3"/>
  <c r="F443" i="3"/>
  <c r="H443" i="3" s="1"/>
  <c r="E443" i="3"/>
  <c r="D443" i="3"/>
  <c r="C443" i="3"/>
  <c r="B443" i="3"/>
  <c r="A443" i="3"/>
  <c r="X443" i="3" s="1"/>
  <c r="Y442" i="3"/>
  <c r="X442" i="3"/>
  <c r="W442" i="3"/>
  <c r="V442" i="3"/>
  <c r="U442" i="3"/>
  <c r="S442" i="3"/>
  <c r="R442" i="3"/>
  <c r="T442" i="3" s="1"/>
  <c r="P442" i="3"/>
  <c r="O442" i="3"/>
  <c r="Q442" i="3" s="1"/>
  <c r="N442" i="3"/>
  <c r="M442" i="3"/>
  <c r="L442" i="3"/>
  <c r="J442" i="3"/>
  <c r="I442" i="3"/>
  <c r="K442" i="3" s="1"/>
  <c r="G442" i="3"/>
  <c r="F442" i="3"/>
  <c r="H442" i="3" s="1"/>
  <c r="E442" i="3"/>
  <c r="D442" i="3"/>
  <c r="C442" i="3"/>
  <c r="B442" i="3"/>
  <c r="A442" i="3"/>
  <c r="AB441" i="3"/>
  <c r="AA441" i="3"/>
  <c r="Z441" i="3"/>
  <c r="Y441" i="3"/>
  <c r="V441" i="3"/>
  <c r="U441" i="3"/>
  <c r="W441" i="3" s="1"/>
  <c r="S441" i="3"/>
  <c r="R441" i="3"/>
  <c r="T441" i="3" s="1"/>
  <c r="Q441" i="3"/>
  <c r="P441" i="3"/>
  <c r="O441" i="3"/>
  <c r="M441" i="3"/>
  <c r="L441" i="3"/>
  <c r="N441" i="3" s="1"/>
  <c r="J441" i="3"/>
  <c r="I441" i="3"/>
  <c r="K441" i="3" s="1"/>
  <c r="G441" i="3"/>
  <c r="F441" i="3"/>
  <c r="H441" i="3" s="1"/>
  <c r="E441" i="3"/>
  <c r="D441" i="3"/>
  <c r="C441" i="3"/>
  <c r="B441" i="3"/>
  <c r="A441" i="3"/>
  <c r="X441" i="3" s="1"/>
  <c r="Y440" i="3"/>
  <c r="X440" i="3"/>
  <c r="V440" i="3"/>
  <c r="U440" i="3"/>
  <c r="W440" i="3" s="1"/>
  <c r="S440" i="3"/>
  <c r="R440" i="3"/>
  <c r="T440" i="3" s="1"/>
  <c r="P440" i="3"/>
  <c r="O440" i="3"/>
  <c r="Q440" i="3" s="1"/>
  <c r="N440" i="3"/>
  <c r="M440" i="3"/>
  <c r="L440" i="3"/>
  <c r="J440" i="3"/>
  <c r="I440" i="3"/>
  <c r="K440" i="3" s="1"/>
  <c r="G440" i="3"/>
  <c r="F440" i="3"/>
  <c r="H440" i="3" s="1"/>
  <c r="E440" i="3"/>
  <c r="D440" i="3"/>
  <c r="C440" i="3"/>
  <c r="B440" i="3"/>
  <c r="A440" i="3"/>
  <c r="AB439" i="3"/>
  <c r="AA439" i="3"/>
  <c r="Z439" i="3"/>
  <c r="Y439" i="3"/>
  <c r="V439" i="3"/>
  <c r="U439" i="3"/>
  <c r="W439" i="3" s="1"/>
  <c r="S439" i="3"/>
  <c r="R439" i="3"/>
  <c r="T439" i="3" s="1"/>
  <c r="Q439" i="3"/>
  <c r="P439" i="3"/>
  <c r="O439" i="3"/>
  <c r="M439" i="3"/>
  <c r="L439" i="3"/>
  <c r="N439" i="3" s="1"/>
  <c r="J439" i="3"/>
  <c r="I439" i="3"/>
  <c r="K439" i="3" s="1"/>
  <c r="G439" i="3"/>
  <c r="F439" i="3"/>
  <c r="H439" i="3" s="1"/>
  <c r="E439" i="3"/>
  <c r="D439" i="3"/>
  <c r="C439" i="3"/>
  <c r="B439" i="3"/>
  <c r="A439" i="3"/>
  <c r="X439" i="3" s="1"/>
  <c r="Y438" i="3"/>
  <c r="X438" i="3"/>
  <c r="W438" i="3"/>
  <c r="V438" i="3"/>
  <c r="U438" i="3"/>
  <c r="S438" i="3"/>
  <c r="R438" i="3"/>
  <c r="T438" i="3" s="1"/>
  <c r="P438" i="3"/>
  <c r="O438" i="3"/>
  <c r="Q438" i="3" s="1"/>
  <c r="N438" i="3"/>
  <c r="M438" i="3"/>
  <c r="L438" i="3"/>
  <c r="J438" i="3"/>
  <c r="I438" i="3"/>
  <c r="K438" i="3" s="1"/>
  <c r="G438" i="3"/>
  <c r="F438" i="3"/>
  <c r="H438" i="3" s="1"/>
  <c r="E438" i="3"/>
  <c r="D438" i="3"/>
  <c r="C438" i="3"/>
  <c r="B438" i="3"/>
  <c r="A438" i="3"/>
  <c r="AA437" i="3"/>
  <c r="Z437" i="3"/>
  <c r="Y437" i="3"/>
  <c r="V437" i="3"/>
  <c r="U437" i="3"/>
  <c r="W437" i="3" s="1"/>
  <c r="T437" i="3"/>
  <c r="S437" i="3"/>
  <c r="R437" i="3"/>
  <c r="Q437" i="3"/>
  <c r="P437" i="3"/>
  <c r="O437" i="3"/>
  <c r="M437" i="3"/>
  <c r="L437" i="3"/>
  <c r="N437" i="3" s="1"/>
  <c r="K437" i="3"/>
  <c r="J437" i="3"/>
  <c r="I437" i="3"/>
  <c r="G437" i="3"/>
  <c r="F437" i="3"/>
  <c r="H437" i="3" s="1"/>
  <c r="E437" i="3"/>
  <c r="D437" i="3"/>
  <c r="C437" i="3"/>
  <c r="B437" i="3"/>
  <c r="A437" i="3"/>
  <c r="X437" i="3" s="1"/>
  <c r="V436" i="3"/>
  <c r="U436" i="3"/>
  <c r="W436" i="3" s="1"/>
  <c r="S436" i="3"/>
  <c r="R436" i="3"/>
  <c r="T436" i="3" s="1"/>
  <c r="P436" i="3"/>
  <c r="O436" i="3"/>
  <c r="Q436" i="3" s="1"/>
  <c r="N436" i="3"/>
  <c r="M436" i="3"/>
  <c r="L436" i="3"/>
  <c r="J436" i="3"/>
  <c r="I436" i="3"/>
  <c r="K436" i="3" s="1"/>
  <c r="G436" i="3"/>
  <c r="F436" i="3"/>
  <c r="H436" i="3" s="1"/>
  <c r="E436" i="3"/>
  <c r="D436" i="3"/>
  <c r="C436" i="3"/>
  <c r="B436" i="3"/>
  <c r="A436" i="3"/>
  <c r="Z435" i="3"/>
  <c r="Y435" i="3"/>
  <c r="V435" i="3"/>
  <c r="U435" i="3"/>
  <c r="W435" i="3" s="1"/>
  <c r="T435" i="3"/>
  <c r="S435" i="3"/>
  <c r="R435" i="3"/>
  <c r="Q435" i="3"/>
  <c r="P435" i="3"/>
  <c r="O435" i="3"/>
  <c r="N435" i="3"/>
  <c r="M435" i="3"/>
  <c r="L435" i="3"/>
  <c r="K435" i="3"/>
  <c r="J435" i="3"/>
  <c r="I435" i="3"/>
  <c r="G435" i="3"/>
  <c r="F435" i="3"/>
  <c r="H435" i="3" s="1"/>
  <c r="E435" i="3"/>
  <c r="D435" i="3"/>
  <c r="C435" i="3"/>
  <c r="B435" i="3"/>
  <c r="A435" i="3"/>
  <c r="X435" i="3" s="1"/>
  <c r="Y434" i="3"/>
  <c r="X434" i="3"/>
  <c r="V434" i="3"/>
  <c r="U434" i="3"/>
  <c r="W434" i="3" s="1"/>
  <c r="S434" i="3"/>
  <c r="R434" i="3"/>
  <c r="T434" i="3" s="1"/>
  <c r="P434" i="3"/>
  <c r="O434" i="3"/>
  <c r="Q434" i="3" s="1"/>
  <c r="N434" i="3"/>
  <c r="M434" i="3"/>
  <c r="L434" i="3"/>
  <c r="J434" i="3"/>
  <c r="I434" i="3"/>
  <c r="K434" i="3" s="1"/>
  <c r="G434" i="3"/>
  <c r="F434" i="3"/>
  <c r="H434" i="3" s="1"/>
  <c r="E434" i="3"/>
  <c r="D434" i="3"/>
  <c r="C434" i="3"/>
  <c r="B434" i="3"/>
  <c r="A434" i="3"/>
  <c r="AB434" i="3" s="1"/>
  <c r="W433" i="3"/>
  <c r="V433" i="3"/>
  <c r="U433" i="3"/>
  <c r="S433" i="3"/>
  <c r="R433" i="3"/>
  <c r="T433" i="3" s="1"/>
  <c r="P433" i="3"/>
  <c r="O433" i="3"/>
  <c r="Q433" i="3" s="1"/>
  <c r="M433" i="3"/>
  <c r="L433" i="3"/>
  <c r="N433" i="3" s="1"/>
  <c r="J433" i="3"/>
  <c r="I433" i="3"/>
  <c r="K433" i="3" s="1"/>
  <c r="G433" i="3"/>
  <c r="F433" i="3"/>
  <c r="H433" i="3" s="1"/>
  <c r="E433" i="3"/>
  <c r="D433" i="3"/>
  <c r="C433" i="3"/>
  <c r="B433" i="3"/>
  <c r="A433" i="3"/>
  <c r="AA433" i="3" s="1"/>
  <c r="Y432" i="3"/>
  <c r="V432" i="3"/>
  <c r="U432" i="3"/>
  <c r="W432" i="3" s="1"/>
  <c r="S432" i="3"/>
  <c r="R432" i="3"/>
  <c r="T432" i="3" s="1"/>
  <c r="Q432" i="3"/>
  <c r="P432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A432" i="3"/>
  <c r="AB432" i="3" s="1"/>
  <c r="AB431" i="3"/>
  <c r="Y431" i="3"/>
  <c r="V431" i="3"/>
  <c r="U431" i="3"/>
  <c r="W431" i="3" s="1"/>
  <c r="T431" i="3"/>
  <c r="S431" i="3"/>
  <c r="R431" i="3"/>
  <c r="P431" i="3"/>
  <c r="O431" i="3"/>
  <c r="Q431" i="3" s="1"/>
  <c r="N431" i="3"/>
  <c r="M431" i="3"/>
  <c r="L431" i="3"/>
  <c r="K431" i="3"/>
  <c r="J431" i="3"/>
  <c r="I431" i="3"/>
  <c r="G431" i="3"/>
  <c r="F431" i="3"/>
  <c r="H431" i="3" s="1"/>
  <c r="E431" i="3"/>
  <c r="D431" i="3"/>
  <c r="C431" i="3"/>
  <c r="B431" i="3"/>
  <c r="A431" i="3"/>
  <c r="X431" i="3" s="1"/>
  <c r="Y430" i="3"/>
  <c r="X430" i="3"/>
  <c r="V430" i="3"/>
  <c r="U430" i="3"/>
  <c r="W430" i="3" s="1"/>
  <c r="S430" i="3"/>
  <c r="R430" i="3"/>
  <c r="T430" i="3" s="1"/>
  <c r="P430" i="3"/>
  <c r="O430" i="3"/>
  <c r="Q430" i="3" s="1"/>
  <c r="N430" i="3"/>
  <c r="M430" i="3"/>
  <c r="L430" i="3"/>
  <c r="J430" i="3"/>
  <c r="I430" i="3"/>
  <c r="K430" i="3" s="1"/>
  <c r="G430" i="3"/>
  <c r="F430" i="3"/>
  <c r="H430" i="3" s="1"/>
  <c r="E430" i="3"/>
  <c r="D430" i="3"/>
  <c r="C430" i="3"/>
  <c r="B430" i="3"/>
  <c r="A430" i="3"/>
  <c r="AB430" i="3" s="1"/>
  <c r="W429" i="3"/>
  <c r="V429" i="3"/>
  <c r="U429" i="3"/>
  <c r="S429" i="3"/>
  <c r="R429" i="3"/>
  <c r="T429" i="3" s="1"/>
  <c r="P429" i="3"/>
  <c r="O429" i="3"/>
  <c r="Q429" i="3" s="1"/>
  <c r="M429" i="3"/>
  <c r="L429" i="3"/>
  <c r="N429" i="3" s="1"/>
  <c r="J429" i="3"/>
  <c r="I429" i="3"/>
  <c r="K429" i="3" s="1"/>
  <c r="G429" i="3"/>
  <c r="F429" i="3"/>
  <c r="H429" i="3" s="1"/>
  <c r="E429" i="3"/>
  <c r="D429" i="3"/>
  <c r="C429" i="3"/>
  <c r="B429" i="3"/>
  <c r="A429" i="3"/>
  <c r="Y428" i="3"/>
  <c r="V428" i="3"/>
  <c r="U428" i="3"/>
  <c r="W428" i="3" s="1"/>
  <c r="S428" i="3"/>
  <c r="R428" i="3"/>
  <c r="T428" i="3" s="1"/>
  <c r="Q428" i="3"/>
  <c r="P428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A428" i="3"/>
  <c r="AB428" i="3" s="1"/>
  <c r="AB427" i="3"/>
  <c r="Y427" i="3"/>
  <c r="V427" i="3"/>
  <c r="U427" i="3"/>
  <c r="W427" i="3" s="1"/>
  <c r="T427" i="3"/>
  <c r="S427" i="3"/>
  <c r="R427" i="3"/>
  <c r="P427" i="3"/>
  <c r="O427" i="3"/>
  <c r="Q427" i="3" s="1"/>
  <c r="N427" i="3"/>
  <c r="M427" i="3"/>
  <c r="L427" i="3"/>
  <c r="K427" i="3"/>
  <c r="J427" i="3"/>
  <c r="I427" i="3"/>
  <c r="G427" i="3"/>
  <c r="F427" i="3"/>
  <c r="H427" i="3" s="1"/>
  <c r="E427" i="3"/>
  <c r="D427" i="3"/>
  <c r="C427" i="3"/>
  <c r="B427" i="3"/>
  <c r="A427" i="3"/>
  <c r="X427" i="3" s="1"/>
  <c r="Y426" i="3"/>
  <c r="X426" i="3"/>
  <c r="V426" i="3"/>
  <c r="U426" i="3"/>
  <c r="W426" i="3" s="1"/>
  <c r="S426" i="3"/>
  <c r="R426" i="3"/>
  <c r="T426" i="3" s="1"/>
  <c r="P426" i="3"/>
  <c r="O426" i="3"/>
  <c r="Q426" i="3" s="1"/>
  <c r="N426" i="3"/>
  <c r="M426" i="3"/>
  <c r="L426" i="3"/>
  <c r="J426" i="3"/>
  <c r="I426" i="3"/>
  <c r="K426" i="3" s="1"/>
  <c r="G426" i="3"/>
  <c r="F426" i="3"/>
  <c r="H426" i="3" s="1"/>
  <c r="E426" i="3"/>
  <c r="D426" i="3"/>
  <c r="C426" i="3"/>
  <c r="B426" i="3"/>
  <c r="A426" i="3"/>
  <c r="AB426" i="3" s="1"/>
  <c r="AA425" i="3"/>
  <c r="Y425" i="3"/>
  <c r="W425" i="3"/>
  <c r="V425" i="3"/>
  <c r="U425" i="3"/>
  <c r="S425" i="3"/>
  <c r="R425" i="3"/>
  <c r="T425" i="3" s="1"/>
  <c r="P425" i="3"/>
  <c r="O425" i="3"/>
  <c r="Q425" i="3" s="1"/>
  <c r="M425" i="3"/>
  <c r="L425" i="3"/>
  <c r="N425" i="3" s="1"/>
  <c r="J425" i="3"/>
  <c r="I425" i="3"/>
  <c r="K425" i="3" s="1"/>
  <c r="H425" i="3"/>
  <c r="G425" i="3"/>
  <c r="F425" i="3"/>
  <c r="E425" i="3"/>
  <c r="D425" i="3"/>
  <c r="C425" i="3"/>
  <c r="B425" i="3"/>
  <c r="A425" i="3"/>
  <c r="X425" i="3" s="1"/>
  <c r="AB424" i="3"/>
  <c r="AA424" i="3"/>
  <c r="X424" i="3"/>
  <c r="V424" i="3"/>
  <c r="U424" i="3"/>
  <c r="W424" i="3" s="1"/>
  <c r="T424" i="3"/>
  <c r="S424" i="3"/>
  <c r="R424" i="3"/>
  <c r="P424" i="3"/>
  <c r="O424" i="3"/>
  <c r="Q424" i="3" s="1"/>
  <c r="N424" i="3"/>
  <c r="M424" i="3"/>
  <c r="L424" i="3"/>
  <c r="K424" i="3"/>
  <c r="J424" i="3"/>
  <c r="I424" i="3"/>
  <c r="G424" i="3"/>
  <c r="F424" i="3"/>
  <c r="H424" i="3" s="1"/>
  <c r="E424" i="3"/>
  <c r="D424" i="3"/>
  <c r="C424" i="3"/>
  <c r="B424" i="3"/>
  <c r="A424" i="3"/>
  <c r="Z424" i="3" s="1"/>
  <c r="Z423" i="3"/>
  <c r="X423" i="3"/>
  <c r="W423" i="3"/>
  <c r="V423" i="3"/>
  <c r="U423" i="3"/>
  <c r="S423" i="3"/>
  <c r="R423" i="3"/>
  <c r="T423" i="3" s="1"/>
  <c r="P423" i="3"/>
  <c r="O423" i="3"/>
  <c r="Q423" i="3" s="1"/>
  <c r="M423" i="3"/>
  <c r="L423" i="3"/>
  <c r="N423" i="3" s="1"/>
  <c r="J423" i="3"/>
  <c r="I423" i="3"/>
  <c r="K423" i="3" s="1"/>
  <c r="H423" i="3"/>
  <c r="G423" i="3"/>
  <c r="F423" i="3"/>
  <c r="E423" i="3"/>
  <c r="D423" i="3"/>
  <c r="C423" i="3"/>
  <c r="B423" i="3"/>
  <c r="A423" i="3"/>
  <c r="AB423" i="3" s="1"/>
  <c r="AB422" i="3"/>
  <c r="AA422" i="3"/>
  <c r="X422" i="3"/>
  <c r="V422" i="3"/>
  <c r="U422" i="3"/>
  <c r="W422" i="3" s="1"/>
  <c r="T422" i="3"/>
  <c r="S422" i="3"/>
  <c r="R422" i="3"/>
  <c r="P422" i="3"/>
  <c r="O422" i="3"/>
  <c r="Q422" i="3" s="1"/>
  <c r="N422" i="3"/>
  <c r="M422" i="3"/>
  <c r="L422" i="3"/>
  <c r="K422" i="3"/>
  <c r="J422" i="3"/>
  <c r="I422" i="3"/>
  <c r="G422" i="3"/>
  <c r="F422" i="3"/>
  <c r="H422" i="3" s="1"/>
  <c r="E422" i="3"/>
  <c r="D422" i="3"/>
  <c r="C422" i="3"/>
  <c r="B422" i="3"/>
  <c r="A422" i="3"/>
  <c r="Z422" i="3" s="1"/>
  <c r="Z421" i="3"/>
  <c r="X421" i="3"/>
  <c r="W421" i="3"/>
  <c r="V421" i="3"/>
  <c r="U421" i="3"/>
  <c r="S421" i="3"/>
  <c r="R421" i="3"/>
  <c r="T421" i="3" s="1"/>
  <c r="P421" i="3"/>
  <c r="O421" i="3"/>
  <c r="Q421" i="3" s="1"/>
  <c r="M421" i="3"/>
  <c r="L421" i="3"/>
  <c r="N421" i="3" s="1"/>
  <c r="J421" i="3"/>
  <c r="I421" i="3"/>
  <c r="K421" i="3" s="1"/>
  <c r="H421" i="3"/>
  <c r="G421" i="3"/>
  <c r="F421" i="3"/>
  <c r="E421" i="3"/>
  <c r="D421" i="3"/>
  <c r="C421" i="3"/>
  <c r="B421" i="3"/>
  <c r="A421" i="3"/>
  <c r="AB421" i="3" s="1"/>
  <c r="AB420" i="3"/>
  <c r="AA420" i="3"/>
  <c r="X420" i="3"/>
  <c r="V420" i="3"/>
  <c r="U420" i="3"/>
  <c r="W420" i="3" s="1"/>
  <c r="T420" i="3"/>
  <c r="S420" i="3"/>
  <c r="R420" i="3"/>
  <c r="P420" i="3"/>
  <c r="O420" i="3"/>
  <c r="Q420" i="3" s="1"/>
  <c r="N420" i="3"/>
  <c r="M420" i="3"/>
  <c r="L420" i="3"/>
  <c r="K420" i="3"/>
  <c r="J420" i="3"/>
  <c r="I420" i="3"/>
  <c r="G420" i="3"/>
  <c r="F420" i="3"/>
  <c r="H420" i="3" s="1"/>
  <c r="E420" i="3"/>
  <c r="D420" i="3"/>
  <c r="C420" i="3"/>
  <c r="B420" i="3"/>
  <c r="A420" i="3"/>
  <c r="Z420" i="3" s="1"/>
  <c r="Z419" i="3"/>
  <c r="X419" i="3"/>
  <c r="W419" i="3"/>
  <c r="V419" i="3"/>
  <c r="U419" i="3"/>
  <c r="S419" i="3"/>
  <c r="R419" i="3"/>
  <c r="T419" i="3" s="1"/>
  <c r="P419" i="3"/>
  <c r="O419" i="3"/>
  <c r="Q419" i="3" s="1"/>
  <c r="M419" i="3"/>
  <c r="L419" i="3"/>
  <c r="N419" i="3" s="1"/>
  <c r="J419" i="3"/>
  <c r="I419" i="3"/>
  <c r="K419" i="3" s="1"/>
  <c r="H419" i="3"/>
  <c r="G419" i="3"/>
  <c r="F419" i="3"/>
  <c r="E419" i="3"/>
  <c r="D419" i="3"/>
  <c r="C419" i="3"/>
  <c r="B419" i="3"/>
  <c r="A419" i="3"/>
  <c r="AB419" i="3" s="1"/>
  <c r="AB418" i="3"/>
  <c r="AA418" i="3"/>
  <c r="X418" i="3"/>
  <c r="V418" i="3"/>
  <c r="U418" i="3"/>
  <c r="W418" i="3" s="1"/>
  <c r="T418" i="3"/>
  <c r="S418" i="3"/>
  <c r="R418" i="3"/>
  <c r="P418" i="3"/>
  <c r="O418" i="3"/>
  <c r="Q418" i="3" s="1"/>
  <c r="N418" i="3"/>
  <c r="M418" i="3"/>
  <c r="L418" i="3"/>
  <c r="K418" i="3"/>
  <c r="J418" i="3"/>
  <c r="I418" i="3"/>
  <c r="G418" i="3"/>
  <c r="F418" i="3"/>
  <c r="H418" i="3" s="1"/>
  <c r="E418" i="3"/>
  <c r="D418" i="3"/>
  <c r="C418" i="3"/>
  <c r="B418" i="3"/>
  <c r="A418" i="3"/>
  <c r="Z418" i="3" s="1"/>
  <c r="Z417" i="3"/>
  <c r="X417" i="3"/>
  <c r="W417" i="3"/>
  <c r="V417" i="3"/>
  <c r="U417" i="3"/>
  <c r="S417" i="3"/>
  <c r="R417" i="3"/>
  <c r="T417" i="3" s="1"/>
  <c r="P417" i="3"/>
  <c r="O417" i="3"/>
  <c r="Q417" i="3" s="1"/>
  <c r="M417" i="3"/>
  <c r="L417" i="3"/>
  <c r="N417" i="3" s="1"/>
  <c r="J417" i="3"/>
  <c r="I417" i="3"/>
  <c r="K417" i="3" s="1"/>
  <c r="H417" i="3"/>
  <c r="G417" i="3"/>
  <c r="F417" i="3"/>
  <c r="E417" i="3"/>
  <c r="D417" i="3"/>
  <c r="C417" i="3"/>
  <c r="B417" i="3"/>
  <c r="A417" i="3"/>
  <c r="AB417" i="3" s="1"/>
  <c r="AB416" i="3"/>
  <c r="AA416" i="3"/>
  <c r="X416" i="3"/>
  <c r="V416" i="3"/>
  <c r="U416" i="3"/>
  <c r="W416" i="3" s="1"/>
  <c r="T416" i="3"/>
  <c r="S416" i="3"/>
  <c r="R416" i="3"/>
  <c r="P416" i="3"/>
  <c r="O416" i="3"/>
  <c r="Q416" i="3" s="1"/>
  <c r="N416" i="3"/>
  <c r="M416" i="3"/>
  <c r="L416" i="3"/>
  <c r="K416" i="3"/>
  <c r="J416" i="3"/>
  <c r="I416" i="3"/>
  <c r="G416" i="3"/>
  <c r="F416" i="3"/>
  <c r="H416" i="3" s="1"/>
  <c r="E416" i="3"/>
  <c r="D416" i="3"/>
  <c r="C416" i="3"/>
  <c r="B416" i="3"/>
  <c r="A416" i="3"/>
  <c r="Z416" i="3" s="1"/>
  <c r="Z415" i="3"/>
  <c r="X415" i="3"/>
  <c r="W415" i="3"/>
  <c r="V415" i="3"/>
  <c r="U415" i="3"/>
  <c r="S415" i="3"/>
  <c r="R415" i="3"/>
  <c r="T415" i="3" s="1"/>
  <c r="P415" i="3"/>
  <c r="O415" i="3"/>
  <c r="Q415" i="3" s="1"/>
  <c r="M415" i="3"/>
  <c r="L415" i="3"/>
  <c r="N415" i="3" s="1"/>
  <c r="J415" i="3"/>
  <c r="I415" i="3"/>
  <c r="K415" i="3" s="1"/>
  <c r="H415" i="3"/>
  <c r="G415" i="3"/>
  <c r="F415" i="3"/>
  <c r="E415" i="3"/>
  <c r="D415" i="3"/>
  <c r="C415" i="3"/>
  <c r="B415" i="3"/>
  <c r="A415" i="3"/>
  <c r="AB415" i="3" s="1"/>
  <c r="AB414" i="3"/>
  <c r="AA414" i="3"/>
  <c r="X414" i="3"/>
  <c r="V414" i="3"/>
  <c r="U414" i="3"/>
  <c r="W414" i="3" s="1"/>
  <c r="T414" i="3"/>
  <c r="S414" i="3"/>
  <c r="R414" i="3"/>
  <c r="P414" i="3"/>
  <c r="O414" i="3"/>
  <c r="Q414" i="3" s="1"/>
  <c r="N414" i="3"/>
  <c r="M414" i="3"/>
  <c r="L414" i="3"/>
  <c r="K414" i="3"/>
  <c r="J414" i="3"/>
  <c r="I414" i="3"/>
  <c r="G414" i="3"/>
  <c r="F414" i="3"/>
  <c r="H414" i="3" s="1"/>
  <c r="E414" i="3"/>
  <c r="D414" i="3"/>
  <c r="C414" i="3"/>
  <c r="B414" i="3"/>
  <c r="A414" i="3"/>
  <c r="Z414" i="3" s="1"/>
  <c r="Z413" i="3"/>
  <c r="X413" i="3"/>
  <c r="W413" i="3"/>
  <c r="V413" i="3"/>
  <c r="U413" i="3"/>
  <c r="S413" i="3"/>
  <c r="R413" i="3"/>
  <c r="T413" i="3" s="1"/>
  <c r="P413" i="3"/>
  <c r="O413" i="3"/>
  <c r="Q413" i="3" s="1"/>
  <c r="M413" i="3"/>
  <c r="L413" i="3"/>
  <c r="N413" i="3" s="1"/>
  <c r="J413" i="3"/>
  <c r="I413" i="3"/>
  <c r="K413" i="3" s="1"/>
  <c r="H413" i="3"/>
  <c r="G413" i="3"/>
  <c r="F413" i="3"/>
  <c r="E413" i="3"/>
  <c r="D413" i="3"/>
  <c r="C413" i="3"/>
  <c r="B413" i="3"/>
  <c r="A413" i="3"/>
  <c r="AB413" i="3" s="1"/>
  <c r="AB412" i="3"/>
  <c r="AA412" i="3"/>
  <c r="X412" i="3"/>
  <c r="V412" i="3"/>
  <c r="U412" i="3"/>
  <c r="W412" i="3" s="1"/>
  <c r="T412" i="3"/>
  <c r="S412" i="3"/>
  <c r="R412" i="3"/>
  <c r="P412" i="3"/>
  <c r="O412" i="3"/>
  <c r="Q412" i="3" s="1"/>
  <c r="N412" i="3"/>
  <c r="M412" i="3"/>
  <c r="L412" i="3"/>
  <c r="K412" i="3"/>
  <c r="J412" i="3"/>
  <c r="I412" i="3"/>
  <c r="G412" i="3"/>
  <c r="F412" i="3"/>
  <c r="H412" i="3" s="1"/>
  <c r="E412" i="3"/>
  <c r="D412" i="3"/>
  <c r="C412" i="3"/>
  <c r="B412" i="3"/>
  <c r="A412" i="3"/>
  <c r="Z412" i="3" s="1"/>
  <c r="Z411" i="3"/>
  <c r="X411" i="3"/>
  <c r="W411" i="3"/>
  <c r="V411" i="3"/>
  <c r="U411" i="3"/>
  <c r="S411" i="3"/>
  <c r="R411" i="3"/>
  <c r="T411" i="3" s="1"/>
  <c r="P411" i="3"/>
  <c r="O411" i="3"/>
  <c r="Q411" i="3" s="1"/>
  <c r="N411" i="3"/>
  <c r="M411" i="3"/>
  <c r="L411" i="3"/>
  <c r="J411" i="3"/>
  <c r="I411" i="3"/>
  <c r="K411" i="3" s="1"/>
  <c r="G411" i="3"/>
  <c r="F411" i="3"/>
  <c r="H411" i="3" s="1"/>
  <c r="E411" i="3"/>
  <c r="D411" i="3"/>
  <c r="C411" i="3"/>
  <c r="B411" i="3"/>
  <c r="A411" i="3"/>
  <c r="AB411" i="3" s="1"/>
  <c r="AB410" i="3"/>
  <c r="AA410" i="3"/>
  <c r="Z410" i="3"/>
  <c r="V410" i="3"/>
  <c r="U410" i="3"/>
  <c r="W410" i="3" s="1"/>
  <c r="T410" i="3"/>
  <c r="S410" i="3"/>
  <c r="R410" i="3"/>
  <c r="P410" i="3"/>
  <c r="O410" i="3"/>
  <c r="Q410" i="3" s="1"/>
  <c r="N410" i="3"/>
  <c r="M410" i="3"/>
  <c r="L410" i="3"/>
  <c r="K410" i="3"/>
  <c r="J410" i="3"/>
  <c r="I410" i="3"/>
  <c r="G410" i="3"/>
  <c r="F410" i="3"/>
  <c r="H410" i="3" s="1"/>
  <c r="E410" i="3"/>
  <c r="D410" i="3"/>
  <c r="C410" i="3"/>
  <c r="B410" i="3"/>
  <c r="A410" i="3"/>
  <c r="Y410" i="3" s="1"/>
  <c r="Z409" i="3"/>
  <c r="X409" i="3"/>
  <c r="W409" i="3"/>
  <c r="V409" i="3"/>
  <c r="U409" i="3"/>
  <c r="S409" i="3"/>
  <c r="R409" i="3"/>
  <c r="T409" i="3" s="1"/>
  <c r="P409" i="3"/>
  <c r="O409" i="3"/>
  <c r="Q409" i="3" s="1"/>
  <c r="N409" i="3"/>
  <c r="M409" i="3"/>
  <c r="L409" i="3"/>
  <c r="J409" i="3"/>
  <c r="I409" i="3"/>
  <c r="K409" i="3" s="1"/>
  <c r="H409" i="3"/>
  <c r="G409" i="3"/>
  <c r="F409" i="3"/>
  <c r="E409" i="3"/>
  <c r="D409" i="3"/>
  <c r="C409" i="3"/>
  <c r="B409" i="3"/>
  <c r="A409" i="3"/>
  <c r="AB409" i="3" s="1"/>
  <c r="AB408" i="3"/>
  <c r="AA408" i="3"/>
  <c r="Z408" i="3"/>
  <c r="V408" i="3"/>
  <c r="U408" i="3"/>
  <c r="W408" i="3" s="1"/>
  <c r="T408" i="3"/>
  <c r="S408" i="3"/>
  <c r="R408" i="3"/>
  <c r="P408" i="3"/>
  <c r="O408" i="3"/>
  <c r="Q408" i="3" s="1"/>
  <c r="M408" i="3"/>
  <c r="L408" i="3"/>
  <c r="N408" i="3" s="1"/>
  <c r="K408" i="3"/>
  <c r="J408" i="3"/>
  <c r="I408" i="3"/>
  <c r="G408" i="3"/>
  <c r="F408" i="3"/>
  <c r="H408" i="3" s="1"/>
  <c r="E408" i="3"/>
  <c r="D408" i="3"/>
  <c r="C408" i="3"/>
  <c r="B408" i="3"/>
  <c r="A408" i="3"/>
  <c r="Y408" i="3" s="1"/>
  <c r="Z407" i="3"/>
  <c r="X407" i="3"/>
  <c r="W407" i="3"/>
  <c r="V407" i="3"/>
  <c r="U407" i="3"/>
  <c r="S407" i="3"/>
  <c r="R407" i="3"/>
  <c r="T407" i="3" s="1"/>
  <c r="P407" i="3"/>
  <c r="O407" i="3"/>
  <c r="Q407" i="3" s="1"/>
  <c r="N407" i="3"/>
  <c r="M407" i="3"/>
  <c r="L407" i="3"/>
  <c r="J407" i="3"/>
  <c r="I407" i="3"/>
  <c r="K407" i="3" s="1"/>
  <c r="H407" i="3"/>
  <c r="G407" i="3"/>
  <c r="F407" i="3"/>
  <c r="E407" i="3"/>
  <c r="D407" i="3"/>
  <c r="C407" i="3"/>
  <c r="B407" i="3"/>
  <c r="A407" i="3"/>
  <c r="AB407" i="3" s="1"/>
  <c r="AB406" i="3"/>
  <c r="AA406" i="3"/>
  <c r="Z406" i="3"/>
  <c r="V406" i="3"/>
  <c r="U406" i="3"/>
  <c r="W406" i="3" s="1"/>
  <c r="S406" i="3"/>
  <c r="R406" i="3"/>
  <c r="T406" i="3" s="1"/>
  <c r="P406" i="3"/>
  <c r="O406" i="3"/>
  <c r="Q406" i="3" s="1"/>
  <c r="M406" i="3"/>
  <c r="L406" i="3"/>
  <c r="N406" i="3" s="1"/>
  <c r="K406" i="3"/>
  <c r="J406" i="3"/>
  <c r="I406" i="3"/>
  <c r="G406" i="3"/>
  <c r="F406" i="3"/>
  <c r="H406" i="3" s="1"/>
  <c r="E406" i="3"/>
  <c r="D406" i="3"/>
  <c r="C406" i="3"/>
  <c r="B406" i="3"/>
  <c r="A406" i="3"/>
  <c r="Y406" i="3" s="1"/>
  <c r="Z405" i="3"/>
  <c r="X405" i="3"/>
  <c r="W405" i="3"/>
  <c r="V405" i="3"/>
  <c r="U405" i="3"/>
  <c r="S405" i="3"/>
  <c r="R405" i="3"/>
  <c r="T405" i="3" s="1"/>
  <c r="P405" i="3"/>
  <c r="O405" i="3"/>
  <c r="Q405" i="3" s="1"/>
  <c r="N405" i="3"/>
  <c r="M405" i="3"/>
  <c r="L405" i="3"/>
  <c r="J405" i="3"/>
  <c r="I405" i="3"/>
  <c r="K405" i="3" s="1"/>
  <c r="G405" i="3"/>
  <c r="F405" i="3"/>
  <c r="H405" i="3" s="1"/>
  <c r="E405" i="3"/>
  <c r="D405" i="3"/>
  <c r="C405" i="3"/>
  <c r="B405" i="3"/>
  <c r="A405" i="3"/>
  <c r="AB405" i="3" s="1"/>
  <c r="AB404" i="3"/>
  <c r="AA404" i="3"/>
  <c r="Z404" i="3"/>
  <c r="V404" i="3"/>
  <c r="U404" i="3"/>
  <c r="W404" i="3" s="1"/>
  <c r="S404" i="3"/>
  <c r="R404" i="3"/>
  <c r="T404" i="3" s="1"/>
  <c r="P404" i="3"/>
  <c r="O404" i="3"/>
  <c r="Q404" i="3" s="1"/>
  <c r="N404" i="3"/>
  <c r="M404" i="3"/>
  <c r="L404" i="3"/>
  <c r="K404" i="3"/>
  <c r="J404" i="3"/>
  <c r="I404" i="3"/>
  <c r="G404" i="3"/>
  <c r="F404" i="3"/>
  <c r="H404" i="3" s="1"/>
  <c r="E404" i="3"/>
  <c r="D404" i="3"/>
  <c r="C404" i="3"/>
  <c r="B404" i="3"/>
  <c r="A404" i="3"/>
  <c r="Y404" i="3" s="1"/>
  <c r="Z403" i="3"/>
  <c r="X403" i="3"/>
  <c r="W403" i="3"/>
  <c r="V403" i="3"/>
  <c r="U403" i="3"/>
  <c r="S403" i="3"/>
  <c r="R403" i="3"/>
  <c r="T403" i="3" s="1"/>
  <c r="P403" i="3"/>
  <c r="O403" i="3"/>
  <c r="Q403" i="3" s="1"/>
  <c r="N403" i="3"/>
  <c r="M403" i="3"/>
  <c r="L403" i="3"/>
  <c r="J403" i="3"/>
  <c r="I403" i="3"/>
  <c r="K403" i="3" s="1"/>
  <c r="G403" i="3"/>
  <c r="F403" i="3"/>
  <c r="H403" i="3" s="1"/>
  <c r="E403" i="3"/>
  <c r="D403" i="3"/>
  <c r="C403" i="3"/>
  <c r="B403" i="3"/>
  <c r="A403" i="3"/>
  <c r="AB403" i="3" s="1"/>
  <c r="AB402" i="3"/>
  <c r="AA402" i="3"/>
  <c r="Z402" i="3"/>
  <c r="V402" i="3"/>
  <c r="U402" i="3"/>
  <c r="W402" i="3" s="1"/>
  <c r="T402" i="3"/>
  <c r="S402" i="3"/>
  <c r="R402" i="3"/>
  <c r="P402" i="3"/>
  <c r="O402" i="3"/>
  <c r="Q402" i="3" s="1"/>
  <c r="N402" i="3"/>
  <c r="M402" i="3"/>
  <c r="L402" i="3"/>
  <c r="K402" i="3"/>
  <c r="J402" i="3"/>
  <c r="I402" i="3"/>
  <c r="G402" i="3"/>
  <c r="F402" i="3"/>
  <c r="H402" i="3" s="1"/>
  <c r="E402" i="3"/>
  <c r="D402" i="3"/>
  <c r="C402" i="3"/>
  <c r="B402" i="3"/>
  <c r="A402" i="3"/>
  <c r="Y402" i="3" s="1"/>
  <c r="X401" i="3"/>
  <c r="W401" i="3"/>
  <c r="V401" i="3"/>
  <c r="U401" i="3"/>
  <c r="S401" i="3"/>
  <c r="R401" i="3"/>
  <c r="T401" i="3" s="1"/>
  <c r="P401" i="3"/>
  <c r="O401" i="3"/>
  <c r="Q401" i="3" s="1"/>
  <c r="N401" i="3"/>
  <c r="M401" i="3"/>
  <c r="L401" i="3"/>
  <c r="J401" i="3"/>
  <c r="I401" i="3"/>
  <c r="K401" i="3" s="1"/>
  <c r="G401" i="3"/>
  <c r="F401" i="3"/>
  <c r="H401" i="3" s="1"/>
  <c r="E401" i="3"/>
  <c r="D401" i="3"/>
  <c r="C401" i="3"/>
  <c r="B401" i="3"/>
  <c r="A401" i="3"/>
  <c r="Z401" i="3" s="1"/>
  <c r="AB400" i="3"/>
  <c r="AA400" i="3"/>
  <c r="Z400" i="3"/>
  <c r="V400" i="3"/>
  <c r="U400" i="3"/>
  <c r="W400" i="3" s="1"/>
  <c r="S400" i="3"/>
  <c r="R400" i="3"/>
  <c r="T400" i="3" s="1"/>
  <c r="Q400" i="3"/>
  <c r="P400" i="3"/>
  <c r="O400" i="3"/>
  <c r="N400" i="3"/>
  <c r="M400" i="3"/>
  <c r="L400" i="3"/>
  <c r="K400" i="3"/>
  <c r="J400" i="3"/>
  <c r="I400" i="3"/>
  <c r="G400" i="3"/>
  <c r="F400" i="3"/>
  <c r="H400" i="3" s="1"/>
  <c r="E400" i="3"/>
  <c r="D400" i="3"/>
  <c r="C400" i="3"/>
  <c r="B400" i="3"/>
  <c r="A400" i="3"/>
  <c r="Y400" i="3" s="1"/>
  <c r="X399" i="3"/>
  <c r="W399" i="3"/>
  <c r="V399" i="3"/>
  <c r="U399" i="3"/>
  <c r="S399" i="3"/>
  <c r="R399" i="3"/>
  <c r="T399" i="3" s="1"/>
  <c r="P399" i="3"/>
  <c r="O399" i="3"/>
  <c r="Q399" i="3" s="1"/>
  <c r="N399" i="3"/>
  <c r="M399" i="3"/>
  <c r="L399" i="3"/>
  <c r="J399" i="3"/>
  <c r="I399" i="3"/>
  <c r="K399" i="3" s="1"/>
  <c r="G399" i="3"/>
  <c r="F399" i="3"/>
  <c r="H399" i="3" s="1"/>
  <c r="E399" i="3"/>
  <c r="D399" i="3"/>
  <c r="C399" i="3"/>
  <c r="B399" i="3"/>
  <c r="A399" i="3"/>
  <c r="Z399" i="3" s="1"/>
  <c r="AB398" i="3"/>
  <c r="AA398" i="3"/>
  <c r="Z398" i="3"/>
  <c r="V398" i="3"/>
  <c r="U398" i="3"/>
  <c r="W398" i="3" s="1"/>
  <c r="S398" i="3"/>
  <c r="R398" i="3"/>
  <c r="T398" i="3" s="1"/>
  <c r="Q398" i="3"/>
  <c r="P398" i="3"/>
  <c r="O398" i="3"/>
  <c r="N398" i="3"/>
  <c r="M398" i="3"/>
  <c r="L398" i="3"/>
  <c r="K398" i="3"/>
  <c r="J398" i="3"/>
  <c r="I398" i="3"/>
  <c r="G398" i="3"/>
  <c r="F398" i="3"/>
  <c r="H398" i="3" s="1"/>
  <c r="E398" i="3"/>
  <c r="D398" i="3"/>
  <c r="C398" i="3"/>
  <c r="B398" i="3"/>
  <c r="A398" i="3"/>
  <c r="Y398" i="3" s="1"/>
  <c r="X397" i="3"/>
  <c r="W397" i="3"/>
  <c r="V397" i="3"/>
  <c r="U397" i="3"/>
  <c r="S397" i="3"/>
  <c r="R397" i="3"/>
  <c r="T397" i="3" s="1"/>
  <c r="P397" i="3"/>
  <c r="O397" i="3"/>
  <c r="Q397" i="3" s="1"/>
  <c r="N397" i="3"/>
  <c r="M397" i="3"/>
  <c r="L397" i="3"/>
  <c r="J397" i="3"/>
  <c r="I397" i="3"/>
  <c r="K397" i="3" s="1"/>
  <c r="G397" i="3"/>
  <c r="F397" i="3"/>
  <c r="H397" i="3" s="1"/>
  <c r="E397" i="3"/>
  <c r="D397" i="3"/>
  <c r="C397" i="3"/>
  <c r="B397" i="3"/>
  <c r="A397" i="3"/>
  <c r="Z397" i="3" s="1"/>
  <c r="AB396" i="3"/>
  <c r="AA396" i="3"/>
  <c r="Z396" i="3"/>
  <c r="V396" i="3"/>
  <c r="U396" i="3"/>
  <c r="W396" i="3" s="1"/>
  <c r="S396" i="3"/>
  <c r="R396" i="3"/>
  <c r="T396" i="3" s="1"/>
  <c r="Q396" i="3"/>
  <c r="P396" i="3"/>
  <c r="O396" i="3"/>
  <c r="N396" i="3"/>
  <c r="M396" i="3"/>
  <c r="L396" i="3"/>
  <c r="K396" i="3"/>
  <c r="J396" i="3"/>
  <c r="I396" i="3"/>
  <c r="G396" i="3"/>
  <c r="F396" i="3"/>
  <c r="H396" i="3" s="1"/>
  <c r="E396" i="3"/>
  <c r="D396" i="3"/>
  <c r="C396" i="3"/>
  <c r="B396" i="3"/>
  <c r="A396" i="3"/>
  <c r="Y396" i="3" s="1"/>
  <c r="X395" i="3"/>
  <c r="W395" i="3"/>
  <c r="V395" i="3"/>
  <c r="U395" i="3"/>
  <c r="S395" i="3"/>
  <c r="R395" i="3"/>
  <c r="T395" i="3" s="1"/>
  <c r="P395" i="3"/>
  <c r="O395" i="3"/>
  <c r="Q395" i="3" s="1"/>
  <c r="N395" i="3"/>
  <c r="M395" i="3"/>
  <c r="L395" i="3"/>
  <c r="J395" i="3"/>
  <c r="I395" i="3"/>
  <c r="K395" i="3" s="1"/>
  <c r="G395" i="3"/>
  <c r="F395" i="3"/>
  <c r="H395" i="3" s="1"/>
  <c r="E395" i="3"/>
  <c r="D395" i="3"/>
  <c r="C395" i="3"/>
  <c r="B395" i="3"/>
  <c r="A395" i="3"/>
  <c r="Z395" i="3" s="1"/>
  <c r="Z394" i="3"/>
  <c r="Y394" i="3"/>
  <c r="V394" i="3"/>
  <c r="U394" i="3"/>
  <c r="W394" i="3" s="1"/>
  <c r="T394" i="3"/>
  <c r="S394" i="3"/>
  <c r="R394" i="3"/>
  <c r="Q394" i="3"/>
  <c r="P394" i="3"/>
  <c r="O394" i="3"/>
  <c r="M394" i="3"/>
  <c r="L394" i="3"/>
  <c r="N394" i="3" s="1"/>
  <c r="J394" i="3"/>
  <c r="I394" i="3"/>
  <c r="K394" i="3" s="1"/>
  <c r="G394" i="3"/>
  <c r="F394" i="3"/>
  <c r="H394" i="3" s="1"/>
  <c r="E394" i="3"/>
  <c r="D394" i="3"/>
  <c r="C394" i="3"/>
  <c r="B394" i="3"/>
  <c r="A394" i="3"/>
  <c r="X394" i="3" s="1"/>
  <c r="W393" i="3"/>
  <c r="V393" i="3"/>
  <c r="U393" i="3"/>
  <c r="S393" i="3"/>
  <c r="R393" i="3"/>
  <c r="T393" i="3" s="1"/>
  <c r="Q393" i="3"/>
  <c r="P393" i="3"/>
  <c r="O393" i="3"/>
  <c r="N393" i="3"/>
  <c r="M393" i="3"/>
  <c r="L393" i="3"/>
  <c r="J393" i="3"/>
  <c r="I393" i="3"/>
  <c r="K393" i="3" s="1"/>
  <c r="G393" i="3"/>
  <c r="F393" i="3"/>
  <c r="H393" i="3" s="1"/>
  <c r="E393" i="3"/>
  <c r="D393" i="3"/>
  <c r="C393" i="3"/>
  <c r="B393" i="3"/>
  <c r="A393" i="3"/>
  <c r="Z392" i="3"/>
  <c r="Y392" i="3"/>
  <c r="V392" i="3"/>
  <c r="U392" i="3"/>
  <c r="W392" i="3" s="1"/>
  <c r="T392" i="3"/>
  <c r="S392" i="3"/>
  <c r="R392" i="3"/>
  <c r="Q392" i="3"/>
  <c r="P392" i="3"/>
  <c r="O392" i="3"/>
  <c r="M392" i="3"/>
  <c r="L392" i="3"/>
  <c r="N392" i="3" s="1"/>
  <c r="J392" i="3"/>
  <c r="I392" i="3"/>
  <c r="K392" i="3" s="1"/>
  <c r="G392" i="3"/>
  <c r="F392" i="3"/>
  <c r="H392" i="3" s="1"/>
  <c r="E392" i="3"/>
  <c r="D392" i="3"/>
  <c r="C392" i="3"/>
  <c r="B392" i="3"/>
  <c r="A392" i="3"/>
  <c r="X392" i="3" s="1"/>
  <c r="AA391" i="3"/>
  <c r="W391" i="3"/>
  <c r="V391" i="3"/>
  <c r="U391" i="3"/>
  <c r="S391" i="3"/>
  <c r="R391" i="3"/>
  <c r="T391" i="3" s="1"/>
  <c r="Q391" i="3"/>
  <c r="P391" i="3"/>
  <c r="O391" i="3"/>
  <c r="N391" i="3"/>
  <c r="M391" i="3"/>
  <c r="L391" i="3"/>
  <c r="J391" i="3"/>
  <c r="I391" i="3"/>
  <c r="K391" i="3" s="1"/>
  <c r="G391" i="3"/>
  <c r="F391" i="3"/>
  <c r="H391" i="3" s="1"/>
  <c r="E391" i="3"/>
  <c r="D391" i="3"/>
  <c r="C391" i="3"/>
  <c r="B391" i="3"/>
  <c r="A391" i="3"/>
  <c r="AB391" i="3" s="1"/>
  <c r="Z390" i="3"/>
  <c r="Y390" i="3"/>
  <c r="V390" i="3"/>
  <c r="U390" i="3"/>
  <c r="W390" i="3" s="1"/>
  <c r="T390" i="3"/>
  <c r="S390" i="3"/>
  <c r="R390" i="3"/>
  <c r="Q390" i="3"/>
  <c r="P390" i="3"/>
  <c r="O390" i="3"/>
  <c r="M390" i="3"/>
  <c r="L390" i="3"/>
  <c r="N390" i="3" s="1"/>
  <c r="J390" i="3"/>
  <c r="I390" i="3"/>
  <c r="K390" i="3" s="1"/>
  <c r="G390" i="3"/>
  <c r="F390" i="3"/>
  <c r="H390" i="3" s="1"/>
  <c r="E390" i="3"/>
  <c r="D390" i="3"/>
  <c r="C390" i="3"/>
  <c r="B390" i="3"/>
  <c r="A390" i="3"/>
  <c r="X390" i="3" s="1"/>
  <c r="AA389" i="3"/>
  <c r="W389" i="3"/>
  <c r="V389" i="3"/>
  <c r="U389" i="3"/>
  <c r="S389" i="3"/>
  <c r="R389" i="3"/>
  <c r="T389" i="3" s="1"/>
  <c r="Q389" i="3"/>
  <c r="P389" i="3"/>
  <c r="O389" i="3"/>
  <c r="N389" i="3"/>
  <c r="M389" i="3"/>
  <c r="L389" i="3"/>
  <c r="J389" i="3"/>
  <c r="I389" i="3"/>
  <c r="K389" i="3" s="1"/>
  <c r="G389" i="3"/>
  <c r="F389" i="3"/>
  <c r="H389" i="3" s="1"/>
  <c r="E389" i="3"/>
  <c r="D389" i="3"/>
  <c r="C389" i="3"/>
  <c r="B389" i="3"/>
  <c r="A389" i="3"/>
  <c r="Z388" i="3"/>
  <c r="V388" i="3"/>
  <c r="U388" i="3"/>
  <c r="W388" i="3" s="1"/>
  <c r="T388" i="3"/>
  <c r="S388" i="3"/>
  <c r="R388" i="3"/>
  <c r="Q388" i="3"/>
  <c r="P388" i="3"/>
  <c r="O388" i="3"/>
  <c r="M388" i="3"/>
  <c r="L388" i="3"/>
  <c r="N388" i="3" s="1"/>
  <c r="J388" i="3"/>
  <c r="I388" i="3"/>
  <c r="K388" i="3" s="1"/>
  <c r="H388" i="3"/>
  <c r="G388" i="3"/>
  <c r="F388" i="3"/>
  <c r="E388" i="3"/>
  <c r="D388" i="3"/>
  <c r="C388" i="3"/>
  <c r="B388" i="3"/>
  <c r="A388" i="3"/>
  <c r="V387" i="3"/>
  <c r="U387" i="3"/>
  <c r="W387" i="3" s="1"/>
  <c r="T387" i="3"/>
  <c r="S387" i="3"/>
  <c r="R387" i="3"/>
  <c r="Q387" i="3"/>
  <c r="P387" i="3"/>
  <c r="O387" i="3"/>
  <c r="M387" i="3"/>
  <c r="L387" i="3"/>
  <c r="N387" i="3" s="1"/>
  <c r="J387" i="3"/>
  <c r="I387" i="3"/>
  <c r="K387" i="3" s="1"/>
  <c r="H387" i="3"/>
  <c r="G387" i="3"/>
  <c r="F387" i="3"/>
  <c r="E387" i="3"/>
  <c r="D387" i="3"/>
  <c r="C387" i="3"/>
  <c r="B387" i="3"/>
  <c r="A387" i="3"/>
  <c r="X386" i="3"/>
  <c r="V386" i="3"/>
  <c r="U386" i="3"/>
  <c r="W386" i="3" s="1"/>
  <c r="T386" i="3"/>
  <c r="S386" i="3"/>
  <c r="R386" i="3"/>
  <c r="Q386" i="3"/>
  <c r="P386" i="3"/>
  <c r="O386" i="3"/>
  <c r="M386" i="3"/>
  <c r="L386" i="3"/>
  <c r="N386" i="3" s="1"/>
  <c r="J386" i="3"/>
  <c r="I386" i="3"/>
  <c r="K386" i="3" s="1"/>
  <c r="H386" i="3"/>
  <c r="G386" i="3"/>
  <c r="F386" i="3"/>
  <c r="E386" i="3"/>
  <c r="D386" i="3"/>
  <c r="C386" i="3"/>
  <c r="B386" i="3"/>
  <c r="A386" i="3"/>
  <c r="AB385" i="3"/>
  <c r="V385" i="3"/>
  <c r="U385" i="3"/>
  <c r="W385" i="3" s="1"/>
  <c r="T385" i="3"/>
  <c r="S385" i="3"/>
  <c r="R385" i="3"/>
  <c r="Q385" i="3"/>
  <c r="P385" i="3"/>
  <c r="O385" i="3"/>
  <c r="M385" i="3"/>
  <c r="L385" i="3"/>
  <c r="N385" i="3" s="1"/>
  <c r="J385" i="3"/>
  <c r="I385" i="3"/>
  <c r="K385" i="3" s="1"/>
  <c r="H385" i="3"/>
  <c r="G385" i="3"/>
  <c r="F385" i="3"/>
  <c r="E385" i="3"/>
  <c r="D385" i="3"/>
  <c r="C385" i="3"/>
  <c r="B385" i="3"/>
  <c r="A385" i="3"/>
  <c r="Y384" i="3"/>
  <c r="V384" i="3"/>
  <c r="U384" i="3"/>
  <c r="W384" i="3" s="1"/>
  <c r="T384" i="3"/>
  <c r="S384" i="3"/>
  <c r="R384" i="3"/>
  <c r="Q384" i="3"/>
  <c r="P384" i="3"/>
  <c r="O384" i="3"/>
  <c r="M384" i="3"/>
  <c r="L384" i="3"/>
  <c r="N384" i="3" s="1"/>
  <c r="J384" i="3"/>
  <c r="I384" i="3"/>
  <c r="K384" i="3" s="1"/>
  <c r="H384" i="3"/>
  <c r="G384" i="3"/>
  <c r="F384" i="3"/>
  <c r="E384" i="3"/>
  <c r="D384" i="3"/>
  <c r="C384" i="3"/>
  <c r="B384" i="3"/>
  <c r="A384" i="3"/>
  <c r="AB384" i="3" s="1"/>
  <c r="X383" i="3"/>
  <c r="V383" i="3"/>
  <c r="U383" i="3"/>
  <c r="W383" i="3" s="1"/>
  <c r="T383" i="3"/>
  <c r="S383" i="3"/>
  <c r="R383" i="3"/>
  <c r="Q383" i="3"/>
  <c r="P383" i="3"/>
  <c r="O383" i="3"/>
  <c r="M383" i="3"/>
  <c r="L383" i="3"/>
  <c r="N383" i="3" s="1"/>
  <c r="J383" i="3"/>
  <c r="I383" i="3"/>
  <c r="K383" i="3" s="1"/>
  <c r="H383" i="3"/>
  <c r="G383" i="3"/>
  <c r="F383" i="3"/>
  <c r="E383" i="3"/>
  <c r="D383" i="3"/>
  <c r="C383" i="3"/>
  <c r="B383" i="3"/>
  <c r="A383" i="3"/>
  <c r="AB383" i="3" s="1"/>
  <c r="AB382" i="3"/>
  <c r="Y382" i="3"/>
  <c r="V382" i="3"/>
  <c r="U382" i="3"/>
  <c r="W382" i="3" s="1"/>
  <c r="T382" i="3"/>
  <c r="S382" i="3"/>
  <c r="R382" i="3"/>
  <c r="Q382" i="3"/>
  <c r="P382" i="3"/>
  <c r="O382" i="3"/>
  <c r="M382" i="3"/>
  <c r="L382" i="3"/>
  <c r="N382" i="3" s="1"/>
  <c r="J382" i="3"/>
  <c r="I382" i="3"/>
  <c r="K382" i="3" s="1"/>
  <c r="H382" i="3"/>
  <c r="G382" i="3"/>
  <c r="F382" i="3"/>
  <c r="E382" i="3"/>
  <c r="D382" i="3"/>
  <c r="C382" i="3"/>
  <c r="B382" i="3"/>
  <c r="A382" i="3"/>
  <c r="X382" i="3" s="1"/>
  <c r="AB381" i="3"/>
  <c r="Y381" i="3"/>
  <c r="X381" i="3"/>
  <c r="V381" i="3"/>
  <c r="U381" i="3"/>
  <c r="W381" i="3" s="1"/>
  <c r="T381" i="3"/>
  <c r="S381" i="3"/>
  <c r="R381" i="3"/>
  <c r="Q381" i="3"/>
  <c r="P381" i="3"/>
  <c r="O381" i="3"/>
  <c r="M381" i="3"/>
  <c r="L381" i="3"/>
  <c r="N381" i="3" s="1"/>
  <c r="J381" i="3"/>
  <c r="I381" i="3"/>
  <c r="K381" i="3" s="1"/>
  <c r="H381" i="3"/>
  <c r="G381" i="3"/>
  <c r="F381" i="3"/>
  <c r="E381" i="3"/>
  <c r="D381" i="3"/>
  <c r="C381" i="3"/>
  <c r="B381" i="3"/>
  <c r="A381" i="3"/>
  <c r="AB380" i="3"/>
  <c r="Y380" i="3"/>
  <c r="X380" i="3"/>
  <c r="V380" i="3"/>
  <c r="U380" i="3"/>
  <c r="W380" i="3" s="1"/>
  <c r="T380" i="3"/>
  <c r="S380" i="3"/>
  <c r="R380" i="3"/>
  <c r="Q380" i="3"/>
  <c r="P380" i="3"/>
  <c r="O380" i="3"/>
  <c r="M380" i="3"/>
  <c r="L380" i="3"/>
  <c r="N380" i="3" s="1"/>
  <c r="J380" i="3"/>
  <c r="I380" i="3"/>
  <c r="K380" i="3" s="1"/>
  <c r="H380" i="3"/>
  <c r="G380" i="3"/>
  <c r="F380" i="3"/>
  <c r="E380" i="3"/>
  <c r="D380" i="3"/>
  <c r="C380" i="3"/>
  <c r="B380" i="3"/>
  <c r="A380" i="3"/>
  <c r="V379" i="3"/>
  <c r="U379" i="3"/>
  <c r="W379" i="3" s="1"/>
  <c r="T379" i="3"/>
  <c r="S379" i="3"/>
  <c r="R379" i="3"/>
  <c r="Q379" i="3"/>
  <c r="P379" i="3"/>
  <c r="O379" i="3"/>
  <c r="M379" i="3"/>
  <c r="L379" i="3"/>
  <c r="N379" i="3" s="1"/>
  <c r="J379" i="3"/>
  <c r="I379" i="3"/>
  <c r="K379" i="3" s="1"/>
  <c r="H379" i="3"/>
  <c r="G379" i="3"/>
  <c r="F379" i="3"/>
  <c r="E379" i="3"/>
  <c r="D379" i="3"/>
  <c r="C379" i="3"/>
  <c r="B379" i="3"/>
  <c r="A379" i="3"/>
  <c r="X378" i="3"/>
  <c r="V378" i="3"/>
  <c r="U378" i="3"/>
  <c r="W378" i="3" s="1"/>
  <c r="T378" i="3"/>
  <c r="S378" i="3"/>
  <c r="R378" i="3"/>
  <c r="Q378" i="3"/>
  <c r="P378" i="3"/>
  <c r="O378" i="3"/>
  <c r="M378" i="3"/>
  <c r="L378" i="3"/>
  <c r="N378" i="3" s="1"/>
  <c r="J378" i="3"/>
  <c r="I378" i="3"/>
  <c r="K378" i="3" s="1"/>
  <c r="H378" i="3"/>
  <c r="G378" i="3"/>
  <c r="F378" i="3"/>
  <c r="E378" i="3"/>
  <c r="D378" i="3"/>
  <c r="C378" i="3"/>
  <c r="B378" i="3"/>
  <c r="A378" i="3"/>
  <c r="AB377" i="3"/>
  <c r="V377" i="3"/>
  <c r="U377" i="3"/>
  <c r="W377" i="3" s="1"/>
  <c r="T377" i="3"/>
  <c r="S377" i="3"/>
  <c r="R377" i="3"/>
  <c r="Q377" i="3"/>
  <c r="P377" i="3"/>
  <c r="O377" i="3"/>
  <c r="M377" i="3"/>
  <c r="L377" i="3"/>
  <c r="N377" i="3" s="1"/>
  <c r="J377" i="3"/>
  <c r="I377" i="3"/>
  <c r="K377" i="3" s="1"/>
  <c r="H377" i="3"/>
  <c r="G377" i="3"/>
  <c r="F377" i="3"/>
  <c r="E377" i="3"/>
  <c r="D377" i="3"/>
  <c r="C377" i="3"/>
  <c r="B377" i="3"/>
  <c r="A377" i="3"/>
  <c r="Y376" i="3"/>
  <c r="V376" i="3"/>
  <c r="U376" i="3"/>
  <c r="W376" i="3" s="1"/>
  <c r="T376" i="3"/>
  <c r="S376" i="3"/>
  <c r="R376" i="3"/>
  <c r="Q376" i="3"/>
  <c r="P376" i="3"/>
  <c r="O376" i="3"/>
  <c r="M376" i="3"/>
  <c r="L376" i="3"/>
  <c r="N376" i="3" s="1"/>
  <c r="J376" i="3"/>
  <c r="I376" i="3"/>
  <c r="K376" i="3" s="1"/>
  <c r="H376" i="3"/>
  <c r="G376" i="3"/>
  <c r="F376" i="3"/>
  <c r="E376" i="3"/>
  <c r="D376" i="3"/>
  <c r="C376" i="3"/>
  <c r="B376" i="3"/>
  <c r="A376" i="3"/>
  <c r="AB376" i="3" s="1"/>
  <c r="X375" i="3"/>
  <c r="V375" i="3"/>
  <c r="U375" i="3"/>
  <c r="W375" i="3" s="1"/>
  <c r="T375" i="3"/>
  <c r="S375" i="3"/>
  <c r="R375" i="3"/>
  <c r="Q375" i="3"/>
  <c r="P375" i="3"/>
  <c r="O375" i="3"/>
  <c r="M375" i="3"/>
  <c r="L375" i="3"/>
  <c r="N375" i="3" s="1"/>
  <c r="J375" i="3"/>
  <c r="I375" i="3"/>
  <c r="K375" i="3" s="1"/>
  <c r="H375" i="3"/>
  <c r="G375" i="3"/>
  <c r="F375" i="3"/>
  <c r="E375" i="3"/>
  <c r="D375" i="3"/>
  <c r="C375" i="3"/>
  <c r="B375" i="3"/>
  <c r="A375" i="3"/>
  <c r="AB375" i="3" s="1"/>
  <c r="AB374" i="3"/>
  <c r="Y374" i="3"/>
  <c r="V374" i="3"/>
  <c r="U374" i="3"/>
  <c r="W374" i="3" s="1"/>
  <c r="T374" i="3"/>
  <c r="S374" i="3"/>
  <c r="R374" i="3"/>
  <c r="Q374" i="3"/>
  <c r="P374" i="3"/>
  <c r="O374" i="3"/>
  <c r="M374" i="3"/>
  <c r="L374" i="3"/>
  <c r="N374" i="3" s="1"/>
  <c r="J374" i="3"/>
  <c r="I374" i="3"/>
  <c r="K374" i="3" s="1"/>
  <c r="H374" i="3"/>
  <c r="G374" i="3"/>
  <c r="F374" i="3"/>
  <c r="E374" i="3"/>
  <c r="D374" i="3"/>
  <c r="C374" i="3"/>
  <c r="B374" i="3"/>
  <c r="A374" i="3"/>
  <c r="X374" i="3" s="1"/>
  <c r="AB373" i="3"/>
  <c r="Y373" i="3"/>
  <c r="X373" i="3"/>
  <c r="V373" i="3"/>
  <c r="U373" i="3"/>
  <c r="W373" i="3" s="1"/>
  <c r="T373" i="3"/>
  <c r="S373" i="3"/>
  <c r="R373" i="3"/>
  <c r="Q373" i="3"/>
  <c r="P373" i="3"/>
  <c r="O373" i="3"/>
  <c r="M373" i="3"/>
  <c r="L373" i="3"/>
  <c r="N373" i="3" s="1"/>
  <c r="J373" i="3"/>
  <c r="I373" i="3"/>
  <c r="K373" i="3" s="1"/>
  <c r="H373" i="3"/>
  <c r="G373" i="3"/>
  <c r="F373" i="3"/>
  <c r="E373" i="3"/>
  <c r="D373" i="3"/>
  <c r="C373" i="3"/>
  <c r="B373" i="3"/>
  <c r="A373" i="3"/>
  <c r="AB372" i="3"/>
  <c r="Y372" i="3"/>
  <c r="X372" i="3"/>
  <c r="V372" i="3"/>
  <c r="U372" i="3"/>
  <c r="W372" i="3" s="1"/>
  <c r="T372" i="3"/>
  <c r="S372" i="3"/>
  <c r="R372" i="3"/>
  <c r="Q372" i="3"/>
  <c r="P372" i="3"/>
  <c r="O372" i="3"/>
  <c r="M372" i="3"/>
  <c r="L372" i="3"/>
  <c r="N372" i="3" s="1"/>
  <c r="J372" i="3"/>
  <c r="I372" i="3"/>
  <c r="K372" i="3" s="1"/>
  <c r="H372" i="3"/>
  <c r="G372" i="3"/>
  <c r="F372" i="3"/>
  <c r="E372" i="3"/>
  <c r="D372" i="3"/>
  <c r="C372" i="3"/>
  <c r="B372" i="3"/>
  <c r="A372" i="3"/>
  <c r="V371" i="3"/>
  <c r="U371" i="3"/>
  <c r="W371" i="3" s="1"/>
  <c r="T371" i="3"/>
  <c r="S371" i="3"/>
  <c r="R371" i="3"/>
  <c r="Q371" i="3"/>
  <c r="P371" i="3"/>
  <c r="O371" i="3"/>
  <c r="M371" i="3"/>
  <c r="L371" i="3"/>
  <c r="N371" i="3" s="1"/>
  <c r="J371" i="3"/>
  <c r="I371" i="3"/>
  <c r="K371" i="3" s="1"/>
  <c r="H371" i="3"/>
  <c r="G371" i="3"/>
  <c r="F371" i="3"/>
  <c r="E371" i="3"/>
  <c r="D371" i="3"/>
  <c r="C371" i="3"/>
  <c r="B371" i="3"/>
  <c r="A371" i="3"/>
  <c r="V370" i="3"/>
  <c r="U370" i="3"/>
  <c r="W370" i="3" s="1"/>
  <c r="T370" i="3"/>
  <c r="S370" i="3"/>
  <c r="R370" i="3"/>
  <c r="Q370" i="3"/>
  <c r="P370" i="3"/>
  <c r="O370" i="3"/>
  <c r="M370" i="3"/>
  <c r="L370" i="3"/>
  <c r="N370" i="3" s="1"/>
  <c r="J370" i="3"/>
  <c r="I370" i="3"/>
  <c r="K370" i="3" s="1"/>
  <c r="H370" i="3"/>
  <c r="G370" i="3"/>
  <c r="F370" i="3"/>
  <c r="E370" i="3"/>
  <c r="D370" i="3"/>
  <c r="C370" i="3"/>
  <c r="B370" i="3"/>
  <c r="A370" i="3"/>
  <c r="AB369" i="3"/>
  <c r="V369" i="3"/>
  <c r="U369" i="3"/>
  <c r="W369" i="3" s="1"/>
  <c r="T369" i="3"/>
  <c r="S369" i="3"/>
  <c r="R369" i="3"/>
  <c r="Q369" i="3"/>
  <c r="P369" i="3"/>
  <c r="O369" i="3"/>
  <c r="M369" i="3"/>
  <c r="L369" i="3"/>
  <c r="N369" i="3" s="1"/>
  <c r="J369" i="3"/>
  <c r="I369" i="3"/>
  <c r="K369" i="3" s="1"/>
  <c r="H369" i="3"/>
  <c r="G369" i="3"/>
  <c r="F369" i="3"/>
  <c r="E369" i="3"/>
  <c r="D369" i="3"/>
  <c r="C369" i="3"/>
  <c r="B369" i="3"/>
  <c r="A369" i="3"/>
  <c r="Y368" i="3"/>
  <c r="V368" i="3"/>
  <c r="U368" i="3"/>
  <c r="W368" i="3" s="1"/>
  <c r="T368" i="3"/>
  <c r="S368" i="3"/>
  <c r="R368" i="3"/>
  <c r="Q368" i="3"/>
  <c r="P368" i="3"/>
  <c r="O368" i="3"/>
  <c r="M368" i="3"/>
  <c r="L368" i="3"/>
  <c r="N368" i="3" s="1"/>
  <c r="J368" i="3"/>
  <c r="I368" i="3"/>
  <c r="K368" i="3" s="1"/>
  <c r="H368" i="3"/>
  <c r="G368" i="3"/>
  <c r="F368" i="3"/>
  <c r="E368" i="3"/>
  <c r="D368" i="3"/>
  <c r="C368" i="3"/>
  <c r="B368" i="3"/>
  <c r="A368" i="3"/>
  <c r="AB368" i="3" s="1"/>
  <c r="X367" i="3"/>
  <c r="V367" i="3"/>
  <c r="U367" i="3"/>
  <c r="W367" i="3" s="1"/>
  <c r="T367" i="3"/>
  <c r="S367" i="3"/>
  <c r="R367" i="3"/>
  <c r="Q367" i="3"/>
  <c r="P367" i="3"/>
  <c r="O367" i="3"/>
  <c r="M367" i="3"/>
  <c r="L367" i="3"/>
  <c r="N367" i="3" s="1"/>
  <c r="J367" i="3"/>
  <c r="I367" i="3"/>
  <c r="K367" i="3" s="1"/>
  <c r="H367" i="3"/>
  <c r="G367" i="3"/>
  <c r="F367" i="3"/>
  <c r="E367" i="3"/>
  <c r="D367" i="3"/>
  <c r="C367" i="3"/>
  <c r="B367" i="3"/>
  <c r="A367" i="3"/>
  <c r="AB367" i="3" s="1"/>
  <c r="AB366" i="3"/>
  <c r="Y366" i="3"/>
  <c r="V366" i="3"/>
  <c r="U366" i="3"/>
  <c r="W366" i="3" s="1"/>
  <c r="T366" i="3"/>
  <c r="S366" i="3"/>
  <c r="R366" i="3"/>
  <c r="Q366" i="3"/>
  <c r="P366" i="3"/>
  <c r="O366" i="3"/>
  <c r="M366" i="3"/>
  <c r="L366" i="3"/>
  <c r="N366" i="3" s="1"/>
  <c r="J366" i="3"/>
  <c r="I366" i="3"/>
  <c r="K366" i="3" s="1"/>
  <c r="H366" i="3"/>
  <c r="G366" i="3"/>
  <c r="F366" i="3"/>
  <c r="E366" i="3"/>
  <c r="D366" i="3"/>
  <c r="C366" i="3"/>
  <c r="B366" i="3"/>
  <c r="A366" i="3"/>
  <c r="X366" i="3" s="1"/>
  <c r="AB365" i="3"/>
  <c r="Y365" i="3"/>
  <c r="X365" i="3"/>
  <c r="V365" i="3"/>
  <c r="U365" i="3"/>
  <c r="W365" i="3" s="1"/>
  <c r="T365" i="3"/>
  <c r="S365" i="3"/>
  <c r="R365" i="3"/>
  <c r="Q365" i="3"/>
  <c r="P365" i="3"/>
  <c r="O365" i="3"/>
  <c r="M365" i="3"/>
  <c r="L365" i="3"/>
  <c r="N365" i="3" s="1"/>
  <c r="J365" i="3"/>
  <c r="I365" i="3"/>
  <c r="K365" i="3" s="1"/>
  <c r="H365" i="3"/>
  <c r="G365" i="3"/>
  <c r="F365" i="3"/>
  <c r="E365" i="3"/>
  <c r="D365" i="3"/>
  <c r="C365" i="3"/>
  <c r="B365" i="3"/>
  <c r="A365" i="3"/>
  <c r="AB364" i="3"/>
  <c r="Y364" i="3"/>
  <c r="X364" i="3"/>
  <c r="V364" i="3"/>
  <c r="U364" i="3"/>
  <c r="W364" i="3" s="1"/>
  <c r="T364" i="3"/>
  <c r="S364" i="3"/>
  <c r="R364" i="3"/>
  <c r="Q364" i="3"/>
  <c r="P364" i="3"/>
  <c r="O364" i="3"/>
  <c r="M364" i="3"/>
  <c r="L364" i="3"/>
  <c r="N364" i="3" s="1"/>
  <c r="J364" i="3"/>
  <c r="I364" i="3"/>
  <c r="K364" i="3" s="1"/>
  <c r="H364" i="3"/>
  <c r="G364" i="3"/>
  <c r="F364" i="3"/>
  <c r="E364" i="3"/>
  <c r="D364" i="3"/>
  <c r="C364" i="3"/>
  <c r="B364" i="3"/>
  <c r="A364" i="3"/>
  <c r="V363" i="3"/>
  <c r="U363" i="3"/>
  <c r="W363" i="3" s="1"/>
  <c r="T363" i="3"/>
  <c r="S363" i="3"/>
  <c r="R363" i="3"/>
  <c r="Q363" i="3"/>
  <c r="P363" i="3"/>
  <c r="O363" i="3"/>
  <c r="M363" i="3"/>
  <c r="L363" i="3"/>
  <c r="N363" i="3" s="1"/>
  <c r="J363" i="3"/>
  <c r="I363" i="3"/>
  <c r="K363" i="3" s="1"/>
  <c r="H363" i="3"/>
  <c r="G363" i="3"/>
  <c r="F363" i="3"/>
  <c r="E363" i="3"/>
  <c r="D363" i="3"/>
  <c r="C363" i="3"/>
  <c r="B363" i="3"/>
  <c r="A363" i="3"/>
  <c r="X362" i="3"/>
  <c r="V362" i="3"/>
  <c r="U362" i="3"/>
  <c r="W362" i="3" s="1"/>
  <c r="T362" i="3"/>
  <c r="S362" i="3"/>
  <c r="R362" i="3"/>
  <c r="Q362" i="3"/>
  <c r="P362" i="3"/>
  <c r="O362" i="3"/>
  <c r="M362" i="3"/>
  <c r="L362" i="3"/>
  <c r="N362" i="3" s="1"/>
  <c r="J362" i="3"/>
  <c r="I362" i="3"/>
  <c r="K362" i="3" s="1"/>
  <c r="H362" i="3"/>
  <c r="G362" i="3"/>
  <c r="F362" i="3"/>
  <c r="E362" i="3"/>
  <c r="D362" i="3"/>
  <c r="C362" i="3"/>
  <c r="B362" i="3"/>
  <c r="A362" i="3"/>
  <c r="AB361" i="3"/>
  <c r="V361" i="3"/>
  <c r="U361" i="3"/>
  <c r="W361" i="3" s="1"/>
  <c r="T361" i="3"/>
  <c r="S361" i="3"/>
  <c r="R361" i="3"/>
  <c r="Q361" i="3"/>
  <c r="P361" i="3"/>
  <c r="O361" i="3"/>
  <c r="M361" i="3"/>
  <c r="L361" i="3"/>
  <c r="N361" i="3" s="1"/>
  <c r="J361" i="3"/>
  <c r="I361" i="3"/>
  <c r="K361" i="3" s="1"/>
  <c r="H361" i="3"/>
  <c r="G361" i="3"/>
  <c r="F361" i="3"/>
  <c r="E361" i="3"/>
  <c r="D361" i="3"/>
  <c r="C361" i="3"/>
  <c r="B361" i="3"/>
  <c r="A361" i="3"/>
  <c r="Y360" i="3"/>
  <c r="V360" i="3"/>
  <c r="U360" i="3"/>
  <c r="W360" i="3" s="1"/>
  <c r="T360" i="3"/>
  <c r="S360" i="3"/>
  <c r="R360" i="3"/>
  <c r="Q360" i="3"/>
  <c r="P360" i="3"/>
  <c r="O360" i="3"/>
  <c r="M360" i="3"/>
  <c r="L360" i="3"/>
  <c r="N360" i="3" s="1"/>
  <c r="J360" i="3"/>
  <c r="I360" i="3"/>
  <c r="K360" i="3" s="1"/>
  <c r="H360" i="3"/>
  <c r="G360" i="3"/>
  <c r="F360" i="3"/>
  <c r="E360" i="3"/>
  <c r="D360" i="3"/>
  <c r="C360" i="3"/>
  <c r="B360" i="3"/>
  <c r="A360" i="3"/>
  <c r="AB360" i="3" s="1"/>
  <c r="X359" i="3"/>
  <c r="V359" i="3"/>
  <c r="U359" i="3"/>
  <c r="W359" i="3" s="1"/>
  <c r="T359" i="3"/>
  <c r="S359" i="3"/>
  <c r="R359" i="3"/>
  <c r="Q359" i="3"/>
  <c r="P359" i="3"/>
  <c r="O359" i="3"/>
  <c r="M359" i="3"/>
  <c r="L359" i="3"/>
  <c r="N359" i="3" s="1"/>
  <c r="J359" i="3"/>
  <c r="I359" i="3"/>
  <c r="K359" i="3" s="1"/>
  <c r="H359" i="3"/>
  <c r="G359" i="3"/>
  <c r="F359" i="3"/>
  <c r="E359" i="3"/>
  <c r="D359" i="3"/>
  <c r="C359" i="3"/>
  <c r="B359" i="3"/>
  <c r="A359" i="3"/>
  <c r="AB359" i="3" s="1"/>
  <c r="AB358" i="3"/>
  <c r="Y358" i="3"/>
  <c r="V358" i="3"/>
  <c r="U358" i="3"/>
  <c r="W358" i="3" s="1"/>
  <c r="T358" i="3"/>
  <c r="S358" i="3"/>
  <c r="R358" i="3"/>
  <c r="Q358" i="3"/>
  <c r="P358" i="3"/>
  <c r="O358" i="3"/>
  <c r="M358" i="3"/>
  <c r="L358" i="3"/>
  <c r="N358" i="3" s="1"/>
  <c r="J358" i="3"/>
  <c r="I358" i="3"/>
  <c r="K358" i="3" s="1"/>
  <c r="H358" i="3"/>
  <c r="G358" i="3"/>
  <c r="F358" i="3"/>
  <c r="E358" i="3"/>
  <c r="D358" i="3"/>
  <c r="C358" i="3"/>
  <c r="B358" i="3"/>
  <c r="A358" i="3"/>
  <c r="X358" i="3" s="1"/>
  <c r="AB357" i="3"/>
  <c r="Y357" i="3"/>
  <c r="X357" i="3"/>
  <c r="V357" i="3"/>
  <c r="U357" i="3"/>
  <c r="W357" i="3" s="1"/>
  <c r="T357" i="3"/>
  <c r="S357" i="3"/>
  <c r="R357" i="3"/>
  <c r="Q357" i="3"/>
  <c r="P357" i="3"/>
  <c r="O357" i="3"/>
  <c r="M357" i="3"/>
  <c r="L357" i="3"/>
  <c r="N357" i="3" s="1"/>
  <c r="J357" i="3"/>
  <c r="I357" i="3"/>
  <c r="K357" i="3" s="1"/>
  <c r="H357" i="3"/>
  <c r="G357" i="3"/>
  <c r="F357" i="3"/>
  <c r="E357" i="3"/>
  <c r="D357" i="3"/>
  <c r="C357" i="3"/>
  <c r="B357" i="3"/>
  <c r="A357" i="3"/>
  <c r="AB356" i="3"/>
  <c r="Y356" i="3"/>
  <c r="X356" i="3"/>
  <c r="V356" i="3"/>
  <c r="U356" i="3"/>
  <c r="W356" i="3" s="1"/>
  <c r="T356" i="3"/>
  <c r="S356" i="3"/>
  <c r="R356" i="3"/>
  <c r="Q356" i="3"/>
  <c r="P356" i="3"/>
  <c r="O356" i="3"/>
  <c r="M356" i="3"/>
  <c r="L356" i="3"/>
  <c r="N356" i="3" s="1"/>
  <c r="J356" i="3"/>
  <c r="I356" i="3"/>
  <c r="K356" i="3" s="1"/>
  <c r="H356" i="3"/>
  <c r="G356" i="3"/>
  <c r="F356" i="3"/>
  <c r="E356" i="3"/>
  <c r="D356" i="3"/>
  <c r="C356" i="3"/>
  <c r="B356" i="3"/>
  <c r="A356" i="3"/>
  <c r="V355" i="3"/>
  <c r="U355" i="3"/>
  <c r="W355" i="3" s="1"/>
  <c r="T355" i="3"/>
  <c r="S355" i="3"/>
  <c r="R355" i="3"/>
  <c r="Q355" i="3"/>
  <c r="P355" i="3"/>
  <c r="O355" i="3"/>
  <c r="M355" i="3"/>
  <c r="L355" i="3"/>
  <c r="N355" i="3" s="1"/>
  <c r="J355" i="3"/>
  <c r="I355" i="3"/>
  <c r="K355" i="3" s="1"/>
  <c r="H355" i="3"/>
  <c r="G355" i="3"/>
  <c r="F355" i="3"/>
  <c r="E355" i="3"/>
  <c r="D355" i="3"/>
  <c r="C355" i="3"/>
  <c r="B355" i="3"/>
  <c r="A355" i="3"/>
  <c r="X354" i="3"/>
  <c r="V354" i="3"/>
  <c r="U354" i="3"/>
  <c r="W354" i="3" s="1"/>
  <c r="T354" i="3"/>
  <c r="S354" i="3"/>
  <c r="R354" i="3"/>
  <c r="Q354" i="3"/>
  <c r="P354" i="3"/>
  <c r="O354" i="3"/>
  <c r="M354" i="3"/>
  <c r="L354" i="3"/>
  <c r="N354" i="3" s="1"/>
  <c r="J354" i="3"/>
  <c r="I354" i="3"/>
  <c r="K354" i="3" s="1"/>
  <c r="H354" i="3"/>
  <c r="G354" i="3"/>
  <c r="F354" i="3"/>
  <c r="E354" i="3"/>
  <c r="D354" i="3"/>
  <c r="C354" i="3"/>
  <c r="B354" i="3"/>
  <c r="A354" i="3"/>
  <c r="AB353" i="3"/>
  <c r="V353" i="3"/>
  <c r="U353" i="3"/>
  <c r="W353" i="3" s="1"/>
  <c r="T353" i="3"/>
  <c r="S353" i="3"/>
  <c r="R353" i="3"/>
  <c r="Q353" i="3"/>
  <c r="P353" i="3"/>
  <c r="O353" i="3"/>
  <c r="M353" i="3"/>
  <c r="L353" i="3"/>
  <c r="N353" i="3" s="1"/>
  <c r="J353" i="3"/>
  <c r="I353" i="3"/>
  <c r="K353" i="3" s="1"/>
  <c r="H353" i="3"/>
  <c r="G353" i="3"/>
  <c r="F353" i="3"/>
  <c r="E353" i="3"/>
  <c r="D353" i="3"/>
  <c r="C353" i="3"/>
  <c r="B353" i="3"/>
  <c r="A353" i="3"/>
  <c r="Y352" i="3"/>
  <c r="V352" i="3"/>
  <c r="U352" i="3"/>
  <c r="W352" i="3" s="1"/>
  <c r="T352" i="3"/>
  <c r="S352" i="3"/>
  <c r="R352" i="3"/>
  <c r="Q352" i="3"/>
  <c r="P352" i="3"/>
  <c r="O352" i="3"/>
  <c r="M352" i="3"/>
  <c r="L352" i="3"/>
  <c r="N352" i="3" s="1"/>
  <c r="J352" i="3"/>
  <c r="I352" i="3"/>
  <c r="K352" i="3" s="1"/>
  <c r="H352" i="3"/>
  <c r="G352" i="3"/>
  <c r="F352" i="3"/>
  <c r="E352" i="3"/>
  <c r="D352" i="3"/>
  <c r="C352" i="3"/>
  <c r="B352" i="3"/>
  <c r="A352" i="3"/>
  <c r="AB352" i="3" s="1"/>
  <c r="X351" i="3"/>
  <c r="V351" i="3"/>
  <c r="U351" i="3"/>
  <c r="W351" i="3" s="1"/>
  <c r="T351" i="3"/>
  <c r="S351" i="3"/>
  <c r="R351" i="3"/>
  <c r="Q351" i="3"/>
  <c r="P351" i="3"/>
  <c r="O351" i="3"/>
  <c r="M351" i="3"/>
  <c r="L351" i="3"/>
  <c r="N351" i="3" s="1"/>
  <c r="J351" i="3"/>
  <c r="I351" i="3"/>
  <c r="K351" i="3" s="1"/>
  <c r="H351" i="3"/>
  <c r="G351" i="3"/>
  <c r="F351" i="3"/>
  <c r="E351" i="3"/>
  <c r="D351" i="3"/>
  <c r="C351" i="3"/>
  <c r="B351" i="3"/>
  <c r="A351" i="3"/>
  <c r="AB351" i="3" s="1"/>
  <c r="AB350" i="3"/>
  <c r="Y350" i="3"/>
  <c r="V350" i="3"/>
  <c r="U350" i="3"/>
  <c r="W350" i="3" s="1"/>
  <c r="T350" i="3"/>
  <c r="S350" i="3"/>
  <c r="R350" i="3"/>
  <c r="Q350" i="3"/>
  <c r="P350" i="3"/>
  <c r="O350" i="3"/>
  <c r="M350" i="3"/>
  <c r="L350" i="3"/>
  <c r="N350" i="3" s="1"/>
  <c r="J350" i="3"/>
  <c r="I350" i="3"/>
  <c r="K350" i="3" s="1"/>
  <c r="H350" i="3"/>
  <c r="G350" i="3"/>
  <c r="F350" i="3"/>
  <c r="E350" i="3"/>
  <c r="D350" i="3"/>
  <c r="C350" i="3"/>
  <c r="B350" i="3"/>
  <c r="A350" i="3"/>
  <c r="X350" i="3" s="1"/>
  <c r="V349" i="3"/>
  <c r="U349" i="3"/>
  <c r="W349" i="3" s="1"/>
  <c r="T349" i="3"/>
  <c r="S349" i="3"/>
  <c r="R349" i="3"/>
  <c r="Q349" i="3"/>
  <c r="P349" i="3"/>
  <c r="O349" i="3"/>
  <c r="M349" i="3"/>
  <c r="L349" i="3"/>
  <c r="N349" i="3" s="1"/>
  <c r="J349" i="3"/>
  <c r="I349" i="3"/>
  <c r="K349" i="3" s="1"/>
  <c r="H349" i="3"/>
  <c r="G349" i="3"/>
  <c r="F349" i="3"/>
  <c r="E349" i="3"/>
  <c r="D349" i="3"/>
  <c r="C349" i="3"/>
  <c r="B349" i="3"/>
  <c r="A349" i="3"/>
  <c r="AB348" i="3"/>
  <c r="Y348" i="3"/>
  <c r="X348" i="3"/>
  <c r="V348" i="3"/>
  <c r="U348" i="3"/>
  <c r="W348" i="3" s="1"/>
  <c r="T348" i="3"/>
  <c r="S348" i="3"/>
  <c r="R348" i="3"/>
  <c r="Q348" i="3"/>
  <c r="P348" i="3"/>
  <c r="O348" i="3"/>
  <c r="M348" i="3"/>
  <c r="L348" i="3"/>
  <c r="N348" i="3" s="1"/>
  <c r="J348" i="3"/>
  <c r="I348" i="3"/>
  <c r="K348" i="3" s="1"/>
  <c r="H348" i="3"/>
  <c r="G348" i="3"/>
  <c r="F348" i="3"/>
  <c r="E348" i="3"/>
  <c r="D348" i="3"/>
  <c r="C348" i="3"/>
  <c r="B348" i="3"/>
  <c r="A348" i="3"/>
  <c r="AB347" i="3"/>
  <c r="Y347" i="3"/>
  <c r="X347" i="3"/>
  <c r="V347" i="3"/>
  <c r="U347" i="3"/>
  <c r="W347" i="3" s="1"/>
  <c r="T347" i="3"/>
  <c r="S347" i="3"/>
  <c r="R347" i="3"/>
  <c r="Q347" i="3"/>
  <c r="P347" i="3"/>
  <c r="O347" i="3"/>
  <c r="N347" i="3"/>
  <c r="M347" i="3"/>
  <c r="L347" i="3"/>
  <c r="J347" i="3"/>
  <c r="I347" i="3"/>
  <c r="K347" i="3" s="1"/>
  <c r="H347" i="3"/>
  <c r="G347" i="3"/>
  <c r="F347" i="3"/>
  <c r="E347" i="3"/>
  <c r="D347" i="3"/>
  <c r="C347" i="3"/>
  <c r="B347" i="3"/>
  <c r="A347" i="3"/>
  <c r="AB346" i="3"/>
  <c r="Z346" i="3"/>
  <c r="Y346" i="3"/>
  <c r="X346" i="3"/>
  <c r="V346" i="3"/>
  <c r="U346" i="3"/>
  <c r="W346" i="3" s="1"/>
  <c r="T346" i="3"/>
  <c r="S346" i="3"/>
  <c r="R346" i="3"/>
  <c r="Q346" i="3"/>
  <c r="P346" i="3"/>
  <c r="O346" i="3"/>
  <c r="M346" i="3"/>
  <c r="L346" i="3"/>
  <c r="N346" i="3" s="1"/>
  <c r="J346" i="3"/>
  <c r="I346" i="3"/>
  <c r="K346" i="3" s="1"/>
  <c r="H346" i="3"/>
  <c r="G346" i="3"/>
  <c r="F346" i="3"/>
  <c r="E346" i="3"/>
  <c r="D346" i="3"/>
  <c r="C346" i="3"/>
  <c r="B346" i="3"/>
  <c r="A346" i="3"/>
  <c r="AA346" i="3" s="1"/>
  <c r="AB345" i="3"/>
  <c r="Y345" i="3"/>
  <c r="X345" i="3"/>
  <c r="V345" i="3"/>
  <c r="U345" i="3"/>
  <c r="W345" i="3" s="1"/>
  <c r="T345" i="3"/>
  <c r="S345" i="3"/>
  <c r="R345" i="3"/>
  <c r="Q345" i="3"/>
  <c r="P345" i="3"/>
  <c r="O345" i="3"/>
  <c r="N345" i="3"/>
  <c r="M345" i="3"/>
  <c r="L345" i="3"/>
  <c r="J345" i="3"/>
  <c r="I345" i="3"/>
  <c r="K345" i="3" s="1"/>
  <c r="H345" i="3"/>
  <c r="G345" i="3"/>
  <c r="F345" i="3"/>
  <c r="E345" i="3"/>
  <c r="D345" i="3"/>
  <c r="C345" i="3"/>
  <c r="B345" i="3"/>
  <c r="A345" i="3"/>
  <c r="AB344" i="3"/>
  <c r="Z344" i="3"/>
  <c r="Y344" i="3"/>
  <c r="X344" i="3"/>
  <c r="V344" i="3"/>
  <c r="U344" i="3"/>
  <c r="W344" i="3" s="1"/>
  <c r="T344" i="3"/>
  <c r="S344" i="3"/>
  <c r="R344" i="3"/>
  <c r="Q344" i="3"/>
  <c r="P344" i="3"/>
  <c r="O344" i="3"/>
  <c r="M344" i="3"/>
  <c r="L344" i="3"/>
  <c r="N344" i="3" s="1"/>
  <c r="J344" i="3"/>
  <c r="I344" i="3"/>
  <c r="K344" i="3" s="1"/>
  <c r="H344" i="3"/>
  <c r="G344" i="3"/>
  <c r="F344" i="3"/>
  <c r="E344" i="3"/>
  <c r="D344" i="3"/>
  <c r="C344" i="3"/>
  <c r="B344" i="3"/>
  <c r="A344" i="3"/>
  <c r="AA344" i="3" s="1"/>
  <c r="AB343" i="3"/>
  <c r="Y343" i="3"/>
  <c r="X343" i="3"/>
  <c r="V343" i="3"/>
  <c r="U343" i="3"/>
  <c r="W343" i="3" s="1"/>
  <c r="T343" i="3"/>
  <c r="S343" i="3"/>
  <c r="R343" i="3"/>
  <c r="Q343" i="3"/>
  <c r="P343" i="3"/>
  <c r="O343" i="3"/>
  <c r="N343" i="3"/>
  <c r="M343" i="3"/>
  <c r="L343" i="3"/>
  <c r="J343" i="3"/>
  <c r="I343" i="3"/>
  <c r="K343" i="3" s="1"/>
  <c r="H343" i="3"/>
  <c r="G343" i="3"/>
  <c r="F343" i="3"/>
  <c r="E343" i="3"/>
  <c r="D343" i="3"/>
  <c r="C343" i="3"/>
  <c r="B343" i="3"/>
  <c r="A343" i="3"/>
  <c r="AB342" i="3"/>
  <c r="Z342" i="3"/>
  <c r="Y342" i="3"/>
  <c r="X342" i="3"/>
  <c r="V342" i="3"/>
  <c r="U342" i="3"/>
  <c r="W342" i="3" s="1"/>
  <c r="T342" i="3"/>
  <c r="S342" i="3"/>
  <c r="R342" i="3"/>
  <c r="Q342" i="3"/>
  <c r="P342" i="3"/>
  <c r="O342" i="3"/>
  <c r="M342" i="3"/>
  <c r="L342" i="3"/>
  <c r="N342" i="3" s="1"/>
  <c r="J342" i="3"/>
  <c r="I342" i="3"/>
  <c r="K342" i="3" s="1"/>
  <c r="H342" i="3"/>
  <c r="G342" i="3"/>
  <c r="F342" i="3"/>
  <c r="E342" i="3"/>
  <c r="D342" i="3"/>
  <c r="C342" i="3"/>
  <c r="B342" i="3"/>
  <c r="A342" i="3"/>
  <c r="AA342" i="3" s="1"/>
  <c r="AB341" i="3"/>
  <c r="Y341" i="3"/>
  <c r="X341" i="3"/>
  <c r="V341" i="3"/>
  <c r="U341" i="3"/>
  <c r="W341" i="3" s="1"/>
  <c r="T341" i="3"/>
  <c r="S341" i="3"/>
  <c r="R341" i="3"/>
  <c r="Q341" i="3"/>
  <c r="P341" i="3"/>
  <c r="O341" i="3"/>
  <c r="N341" i="3"/>
  <c r="M341" i="3"/>
  <c r="L341" i="3"/>
  <c r="J341" i="3"/>
  <c r="I341" i="3"/>
  <c r="K341" i="3" s="1"/>
  <c r="H341" i="3"/>
  <c r="G341" i="3"/>
  <c r="F341" i="3"/>
  <c r="E341" i="3"/>
  <c r="D341" i="3"/>
  <c r="C341" i="3"/>
  <c r="B341" i="3"/>
  <c r="A341" i="3"/>
  <c r="AB340" i="3"/>
  <c r="Z340" i="3"/>
  <c r="Y340" i="3"/>
  <c r="X340" i="3"/>
  <c r="V340" i="3"/>
  <c r="U340" i="3"/>
  <c r="W340" i="3" s="1"/>
  <c r="T340" i="3"/>
  <c r="S340" i="3"/>
  <c r="R340" i="3"/>
  <c r="Q340" i="3"/>
  <c r="P340" i="3"/>
  <c r="O340" i="3"/>
  <c r="M340" i="3"/>
  <c r="L340" i="3"/>
  <c r="N340" i="3" s="1"/>
  <c r="J340" i="3"/>
  <c r="I340" i="3"/>
  <c r="K340" i="3" s="1"/>
  <c r="H340" i="3"/>
  <c r="G340" i="3"/>
  <c r="F340" i="3"/>
  <c r="E340" i="3"/>
  <c r="D340" i="3"/>
  <c r="C340" i="3"/>
  <c r="B340" i="3"/>
  <c r="A340" i="3"/>
  <c r="AA340" i="3" s="1"/>
  <c r="W339" i="3"/>
  <c r="V339" i="3"/>
  <c r="U339" i="3"/>
  <c r="T339" i="3"/>
  <c r="S339" i="3"/>
  <c r="R339" i="3"/>
  <c r="P339" i="3"/>
  <c r="O339" i="3"/>
  <c r="Q339" i="3" s="1"/>
  <c r="M339" i="3"/>
  <c r="L339" i="3"/>
  <c r="N339" i="3" s="1"/>
  <c r="J339" i="3"/>
  <c r="I339" i="3"/>
  <c r="K339" i="3" s="1"/>
  <c r="G339" i="3"/>
  <c r="F339" i="3"/>
  <c r="H339" i="3" s="1"/>
  <c r="E339" i="3"/>
  <c r="D339" i="3"/>
  <c r="C339" i="3"/>
  <c r="B339" i="3"/>
  <c r="A339" i="3"/>
  <c r="AB339" i="3" s="1"/>
  <c r="V338" i="3"/>
  <c r="U338" i="3"/>
  <c r="W338" i="3" s="1"/>
  <c r="T338" i="3"/>
  <c r="S338" i="3"/>
  <c r="R338" i="3"/>
  <c r="Q338" i="3"/>
  <c r="P338" i="3"/>
  <c r="O338" i="3"/>
  <c r="M338" i="3"/>
  <c r="L338" i="3"/>
  <c r="N338" i="3" s="1"/>
  <c r="K338" i="3"/>
  <c r="J338" i="3"/>
  <c r="I338" i="3"/>
  <c r="H338" i="3"/>
  <c r="G338" i="3"/>
  <c r="F338" i="3"/>
  <c r="E338" i="3"/>
  <c r="D338" i="3"/>
  <c r="C338" i="3"/>
  <c r="B338" i="3"/>
  <c r="A338" i="3"/>
  <c r="AB338" i="3" s="1"/>
  <c r="V337" i="3"/>
  <c r="U337" i="3"/>
  <c r="W337" i="3" s="1"/>
  <c r="T337" i="3"/>
  <c r="S337" i="3"/>
  <c r="R337" i="3"/>
  <c r="P337" i="3"/>
  <c r="O337" i="3"/>
  <c r="Q337" i="3" s="1"/>
  <c r="M337" i="3"/>
  <c r="L337" i="3"/>
  <c r="N337" i="3" s="1"/>
  <c r="J337" i="3"/>
  <c r="I337" i="3"/>
  <c r="K337" i="3" s="1"/>
  <c r="G337" i="3"/>
  <c r="F337" i="3"/>
  <c r="H337" i="3" s="1"/>
  <c r="E337" i="3"/>
  <c r="D337" i="3"/>
  <c r="C337" i="3"/>
  <c r="B337" i="3"/>
  <c r="A337" i="3"/>
  <c r="Y337" i="3" s="1"/>
  <c r="AB336" i="3"/>
  <c r="Z336" i="3"/>
  <c r="X336" i="3"/>
  <c r="V336" i="3"/>
  <c r="U336" i="3"/>
  <c r="W336" i="3" s="1"/>
  <c r="T336" i="3"/>
  <c r="S336" i="3"/>
  <c r="R336" i="3"/>
  <c r="Q336" i="3"/>
  <c r="P336" i="3"/>
  <c r="O336" i="3"/>
  <c r="M336" i="3"/>
  <c r="L336" i="3"/>
  <c r="N336" i="3" s="1"/>
  <c r="K336" i="3"/>
  <c r="J336" i="3"/>
  <c r="I336" i="3"/>
  <c r="H336" i="3"/>
  <c r="G336" i="3"/>
  <c r="F336" i="3"/>
  <c r="E336" i="3"/>
  <c r="D336" i="3"/>
  <c r="C336" i="3"/>
  <c r="B336" i="3"/>
  <c r="A336" i="3"/>
  <c r="Y336" i="3" s="1"/>
  <c r="AB335" i="3"/>
  <c r="Y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J335" i="3"/>
  <c r="I335" i="3"/>
  <c r="K335" i="3" s="1"/>
  <c r="H335" i="3"/>
  <c r="G335" i="3"/>
  <c r="F335" i="3"/>
  <c r="E335" i="3"/>
  <c r="D335" i="3"/>
  <c r="C335" i="3"/>
  <c r="B335" i="3"/>
  <c r="A335" i="3"/>
  <c r="AA335" i="3" s="1"/>
  <c r="AB334" i="3"/>
  <c r="V334" i="3"/>
  <c r="U334" i="3"/>
  <c r="W334" i="3" s="1"/>
  <c r="T334" i="3"/>
  <c r="S334" i="3"/>
  <c r="R334" i="3"/>
  <c r="Q334" i="3"/>
  <c r="P334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A334" i="3"/>
  <c r="AA334" i="3" s="1"/>
  <c r="AB333" i="3"/>
  <c r="Z333" i="3"/>
  <c r="X333" i="3"/>
  <c r="V333" i="3"/>
  <c r="U333" i="3"/>
  <c r="W333" i="3" s="1"/>
  <c r="T333" i="3"/>
  <c r="S333" i="3"/>
  <c r="R333" i="3"/>
  <c r="Q333" i="3"/>
  <c r="P333" i="3"/>
  <c r="O333" i="3"/>
  <c r="N333" i="3"/>
  <c r="M333" i="3"/>
  <c r="L333" i="3"/>
  <c r="K333" i="3"/>
  <c r="J333" i="3"/>
  <c r="I333" i="3"/>
  <c r="G333" i="3"/>
  <c r="F333" i="3"/>
  <c r="H333" i="3" s="1"/>
  <c r="E333" i="3"/>
  <c r="D333" i="3"/>
  <c r="C333" i="3"/>
  <c r="B333" i="3"/>
  <c r="A333" i="3"/>
  <c r="AA333" i="3" s="1"/>
  <c r="AB332" i="3"/>
  <c r="Z332" i="3"/>
  <c r="X332" i="3"/>
  <c r="W332" i="3"/>
  <c r="V332" i="3"/>
  <c r="U332" i="3"/>
  <c r="T332" i="3"/>
  <c r="S332" i="3"/>
  <c r="R332" i="3"/>
  <c r="P332" i="3"/>
  <c r="O332" i="3"/>
  <c r="Q332" i="3" s="1"/>
  <c r="M332" i="3"/>
  <c r="L332" i="3"/>
  <c r="N332" i="3" s="1"/>
  <c r="J332" i="3"/>
  <c r="I332" i="3"/>
  <c r="K332" i="3" s="1"/>
  <c r="H332" i="3"/>
  <c r="G332" i="3"/>
  <c r="F332" i="3"/>
  <c r="E332" i="3"/>
  <c r="D332" i="3"/>
  <c r="C332" i="3"/>
  <c r="B332" i="3"/>
  <c r="A332" i="3"/>
  <c r="AA332" i="3" s="1"/>
  <c r="AB331" i="3"/>
  <c r="AA331" i="3"/>
  <c r="Z331" i="3"/>
  <c r="X331" i="3"/>
  <c r="V331" i="3"/>
  <c r="U331" i="3"/>
  <c r="W331" i="3" s="1"/>
  <c r="T331" i="3"/>
  <c r="S331" i="3"/>
  <c r="R331" i="3"/>
  <c r="Q331" i="3"/>
  <c r="P331" i="3"/>
  <c r="O331" i="3"/>
  <c r="N331" i="3"/>
  <c r="M331" i="3"/>
  <c r="L331" i="3"/>
  <c r="K331" i="3"/>
  <c r="J331" i="3"/>
  <c r="I331" i="3"/>
  <c r="G331" i="3"/>
  <c r="F331" i="3"/>
  <c r="H331" i="3" s="1"/>
  <c r="E331" i="3"/>
  <c r="D331" i="3"/>
  <c r="C331" i="3"/>
  <c r="B331" i="3"/>
  <c r="A331" i="3"/>
  <c r="Y331" i="3" s="1"/>
  <c r="AB330" i="3"/>
  <c r="Z330" i="3"/>
  <c r="X330" i="3"/>
  <c r="W330" i="3"/>
  <c r="V330" i="3"/>
  <c r="U330" i="3"/>
  <c r="T330" i="3"/>
  <c r="S330" i="3"/>
  <c r="R330" i="3"/>
  <c r="P330" i="3"/>
  <c r="O330" i="3"/>
  <c r="Q330" i="3" s="1"/>
  <c r="M330" i="3"/>
  <c r="L330" i="3"/>
  <c r="N330" i="3" s="1"/>
  <c r="J330" i="3"/>
  <c r="I330" i="3"/>
  <c r="K330" i="3" s="1"/>
  <c r="H330" i="3"/>
  <c r="G330" i="3"/>
  <c r="F330" i="3"/>
  <c r="E330" i="3"/>
  <c r="D330" i="3"/>
  <c r="C330" i="3"/>
  <c r="B330" i="3"/>
  <c r="A330" i="3"/>
  <c r="AA330" i="3" s="1"/>
  <c r="AB329" i="3"/>
  <c r="AA329" i="3"/>
  <c r="Z329" i="3"/>
  <c r="X329" i="3"/>
  <c r="V329" i="3"/>
  <c r="U329" i="3"/>
  <c r="W329" i="3" s="1"/>
  <c r="T329" i="3"/>
  <c r="S329" i="3"/>
  <c r="R329" i="3"/>
  <c r="Q329" i="3"/>
  <c r="P329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A329" i="3"/>
  <c r="Y329" i="3" s="1"/>
  <c r="AB328" i="3"/>
  <c r="Z328" i="3"/>
  <c r="X328" i="3"/>
  <c r="W328" i="3"/>
  <c r="V328" i="3"/>
  <c r="U328" i="3"/>
  <c r="S328" i="3"/>
  <c r="R328" i="3"/>
  <c r="T328" i="3" s="1"/>
  <c r="P328" i="3"/>
  <c r="O328" i="3"/>
  <c r="Q328" i="3" s="1"/>
  <c r="M328" i="3"/>
  <c r="L328" i="3"/>
  <c r="N328" i="3" s="1"/>
  <c r="J328" i="3"/>
  <c r="I328" i="3"/>
  <c r="K328" i="3" s="1"/>
  <c r="H328" i="3"/>
  <c r="G328" i="3"/>
  <c r="F328" i="3"/>
  <c r="E328" i="3"/>
  <c r="D328" i="3"/>
  <c r="C328" i="3"/>
  <c r="B328" i="3"/>
  <c r="A328" i="3"/>
  <c r="AA328" i="3" s="1"/>
  <c r="AB327" i="3"/>
  <c r="AA327" i="3"/>
  <c r="Z327" i="3"/>
  <c r="X327" i="3"/>
  <c r="V327" i="3"/>
  <c r="U327" i="3"/>
  <c r="W327" i="3" s="1"/>
  <c r="T327" i="3"/>
  <c r="S327" i="3"/>
  <c r="R327" i="3"/>
  <c r="Q327" i="3"/>
  <c r="P327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A327" i="3"/>
  <c r="Y327" i="3" s="1"/>
  <c r="AB326" i="3"/>
  <c r="Z326" i="3"/>
  <c r="X326" i="3"/>
  <c r="W326" i="3"/>
  <c r="V326" i="3"/>
  <c r="U326" i="3"/>
  <c r="S326" i="3"/>
  <c r="R326" i="3"/>
  <c r="T326" i="3" s="1"/>
  <c r="P326" i="3"/>
  <c r="O326" i="3"/>
  <c r="Q326" i="3" s="1"/>
  <c r="M326" i="3"/>
  <c r="L326" i="3"/>
  <c r="N326" i="3" s="1"/>
  <c r="J326" i="3"/>
  <c r="I326" i="3"/>
  <c r="K326" i="3" s="1"/>
  <c r="H326" i="3"/>
  <c r="G326" i="3"/>
  <c r="F326" i="3"/>
  <c r="E326" i="3"/>
  <c r="D326" i="3"/>
  <c r="C326" i="3"/>
  <c r="B326" i="3"/>
  <c r="A326" i="3"/>
  <c r="AA326" i="3" s="1"/>
  <c r="AB325" i="3"/>
  <c r="AA325" i="3"/>
  <c r="Z325" i="3"/>
  <c r="X325" i="3"/>
  <c r="V325" i="3"/>
  <c r="U325" i="3"/>
  <c r="W325" i="3" s="1"/>
  <c r="T325" i="3"/>
  <c r="S325" i="3"/>
  <c r="R325" i="3"/>
  <c r="Q325" i="3"/>
  <c r="P325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A325" i="3"/>
  <c r="Y325" i="3" s="1"/>
  <c r="AB324" i="3"/>
  <c r="Z324" i="3"/>
  <c r="X324" i="3"/>
  <c r="W324" i="3"/>
  <c r="V324" i="3"/>
  <c r="U324" i="3"/>
  <c r="S324" i="3"/>
  <c r="R324" i="3"/>
  <c r="T324" i="3" s="1"/>
  <c r="P324" i="3"/>
  <c r="O324" i="3"/>
  <c r="Q324" i="3" s="1"/>
  <c r="M324" i="3"/>
  <c r="L324" i="3"/>
  <c r="N324" i="3" s="1"/>
  <c r="J324" i="3"/>
  <c r="I324" i="3"/>
  <c r="K324" i="3" s="1"/>
  <c r="H324" i="3"/>
  <c r="G324" i="3"/>
  <c r="F324" i="3"/>
  <c r="E324" i="3"/>
  <c r="D324" i="3"/>
  <c r="C324" i="3"/>
  <c r="B324" i="3"/>
  <c r="A324" i="3"/>
  <c r="AA324" i="3" s="1"/>
  <c r="AB323" i="3"/>
  <c r="AA323" i="3"/>
  <c r="Z323" i="3"/>
  <c r="X323" i="3"/>
  <c r="V323" i="3"/>
  <c r="U323" i="3"/>
  <c r="W323" i="3" s="1"/>
  <c r="T323" i="3"/>
  <c r="S323" i="3"/>
  <c r="R323" i="3"/>
  <c r="Q323" i="3"/>
  <c r="P323" i="3"/>
  <c r="O323" i="3"/>
  <c r="N323" i="3"/>
  <c r="M323" i="3"/>
  <c r="L323" i="3"/>
  <c r="K323" i="3"/>
  <c r="J323" i="3"/>
  <c r="I323" i="3"/>
  <c r="G323" i="3"/>
  <c r="F323" i="3"/>
  <c r="H323" i="3" s="1"/>
  <c r="E323" i="3"/>
  <c r="D323" i="3"/>
  <c r="C323" i="3"/>
  <c r="B323" i="3"/>
  <c r="A323" i="3"/>
  <c r="Y323" i="3" s="1"/>
  <c r="AB322" i="3"/>
  <c r="Z322" i="3"/>
  <c r="X322" i="3"/>
  <c r="W322" i="3"/>
  <c r="V322" i="3"/>
  <c r="U322" i="3"/>
  <c r="T322" i="3"/>
  <c r="S322" i="3"/>
  <c r="R322" i="3"/>
  <c r="P322" i="3"/>
  <c r="O322" i="3"/>
  <c r="Q322" i="3" s="1"/>
  <c r="M322" i="3"/>
  <c r="L322" i="3"/>
  <c r="N322" i="3" s="1"/>
  <c r="J322" i="3"/>
  <c r="I322" i="3"/>
  <c r="K322" i="3" s="1"/>
  <c r="H322" i="3"/>
  <c r="G322" i="3"/>
  <c r="F322" i="3"/>
  <c r="E322" i="3"/>
  <c r="D322" i="3"/>
  <c r="C322" i="3"/>
  <c r="B322" i="3"/>
  <c r="A322" i="3"/>
  <c r="AA322" i="3" s="1"/>
  <c r="AB321" i="3"/>
  <c r="AA321" i="3"/>
  <c r="Z321" i="3"/>
  <c r="X321" i="3"/>
  <c r="V321" i="3"/>
  <c r="U321" i="3"/>
  <c r="W321" i="3" s="1"/>
  <c r="T321" i="3"/>
  <c r="S321" i="3"/>
  <c r="R321" i="3"/>
  <c r="Q321" i="3"/>
  <c r="P321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A321" i="3"/>
  <c r="Y321" i="3" s="1"/>
  <c r="AB320" i="3"/>
  <c r="Z320" i="3"/>
  <c r="X320" i="3"/>
  <c r="W320" i="3"/>
  <c r="V320" i="3"/>
  <c r="U320" i="3"/>
  <c r="T320" i="3"/>
  <c r="S320" i="3"/>
  <c r="R320" i="3"/>
  <c r="P320" i="3"/>
  <c r="O320" i="3"/>
  <c r="Q320" i="3" s="1"/>
  <c r="M320" i="3"/>
  <c r="L320" i="3"/>
  <c r="N320" i="3" s="1"/>
  <c r="J320" i="3"/>
  <c r="I320" i="3"/>
  <c r="K320" i="3" s="1"/>
  <c r="H320" i="3"/>
  <c r="G320" i="3"/>
  <c r="F320" i="3"/>
  <c r="E320" i="3"/>
  <c r="D320" i="3"/>
  <c r="C320" i="3"/>
  <c r="B320" i="3"/>
  <c r="A320" i="3"/>
  <c r="AA320" i="3" s="1"/>
  <c r="AB319" i="3"/>
  <c r="AA319" i="3"/>
  <c r="Z319" i="3"/>
  <c r="X319" i="3"/>
  <c r="V319" i="3"/>
  <c r="U319" i="3"/>
  <c r="W319" i="3" s="1"/>
  <c r="T319" i="3"/>
  <c r="S319" i="3"/>
  <c r="R319" i="3"/>
  <c r="Q319" i="3"/>
  <c r="P319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A319" i="3"/>
  <c r="Y319" i="3" s="1"/>
  <c r="AB318" i="3"/>
  <c r="Z318" i="3"/>
  <c r="X318" i="3"/>
  <c r="W318" i="3"/>
  <c r="V318" i="3"/>
  <c r="U318" i="3"/>
  <c r="S318" i="3"/>
  <c r="R318" i="3"/>
  <c r="T318" i="3" s="1"/>
  <c r="P318" i="3"/>
  <c r="O318" i="3"/>
  <c r="Q318" i="3" s="1"/>
  <c r="M318" i="3"/>
  <c r="L318" i="3"/>
  <c r="N318" i="3" s="1"/>
  <c r="J318" i="3"/>
  <c r="I318" i="3"/>
  <c r="K318" i="3" s="1"/>
  <c r="H318" i="3"/>
  <c r="G318" i="3"/>
  <c r="F318" i="3"/>
  <c r="E318" i="3"/>
  <c r="D318" i="3"/>
  <c r="C318" i="3"/>
  <c r="B318" i="3"/>
  <c r="A318" i="3"/>
  <c r="AA318" i="3" s="1"/>
  <c r="AB317" i="3"/>
  <c r="AA317" i="3"/>
  <c r="Z317" i="3"/>
  <c r="X317" i="3"/>
  <c r="V317" i="3"/>
  <c r="U317" i="3"/>
  <c r="W317" i="3" s="1"/>
  <c r="T317" i="3"/>
  <c r="S317" i="3"/>
  <c r="R317" i="3"/>
  <c r="Q317" i="3"/>
  <c r="P317" i="3"/>
  <c r="O317" i="3"/>
  <c r="N317" i="3"/>
  <c r="M317" i="3"/>
  <c r="L317" i="3"/>
  <c r="K317" i="3"/>
  <c r="J317" i="3"/>
  <c r="I317" i="3"/>
  <c r="G317" i="3"/>
  <c r="F317" i="3"/>
  <c r="H317" i="3" s="1"/>
  <c r="E317" i="3"/>
  <c r="D317" i="3"/>
  <c r="C317" i="3"/>
  <c r="B317" i="3"/>
  <c r="A317" i="3"/>
  <c r="Y317" i="3" s="1"/>
  <c r="AB316" i="3"/>
  <c r="Z316" i="3"/>
  <c r="X316" i="3"/>
  <c r="W316" i="3"/>
  <c r="V316" i="3"/>
  <c r="U316" i="3"/>
  <c r="T316" i="3"/>
  <c r="S316" i="3"/>
  <c r="R316" i="3"/>
  <c r="P316" i="3"/>
  <c r="O316" i="3"/>
  <c r="Q316" i="3" s="1"/>
  <c r="M316" i="3"/>
  <c r="L316" i="3"/>
  <c r="N316" i="3" s="1"/>
  <c r="J316" i="3"/>
  <c r="I316" i="3"/>
  <c r="K316" i="3" s="1"/>
  <c r="H316" i="3"/>
  <c r="G316" i="3"/>
  <c r="F316" i="3"/>
  <c r="E316" i="3"/>
  <c r="D316" i="3"/>
  <c r="C316" i="3"/>
  <c r="B316" i="3"/>
  <c r="A316" i="3"/>
  <c r="AA316" i="3" s="1"/>
  <c r="AB315" i="3"/>
  <c r="AA315" i="3"/>
  <c r="Z315" i="3"/>
  <c r="X315" i="3"/>
  <c r="V315" i="3"/>
  <c r="U315" i="3"/>
  <c r="W315" i="3" s="1"/>
  <c r="T315" i="3"/>
  <c r="S315" i="3"/>
  <c r="R315" i="3"/>
  <c r="Q315" i="3"/>
  <c r="P315" i="3"/>
  <c r="O315" i="3"/>
  <c r="N315" i="3"/>
  <c r="M315" i="3"/>
  <c r="L315" i="3"/>
  <c r="K315" i="3"/>
  <c r="J315" i="3"/>
  <c r="I315" i="3"/>
  <c r="G315" i="3"/>
  <c r="F315" i="3"/>
  <c r="H315" i="3" s="1"/>
  <c r="E315" i="3"/>
  <c r="D315" i="3"/>
  <c r="C315" i="3"/>
  <c r="B315" i="3"/>
  <c r="A315" i="3"/>
  <c r="Y315" i="3" s="1"/>
  <c r="AB314" i="3"/>
  <c r="Z314" i="3"/>
  <c r="X314" i="3"/>
  <c r="W314" i="3"/>
  <c r="V314" i="3"/>
  <c r="U314" i="3"/>
  <c r="T314" i="3"/>
  <c r="S314" i="3"/>
  <c r="R314" i="3"/>
  <c r="P314" i="3"/>
  <c r="O314" i="3"/>
  <c r="Q314" i="3" s="1"/>
  <c r="M314" i="3"/>
  <c r="L314" i="3"/>
  <c r="N314" i="3" s="1"/>
  <c r="J314" i="3"/>
  <c r="I314" i="3"/>
  <c r="K314" i="3" s="1"/>
  <c r="H314" i="3"/>
  <c r="G314" i="3"/>
  <c r="F314" i="3"/>
  <c r="E314" i="3"/>
  <c r="D314" i="3"/>
  <c r="C314" i="3"/>
  <c r="B314" i="3"/>
  <c r="A314" i="3"/>
  <c r="AA314" i="3" s="1"/>
  <c r="AB313" i="3"/>
  <c r="AA313" i="3"/>
  <c r="Z313" i="3"/>
  <c r="X313" i="3"/>
  <c r="V313" i="3"/>
  <c r="U313" i="3"/>
  <c r="W313" i="3" s="1"/>
  <c r="T313" i="3"/>
  <c r="S313" i="3"/>
  <c r="R313" i="3"/>
  <c r="Q313" i="3"/>
  <c r="P313" i="3"/>
  <c r="O313" i="3"/>
  <c r="N313" i="3"/>
  <c r="M313" i="3"/>
  <c r="L313" i="3"/>
  <c r="K313" i="3"/>
  <c r="J313" i="3"/>
  <c r="I313" i="3"/>
  <c r="G313" i="3"/>
  <c r="F313" i="3"/>
  <c r="H313" i="3" s="1"/>
  <c r="E313" i="3"/>
  <c r="D313" i="3"/>
  <c r="C313" i="3"/>
  <c r="B313" i="3"/>
  <c r="A313" i="3"/>
  <c r="Y313" i="3" s="1"/>
  <c r="AB312" i="3"/>
  <c r="Z312" i="3"/>
  <c r="X312" i="3"/>
  <c r="W312" i="3"/>
  <c r="V312" i="3"/>
  <c r="U312" i="3"/>
  <c r="S312" i="3"/>
  <c r="R312" i="3"/>
  <c r="T312" i="3" s="1"/>
  <c r="P312" i="3"/>
  <c r="O312" i="3"/>
  <c r="Q312" i="3" s="1"/>
  <c r="M312" i="3"/>
  <c r="L312" i="3"/>
  <c r="N312" i="3" s="1"/>
  <c r="J312" i="3"/>
  <c r="I312" i="3"/>
  <c r="K312" i="3" s="1"/>
  <c r="H312" i="3"/>
  <c r="G312" i="3"/>
  <c r="F312" i="3"/>
  <c r="E312" i="3"/>
  <c r="D312" i="3"/>
  <c r="C312" i="3"/>
  <c r="B312" i="3"/>
  <c r="A312" i="3"/>
  <c r="AA312" i="3" s="1"/>
  <c r="AB311" i="3"/>
  <c r="AA311" i="3"/>
  <c r="Z311" i="3"/>
  <c r="X311" i="3"/>
  <c r="V311" i="3"/>
  <c r="U311" i="3"/>
  <c r="W311" i="3" s="1"/>
  <c r="T311" i="3"/>
  <c r="S311" i="3"/>
  <c r="R311" i="3"/>
  <c r="Q311" i="3"/>
  <c r="P311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A311" i="3"/>
  <c r="Y311" i="3" s="1"/>
  <c r="AB310" i="3"/>
  <c r="Z310" i="3"/>
  <c r="X310" i="3"/>
  <c r="W310" i="3"/>
  <c r="V310" i="3"/>
  <c r="U310" i="3"/>
  <c r="S310" i="3"/>
  <c r="R310" i="3"/>
  <c r="T310" i="3" s="1"/>
  <c r="P310" i="3"/>
  <c r="O310" i="3"/>
  <c r="Q310" i="3" s="1"/>
  <c r="M310" i="3"/>
  <c r="L310" i="3"/>
  <c r="N310" i="3" s="1"/>
  <c r="J310" i="3"/>
  <c r="I310" i="3"/>
  <c r="K310" i="3" s="1"/>
  <c r="H310" i="3"/>
  <c r="G310" i="3"/>
  <c r="F310" i="3"/>
  <c r="E310" i="3"/>
  <c r="D310" i="3"/>
  <c r="C310" i="3"/>
  <c r="B310" i="3"/>
  <c r="A310" i="3"/>
  <c r="AA310" i="3" s="1"/>
  <c r="AB309" i="3"/>
  <c r="AA309" i="3"/>
  <c r="Z309" i="3"/>
  <c r="X309" i="3"/>
  <c r="V309" i="3"/>
  <c r="U309" i="3"/>
  <c r="W309" i="3" s="1"/>
  <c r="T309" i="3"/>
  <c r="S309" i="3"/>
  <c r="R309" i="3"/>
  <c r="Q309" i="3"/>
  <c r="P309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A309" i="3"/>
  <c r="Y309" i="3" s="1"/>
  <c r="AB308" i="3"/>
  <c r="Z308" i="3"/>
  <c r="X308" i="3"/>
  <c r="W308" i="3"/>
  <c r="V308" i="3"/>
  <c r="U308" i="3"/>
  <c r="S308" i="3"/>
  <c r="R308" i="3"/>
  <c r="T308" i="3" s="1"/>
  <c r="P308" i="3"/>
  <c r="O308" i="3"/>
  <c r="Q308" i="3" s="1"/>
  <c r="M308" i="3"/>
  <c r="L308" i="3"/>
  <c r="N308" i="3" s="1"/>
  <c r="J308" i="3"/>
  <c r="I308" i="3"/>
  <c r="K308" i="3" s="1"/>
  <c r="H308" i="3"/>
  <c r="G308" i="3"/>
  <c r="F308" i="3"/>
  <c r="E308" i="3"/>
  <c r="D308" i="3"/>
  <c r="C308" i="3"/>
  <c r="B308" i="3"/>
  <c r="A308" i="3"/>
  <c r="AA308" i="3" s="1"/>
  <c r="AB307" i="3"/>
  <c r="AA307" i="3"/>
  <c r="Z307" i="3"/>
  <c r="X307" i="3"/>
  <c r="V307" i="3"/>
  <c r="U307" i="3"/>
  <c r="W307" i="3" s="1"/>
  <c r="T307" i="3"/>
  <c r="S307" i="3"/>
  <c r="R307" i="3"/>
  <c r="Q307" i="3"/>
  <c r="P307" i="3"/>
  <c r="O307" i="3"/>
  <c r="N307" i="3"/>
  <c r="M307" i="3"/>
  <c r="L307" i="3"/>
  <c r="K307" i="3"/>
  <c r="J307" i="3"/>
  <c r="I307" i="3"/>
  <c r="G307" i="3"/>
  <c r="F307" i="3"/>
  <c r="H307" i="3" s="1"/>
  <c r="E307" i="3"/>
  <c r="D307" i="3"/>
  <c r="C307" i="3"/>
  <c r="B307" i="3"/>
  <c r="A307" i="3"/>
  <c r="Y307" i="3" s="1"/>
  <c r="AB306" i="3"/>
  <c r="Z306" i="3"/>
  <c r="X306" i="3"/>
  <c r="W306" i="3"/>
  <c r="V306" i="3"/>
  <c r="U306" i="3"/>
  <c r="T306" i="3"/>
  <c r="S306" i="3"/>
  <c r="R306" i="3"/>
  <c r="P306" i="3"/>
  <c r="O306" i="3"/>
  <c r="Q306" i="3" s="1"/>
  <c r="M306" i="3"/>
  <c r="L306" i="3"/>
  <c r="N306" i="3" s="1"/>
  <c r="J306" i="3"/>
  <c r="I306" i="3"/>
  <c r="K306" i="3" s="1"/>
  <c r="H306" i="3"/>
  <c r="G306" i="3"/>
  <c r="F306" i="3"/>
  <c r="E306" i="3"/>
  <c r="D306" i="3"/>
  <c r="C306" i="3"/>
  <c r="B306" i="3"/>
  <c r="A306" i="3"/>
  <c r="AA306" i="3" s="1"/>
  <c r="AB305" i="3"/>
  <c r="AA305" i="3"/>
  <c r="Z305" i="3"/>
  <c r="X305" i="3"/>
  <c r="V305" i="3"/>
  <c r="U305" i="3"/>
  <c r="W305" i="3" s="1"/>
  <c r="T305" i="3"/>
  <c r="S305" i="3"/>
  <c r="R305" i="3"/>
  <c r="Q305" i="3"/>
  <c r="P305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A305" i="3"/>
  <c r="Y305" i="3" s="1"/>
  <c r="AB304" i="3"/>
  <c r="Z304" i="3"/>
  <c r="X304" i="3"/>
  <c r="W304" i="3"/>
  <c r="V304" i="3"/>
  <c r="U304" i="3"/>
  <c r="T304" i="3"/>
  <c r="S304" i="3"/>
  <c r="R304" i="3"/>
  <c r="P304" i="3"/>
  <c r="O304" i="3"/>
  <c r="Q304" i="3" s="1"/>
  <c r="M304" i="3"/>
  <c r="L304" i="3"/>
  <c r="N304" i="3" s="1"/>
  <c r="J304" i="3"/>
  <c r="I304" i="3"/>
  <c r="K304" i="3" s="1"/>
  <c r="H304" i="3"/>
  <c r="G304" i="3"/>
  <c r="F304" i="3"/>
  <c r="E304" i="3"/>
  <c r="D304" i="3"/>
  <c r="C304" i="3"/>
  <c r="B304" i="3"/>
  <c r="A304" i="3"/>
  <c r="AA304" i="3" s="1"/>
  <c r="AB303" i="3"/>
  <c r="AA303" i="3"/>
  <c r="Z303" i="3"/>
  <c r="X303" i="3"/>
  <c r="V303" i="3"/>
  <c r="U303" i="3"/>
  <c r="W303" i="3" s="1"/>
  <c r="T303" i="3"/>
  <c r="S303" i="3"/>
  <c r="R303" i="3"/>
  <c r="Q303" i="3"/>
  <c r="P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A303" i="3"/>
  <c r="Y303" i="3" s="1"/>
  <c r="AB302" i="3"/>
  <c r="Z302" i="3"/>
  <c r="X302" i="3"/>
  <c r="W302" i="3"/>
  <c r="V302" i="3"/>
  <c r="U302" i="3"/>
  <c r="S302" i="3"/>
  <c r="R302" i="3"/>
  <c r="T302" i="3" s="1"/>
  <c r="P302" i="3"/>
  <c r="O302" i="3"/>
  <c r="Q302" i="3" s="1"/>
  <c r="M302" i="3"/>
  <c r="L302" i="3"/>
  <c r="N302" i="3" s="1"/>
  <c r="J302" i="3"/>
  <c r="I302" i="3"/>
  <c r="K302" i="3" s="1"/>
  <c r="H302" i="3"/>
  <c r="G302" i="3"/>
  <c r="F302" i="3"/>
  <c r="E302" i="3"/>
  <c r="D302" i="3"/>
  <c r="C302" i="3"/>
  <c r="B302" i="3"/>
  <c r="A302" i="3"/>
  <c r="AA302" i="3" s="1"/>
  <c r="AB301" i="3"/>
  <c r="AA301" i="3"/>
  <c r="Z301" i="3"/>
  <c r="X301" i="3"/>
  <c r="V301" i="3"/>
  <c r="U301" i="3"/>
  <c r="W301" i="3" s="1"/>
  <c r="T301" i="3"/>
  <c r="S301" i="3"/>
  <c r="R301" i="3"/>
  <c r="Q301" i="3"/>
  <c r="P301" i="3"/>
  <c r="O301" i="3"/>
  <c r="N301" i="3"/>
  <c r="M301" i="3"/>
  <c r="L301" i="3"/>
  <c r="K301" i="3"/>
  <c r="J301" i="3"/>
  <c r="I301" i="3"/>
  <c r="G301" i="3"/>
  <c r="F301" i="3"/>
  <c r="H301" i="3" s="1"/>
  <c r="E301" i="3"/>
  <c r="D301" i="3"/>
  <c r="C301" i="3"/>
  <c r="B301" i="3"/>
  <c r="A301" i="3"/>
  <c r="Y301" i="3" s="1"/>
  <c r="AB300" i="3"/>
  <c r="Z300" i="3"/>
  <c r="X300" i="3"/>
  <c r="W300" i="3"/>
  <c r="V300" i="3"/>
  <c r="U300" i="3"/>
  <c r="T300" i="3"/>
  <c r="S300" i="3"/>
  <c r="R300" i="3"/>
  <c r="P300" i="3"/>
  <c r="O300" i="3"/>
  <c r="Q300" i="3" s="1"/>
  <c r="M300" i="3"/>
  <c r="L300" i="3"/>
  <c r="N300" i="3" s="1"/>
  <c r="J300" i="3"/>
  <c r="I300" i="3"/>
  <c r="K300" i="3" s="1"/>
  <c r="H300" i="3"/>
  <c r="G300" i="3"/>
  <c r="F300" i="3"/>
  <c r="E300" i="3"/>
  <c r="D300" i="3"/>
  <c r="C300" i="3"/>
  <c r="B300" i="3"/>
  <c r="A300" i="3"/>
  <c r="AA300" i="3" s="1"/>
  <c r="AB299" i="3"/>
  <c r="AA299" i="3"/>
  <c r="X299" i="3"/>
  <c r="V299" i="3"/>
  <c r="U299" i="3"/>
  <c r="W299" i="3" s="1"/>
  <c r="T299" i="3"/>
  <c r="S299" i="3"/>
  <c r="R299" i="3"/>
  <c r="Q299" i="3"/>
  <c r="P299" i="3"/>
  <c r="O299" i="3"/>
  <c r="N299" i="3"/>
  <c r="M299" i="3"/>
  <c r="L299" i="3"/>
  <c r="K299" i="3"/>
  <c r="J299" i="3"/>
  <c r="I299" i="3"/>
  <c r="G299" i="3"/>
  <c r="F299" i="3"/>
  <c r="H299" i="3" s="1"/>
  <c r="E299" i="3"/>
  <c r="D299" i="3"/>
  <c r="C299" i="3"/>
  <c r="B299" i="3"/>
  <c r="A299" i="3"/>
  <c r="Z299" i="3" s="1"/>
  <c r="AB298" i="3"/>
  <c r="Z298" i="3"/>
  <c r="X298" i="3"/>
  <c r="W298" i="3"/>
  <c r="V298" i="3"/>
  <c r="U298" i="3"/>
  <c r="T298" i="3"/>
  <c r="S298" i="3"/>
  <c r="R298" i="3"/>
  <c r="P298" i="3"/>
  <c r="O298" i="3"/>
  <c r="Q298" i="3" s="1"/>
  <c r="M298" i="3"/>
  <c r="L298" i="3"/>
  <c r="N298" i="3" s="1"/>
  <c r="J298" i="3"/>
  <c r="I298" i="3"/>
  <c r="K298" i="3" s="1"/>
  <c r="H298" i="3"/>
  <c r="G298" i="3"/>
  <c r="F298" i="3"/>
  <c r="E298" i="3"/>
  <c r="D298" i="3"/>
  <c r="C298" i="3"/>
  <c r="B298" i="3"/>
  <c r="A298" i="3"/>
  <c r="AA298" i="3" s="1"/>
  <c r="AB297" i="3"/>
  <c r="AA297" i="3"/>
  <c r="X297" i="3"/>
  <c r="V297" i="3"/>
  <c r="U297" i="3"/>
  <c r="W297" i="3" s="1"/>
  <c r="T297" i="3"/>
  <c r="S297" i="3"/>
  <c r="R297" i="3"/>
  <c r="Q297" i="3"/>
  <c r="P297" i="3"/>
  <c r="O297" i="3"/>
  <c r="N297" i="3"/>
  <c r="M297" i="3"/>
  <c r="L297" i="3"/>
  <c r="K297" i="3"/>
  <c r="J297" i="3"/>
  <c r="I297" i="3"/>
  <c r="G297" i="3"/>
  <c r="F297" i="3"/>
  <c r="H297" i="3" s="1"/>
  <c r="E297" i="3"/>
  <c r="D297" i="3"/>
  <c r="C297" i="3"/>
  <c r="B297" i="3"/>
  <c r="A297" i="3"/>
  <c r="Z297" i="3" s="1"/>
  <c r="AB296" i="3"/>
  <c r="Z296" i="3"/>
  <c r="X296" i="3"/>
  <c r="W296" i="3"/>
  <c r="V296" i="3"/>
  <c r="U296" i="3"/>
  <c r="T296" i="3"/>
  <c r="S296" i="3"/>
  <c r="R296" i="3"/>
  <c r="P296" i="3"/>
  <c r="O296" i="3"/>
  <c r="Q296" i="3" s="1"/>
  <c r="M296" i="3"/>
  <c r="L296" i="3"/>
  <c r="N296" i="3" s="1"/>
  <c r="J296" i="3"/>
  <c r="I296" i="3"/>
  <c r="K296" i="3" s="1"/>
  <c r="H296" i="3"/>
  <c r="G296" i="3"/>
  <c r="F296" i="3"/>
  <c r="E296" i="3"/>
  <c r="D296" i="3"/>
  <c r="C296" i="3"/>
  <c r="B296" i="3"/>
  <c r="A296" i="3"/>
  <c r="AA296" i="3" s="1"/>
  <c r="AB295" i="3"/>
  <c r="AA295" i="3"/>
  <c r="X295" i="3"/>
  <c r="V295" i="3"/>
  <c r="U295" i="3"/>
  <c r="W295" i="3" s="1"/>
  <c r="T295" i="3"/>
  <c r="S295" i="3"/>
  <c r="R295" i="3"/>
  <c r="Q295" i="3"/>
  <c r="P295" i="3"/>
  <c r="O295" i="3"/>
  <c r="N295" i="3"/>
  <c r="M295" i="3"/>
  <c r="L295" i="3"/>
  <c r="K295" i="3"/>
  <c r="J295" i="3"/>
  <c r="I295" i="3"/>
  <c r="G295" i="3"/>
  <c r="F295" i="3"/>
  <c r="H295" i="3" s="1"/>
  <c r="E295" i="3"/>
  <c r="D295" i="3"/>
  <c r="C295" i="3"/>
  <c r="B295" i="3"/>
  <c r="A295" i="3"/>
  <c r="Z295" i="3" s="1"/>
  <c r="AB294" i="3"/>
  <c r="Z294" i="3"/>
  <c r="X294" i="3"/>
  <c r="W294" i="3"/>
  <c r="V294" i="3"/>
  <c r="U294" i="3"/>
  <c r="T294" i="3"/>
  <c r="S294" i="3"/>
  <c r="R294" i="3"/>
  <c r="P294" i="3"/>
  <c r="O294" i="3"/>
  <c r="Q294" i="3" s="1"/>
  <c r="M294" i="3"/>
  <c r="L294" i="3"/>
  <c r="N294" i="3" s="1"/>
  <c r="J294" i="3"/>
  <c r="I294" i="3"/>
  <c r="K294" i="3" s="1"/>
  <c r="H294" i="3"/>
  <c r="G294" i="3"/>
  <c r="F294" i="3"/>
  <c r="E294" i="3"/>
  <c r="D294" i="3"/>
  <c r="C294" i="3"/>
  <c r="B294" i="3"/>
  <c r="A294" i="3"/>
  <c r="AA294" i="3" s="1"/>
  <c r="AB293" i="3"/>
  <c r="AA293" i="3"/>
  <c r="X293" i="3"/>
  <c r="V293" i="3"/>
  <c r="U293" i="3"/>
  <c r="W293" i="3" s="1"/>
  <c r="T293" i="3"/>
  <c r="S293" i="3"/>
  <c r="R293" i="3"/>
  <c r="Q293" i="3"/>
  <c r="P293" i="3"/>
  <c r="O293" i="3"/>
  <c r="M293" i="3"/>
  <c r="L293" i="3"/>
  <c r="N293" i="3" s="1"/>
  <c r="K293" i="3"/>
  <c r="J293" i="3"/>
  <c r="I293" i="3"/>
  <c r="G293" i="3"/>
  <c r="F293" i="3"/>
  <c r="H293" i="3" s="1"/>
  <c r="E293" i="3"/>
  <c r="D293" i="3"/>
  <c r="C293" i="3"/>
  <c r="B293" i="3"/>
  <c r="A293" i="3"/>
  <c r="Z293" i="3" s="1"/>
  <c r="AB292" i="3"/>
  <c r="Z292" i="3"/>
  <c r="X292" i="3"/>
  <c r="W292" i="3"/>
  <c r="V292" i="3"/>
  <c r="U292" i="3"/>
  <c r="T292" i="3"/>
  <c r="S292" i="3"/>
  <c r="R292" i="3"/>
  <c r="P292" i="3"/>
  <c r="O292" i="3"/>
  <c r="Q292" i="3" s="1"/>
  <c r="M292" i="3"/>
  <c r="L292" i="3"/>
  <c r="N292" i="3" s="1"/>
  <c r="J292" i="3"/>
  <c r="I292" i="3"/>
  <c r="K292" i="3" s="1"/>
  <c r="H292" i="3"/>
  <c r="G292" i="3"/>
  <c r="F292" i="3"/>
  <c r="E292" i="3"/>
  <c r="D292" i="3"/>
  <c r="C292" i="3"/>
  <c r="B292" i="3"/>
  <c r="A292" i="3"/>
  <c r="AA292" i="3" s="1"/>
  <c r="AB291" i="3"/>
  <c r="AA291" i="3"/>
  <c r="X291" i="3"/>
  <c r="V291" i="3"/>
  <c r="U291" i="3"/>
  <c r="W291" i="3" s="1"/>
  <c r="T291" i="3"/>
  <c r="S291" i="3"/>
  <c r="R291" i="3"/>
  <c r="Q291" i="3"/>
  <c r="P291" i="3"/>
  <c r="O291" i="3"/>
  <c r="M291" i="3"/>
  <c r="L291" i="3"/>
  <c r="N291" i="3" s="1"/>
  <c r="K291" i="3"/>
  <c r="J291" i="3"/>
  <c r="I291" i="3"/>
  <c r="G291" i="3"/>
  <c r="F291" i="3"/>
  <c r="H291" i="3" s="1"/>
  <c r="E291" i="3"/>
  <c r="D291" i="3"/>
  <c r="C291" i="3"/>
  <c r="B291" i="3"/>
  <c r="A291" i="3"/>
  <c r="Z291" i="3" s="1"/>
  <c r="AB290" i="3"/>
  <c r="Z290" i="3"/>
  <c r="X290" i="3"/>
  <c r="W290" i="3"/>
  <c r="V290" i="3"/>
  <c r="U290" i="3"/>
  <c r="T290" i="3"/>
  <c r="S290" i="3"/>
  <c r="R290" i="3"/>
  <c r="P290" i="3"/>
  <c r="O290" i="3"/>
  <c r="Q290" i="3" s="1"/>
  <c r="M290" i="3"/>
  <c r="L290" i="3"/>
  <c r="N290" i="3" s="1"/>
  <c r="J290" i="3"/>
  <c r="I290" i="3"/>
  <c r="K290" i="3" s="1"/>
  <c r="H290" i="3"/>
  <c r="G290" i="3"/>
  <c r="F290" i="3"/>
  <c r="E290" i="3"/>
  <c r="D290" i="3"/>
  <c r="C290" i="3"/>
  <c r="B290" i="3"/>
  <c r="A290" i="3"/>
  <c r="AA290" i="3" s="1"/>
  <c r="AB289" i="3"/>
  <c r="AA289" i="3"/>
  <c r="X289" i="3"/>
  <c r="V289" i="3"/>
  <c r="U289" i="3"/>
  <c r="W289" i="3" s="1"/>
  <c r="T289" i="3"/>
  <c r="S289" i="3"/>
  <c r="R289" i="3"/>
  <c r="Q289" i="3"/>
  <c r="P289" i="3"/>
  <c r="O289" i="3"/>
  <c r="M289" i="3"/>
  <c r="L289" i="3"/>
  <c r="N289" i="3" s="1"/>
  <c r="K289" i="3"/>
  <c r="J289" i="3"/>
  <c r="I289" i="3"/>
  <c r="G289" i="3"/>
  <c r="F289" i="3"/>
  <c r="H289" i="3" s="1"/>
  <c r="E289" i="3"/>
  <c r="D289" i="3"/>
  <c r="C289" i="3"/>
  <c r="B289" i="3"/>
  <c r="A289" i="3"/>
  <c r="Z289" i="3" s="1"/>
  <c r="AB288" i="3"/>
  <c r="Z288" i="3"/>
  <c r="X288" i="3"/>
  <c r="W288" i="3"/>
  <c r="V288" i="3"/>
  <c r="U288" i="3"/>
  <c r="T288" i="3"/>
  <c r="S288" i="3"/>
  <c r="R288" i="3"/>
  <c r="P288" i="3"/>
  <c r="O288" i="3"/>
  <c r="Q288" i="3" s="1"/>
  <c r="M288" i="3"/>
  <c r="L288" i="3"/>
  <c r="N288" i="3" s="1"/>
  <c r="J288" i="3"/>
  <c r="I288" i="3"/>
  <c r="K288" i="3" s="1"/>
  <c r="H288" i="3"/>
  <c r="G288" i="3"/>
  <c r="F288" i="3"/>
  <c r="E288" i="3"/>
  <c r="D288" i="3"/>
  <c r="C288" i="3"/>
  <c r="B288" i="3"/>
  <c r="A288" i="3"/>
  <c r="AA288" i="3" s="1"/>
  <c r="AB287" i="3"/>
  <c r="AA287" i="3"/>
  <c r="X287" i="3"/>
  <c r="V287" i="3"/>
  <c r="U287" i="3"/>
  <c r="W287" i="3" s="1"/>
  <c r="T287" i="3"/>
  <c r="S287" i="3"/>
  <c r="R287" i="3"/>
  <c r="Q287" i="3"/>
  <c r="P287" i="3"/>
  <c r="O287" i="3"/>
  <c r="M287" i="3"/>
  <c r="L287" i="3"/>
  <c r="N287" i="3" s="1"/>
  <c r="K287" i="3"/>
  <c r="J287" i="3"/>
  <c r="I287" i="3"/>
  <c r="G287" i="3"/>
  <c r="F287" i="3"/>
  <c r="H287" i="3" s="1"/>
  <c r="E287" i="3"/>
  <c r="D287" i="3"/>
  <c r="C287" i="3"/>
  <c r="B287" i="3"/>
  <c r="A287" i="3"/>
  <c r="Z287" i="3" s="1"/>
  <c r="AB286" i="3"/>
  <c r="Z286" i="3"/>
  <c r="X286" i="3"/>
  <c r="W286" i="3"/>
  <c r="V286" i="3"/>
  <c r="U286" i="3"/>
  <c r="T286" i="3"/>
  <c r="S286" i="3"/>
  <c r="R286" i="3"/>
  <c r="P286" i="3"/>
  <c r="O286" i="3"/>
  <c r="Q286" i="3" s="1"/>
  <c r="M286" i="3"/>
  <c r="L286" i="3"/>
  <c r="N286" i="3" s="1"/>
  <c r="J286" i="3"/>
  <c r="I286" i="3"/>
  <c r="K286" i="3" s="1"/>
  <c r="H286" i="3"/>
  <c r="G286" i="3"/>
  <c r="F286" i="3"/>
  <c r="E286" i="3"/>
  <c r="D286" i="3"/>
  <c r="C286" i="3"/>
  <c r="B286" i="3"/>
  <c r="A286" i="3"/>
  <c r="AA286" i="3" s="1"/>
  <c r="AB285" i="3"/>
  <c r="AA285" i="3"/>
  <c r="X285" i="3"/>
  <c r="V285" i="3"/>
  <c r="U285" i="3"/>
  <c r="W285" i="3" s="1"/>
  <c r="T285" i="3"/>
  <c r="S285" i="3"/>
  <c r="R285" i="3"/>
  <c r="Q285" i="3"/>
  <c r="P285" i="3"/>
  <c r="O285" i="3"/>
  <c r="M285" i="3"/>
  <c r="L285" i="3"/>
  <c r="N285" i="3" s="1"/>
  <c r="K285" i="3"/>
  <c r="J285" i="3"/>
  <c r="I285" i="3"/>
  <c r="G285" i="3"/>
  <c r="F285" i="3"/>
  <c r="H285" i="3" s="1"/>
  <c r="E285" i="3"/>
  <c r="D285" i="3"/>
  <c r="C285" i="3"/>
  <c r="B285" i="3"/>
  <c r="A285" i="3"/>
  <c r="Z285" i="3" s="1"/>
  <c r="AB284" i="3"/>
  <c r="Z284" i="3"/>
  <c r="X284" i="3"/>
  <c r="W284" i="3"/>
  <c r="V284" i="3"/>
  <c r="U284" i="3"/>
  <c r="T284" i="3"/>
  <c r="S284" i="3"/>
  <c r="R284" i="3"/>
  <c r="P284" i="3"/>
  <c r="O284" i="3"/>
  <c r="Q284" i="3" s="1"/>
  <c r="M284" i="3"/>
  <c r="L284" i="3"/>
  <c r="N284" i="3" s="1"/>
  <c r="J284" i="3"/>
  <c r="I284" i="3"/>
  <c r="K284" i="3" s="1"/>
  <c r="H284" i="3"/>
  <c r="G284" i="3"/>
  <c r="F284" i="3"/>
  <c r="E284" i="3"/>
  <c r="D284" i="3"/>
  <c r="C284" i="3"/>
  <c r="B284" i="3"/>
  <c r="A284" i="3"/>
  <c r="AA284" i="3" s="1"/>
  <c r="AB283" i="3"/>
  <c r="AA283" i="3"/>
  <c r="X283" i="3"/>
  <c r="V283" i="3"/>
  <c r="U283" i="3"/>
  <c r="W283" i="3" s="1"/>
  <c r="T283" i="3"/>
  <c r="S283" i="3"/>
  <c r="R283" i="3"/>
  <c r="Q283" i="3"/>
  <c r="P283" i="3"/>
  <c r="O283" i="3"/>
  <c r="M283" i="3"/>
  <c r="L283" i="3"/>
  <c r="N283" i="3" s="1"/>
  <c r="K283" i="3"/>
  <c r="J283" i="3"/>
  <c r="I283" i="3"/>
  <c r="G283" i="3"/>
  <c r="F283" i="3"/>
  <c r="H283" i="3" s="1"/>
  <c r="E283" i="3"/>
  <c r="D283" i="3"/>
  <c r="C283" i="3"/>
  <c r="B283" i="3"/>
  <c r="A283" i="3"/>
  <c r="Z283" i="3" s="1"/>
  <c r="AB282" i="3"/>
  <c r="Z282" i="3"/>
  <c r="X282" i="3"/>
  <c r="W282" i="3"/>
  <c r="V282" i="3"/>
  <c r="U282" i="3"/>
  <c r="T282" i="3"/>
  <c r="S282" i="3"/>
  <c r="R282" i="3"/>
  <c r="P282" i="3"/>
  <c r="O282" i="3"/>
  <c r="Q282" i="3" s="1"/>
  <c r="M282" i="3"/>
  <c r="L282" i="3"/>
  <c r="N282" i="3" s="1"/>
  <c r="J282" i="3"/>
  <c r="I282" i="3"/>
  <c r="K282" i="3" s="1"/>
  <c r="H282" i="3"/>
  <c r="G282" i="3"/>
  <c r="F282" i="3"/>
  <c r="E282" i="3"/>
  <c r="D282" i="3"/>
  <c r="C282" i="3"/>
  <c r="B282" i="3"/>
  <c r="A282" i="3"/>
  <c r="AA282" i="3" s="1"/>
  <c r="AB281" i="3"/>
  <c r="AA281" i="3"/>
  <c r="X281" i="3"/>
  <c r="V281" i="3"/>
  <c r="U281" i="3"/>
  <c r="W281" i="3" s="1"/>
  <c r="T281" i="3"/>
  <c r="S281" i="3"/>
  <c r="R281" i="3"/>
  <c r="Q281" i="3"/>
  <c r="P281" i="3"/>
  <c r="O281" i="3"/>
  <c r="M281" i="3"/>
  <c r="L281" i="3"/>
  <c r="N281" i="3" s="1"/>
  <c r="K281" i="3"/>
  <c r="J281" i="3"/>
  <c r="I281" i="3"/>
  <c r="G281" i="3"/>
  <c r="F281" i="3"/>
  <c r="H281" i="3" s="1"/>
  <c r="E281" i="3"/>
  <c r="D281" i="3"/>
  <c r="C281" i="3"/>
  <c r="B281" i="3"/>
  <c r="A281" i="3"/>
  <c r="Z281" i="3" s="1"/>
  <c r="AB280" i="3"/>
  <c r="Z280" i="3"/>
  <c r="X280" i="3"/>
  <c r="W280" i="3"/>
  <c r="V280" i="3"/>
  <c r="U280" i="3"/>
  <c r="T280" i="3"/>
  <c r="S280" i="3"/>
  <c r="R280" i="3"/>
  <c r="P280" i="3"/>
  <c r="O280" i="3"/>
  <c r="Q280" i="3" s="1"/>
  <c r="M280" i="3"/>
  <c r="L280" i="3"/>
  <c r="N280" i="3" s="1"/>
  <c r="J280" i="3"/>
  <c r="I280" i="3"/>
  <c r="K280" i="3" s="1"/>
  <c r="H280" i="3"/>
  <c r="G280" i="3"/>
  <c r="F280" i="3"/>
  <c r="E280" i="3"/>
  <c r="D280" i="3"/>
  <c r="C280" i="3"/>
  <c r="B280" i="3"/>
  <c r="A280" i="3"/>
  <c r="AA280" i="3" s="1"/>
  <c r="AB279" i="3"/>
  <c r="AA279" i="3"/>
  <c r="X279" i="3"/>
  <c r="V279" i="3"/>
  <c r="U279" i="3"/>
  <c r="W279" i="3" s="1"/>
  <c r="T279" i="3"/>
  <c r="S279" i="3"/>
  <c r="R279" i="3"/>
  <c r="Q279" i="3"/>
  <c r="P279" i="3"/>
  <c r="O279" i="3"/>
  <c r="M279" i="3"/>
  <c r="L279" i="3"/>
  <c r="N279" i="3" s="1"/>
  <c r="K279" i="3"/>
  <c r="J279" i="3"/>
  <c r="I279" i="3"/>
  <c r="G279" i="3"/>
  <c r="F279" i="3"/>
  <c r="H279" i="3" s="1"/>
  <c r="E279" i="3"/>
  <c r="D279" i="3"/>
  <c r="C279" i="3"/>
  <c r="B279" i="3"/>
  <c r="A279" i="3"/>
  <c r="Z279" i="3" s="1"/>
  <c r="AB278" i="3"/>
  <c r="Z278" i="3"/>
  <c r="X278" i="3"/>
  <c r="W278" i="3"/>
  <c r="V278" i="3"/>
  <c r="U278" i="3"/>
  <c r="T278" i="3"/>
  <c r="S278" i="3"/>
  <c r="R278" i="3"/>
  <c r="P278" i="3"/>
  <c r="O278" i="3"/>
  <c r="Q278" i="3" s="1"/>
  <c r="M278" i="3"/>
  <c r="L278" i="3"/>
  <c r="N278" i="3" s="1"/>
  <c r="J278" i="3"/>
  <c r="I278" i="3"/>
  <c r="K278" i="3" s="1"/>
  <c r="H278" i="3"/>
  <c r="G278" i="3"/>
  <c r="F278" i="3"/>
  <c r="E278" i="3"/>
  <c r="D278" i="3"/>
  <c r="C278" i="3"/>
  <c r="B278" i="3"/>
  <c r="A278" i="3"/>
  <c r="AA278" i="3" s="1"/>
  <c r="AB277" i="3"/>
  <c r="AA277" i="3"/>
  <c r="X277" i="3"/>
  <c r="V277" i="3"/>
  <c r="U277" i="3"/>
  <c r="W277" i="3" s="1"/>
  <c r="T277" i="3"/>
  <c r="S277" i="3"/>
  <c r="R277" i="3"/>
  <c r="Q277" i="3"/>
  <c r="P277" i="3"/>
  <c r="O277" i="3"/>
  <c r="M277" i="3"/>
  <c r="L277" i="3"/>
  <c r="N277" i="3" s="1"/>
  <c r="K277" i="3"/>
  <c r="J277" i="3"/>
  <c r="I277" i="3"/>
  <c r="G277" i="3"/>
  <c r="F277" i="3"/>
  <c r="H277" i="3" s="1"/>
  <c r="E277" i="3"/>
  <c r="D277" i="3"/>
  <c r="C277" i="3"/>
  <c r="B277" i="3"/>
  <c r="A277" i="3"/>
  <c r="Z277" i="3" s="1"/>
  <c r="AB276" i="3"/>
  <c r="Z276" i="3"/>
  <c r="X276" i="3"/>
  <c r="W276" i="3"/>
  <c r="V276" i="3"/>
  <c r="U276" i="3"/>
  <c r="T276" i="3"/>
  <c r="S276" i="3"/>
  <c r="R276" i="3"/>
  <c r="P276" i="3"/>
  <c r="O276" i="3"/>
  <c r="Q276" i="3" s="1"/>
  <c r="M276" i="3"/>
  <c r="L276" i="3"/>
  <c r="N276" i="3" s="1"/>
  <c r="J276" i="3"/>
  <c r="I276" i="3"/>
  <c r="K276" i="3" s="1"/>
  <c r="H276" i="3"/>
  <c r="G276" i="3"/>
  <c r="F276" i="3"/>
  <c r="E276" i="3"/>
  <c r="D276" i="3"/>
  <c r="C276" i="3"/>
  <c r="B276" i="3"/>
  <c r="A276" i="3"/>
  <c r="AA276" i="3" s="1"/>
  <c r="AB275" i="3"/>
  <c r="AA275" i="3"/>
  <c r="X275" i="3"/>
  <c r="V275" i="3"/>
  <c r="U275" i="3"/>
  <c r="W275" i="3" s="1"/>
  <c r="T275" i="3"/>
  <c r="S275" i="3"/>
  <c r="R275" i="3"/>
  <c r="Q275" i="3"/>
  <c r="P275" i="3"/>
  <c r="O275" i="3"/>
  <c r="M275" i="3"/>
  <c r="L275" i="3"/>
  <c r="N275" i="3" s="1"/>
  <c r="K275" i="3"/>
  <c r="J275" i="3"/>
  <c r="I275" i="3"/>
  <c r="G275" i="3"/>
  <c r="F275" i="3"/>
  <c r="H275" i="3" s="1"/>
  <c r="E275" i="3"/>
  <c r="D275" i="3"/>
  <c r="C275" i="3"/>
  <c r="B275" i="3"/>
  <c r="A275" i="3"/>
  <c r="Z275" i="3" s="1"/>
  <c r="AB274" i="3"/>
  <c r="Z274" i="3"/>
  <c r="X274" i="3"/>
  <c r="W274" i="3"/>
  <c r="V274" i="3"/>
  <c r="U274" i="3"/>
  <c r="T274" i="3"/>
  <c r="S274" i="3"/>
  <c r="R274" i="3"/>
  <c r="P274" i="3"/>
  <c r="O274" i="3"/>
  <c r="Q274" i="3" s="1"/>
  <c r="M274" i="3"/>
  <c r="L274" i="3"/>
  <c r="N274" i="3" s="1"/>
  <c r="J274" i="3"/>
  <c r="I274" i="3"/>
  <c r="K274" i="3" s="1"/>
  <c r="H274" i="3"/>
  <c r="G274" i="3"/>
  <c r="F274" i="3"/>
  <c r="E274" i="3"/>
  <c r="D274" i="3"/>
  <c r="C274" i="3"/>
  <c r="B274" i="3"/>
  <c r="A274" i="3"/>
  <c r="AA274" i="3" s="1"/>
  <c r="AB273" i="3"/>
  <c r="AA273" i="3"/>
  <c r="X273" i="3"/>
  <c r="V273" i="3"/>
  <c r="U273" i="3"/>
  <c r="W273" i="3" s="1"/>
  <c r="T273" i="3"/>
  <c r="S273" i="3"/>
  <c r="R273" i="3"/>
  <c r="Q273" i="3"/>
  <c r="P273" i="3"/>
  <c r="O273" i="3"/>
  <c r="M273" i="3"/>
  <c r="L273" i="3"/>
  <c r="N273" i="3" s="1"/>
  <c r="K273" i="3"/>
  <c r="J273" i="3"/>
  <c r="I273" i="3"/>
  <c r="G273" i="3"/>
  <c r="F273" i="3"/>
  <c r="H273" i="3" s="1"/>
  <c r="E273" i="3"/>
  <c r="D273" i="3"/>
  <c r="C273" i="3"/>
  <c r="B273" i="3"/>
  <c r="A273" i="3"/>
  <c r="Z273" i="3" s="1"/>
  <c r="Z272" i="3"/>
  <c r="Y272" i="3"/>
  <c r="X272" i="3"/>
  <c r="W272" i="3"/>
  <c r="V272" i="3"/>
  <c r="U272" i="3"/>
  <c r="T272" i="3"/>
  <c r="S272" i="3"/>
  <c r="R272" i="3"/>
  <c r="Q272" i="3"/>
  <c r="P272" i="3"/>
  <c r="O272" i="3"/>
  <c r="M272" i="3"/>
  <c r="L272" i="3"/>
  <c r="N272" i="3" s="1"/>
  <c r="J272" i="3"/>
  <c r="I272" i="3"/>
  <c r="K272" i="3" s="1"/>
  <c r="H272" i="3"/>
  <c r="G272" i="3"/>
  <c r="F272" i="3"/>
  <c r="E272" i="3"/>
  <c r="D272" i="3"/>
  <c r="C272" i="3"/>
  <c r="B272" i="3"/>
  <c r="A272" i="3"/>
  <c r="AA272" i="3" s="1"/>
  <c r="AB271" i="3"/>
  <c r="AA271" i="3"/>
  <c r="X271" i="3"/>
  <c r="V271" i="3"/>
  <c r="U271" i="3"/>
  <c r="W271" i="3" s="1"/>
  <c r="T271" i="3"/>
  <c r="S271" i="3"/>
  <c r="R271" i="3"/>
  <c r="Q271" i="3"/>
  <c r="P271" i="3"/>
  <c r="O271" i="3"/>
  <c r="N271" i="3"/>
  <c r="M271" i="3"/>
  <c r="L271" i="3"/>
  <c r="K271" i="3"/>
  <c r="J271" i="3"/>
  <c r="I271" i="3"/>
  <c r="G271" i="3"/>
  <c r="F271" i="3"/>
  <c r="H271" i="3" s="1"/>
  <c r="E271" i="3"/>
  <c r="D271" i="3"/>
  <c r="C271" i="3"/>
  <c r="B271" i="3"/>
  <c r="A271" i="3"/>
  <c r="Z271" i="3" s="1"/>
  <c r="AB270" i="3"/>
  <c r="Z270" i="3"/>
  <c r="Y270" i="3"/>
  <c r="W270" i="3"/>
  <c r="V270" i="3"/>
  <c r="U270" i="3"/>
  <c r="S270" i="3"/>
  <c r="R270" i="3"/>
  <c r="T270" i="3" s="1"/>
  <c r="Q270" i="3"/>
  <c r="P270" i="3"/>
  <c r="O270" i="3"/>
  <c r="M270" i="3"/>
  <c r="L270" i="3"/>
  <c r="N270" i="3" s="1"/>
  <c r="J270" i="3"/>
  <c r="I270" i="3"/>
  <c r="K270" i="3" s="1"/>
  <c r="H270" i="3"/>
  <c r="G270" i="3"/>
  <c r="F270" i="3"/>
  <c r="E270" i="3"/>
  <c r="D270" i="3"/>
  <c r="C270" i="3"/>
  <c r="B270" i="3"/>
  <c r="A270" i="3"/>
  <c r="AB269" i="3"/>
  <c r="AA269" i="3"/>
  <c r="X269" i="3"/>
  <c r="V269" i="3"/>
  <c r="U269" i="3"/>
  <c r="W269" i="3" s="1"/>
  <c r="T269" i="3"/>
  <c r="S269" i="3"/>
  <c r="R269" i="3"/>
  <c r="Q269" i="3"/>
  <c r="P269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A269" i="3"/>
  <c r="Z269" i="3" s="1"/>
  <c r="W268" i="3"/>
  <c r="V268" i="3"/>
  <c r="U268" i="3"/>
  <c r="T268" i="3"/>
  <c r="S268" i="3"/>
  <c r="R268" i="3"/>
  <c r="Q268" i="3"/>
  <c r="P268" i="3"/>
  <c r="O268" i="3"/>
  <c r="M268" i="3"/>
  <c r="L268" i="3"/>
  <c r="N268" i="3" s="1"/>
  <c r="J268" i="3"/>
  <c r="I268" i="3"/>
  <c r="K268" i="3" s="1"/>
  <c r="H268" i="3"/>
  <c r="G268" i="3"/>
  <c r="F268" i="3"/>
  <c r="E268" i="3"/>
  <c r="D268" i="3"/>
  <c r="C268" i="3"/>
  <c r="B268" i="3"/>
  <c r="A268" i="3"/>
  <c r="AB267" i="3"/>
  <c r="AA267" i="3"/>
  <c r="X267" i="3"/>
  <c r="V267" i="3"/>
  <c r="U267" i="3"/>
  <c r="W267" i="3" s="1"/>
  <c r="T267" i="3"/>
  <c r="S267" i="3"/>
  <c r="R267" i="3"/>
  <c r="Q267" i="3"/>
  <c r="P267" i="3"/>
  <c r="O267" i="3"/>
  <c r="M267" i="3"/>
  <c r="L267" i="3"/>
  <c r="N267" i="3" s="1"/>
  <c r="K267" i="3"/>
  <c r="J267" i="3"/>
  <c r="I267" i="3"/>
  <c r="H267" i="3"/>
  <c r="G267" i="3"/>
  <c r="F267" i="3"/>
  <c r="E267" i="3"/>
  <c r="D267" i="3"/>
  <c r="C267" i="3"/>
  <c r="B267" i="3"/>
  <c r="A267" i="3"/>
  <c r="Z267" i="3" s="1"/>
  <c r="Z266" i="3"/>
  <c r="X266" i="3"/>
  <c r="W266" i="3"/>
  <c r="V266" i="3"/>
  <c r="U266" i="3"/>
  <c r="S266" i="3"/>
  <c r="R266" i="3"/>
  <c r="T266" i="3" s="1"/>
  <c r="P266" i="3"/>
  <c r="O266" i="3"/>
  <c r="Q266" i="3" s="1"/>
  <c r="M266" i="3"/>
  <c r="L266" i="3"/>
  <c r="N266" i="3" s="1"/>
  <c r="J266" i="3"/>
  <c r="I266" i="3"/>
  <c r="K266" i="3" s="1"/>
  <c r="H266" i="3"/>
  <c r="G266" i="3"/>
  <c r="F266" i="3"/>
  <c r="E266" i="3"/>
  <c r="D266" i="3"/>
  <c r="C266" i="3"/>
  <c r="B266" i="3"/>
  <c r="A266" i="3"/>
  <c r="AA266" i="3" s="1"/>
  <c r="AB265" i="3"/>
  <c r="AA265" i="3"/>
  <c r="X265" i="3"/>
  <c r="V265" i="3"/>
  <c r="U265" i="3"/>
  <c r="W265" i="3" s="1"/>
  <c r="T265" i="3"/>
  <c r="S265" i="3"/>
  <c r="R265" i="3"/>
  <c r="Q265" i="3"/>
  <c r="P265" i="3"/>
  <c r="O265" i="3"/>
  <c r="M265" i="3"/>
  <c r="L265" i="3"/>
  <c r="N265" i="3" s="1"/>
  <c r="K265" i="3"/>
  <c r="J265" i="3"/>
  <c r="I265" i="3"/>
  <c r="G265" i="3"/>
  <c r="F265" i="3"/>
  <c r="H265" i="3" s="1"/>
  <c r="E265" i="3"/>
  <c r="D265" i="3"/>
  <c r="C265" i="3"/>
  <c r="B265" i="3"/>
  <c r="A265" i="3"/>
  <c r="Z265" i="3" s="1"/>
  <c r="Z264" i="3"/>
  <c r="Y264" i="3"/>
  <c r="X264" i="3"/>
  <c r="W264" i="3"/>
  <c r="V264" i="3"/>
  <c r="U264" i="3"/>
  <c r="T264" i="3"/>
  <c r="S264" i="3"/>
  <c r="R264" i="3"/>
  <c r="Q264" i="3"/>
  <c r="P264" i="3"/>
  <c r="O264" i="3"/>
  <c r="M264" i="3"/>
  <c r="L264" i="3"/>
  <c r="N264" i="3" s="1"/>
  <c r="J264" i="3"/>
  <c r="I264" i="3"/>
  <c r="K264" i="3" s="1"/>
  <c r="H264" i="3"/>
  <c r="G264" i="3"/>
  <c r="F264" i="3"/>
  <c r="E264" i="3"/>
  <c r="D264" i="3"/>
  <c r="C264" i="3"/>
  <c r="B264" i="3"/>
  <c r="A264" i="3"/>
  <c r="AA264" i="3" s="1"/>
  <c r="V263" i="3"/>
  <c r="U263" i="3"/>
  <c r="W263" i="3" s="1"/>
  <c r="T263" i="3"/>
  <c r="S263" i="3"/>
  <c r="R263" i="3"/>
  <c r="Q263" i="3"/>
  <c r="P263" i="3"/>
  <c r="O263" i="3"/>
  <c r="M263" i="3"/>
  <c r="L263" i="3"/>
  <c r="N263" i="3" s="1"/>
  <c r="J263" i="3"/>
  <c r="I263" i="3"/>
  <c r="K263" i="3" s="1"/>
  <c r="H263" i="3"/>
  <c r="G263" i="3"/>
  <c r="F263" i="3"/>
  <c r="E263" i="3"/>
  <c r="D263" i="3"/>
  <c r="C263" i="3"/>
  <c r="B263" i="3"/>
  <c r="A263" i="3"/>
  <c r="AA263" i="3" s="1"/>
  <c r="AB262" i="3"/>
  <c r="W262" i="3"/>
  <c r="V262" i="3"/>
  <c r="U262" i="3"/>
  <c r="S262" i="3"/>
  <c r="R262" i="3"/>
  <c r="T262" i="3" s="1"/>
  <c r="P262" i="3"/>
  <c r="O262" i="3"/>
  <c r="Q262" i="3" s="1"/>
  <c r="M262" i="3"/>
  <c r="L262" i="3"/>
  <c r="N262" i="3" s="1"/>
  <c r="J262" i="3"/>
  <c r="I262" i="3"/>
  <c r="K262" i="3" s="1"/>
  <c r="G262" i="3"/>
  <c r="F262" i="3"/>
  <c r="H262" i="3" s="1"/>
  <c r="E262" i="3"/>
  <c r="D262" i="3"/>
  <c r="C262" i="3"/>
  <c r="B262" i="3"/>
  <c r="A262" i="3"/>
  <c r="V261" i="3"/>
  <c r="U261" i="3"/>
  <c r="W261" i="3" s="1"/>
  <c r="T261" i="3"/>
  <c r="S261" i="3"/>
  <c r="R261" i="3"/>
  <c r="Q261" i="3"/>
  <c r="P261" i="3"/>
  <c r="O261" i="3"/>
  <c r="M261" i="3"/>
  <c r="L261" i="3"/>
  <c r="N261" i="3" s="1"/>
  <c r="J261" i="3"/>
  <c r="I261" i="3"/>
  <c r="K261" i="3" s="1"/>
  <c r="G261" i="3"/>
  <c r="F261" i="3"/>
  <c r="H261" i="3" s="1"/>
  <c r="E261" i="3"/>
  <c r="D261" i="3"/>
  <c r="C261" i="3"/>
  <c r="B261" i="3"/>
  <c r="A261" i="3"/>
  <c r="AB261" i="3" s="1"/>
  <c r="Y260" i="3"/>
  <c r="X260" i="3"/>
  <c r="W260" i="3"/>
  <c r="V260" i="3"/>
  <c r="U260" i="3"/>
  <c r="T260" i="3"/>
  <c r="S260" i="3"/>
  <c r="R260" i="3"/>
  <c r="P260" i="3"/>
  <c r="O260" i="3"/>
  <c r="Q260" i="3" s="1"/>
  <c r="M260" i="3"/>
  <c r="L260" i="3"/>
  <c r="N260" i="3" s="1"/>
  <c r="J260" i="3"/>
  <c r="I260" i="3"/>
  <c r="K260" i="3" s="1"/>
  <c r="G260" i="3"/>
  <c r="F260" i="3"/>
  <c r="H260" i="3" s="1"/>
  <c r="E260" i="3"/>
  <c r="D260" i="3"/>
  <c r="C260" i="3"/>
  <c r="B260" i="3"/>
  <c r="A260" i="3"/>
  <c r="AA260" i="3" s="1"/>
  <c r="V259" i="3"/>
  <c r="U259" i="3"/>
  <c r="W259" i="3" s="1"/>
  <c r="S259" i="3"/>
  <c r="R259" i="3"/>
  <c r="T259" i="3" s="1"/>
  <c r="Q259" i="3"/>
  <c r="P259" i="3"/>
  <c r="O259" i="3"/>
  <c r="N259" i="3"/>
  <c r="M259" i="3"/>
  <c r="L259" i="3"/>
  <c r="J259" i="3"/>
  <c r="I259" i="3"/>
  <c r="K259" i="3" s="1"/>
  <c r="G259" i="3"/>
  <c r="F259" i="3"/>
  <c r="H259" i="3" s="1"/>
  <c r="E259" i="3"/>
  <c r="D259" i="3"/>
  <c r="C259" i="3"/>
  <c r="B259" i="3"/>
  <c r="A259" i="3"/>
  <c r="AB259" i="3" s="1"/>
  <c r="Y258" i="3"/>
  <c r="V258" i="3"/>
  <c r="U258" i="3"/>
  <c r="W258" i="3" s="1"/>
  <c r="T258" i="3"/>
  <c r="S258" i="3"/>
  <c r="R258" i="3"/>
  <c r="Q258" i="3"/>
  <c r="P258" i="3"/>
  <c r="O258" i="3"/>
  <c r="M258" i="3"/>
  <c r="L258" i="3"/>
  <c r="N258" i="3" s="1"/>
  <c r="J258" i="3"/>
  <c r="I258" i="3"/>
  <c r="K258" i="3" s="1"/>
  <c r="H258" i="3"/>
  <c r="G258" i="3"/>
  <c r="F258" i="3"/>
  <c r="E258" i="3"/>
  <c r="D258" i="3"/>
  <c r="C258" i="3"/>
  <c r="B258" i="3"/>
  <c r="A258" i="3"/>
  <c r="AA258" i="3" s="1"/>
  <c r="AB257" i="3"/>
  <c r="Y257" i="3"/>
  <c r="X257" i="3"/>
  <c r="V257" i="3"/>
  <c r="U257" i="3"/>
  <c r="W257" i="3" s="1"/>
  <c r="T257" i="3"/>
  <c r="S257" i="3"/>
  <c r="R257" i="3"/>
  <c r="Q257" i="3"/>
  <c r="P257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A257" i="3"/>
  <c r="AA257" i="3" s="1"/>
  <c r="Z256" i="3"/>
  <c r="W256" i="3"/>
  <c r="V256" i="3"/>
  <c r="U256" i="3"/>
  <c r="S256" i="3"/>
  <c r="R256" i="3"/>
  <c r="T256" i="3" s="1"/>
  <c r="Q256" i="3"/>
  <c r="P256" i="3"/>
  <c r="O256" i="3"/>
  <c r="N256" i="3"/>
  <c r="M256" i="3"/>
  <c r="L256" i="3"/>
  <c r="J256" i="3"/>
  <c r="I256" i="3"/>
  <c r="K256" i="3" s="1"/>
  <c r="H256" i="3"/>
  <c r="G256" i="3"/>
  <c r="F256" i="3"/>
  <c r="E256" i="3"/>
  <c r="D256" i="3"/>
  <c r="C256" i="3"/>
  <c r="B256" i="3"/>
  <c r="A256" i="3"/>
  <c r="AB256" i="3" s="1"/>
  <c r="AB255" i="3"/>
  <c r="Y255" i="3"/>
  <c r="V255" i="3"/>
  <c r="U255" i="3"/>
  <c r="W255" i="3" s="1"/>
  <c r="T255" i="3"/>
  <c r="S255" i="3"/>
  <c r="R255" i="3"/>
  <c r="Q255" i="3"/>
  <c r="P255" i="3"/>
  <c r="O255" i="3"/>
  <c r="M255" i="3"/>
  <c r="L255" i="3"/>
  <c r="N255" i="3" s="1"/>
  <c r="K255" i="3"/>
  <c r="J255" i="3"/>
  <c r="I255" i="3"/>
  <c r="H255" i="3"/>
  <c r="G255" i="3"/>
  <c r="F255" i="3"/>
  <c r="E255" i="3"/>
  <c r="D255" i="3"/>
  <c r="C255" i="3"/>
  <c r="B255" i="3"/>
  <c r="A255" i="3"/>
  <c r="AA255" i="3" s="1"/>
  <c r="AB254" i="3"/>
  <c r="Y254" i="3"/>
  <c r="X254" i="3"/>
  <c r="W254" i="3"/>
  <c r="V254" i="3"/>
  <c r="U254" i="3"/>
  <c r="T254" i="3"/>
  <c r="S254" i="3"/>
  <c r="R254" i="3"/>
  <c r="P254" i="3"/>
  <c r="O254" i="3"/>
  <c r="Q254" i="3" s="1"/>
  <c r="N254" i="3"/>
  <c r="M254" i="3"/>
  <c r="L254" i="3"/>
  <c r="J254" i="3"/>
  <c r="I254" i="3"/>
  <c r="K254" i="3" s="1"/>
  <c r="G254" i="3"/>
  <c r="F254" i="3"/>
  <c r="H254" i="3" s="1"/>
  <c r="E254" i="3"/>
  <c r="D254" i="3"/>
  <c r="C254" i="3"/>
  <c r="B254" i="3"/>
  <c r="A254" i="3"/>
  <c r="AA254" i="3" s="1"/>
  <c r="Z253" i="3"/>
  <c r="V253" i="3"/>
  <c r="U253" i="3"/>
  <c r="W253" i="3" s="1"/>
  <c r="S253" i="3"/>
  <c r="R253" i="3"/>
  <c r="T253" i="3" s="1"/>
  <c r="Q253" i="3"/>
  <c r="P253" i="3"/>
  <c r="O253" i="3"/>
  <c r="N253" i="3"/>
  <c r="M253" i="3"/>
  <c r="L253" i="3"/>
  <c r="J253" i="3"/>
  <c r="I253" i="3"/>
  <c r="K253" i="3" s="1"/>
  <c r="H253" i="3"/>
  <c r="G253" i="3"/>
  <c r="F253" i="3"/>
  <c r="E253" i="3"/>
  <c r="D253" i="3"/>
  <c r="C253" i="3"/>
  <c r="B253" i="3"/>
  <c r="A253" i="3"/>
  <c r="AA253" i="3" s="1"/>
  <c r="AB252" i="3"/>
  <c r="Y252" i="3"/>
  <c r="X252" i="3"/>
  <c r="V252" i="3"/>
  <c r="U252" i="3"/>
  <c r="W252" i="3" s="1"/>
  <c r="T252" i="3"/>
  <c r="S252" i="3"/>
  <c r="R252" i="3"/>
  <c r="Q252" i="3"/>
  <c r="P252" i="3"/>
  <c r="O252" i="3"/>
  <c r="M252" i="3"/>
  <c r="L252" i="3"/>
  <c r="N252" i="3" s="1"/>
  <c r="J252" i="3"/>
  <c r="I252" i="3"/>
  <c r="K252" i="3" s="1"/>
  <c r="H252" i="3"/>
  <c r="G252" i="3"/>
  <c r="F252" i="3"/>
  <c r="E252" i="3"/>
  <c r="D252" i="3"/>
  <c r="C252" i="3"/>
  <c r="B252" i="3"/>
  <c r="A252" i="3"/>
  <c r="AA252" i="3" s="1"/>
  <c r="AB251" i="3"/>
  <c r="AA251" i="3"/>
  <c r="Y251" i="3"/>
  <c r="X251" i="3"/>
  <c r="V251" i="3"/>
  <c r="U251" i="3"/>
  <c r="W251" i="3" s="1"/>
  <c r="S251" i="3"/>
  <c r="R251" i="3"/>
  <c r="T251" i="3" s="1"/>
  <c r="Q251" i="3"/>
  <c r="P251" i="3"/>
  <c r="O251" i="3"/>
  <c r="N251" i="3"/>
  <c r="M251" i="3"/>
  <c r="L251" i="3"/>
  <c r="K251" i="3"/>
  <c r="J251" i="3"/>
  <c r="I251" i="3"/>
  <c r="G251" i="3"/>
  <c r="F251" i="3"/>
  <c r="H251" i="3" s="1"/>
  <c r="E251" i="3"/>
  <c r="D251" i="3"/>
  <c r="C251" i="3"/>
  <c r="B251" i="3"/>
  <c r="A251" i="3"/>
  <c r="Z251" i="3" s="1"/>
  <c r="Z250" i="3"/>
  <c r="Y250" i="3"/>
  <c r="V250" i="3"/>
  <c r="U250" i="3"/>
  <c r="W250" i="3" s="1"/>
  <c r="S250" i="3"/>
  <c r="R250" i="3"/>
  <c r="T250" i="3" s="1"/>
  <c r="Q250" i="3"/>
  <c r="P250" i="3"/>
  <c r="O250" i="3"/>
  <c r="N250" i="3"/>
  <c r="M250" i="3"/>
  <c r="L250" i="3"/>
  <c r="J250" i="3"/>
  <c r="I250" i="3"/>
  <c r="K250" i="3" s="1"/>
  <c r="H250" i="3"/>
  <c r="G250" i="3"/>
  <c r="F250" i="3"/>
  <c r="E250" i="3"/>
  <c r="D250" i="3"/>
  <c r="C250" i="3"/>
  <c r="B250" i="3"/>
  <c r="A250" i="3"/>
  <c r="X250" i="3" s="1"/>
  <c r="AB249" i="3"/>
  <c r="AA249" i="3"/>
  <c r="Y249" i="3"/>
  <c r="X249" i="3"/>
  <c r="V249" i="3"/>
  <c r="U249" i="3"/>
  <c r="W249" i="3" s="1"/>
  <c r="T249" i="3"/>
  <c r="S249" i="3"/>
  <c r="R249" i="3"/>
  <c r="Q249" i="3"/>
  <c r="P249" i="3"/>
  <c r="O249" i="3"/>
  <c r="M249" i="3"/>
  <c r="L249" i="3"/>
  <c r="N249" i="3" s="1"/>
  <c r="K249" i="3"/>
  <c r="J249" i="3"/>
  <c r="I249" i="3"/>
  <c r="H249" i="3"/>
  <c r="G249" i="3"/>
  <c r="F249" i="3"/>
  <c r="E249" i="3"/>
  <c r="D249" i="3"/>
  <c r="C249" i="3"/>
  <c r="B249" i="3"/>
  <c r="A249" i="3"/>
  <c r="Z249" i="3" s="1"/>
  <c r="W248" i="3"/>
  <c r="V248" i="3"/>
  <c r="U248" i="3"/>
  <c r="S248" i="3"/>
  <c r="R248" i="3"/>
  <c r="T248" i="3" s="1"/>
  <c r="P248" i="3"/>
  <c r="O248" i="3"/>
  <c r="Q248" i="3" s="1"/>
  <c r="N248" i="3"/>
  <c r="M248" i="3"/>
  <c r="L248" i="3"/>
  <c r="J248" i="3"/>
  <c r="I248" i="3"/>
  <c r="K248" i="3" s="1"/>
  <c r="G248" i="3"/>
  <c r="F248" i="3"/>
  <c r="H248" i="3" s="1"/>
  <c r="E248" i="3"/>
  <c r="D248" i="3"/>
  <c r="C248" i="3"/>
  <c r="B248" i="3"/>
  <c r="A248" i="3"/>
  <c r="AA248" i="3" s="1"/>
  <c r="Y247" i="3"/>
  <c r="X247" i="3"/>
  <c r="V247" i="3"/>
  <c r="U247" i="3"/>
  <c r="W247" i="3" s="1"/>
  <c r="T247" i="3"/>
  <c r="S247" i="3"/>
  <c r="R247" i="3"/>
  <c r="Q247" i="3"/>
  <c r="P247" i="3"/>
  <c r="O247" i="3"/>
  <c r="M247" i="3"/>
  <c r="L247" i="3"/>
  <c r="N247" i="3" s="1"/>
  <c r="J247" i="3"/>
  <c r="I247" i="3"/>
  <c r="K247" i="3" s="1"/>
  <c r="H247" i="3"/>
  <c r="G247" i="3"/>
  <c r="F247" i="3"/>
  <c r="E247" i="3"/>
  <c r="D247" i="3"/>
  <c r="C247" i="3"/>
  <c r="B247" i="3"/>
  <c r="A247" i="3"/>
  <c r="Z246" i="3"/>
  <c r="W246" i="3"/>
  <c r="V246" i="3"/>
  <c r="U246" i="3"/>
  <c r="S246" i="3"/>
  <c r="R246" i="3"/>
  <c r="T246" i="3" s="1"/>
  <c r="P246" i="3"/>
  <c r="O246" i="3"/>
  <c r="Q246" i="3" s="1"/>
  <c r="M246" i="3"/>
  <c r="L246" i="3"/>
  <c r="N246" i="3" s="1"/>
  <c r="J246" i="3"/>
  <c r="I246" i="3"/>
  <c r="K246" i="3" s="1"/>
  <c r="G246" i="3"/>
  <c r="F246" i="3"/>
  <c r="H246" i="3" s="1"/>
  <c r="E246" i="3"/>
  <c r="D246" i="3"/>
  <c r="C246" i="3"/>
  <c r="B246" i="3"/>
  <c r="A246" i="3"/>
  <c r="AB246" i="3" s="1"/>
  <c r="V245" i="3"/>
  <c r="U245" i="3"/>
  <c r="W245" i="3" s="1"/>
  <c r="T245" i="3"/>
  <c r="S245" i="3"/>
  <c r="R245" i="3"/>
  <c r="Q245" i="3"/>
  <c r="P245" i="3"/>
  <c r="O245" i="3"/>
  <c r="M245" i="3"/>
  <c r="L245" i="3"/>
  <c r="N245" i="3" s="1"/>
  <c r="J245" i="3"/>
  <c r="I245" i="3"/>
  <c r="K245" i="3" s="1"/>
  <c r="G245" i="3"/>
  <c r="F245" i="3"/>
  <c r="H245" i="3" s="1"/>
  <c r="E245" i="3"/>
  <c r="D245" i="3"/>
  <c r="C245" i="3"/>
  <c r="B245" i="3"/>
  <c r="A245" i="3"/>
  <c r="AB245" i="3" s="1"/>
  <c r="Y244" i="3"/>
  <c r="X244" i="3"/>
  <c r="W244" i="3"/>
  <c r="V244" i="3"/>
  <c r="U244" i="3"/>
  <c r="T244" i="3"/>
  <c r="S244" i="3"/>
  <c r="R244" i="3"/>
  <c r="P244" i="3"/>
  <c r="O244" i="3"/>
  <c r="Q244" i="3" s="1"/>
  <c r="M244" i="3"/>
  <c r="L244" i="3"/>
  <c r="N244" i="3" s="1"/>
  <c r="J244" i="3"/>
  <c r="I244" i="3"/>
  <c r="K244" i="3" s="1"/>
  <c r="G244" i="3"/>
  <c r="F244" i="3"/>
  <c r="H244" i="3" s="1"/>
  <c r="E244" i="3"/>
  <c r="D244" i="3"/>
  <c r="C244" i="3"/>
  <c r="B244" i="3"/>
  <c r="A244" i="3"/>
  <c r="AA244" i="3" s="1"/>
  <c r="AA243" i="3"/>
  <c r="Z243" i="3"/>
  <c r="V243" i="3"/>
  <c r="U243" i="3"/>
  <c r="W243" i="3" s="1"/>
  <c r="S243" i="3"/>
  <c r="R243" i="3"/>
  <c r="T243" i="3" s="1"/>
  <c r="Q243" i="3"/>
  <c r="P243" i="3"/>
  <c r="O243" i="3"/>
  <c r="N243" i="3"/>
  <c r="M243" i="3"/>
  <c r="L243" i="3"/>
  <c r="J243" i="3"/>
  <c r="I243" i="3"/>
  <c r="K243" i="3" s="1"/>
  <c r="G243" i="3"/>
  <c r="F243" i="3"/>
  <c r="H243" i="3" s="1"/>
  <c r="E243" i="3"/>
  <c r="D243" i="3"/>
  <c r="C243" i="3"/>
  <c r="B243" i="3"/>
  <c r="A243" i="3"/>
  <c r="AB243" i="3" s="1"/>
  <c r="Y242" i="3"/>
  <c r="V242" i="3"/>
  <c r="U242" i="3"/>
  <c r="W242" i="3" s="1"/>
  <c r="T242" i="3"/>
  <c r="S242" i="3"/>
  <c r="R242" i="3"/>
  <c r="Q242" i="3"/>
  <c r="P242" i="3"/>
  <c r="O242" i="3"/>
  <c r="M242" i="3"/>
  <c r="L242" i="3"/>
  <c r="N242" i="3" s="1"/>
  <c r="J242" i="3"/>
  <c r="I242" i="3"/>
  <c r="K242" i="3" s="1"/>
  <c r="H242" i="3"/>
  <c r="G242" i="3"/>
  <c r="F242" i="3"/>
  <c r="E242" i="3"/>
  <c r="D242" i="3"/>
  <c r="C242" i="3"/>
  <c r="B242" i="3"/>
  <c r="A242" i="3"/>
  <c r="AA242" i="3" s="1"/>
  <c r="AB241" i="3"/>
  <c r="Y241" i="3"/>
  <c r="X241" i="3"/>
  <c r="V241" i="3"/>
  <c r="U241" i="3"/>
  <c r="W241" i="3" s="1"/>
  <c r="T241" i="3"/>
  <c r="S241" i="3"/>
  <c r="R241" i="3"/>
  <c r="Q241" i="3"/>
  <c r="P241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A241" i="3"/>
  <c r="AA241" i="3" s="1"/>
  <c r="AB240" i="3"/>
  <c r="Z240" i="3"/>
  <c r="W240" i="3"/>
  <c r="V240" i="3"/>
  <c r="U240" i="3"/>
  <c r="S240" i="3"/>
  <c r="R240" i="3"/>
  <c r="T240" i="3" s="1"/>
  <c r="Q240" i="3"/>
  <c r="P240" i="3"/>
  <c r="O240" i="3"/>
  <c r="N240" i="3"/>
  <c r="M240" i="3"/>
  <c r="L240" i="3"/>
  <c r="J240" i="3"/>
  <c r="I240" i="3"/>
  <c r="K240" i="3" s="1"/>
  <c r="H240" i="3"/>
  <c r="G240" i="3"/>
  <c r="F240" i="3"/>
  <c r="E240" i="3"/>
  <c r="D240" i="3"/>
  <c r="C240" i="3"/>
  <c r="B240" i="3"/>
  <c r="A240" i="3"/>
  <c r="Y240" i="3" s="1"/>
  <c r="AB239" i="3"/>
  <c r="Y239" i="3"/>
  <c r="V239" i="3"/>
  <c r="U239" i="3"/>
  <c r="W239" i="3" s="1"/>
  <c r="T239" i="3"/>
  <c r="S239" i="3"/>
  <c r="R239" i="3"/>
  <c r="Q239" i="3"/>
  <c r="P239" i="3"/>
  <c r="O239" i="3"/>
  <c r="M239" i="3"/>
  <c r="L239" i="3"/>
  <c r="N239" i="3" s="1"/>
  <c r="K239" i="3"/>
  <c r="J239" i="3"/>
  <c r="I239" i="3"/>
  <c r="H239" i="3"/>
  <c r="G239" i="3"/>
  <c r="F239" i="3"/>
  <c r="E239" i="3"/>
  <c r="D239" i="3"/>
  <c r="C239" i="3"/>
  <c r="B239" i="3"/>
  <c r="A239" i="3"/>
  <c r="AA239" i="3" s="1"/>
  <c r="AB238" i="3"/>
  <c r="Y238" i="3"/>
  <c r="X238" i="3"/>
  <c r="W238" i="3"/>
  <c r="V238" i="3"/>
  <c r="U238" i="3"/>
  <c r="T238" i="3"/>
  <c r="S238" i="3"/>
  <c r="R238" i="3"/>
  <c r="P238" i="3"/>
  <c r="O238" i="3"/>
  <c r="Q238" i="3" s="1"/>
  <c r="N238" i="3"/>
  <c r="M238" i="3"/>
  <c r="L238" i="3"/>
  <c r="J238" i="3"/>
  <c r="I238" i="3"/>
  <c r="K238" i="3" s="1"/>
  <c r="G238" i="3"/>
  <c r="F238" i="3"/>
  <c r="H238" i="3" s="1"/>
  <c r="E238" i="3"/>
  <c r="D238" i="3"/>
  <c r="C238" i="3"/>
  <c r="B238" i="3"/>
  <c r="A238" i="3"/>
  <c r="AA238" i="3" s="1"/>
  <c r="V237" i="3"/>
  <c r="U237" i="3"/>
  <c r="W237" i="3" s="1"/>
  <c r="S237" i="3"/>
  <c r="R237" i="3"/>
  <c r="T237" i="3" s="1"/>
  <c r="Q237" i="3"/>
  <c r="P237" i="3"/>
  <c r="O237" i="3"/>
  <c r="N237" i="3"/>
  <c r="M237" i="3"/>
  <c r="L237" i="3"/>
  <c r="J237" i="3"/>
  <c r="I237" i="3"/>
  <c r="K237" i="3" s="1"/>
  <c r="H237" i="3"/>
  <c r="G237" i="3"/>
  <c r="F237" i="3"/>
  <c r="E237" i="3"/>
  <c r="D237" i="3"/>
  <c r="C237" i="3"/>
  <c r="B237" i="3"/>
  <c r="A237" i="3"/>
  <c r="AA237" i="3" s="1"/>
  <c r="AB236" i="3"/>
  <c r="Y236" i="3"/>
  <c r="X236" i="3"/>
  <c r="V236" i="3"/>
  <c r="U236" i="3"/>
  <c r="W236" i="3" s="1"/>
  <c r="T236" i="3"/>
  <c r="S236" i="3"/>
  <c r="R236" i="3"/>
  <c r="Q236" i="3"/>
  <c r="P236" i="3"/>
  <c r="O236" i="3"/>
  <c r="M236" i="3"/>
  <c r="L236" i="3"/>
  <c r="N236" i="3" s="1"/>
  <c r="J236" i="3"/>
  <c r="I236" i="3"/>
  <c r="K236" i="3" s="1"/>
  <c r="H236" i="3"/>
  <c r="G236" i="3"/>
  <c r="F236" i="3"/>
  <c r="E236" i="3"/>
  <c r="D236" i="3"/>
  <c r="C236" i="3"/>
  <c r="B236" i="3"/>
  <c r="A236" i="3"/>
  <c r="AA236" i="3" s="1"/>
  <c r="AB235" i="3"/>
  <c r="AA235" i="3"/>
  <c r="Y235" i="3"/>
  <c r="X235" i="3"/>
  <c r="V235" i="3"/>
  <c r="U235" i="3"/>
  <c r="W235" i="3" s="1"/>
  <c r="S235" i="3"/>
  <c r="R235" i="3"/>
  <c r="T235" i="3" s="1"/>
  <c r="P235" i="3"/>
  <c r="O235" i="3"/>
  <c r="Q235" i="3" s="1"/>
  <c r="N235" i="3"/>
  <c r="M235" i="3"/>
  <c r="L235" i="3"/>
  <c r="K235" i="3"/>
  <c r="J235" i="3"/>
  <c r="I235" i="3"/>
  <c r="G235" i="3"/>
  <c r="F235" i="3"/>
  <c r="H235" i="3" s="1"/>
  <c r="E235" i="3"/>
  <c r="D235" i="3"/>
  <c r="C235" i="3"/>
  <c r="B235" i="3"/>
  <c r="A235" i="3"/>
  <c r="Z235" i="3" s="1"/>
  <c r="AA234" i="3"/>
  <c r="Z234" i="3"/>
  <c r="Y234" i="3"/>
  <c r="W234" i="3"/>
  <c r="V234" i="3"/>
  <c r="U234" i="3"/>
  <c r="S234" i="3"/>
  <c r="R234" i="3"/>
  <c r="T234" i="3" s="1"/>
  <c r="Q234" i="3"/>
  <c r="P234" i="3"/>
  <c r="O234" i="3"/>
  <c r="N234" i="3"/>
  <c r="M234" i="3"/>
  <c r="L234" i="3"/>
  <c r="J234" i="3"/>
  <c r="I234" i="3"/>
  <c r="K234" i="3" s="1"/>
  <c r="G234" i="3"/>
  <c r="F234" i="3"/>
  <c r="H234" i="3" s="1"/>
  <c r="E234" i="3"/>
  <c r="D234" i="3"/>
  <c r="C234" i="3"/>
  <c r="B234" i="3"/>
  <c r="A234" i="3"/>
  <c r="AA233" i="3"/>
  <c r="Z233" i="3"/>
  <c r="X233" i="3"/>
  <c r="V233" i="3"/>
  <c r="U233" i="3"/>
  <c r="W233" i="3" s="1"/>
  <c r="S233" i="3"/>
  <c r="R233" i="3"/>
  <c r="T233" i="3" s="1"/>
  <c r="P233" i="3"/>
  <c r="O233" i="3"/>
  <c r="Q233" i="3" s="1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A233" i="3"/>
  <c r="AB233" i="3" s="1"/>
  <c r="W232" i="3"/>
  <c r="V232" i="3"/>
  <c r="U232" i="3"/>
  <c r="S232" i="3"/>
  <c r="R232" i="3"/>
  <c r="T232" i="3" s="1"/>
  <c r="Q232" i="3"/>
  <c r="P232" i="3"/>
  <c r="O232" i="3"/>
  <c r="N232" i="3"/>
  <c r="M232" i="3"/>
  <c r="L232" i="3"/>
  <c r="K232" i="3"/>
  <c r="J232" i="3"/>
  <c r="I232" i="3"/>
  <c r="G232" i="3"/>
  <c r="F232" i="3"/>
  <c r="H232" i="3" s="1"/>
  <c r="E232" i="3"/>
  <c r="D232" i="3"/>
  <c r="C232" i="3"/>
  <c r="B232" i="3"/>
  <c r="A232" i="3"/>
  <c r="X232" i="3" s="1"/>
  <c r="AA231" i="3"/>
  <c r="Z231" i="3"/>
  <c r="X231" i="3"/>
  <c r="W231" i="3"/>
  <c r="V231" i="3"/>
  <c r="U231" i="3"/>
  <c r="S231" i="3"/>
  <c r="R231" i="3"/>
  <c r="T231" i="3" s="1"/>
  <c r="P231" i="3"/>
  <c r="O231" i="3"/>
  <c r="Q231" i="3" s="1"/>
  <c r="N231" i="3"/>
  <c r="M231" i="3"/>
  <c r="L231" i="3"/>
  <c r="K231" i="3"/>
  <c r="J231" i="3"/>
  <c r="I231" i="3"/>
  <c r="G231" i="3"/>
  <c r="F231" i="3"/>
  <c r="H231" i="3" s="1"/>
  <c r="E231" i="3"/>
  <c r="D231" i="3"/>
  <c r="C231" i="3"/>
  <c r="B231" i="3"/>
  <c r="A231" i="3"/>
  <c r="AB231" i="3" s="1"/>
  <c r="AB230" i="3"/>
  <c r="Z230" i="3"/>
  <c r="Y230" i="3"/>
  <c r="W230" i="3"/>
  <c r="V230" i="3"/>
  <c r="U230" i="3"/>
  <c r="T230" i="3"/>
  <c r="S230" i="3"/>
  <c r="R230" i="3"/>
  <c r="Q230" i="3"/>
  <c r="P230" i="3"/>
  <c r="O230" i="3"/>
  <c r="M230" i="3"/>
  <c r="L230" i="3"/>
  <c r="N230" i="3" s="1"/>
  <c r="J230" i="3"/>
  <c r="I230" i="3"/>
  <c r="K230" i="3" s="1"/>
  <c r="G230" i="3"/>
  <c r="F230" i="3"/>
  <c r="H230" i="3" s="1"/>
  <c r="E230" i="3"/>
  <c r="D230" i="3"/>
  <c r="C230" i="3"/>
  <c r="B230" i="3"/>
  <c r="A230" i="3"/>
  <c r="X230" i="3" s="1"/>
  <c r="AA229" i="3"/>
  <c r="Z229" i="3"/>
  <c r="X229" i="3"/>
  <c r="V229" i="3"/>
  <c r="U229" i="3"/>
  <c r="W229" i="3" s="1"/>
  <c r="S229" i="3"/>
  <c r="R229" i="3"/>
  <c r="T229" i="3" s="1"/>
  <c r="P229" i="3"/>
  <c r="O229" i="3"/>
  <c r="Q229" i="3" s="1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AB229" i="3" s="1"/>
  <c r="AB228" i="3"/>
  <c r="W228" i="3"/>
  <c r="V228" i="3"/>
  <c r="U228" i="3"/>
  <c r="S228" i="3"/>
  <c r="R228" i="3"/>
  <c r="T228" i="3" s="1"/>
  <c r="P228" i="3"/>
  <c r="O228" i="3"/>
  <c r="Q228" i="3" s="1"/>
  <c r="N228" i="3"/>
  <c r="M228" i="3"/>
  <c r="L228" i="3"/>
  <c r="K228" i="3"/>
  <c r="J228" i="3"/>
  <c r="I228" i="3"/>
  <c r="G228" i="3"/>
  <c r="F228" i="3"/>
  <c r="H228" i="3" s="1"/>
  <c r="E228" i="3"/>
  <c r="D228" i="3"/>
  <c r="C228" i="3"/>
  <c r="B228" i="3"/>
  <c r="A228" i="3"/>
  <c r="X228" i="3" s="1"/>
  <c r="AA227" i="3"/>
  <c r="Z227" i="3"/>
  <c r="X227" i="3"/>
  <c r="W227" i="3"/>
  <c r="V227" i="3"/>
  <c r="U227" i="3"/>
  <c r="S227" i="3"/>
  <c r="R227" i="3"/>
  <c r="T227" i="3" s="1"/>
  <c r="P227" i="3"/>
  <c r="O227" i="3"/>
  <c r="Q227" i="3" s="1"/>
  <c r="N227" i="3"/>
  <c r="M227" i="3"/>
  <c r="L227" i="3"/>
  <c r="K227" i="3"/>
  <c r="J227" i="3"/>
  <c r="I227" i="3"/>
  <c r="G227" i="3"/>
  <c r="F227" i="3"/>
  <c r="H227" i="3" s="1"/>
  <c r="E227" i="3"/>
  <c r="D227" i="3"/>
  <c r="C227" i="3"/>
  <c r="B227" i="3"/>
  <c r="A227" i="3"/>
  <c r="AB227" i="3" s="1"/>
  <c r="AB226" i="3"/>
  <c r="Z226" i="3"/>
  <c r="Y226" i="3"/>
  <c r="W226" i="3"/>
  <c r="V226" i="3"/>
  <c r="U226" i="3"/>
  <c r="T226" i="3"/>
  <c r="S226" i="3"/>
  <c r="R226" i="3"/>
  <c r="Q226" i="3"/>
  <c r="P226" i="3"/>
  <c r="O226" i="3"/>
  <c r="M226" i="3"/>
  <c r="L226" i="3"/>
  <c r="N226" i="3" s="1"/>
  <c r="J226" i="3"/>
  <c r="I226" i="3"/>
  <c r="K226" i="3" s="1"/>
  <c r="G226" i="3"/>
  <c r="F226" i="3"/>
  <c r="H226" i="3" s="1"/>
  <c r="E226" i="3"/>
  <c r="D226" i="3"/>
  <c r="C226" i="3"/>
  <c r="B226" i="3"/>
  <c r="A226" i="3"/>
  <c r="X226" i="3" s="1"/>
  <c r="AA225" i="3"/>
  <c r="Z225" i="3"/>
  <c r="X225" i="3"/>
  <c r="V225" i="3"/>
  <c r="U225" i="3"/>
  <c r="W225" i="3" s="1"/>
  <c r="S225" i="3"/>
  <c r="R225" i="3"/>
  <c r="T225" i="3" s="1"/>
  <c r="P225" i="3"/>
  <c r="O225" i="3"/>
  <c r="Q225" i="3" s="1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AB225" i="3" s="1"/>
  <c r="W224" i="3"/>
  <c r="V224" i="3"/>
  <c r="U224" i="3"/>
  <c r="S224" i="3"/>
  <c r="R224" i="3"/>
  <c r="T224" i="3" s="1"/>
  <c r="P224" i="3"/>
  <c r="O224" i="3"/>
  <c r="Q224" i="3" s="1"/>
  <c r="N224" i="3"/>
  <c r="M224" i="3"/>
  <c r="L224" i="3"/>
  <c r="K224" i="3"/>
  <c r="J224" i="3"/>
  <c r="I224" i="3"/>
  <c r="G224" i="3"/>
  <c r="F224" i="3"/>
  <c r="H224" i="3" s="1"/>
  <c r="E224" i="3"/>
  <c r="D224" i="3"/>
  <c r="C224" i="3"/>
  <c r="B224" i="3"/>
  <c r="A224" i="3"/>
  <c r="X224" i="3" s="1"/>
  <c r="AA223" i="3"/>
  <c r="Z223" i="3"/>
  <c r="X223" i="3"/>
  <c r="W223" i="3"/>
  <c r="V223" i="3"/>
  <c r="U223" i="3"/>
  <c r="S223" i="3"/>
  <c r="R223" i="3"/>
  <c r="T223" i="3" s="1"/>
  <c r="P223" i="3"/>
  <c r="O223" i="3"/>
  <c r="Q223" i="3" s="1"/>
  <c r="N223" i="3"/>
  <c r="M223" i="3"/>
  <c r="L223" i="3"/>
  <c r="K223" i="3"/>
  <c r="J223" i="3"/>
  <c r="I223" i="3"/>
  <c r="G223" i="3"/>
  <c r="F223" i="3"/>
  <c r="H223" i="3" s="1"/>
  <c r="E223" i="3"/>
  <c r="D223" i="3"/>
  <c r="C223" i="3"/>
  <c r="B223" i="3"/>
  <c r="A223" i="3"/>
  <c r="AB223" i="3" s="1"/>
  <c r="AB222" i="3"/>
  <c r="Z222" i="3"/>
  <c r="Y222" i="3"/>
  <c r="W222" i="3"/>
  <c r="V222" i="3"/>
  <c r="U222" i="3"/>
  <c r="T222" i="3"/>
  <c r="S222" i="3"/>
  <c r="R222" i="3"/>
  <c r="Q222" i="3"/>
  <c r="P222" i="3"/>
  <c r="O222" i="3"/>
  <c r="M222" i="3"/>
  <c r="L222" i="3"/>
  <c r="N222" i="3" s="1"/>
  <c r="K222" i="3"/>
  <c r="J222" i="3"/>
  <c r="I222" i="3"/>
  <c r="G222" i="3"/>
  <c r="F222" i="3"/>
  <c r="H222" i="3" s="1"/>
  <c r="E222" i="3"/>
  <c r="D222" i="3"/>
  <c r="C222" i="3"/>
  <c r="B222" i="3"/>
  <c r="A222" i="3"/>
  <c r="X222" i="3" s="1"/>
  <c r="AA221" i="3"/>
  <c r="Z221" i="3"/>
  <c r="X221" i="3"/>
  <c r="V221" i="3"/>
  <c r="U221" i="3"/>
  <c r="W221" i="3" s="1"/>
  <c r="S221" i="3"/>
  <c r="R221" i="3"/>
  <c r="T221" i="3" s="1"/>
  <c r="P221" i="3"/>
  <c r="O221" i="3"/>
  <c r="Q221" i="3" s="1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AB221" i="3" s="1"/>
  <c r="AB220" i="3"/>
  <c r="W220" i="3"/>
  <c r="V220" i="3"/>
  <c r="U220" i="3"/>
  <c r="S220" i="3"/>
  <c r="R220" i="3"/>
  <c r="T220" i="3" s="1"/>
  <c r="P220" i="3"/>
  <c r="O220" i="3"/>
  <c r="Q220" i="3" s="1"/>
  <c r="N220" i="3"/>
  <c r="M220" i="3"/>
  <c r="L220" i="3"/>
  <c r="K220" i="3"/>
  <c r="J220" i="3"/>
  <c r="I220" i="3"/>
  <c r="G220" i="3"/>
  <c r="F220" i="3"/>
  <c r="H220" i="3" s="1"/>
  <c r="E220" i="3"/>
  <c r="D220" i="3"/>
  <c r="C220" i="3"/>
  <c r="B220" i="3"/>
  <c r="A220" i="3"/>
  <c r="X220" i="3" s="1"/>
  <c r="AA219" i="3"/>
  <c r="Z219" i="3"/>
  <c r="X219" i="3"/>
  <c r="W219" i="3"/>
  <c r="V219" i="3"/>
  <c r="U219" i="3"/>
  <c r="S219" i="3"/>
  <c r="R219" i="3"/>
  <c r="T219" i="3" s="1"/>
  <c r="P219" i="3"/>
  <c r="O219" i="3"/>
  <c r="Q219" i="3" s="1"/>
  <c r="N219" i="3"/>
  <c r="M219" i="3"/>
  <c r="L219" i="3"/>
  <c r="K219" i="3"/>
  <c r="J219" i="3"/>
  <c r="I219" i="3"/>
  <c r="G219" i="3"/>
  <c r="F219" i="3"/>
  <c r="H219" i="3" s="1"/>
  <c r="E219" i="3"/>
  <c r="D219" i="3"/>
  <c r="C219" i="3"/>
  <c r="B219" i="3"/>
  <c r="A219" i="3"/>
  <c r="AB219" i="3" s="1"/>
  <c r="AB218" i="3"/>
  <c r="Z218" i="3"/>
  <c r="Y218" i="3"/>
  <c r="W218" i="3"/>
  <c r="V218" i="3"/>
  <c r="U218" i="3"/>
  <c r="T218" i="3"/>
  <c r="S218" i="3"/>
  <c r="R218" i="3"/>
  <c r="Q218" i="3"/>
  <c r="P218" i="3"/>
  <c r="O218" i="3"/>
  <c r="M218" i="3"/>
  <c r="L218" i="3"/>
  <c r="N218" i="3" s="1"/>
  <c r="J218" i="3"/>
  <c r="I218" i="3"/>
  <c r="K218" i="3" s="1"/>
  <c r="G218" i="3"/>
  <c r="F218" i="3"/>
  <c r="H218" i="3" s="1"/>
  <c r="E218" i="3"/>
  <c r="D218" i="3"/>
  <c r="C218" i="3"/>
  <c r="B218" i="3"/>
  <c r="A218" i="3"/>
  <c r="X218" i="3" s="1"/>
  <c r="AA217" i="3"/>
  <c r="Z217" i="3"/>
  <c r="X217" i="3"/>
  <c r="V217" i="3"/>
  <c r="U217" i="3"/>
  <c r="W217" i="3" s="1"/>
  <c r="S217" i="3"/>
  <c r="R217" i="3"/>
  <c r="T217" i="3" s="1"/>
  <c r="P217" i="3"/>
  <c r="O217" i="3"/>
  <c r="Q217" i="3" s="1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AB217" i="3" s="1"/>
  <c r="W216" i="3"/>
  <c r="V216" i="3"/>
  <c r="U216" i="3"/>
  <c r="S216" i="3"/>
  <c r="R216" i="3"/>
  <c r="T216" i="3" s="1"/>
  <c r="Q216" i="3"/>
  <c r="P216" i="3"/>
  <c r="O216" i="3"/>
  <c r="N216" i="3"/>
  <c r="M216" i="3"/>
  <c r="L216" i="3"/>
  <c r="K216" i="3"/>
  <c r="J216" i="3"/>
  <c r="I216" i="3"/>
  <c r="G216" i="3"/>
  <c r="F216" i="3"/>
  <c r="H216" i="3" s="1"/>
  <c r="E216" i="3"/>
  <c r="D216" i="3"/>
  <c r="C216" i="3"/>
  <c r="B216" i="3"/>
  <c r="A216" i="3"/>
  <c r="X216" i="3" s="1"/>
  <c r="AA215" i="3"/>
  <c r="Z215" i="3"/>
  <c r="X215" i="3"/>
  <c r="W215" i="3"/>
  <c r="V215" i="3"/>
  <c r="U215" i="3"/>
  <c r="S215" i="3"/>
  <c r="R215" i="3"/>
  <c r="T215" i="3" s="1"/>
  <c r="P215" i="3"/>
  <c r="O215" i="3"/>
  <c r="Q215" i="3" s="1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AB215" i="3" s="1"/>
  <c r="AB214" i="3"/>
  <c r="Z214" i="3"/>
  <c r="Y214" i="3"/>
  <c r="W214" i="3"/>
  <c r="V214" i="3"/>
  <c r="U214" i="3"/>
  <c r="T214" i="3"/>
  <c r="S214" i="3"/>
  <c r="R214" i="3"/>
  <c r="Q214" i="3"/>
  <c r="P214" i="3"/>
  <c r="O214" i="3"/>
  <c r="M214" i="3"/>
  <c r="L214" i="3"/>
  <c r="N214" i="3" s="1"/>
  <c r="K214" i="3"/>
  <c r="J214" i="3"/>
  <c r="I214" i="3"/>
  <c r="G214" i="3"/>
  <c r="F214" i="3"/>
  <c r="H214" i="3" s="1"/>
  <c r="E214" i="3"/>
  <c r="D214" i="3"/>
  <c r="C214" i="3"/>
  <c r="B214" i="3"/>
  <c r="A214" i="3"/>
  <c r="X214" i="3" s="1"/>
  <c r="AA213" i="3"/>
  <c r="Z213" i="3"/>
  <c r="X213" i="3"/>
  <c r="V213" i="3"/>
  <c r="U213" i="3"/>
  <c r="W213" i="3" s="1"/>
  <c r="S213" i="3"/>
  <c r="R213" i="3"/>
  <c r="T213" i="3" s="1"/>
  <c r="P213" i="3"/>
  <c r="O213" i="3"/>
  <c r="Q213" i="3" s="1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AB213" i="3" s="1"/>
  <c r="W212" i="3"/>
  <c r="V212" i="3"/>
  <c r="U212" i="3"/>
  <c r="S212" i="3"/>
  <c r="R212" i="3"/>
  <c r="T212" i="3" s="1"/>
  <c r="P212" i="3"/>
  <c r="O212" i="3"/>
  <c r="Q212" i="3" s="1"/>
  <c r="N212" i="3"/>
  <c r="M212" i="3"/>
  <c r="L212" i="3"/>
  <c r="K212" i="3"/>
  <c r="J212" i="3"/>
  <c r="I212" i="3"/>
  <c r="G212" i="3"/>
  <c r="F212" i="3"/>
  <c r="H212" i="3" s="1"/>
  <c r="E212" i="3"/>
  <c r="D212" i="3"/>
  <c r="C212" i="3"/>
  <c r="B212" i="3"/>
  <c r="A212" i="3"/>
  <c r="X212" i="3" s="1"/>
  <c r="AA211" i="3"/>
  <c r="Z211" i="3"/>
  <c r="X211" i="3"/>
  <c r="W211" i="3"/>
  <c r="V211" i="3"/>
  <c r="U211" i="3"/>
  <c r="S211" i="3"/>
  <c r="R211" i="3"/>
  <c r="T211" i="3" s="1"/>
  <c r="P211" i="3"/>
  <c r="O211" i="3"/>
  <c r="Q211" i="3" s="1"/>
  <c r="N211" i="3"/>
  <c r="M211" i="3"/>
  <c r="L211" i="3"/>
  <c r="K211" i="3"/>
  <c r="J211" i="3"/>
  <c r="I211" i="3"/>
  <c r="G211" i="3"/>
  <c r="F211" i="3"/>
  <c r="H211" i="3" s="1"/>
  <c r="E211" i="3"/>
  <c r="D211" i="3"/>
  <c r="C211" i="3"/>
  <c r="B211" i="3"/>
  <c r="A211" i="3"/>
  <c r="AB211" i="3" s="1"/>
  <c r="AB210" i="3"/>
  <c r="Z210" i="3"/>
  <c r="Y210" i="3"/>
  <c r="W210" i="3"/>
  <c r="V210" i="3"/>
  <c r="U210" i="3"/>
  <c r="T210" i="3"/>
  <c r="S210" i="3"/>
  <c r="R210" i="3"/>
  <c r="Q210" i="3"/>
  <c r="P210" i="3"/>
  <c r="O210" i="3"/>
  <c r="M210" i="3"/>
  <c r="L210" i="3"/>
  <c r="N210" i="3" s="1"/>
  <c r="J210" i="3"/>
  <c r="I210" i="3"/>
  <c r="K210" i="3" s="1"/>
  <c r="G210" i="3"/>
  <c r="F210" i="3"/>
  <c r="H210" i="3" s="1"/>
  <c r="E210" i="3"/>
  <c r="D210" i="3"/>
  <c r="C210" i="3"/>
  <c r="B210" i="3"/>
  <c r="A210" i="3"/>
  <c r="X210" i="3" s="1"/>
  <c r="AA209" i="3"/>
  <c r="Z209" i="3"/>
  <c r="X209" i="3"/>
  <c r="V209" i="3"/>
  <c r="U209" i="3"/>
  <c r="W209" i="3" s="1"/>
  <c r="S209" i="3"/>
  <c r="R209" i="3"/>
  <c r="T209" i="3" s="1"/>
  <c r="P209" i="3"/>
  <c r="O209" i="3"/>
  <c r="Q209" i="3" s="1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AB209" i="3" s="1"/>
  <c r="W208" i="3"/>
  <c r="V208" i="3"/>
  <c r="U208" i="3"/>
  <c r="S208" i="3"/>
  <c r="R208" i="3"/>
  <c r="T208" i="3" s="1"/>
  <c r="Q208" i="3"/>
  <c r="P208" i="3"/>
  <c r="O208" i="3"/>
  <c r="N208" i="3"/>
  <c r="M208" i="3"/>
  <c r="L208" i="3"/>
  <c r="K208" i="3"/>
  <c r="J208" i="3"/>
  <c r="I208" i="3"/>
  <c r="G208" i="3"/>
  <c r="F208" i="3"/>
  <c r="H208" i="3" s="1"/>
  <c r="E208" i="3"/>
  <c r="D208" i="3"/>
  <c r="C208" i="3"/>
  <c r="B208" i="3"/>
  <c r="A208" i="3"/>
  <c r="X208" i="3" s="1"/>
  <c r="AA207" i="3"/>
  <c r="Z207" i="3"/>
  <c r="X207" i="3"/>
  <c r="W207" i="3"/>
  <c r="V207" i="3"/>
  <c r="U207" i="3"/>
  <c r="S207" i="3"/>
  <c r="R207" i="3"/>
  <c r="T207" i="3" s="1"/>
  <c r="P207" i="3"/>
  <c r="O207" i="3"/>
  <c r="Q207" i="3" s="1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AB207" i="3" s="1"/>
  <c r="AB206" i="3"/>
  <c r="Z206" i="3"/>
  <c r="Y206" i="3"/>
  <c r="W206" i="3"/>
  <c r="V206" i="3"/>
  <c r="U206" i="3"/>
  <c r="T206" i="3"/>
  <c r="S206" i="3"/>
  <c r="R206" i="3"/>
  <c r="P206" i="3"/>
  <c r="O206" i="3"/>
  <c r="Q206" i="3" s="1"/>
  <c r="M206" i="3"/>
  <c r="L206" i="3"/>
  <c r="N206" i="3" s="1"/>
  <c r="K206" i="3"/>
  <c r="J206" i="3"/>
  <c r="I206" i="3"/>
  <c r="G206" i="3"/>
  <c r="F206" i="3"/>
  <c r="H206" i="3" s="1"/>
  <c r="E206" i="3"/>
  <c r="D206" i="3"/>
  <c r="C206" i="3"/>
  <c r="B206" i="3"/>
  <c r="A206" i="3"/>
  <c r="X206" i="3" s="1"/>
  <c r="Z205" i="3"/>
  <c r="X205" i="3"/>
  <c r="V205" i="3"/>
  <c r="U205" i="3"/>
  <c r="W205" i="3" s="1"/>
  <c r="S205" i="3"/>
  <c r="R205" i="3"/>
  <c r="T205" i="3" s="1"/>
  <c r="P205" i="3"/>
  <c r="O205" i="3"/>
  <c r="Q205" i="3" s="1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X204" i="3"/>
  <c r="W204" i="3"/>
  <c r="V204" i="3"/>
  <c r="U204" i="3"/>
  <c r="T204" i="3"/>
  <c r="S204" i="3"/>
  <c r="R204" i="3"/>
  <c r="Q204" i="3"/>
  <c r="P204" i="3"/>
  <c r="O204" i="3"/>
  <c r="M204" i="3"/>
  <c r="L204" i="3"/>
  <c r="N204" i="3" s="1"/>
  <c r="J204" i="3"/>
  <c r="I204" i="3"/>
  <c r="K204" i="3" s="1"/>
  <c r="H204" i="3"/>
  <c r="G204" i="3"/>
  <c r="F204" i="3"/>
  <c r="E204" i="3"/>
  <c r="D204" i="3"/>
  <c r="C204" i="3"/>
  <c r="B204" i="3"/>
  <c r="A204" i="3"/>
  <c r="Y204" i="3" s="1"/>
  <c r="AB203" i="3"/>
  <c r="AA203" i="3"/>
  <c r="X203" i="3"/>
  <c r="V203" i="3"/>
  <c r="U203" i="3"/>
  <c r="W203" i="3" s="1"/>
  <c r="T203" i="3"/>
  <c r="S203" i="3"/>
  <c r="R203" i="3"/>
  <c r="P203" i="3"/>
  <c r="O203" i="3"/>
  <c r="Q203" i="3" s="1"/>
  <c r="M203" i="3"/>
  <c r="L203" i="3"/>
  <c r="N203" i="3" s="1"/>
  <c r="K203" i="3"/>
  <c r="J203" i="3"/>
  <c r="I203" i="3"/>
  <c r="H203" i="3"/>
  <c r="G203" i="3"/>
  <c r="F203" i="3"/>
  <c r="E203" i="3"/>
  <c r="D203" i="3"/>
  <c r="C203" i="3"/>
  <c r="B203" i="3"/>
  <c r="A203" i="3"/>
  <c r="Z203" i="3" s="1"/>
  <c r="X202" i="3"/>
  <c r="W202" i="3"/>
  <c r="V202" i="3"/>
  <c r="U202" i="3"/>
  <c r="T202" i="3"/>
  <c r="S202" i="3"/>
  <c r="R202" i="3"/>
  <c r="Q202" i="3"/>
  <c r="P202" i="3"/>
  <c r="O202" i="3"/>
  <c r="M202" i="3"/>
  <c r="L202" i="3"/>
  <c r="N202" i="3" s="1"/>
  <c r="J202" i="3"/>
  <c r="I202" i="3"/>
  <c r="K202" i="3" s="1"/>
  <c r="H202" i="3"/>
  <c r="G202" i="3"/>
  <c r="F202" i="3"/>
  <c r="E202" i="3"/>
  <c r="D202" i="3"/>
  <c r="C202" i="3"/>
  <c r="B202" i="3"/>
  <c r="A202" i="3"/>
  <c r="Y202" i="3" s="1"/>
  <c r="AB201" i="3"/>
  <c r="AA201" i="3"/>
  <c r="X201" i="3"/>
  <c r="V201" i="3"/>
  <c r="U201" i="3"/>
  <c r="W201" i="3" s="1"/>
  <c r="T201" i="3"/>
  <c r="S201" i="3"/>
  <c r="R201" i="3"/>
  <c r="P201" i="3"/>
  <c r="O201" i="3"/>
  <c r="Q201" i="3" s="1"/>
  <c r="M201" i="3"/>
  <c r="L201" i="3"/>
  <c r="N201" i="3" s="1"/>
  <c r="K201" i="3"/>
  <c r="J201" i="3"/>
  <c r="I201" i="3"/>
  <c r="H201" i="3"/>
  <c r="G201" i="3"/>
  <c r="F201" i="3"/>
  <c r="E201" i="3"/>
  <c r="D201" i="3"/>
  <c r="C201" i="3"/>
  <c r="B201" i="3"/>
  <c r="A201" i="3"/>
  <c r="Z201" i="3" s="1"/>
  <c r="W200" i="3"/>
  <c r="V200" i="3"/>
  <c r="U200" i="3"/>
  <c r="T200" i="3"/>
  <c r="S200" i="3"/>
  <c r="R200" i="3"/>
  <c r="Q200" i="3"/>
  <c r="P200" i="3"/>
  <c r="O200" i="3"/>
  <c r="M200" i="3"/>
  <c r="L200" i="3"/>
  <c r="N200" i="3" s="1"/>
  <c r="J200" i="3"/>
  <c r="I200" i="3"/>
  <c r="K200" i="3" s="1"/>
  <c r="H200" i="3"/>
  <c r="G200" i="3"/>
  <c r="F200" i="3"/>
  <c r="E200" i="3"/>
  <c r="D200" i="3"/>
  <c r="C200" i="3"/>
  <c r="B200" i="3"/>
  <c r="A200" i="3"/>
  <c r="Y200" i="3" s="1"/>
  <c r="AB199" i="3"/>
  <c r="AA199" i="3"/>
  <c r="X199" i="3"/>
  <c r="V199" i="3"/>
  <c r="U199" i="3"/>
  <c r="W199" i="3" s="1"/>
  <c r="T199" i="3"/>
  <c r="S199" i="3"/>
  <c r="R199" i="3"/>
  <c r="P199" i="3"/>
  <c r="O199" i="3"/>
  <c r="Q199" i="3" s="1"/>
  <c r="M199" i="3"/>
  <c r="L199" i="3"/>
  <c r="N199" i="3" s="1"/>
  <c r="K199" i="3"/>
  <c r="J199" i="3"/>
  <c r="I199" i="3"/>
  <c r="H199" i="3"/>
  <c r="G199" i="3"/>
  <c r="F199" i="3"/>
  <c r="E199" i="3"/>
  <c r="D199" i="3"/>
  <c r="C199" i="3"/>
  <c r="B199" i="3"/>
  <c r="A199" i="3"/>
  <c r="Z199" i="3" s="1"/>
  <c r="W198" i="3"/>
  <c r="V198" i="3"/>
  <c r="U198" i="3"/>
  <c r="T198" i="3"/>
  <c r="S198" i="3"/>
  <c r="R198" i="3"/>
  <c r="Q198" i="3"/>
  <c r="P198" i="3"/>
  <c r="O198" i="3"/>
  <c r="M198" i="3"/>
  <c r="L198" i="3"/>
  <c r="N198" i="3" s="1"/>
  <c r="J198" i="3"/>
  <c r="I198" i="3"/>
  <c r="K198" i="3" s="1"/>
  <c r="H198" i="3"/>
  <c r="G198" i="3"/>
  <c r="F198" i="3"/>
  <c r="E198" i="3"/>
  <c r="D198" i="3"/>
  <c r="C198" i="3"/>
  <c r="B198" i="3"/>
  <c r="A198" i="3"/>
  <c r="Y198" i="3" s="1"/>
  <c r="AB197" i="3"/>
  <c r="AA197" i="3"/>
  <c r="X197" i="3"/>
  <c r="V197" i="3"/>
  <c r="U197" i="3"/>
  <c r="W197" i="3" s="1"/>
  <c r="T197" i="3"/>
  <c r="S197" i="3"/>
  <c r="R197" i="3"/>
  <c r="P197" i="3"/>
  <c r="O197" i="3"/>
  <c r="Q197" i="3" s="1"/>
  <c r="M197" i="3"/>
  <c r="L197" i="3"/>
  <c r="N197" i="3" s="1"/>
  <c r="K197" i="3"/>
  <c r="J197" i="3"/>
  <c r="I197" i="3"/>
  <c r="H197" i="3"/>
  <c r="G197" i="3"/>
  <c r="F197" i="3"/>
  <c r="E197" i="3"/>
  <c r="D197" i="3"/>
  <c r="C197" i="3"/>
  <c r="B197" i="3"/>
  <c r="A197" i="3"/>
  <c r="Z197" i="3" s="1"/>
  <c r="W196" i="3"/>
  <c r="V196" i="3"/>
  <c r="U196" i="3"/>
  <c r="T196" i="3"/>
  <c r="S196" i="3"/>
  <c r="R196" i="3"/>
  <c r="Q196" i="3"/>
  <c r="P196" i="3"/>
  <c r="O196" i="3"/>
  <c r="M196" i="3"/>
  <c r="L196" i="3"/>
  <c r="N196" i="3" s="1"/>
  <c r="J196" i="3"/>
  <c r="I196" i="3"/>
  <c r="K196" i="3" s="1"/>
  <c r="H196" i="3"/>
  <c r="G196" i="3"/>
  <c r="F196" i="3"/>
  <c r="E196" i="3"/>
  <c r="D196" i="3"/>
  <c r="C196" i="3"/>
  <c r="B196" i="3"/>
  <c r="A196" i="3"/>
  <c r="Y196" i="3" s="1"/>
  <c r="AB195" i="3"/>
  <c r="AA195" i="3"/>
  <c r="X195" i="3"/>
  <c r="V195" i="3"/>
  <c r="U195" i="3"/>
  <c r="W195" i="3" s="1"/>
  <c r="T195" i="3"/>
  <c r="S195" i="3"/>
  <c r="R195" i="3"/>
  <c r="P195" i="3"/>
  <c r="O195" i="3"/>
  <c r="Q195" i="3" s="1"/>
  <c r="M195" i="3"/>
  <c r="L195" i="3"/>
  <c r="N195" i="3" s="1"/>
  <c r="K195" i="3"/>
  <c r="J195" i="3"/>
  <c r="I195" i="3"/>
  <c r="H195" i="3"/>
  <c r="G195" i="3"/>
  <c r="F195" i="3"/>
  <c r="E195" i="3"/>
  <c r="D195" i="3"/>
  <c r="C195" i="3"/>
  <c r="B195" i="3"/>
  <c r="A195" i="3"/>
  <c r="Z195" i="3" s="1"/>
  <c r="W194" i="3"/>
  <c r="V194" i="3"/>
  <c r="U194" i="3"/>
  <c r="T194" i="3"/>
  <c r="S194" i="3"/>
  <c r="R194" i="3"/>
  <c r="Q194" i="3"/>
  <c r="P194" i="3"/>
  <c r="O194" i="3"/>
  <c r="M194" i="3"/>
  <c r="L194" i="3"/>
  <c r="N194" i="3" s="1"/>
  <c r="J194" i="3"/>
  <c r="I194" i="3"/>
  <c r="K194" i="3" s="1"/>
  <c r="H194" i="3"/>
  <c r="G194" i="3"/>
  <c r="F194" i="3"/>
  <c r="E194" i="3"/>
  <c r="D194" i="3"/>
  <c r="C194" i="3"/>
  <c r="B194" i="3"/>
  <c r="A194" i="3"/>
  <c r="Y194" i="3" s="1"/>
  <c r="AB193" i="3"/>
  <c r="AA193" i="3"/>
  <c r="X193" i="3"/>
  <c r="V193" i="3"/>
  <c r="U193" i="3"/>
  <c r="W193" i="3" s="1"/>
  <c r="T193" i="3"/>
  <c r="S193" i="3"/>
  <c r="R193" i="3"/>
  <c r="P193" i="3"/>
  <c r="O193" i="3"/>
  <c r="Q193" i="3" s="1"/>
  <c r="M193" i="3"/>
  <c r="L193" i="3"/>
  <c r="N193" i="3" s="1"/>
  <c r="K193" i="3"/>
  <c r="J193" i="3"/>
  <c r="I193" i="3"/>
  <c r="H193" i="3"/>
  <c r="G193" i="3"/>
  <c r="F193" i="3"/>
  <c r="E193" i="3"/>
  <c r="D193" i="3"/>
  <c r="C193" i="3"/>
  <c r="B193" i="3"/>
  <c r="A193" i="3"/>
  <c r="Z193" i="3" s="1"/>
  <c r="W192" i="3"/>
  <c r="V192" i="3"/>
  <c r="U192" i="3"/>
  <c r="T192" i="3"/>
  <c r="S192" i="3"/>
  <c r="R192" i="3"/>
  <c r="Q192" i="3"/>
  <c r="P192" i="3"/>
  <c r="O192" i="3"/>
  <c r="M192" i="3"/>
  <c r="L192" i="3"/>
  <c r="N192" i="3" s="1"/>
  <c r="J192" i="3"/>
  <c r="I192" i="3"/>
  <c r="K192" i="3" s="1"/>
  <c r="H192" i="3"/>
  <c r="G192" i="3"/>
  <c r="F192" i="3"/>
  <c r="E192" i="3"/>
  <c r="D192" i="3"/>
  <c r="C192" i="3"/>
  <c r="B192" i="3"/>
  <c r="A192" i="3"/>
  <c r="Y192" i="3" s="1"/>
  <c r="AB191" i="3"/>
  <c r="AA191" i="3"/>
  <c r="X191" i="3"/>
  <c r="V191" i="3"/>
  <c r="U191" i="3"/>
  <c r="W191" i="3" s="1"/>
  <c r="T191" i="3"/>
  <c r="S191" i="3"/>
  <c r="R191" i="3"/>
  <c r="P191" i="3"/>
  <c r="O191" i="3"/>
  <c r="Q191" i="3" s="1"/>
  <c r="M191" i="3"/>
  <c r="L191" i="3"/>
  <c r="N191" i="3" s="1"/>
  <c r="K191" i="3"/>
  <c r="J191" i="3"/>
  <c r="I191" i="3"/>
  <c r="H191" i="3"/>
  <c r="G191" i="3"/>
  <c r="F191" i="3"/>
  <c r="E191" i="3"/>
  <c r="D191" i="3"/>
  <c r="C191" i="3"/>
  <c r="B191" i="3"/>
  <c r="A191" i="3"/>
  <c r="Z191" i="3" s="1"/>
  <c r="W190" i="3"/>
  <c r="V190" i="3"/>
  <c r="U190" i="3"/>
  <c r="T190" i="3"/>
  <c r="S190" i="3"/>
  <c r="R190" i="3"/>
  <c r="Q190" i="3"/>
  <c r="P190" i="3"/>
  <c r="O190" i="3"/>
  <c r="M190" i="3"/>
  <c r="L190" i="3"/>
  <c r="N190" i="3" s="1"/>
  <c r="J190" i="3"/>
  <c r="I190" i="3"/>
  <c r="K190" i="3" s="1"/>
  <c r="H190" i="3"/>
  <c r="G190" i="3"/>
  <c r="F190" i="3"/>
  <c r="E190" i="3"/>
  <c r="D190" i="3"/>
  <c r="C190" i="3"/>
  <c r="B190" i="3"/>
  <c r="A190" i="3"/>
  <c r="Y190" i="3" s="1"/>
  <c r="AB189" i="3"/>
  <c r="AA189" i="3"/>
  <c r="X189" i="3"/>
  <c r="V189" i="3"/>
  <c r="U189" i="3"/>
  <c r="W189" i="3" s="1"/>
  <c r="T189" i="3"/>
  <c r="S189" i="3"/>
  <c r="R189" i="3"/>
  <c r="P189" i="3"/>
  <c r="O189" i="3"/>
  <c r="Q189" i="3" s="1"/>
  <c r="M189" i="3"/>
  <c r="L189" i="3"/>
  <c r="N189" i="3" s="1"/>
  <c r="K189" i="3"/>
  <c r="J189" i="3"/>
  <c r="I189" i="3"/>
  <c r="H189" i="3"/>
  <c r="G189" i="3"/>
  <c r="F189" i="3"/>
  <c r="E189" i="3"/>
  <c r="D189" i="3"/>
  <c r="C189" i="3"/>
  <c r="B189" i="3"/>
  <c r="A189" i="3"/>
  <c r="Z189" i="3" s="1"/>
  <c r="W188" i="3"/>
  <c r="V188" i="3"/>
  <c r="U188" i="3"/>
  <c r="T188" i="3"/>
  <c r="S188" i="3"/>
  <c r="R188" i="3"/>
  <c r="Q188" i="3"/>
  <c r="P188" i="3"/>
  <c r="O188" i="3"/>
  <c r="M188" i="3"/>
  <c r="L188" i="3"/>
  <c r="N188" i="3" s="1"/>
  <c r="J188" i="3"/>
  <c r="I188" i="3"/>
  <c r="K188" i="3" s="1"/>
  <c r="H188" i="3"/>
  <c r="G188" i="3"/>
  <c r="F188" i="3"/>
  <c r="E188" i="3"/>
  <c r="D188" i="3"/>
  <c r="C188" i="3"/>
  <c r="B188" i="3"/>
  <c r="A188" i="3"/>
  <c r="Y188" i="3" s="1"/>
  <c r="AB187" i="3"/>
  <c r="AA187" i="3"/>
  <c r="X187" i="3"/>
  <c r="V187" i="3"/>
  <c r="U187" i="3"/>
  <c r="W187" i="3" s="1"/>
  <c r="T187" i="3"/>
  <c r="S187" i="3"/>
  <c r="R187" i="3"/>
  <c r="P187" i="3"/>
  <c r="O187" i="3"/>
  <c r="Q187" i="3" s="1"/>
  <c r="M187" i="3"/>
  <c r="L187" i="3"/>
  <c r="N187" i="3" s="1"/>
  <c r="K187" i="3"/>
  <c r="J187" i="3"/>
  <c r="I187" i="3"/>
  <c r="H187" i="3"/>
  <c r="G187" i="3"/>
  <c r="F187" i="3"/>
  <c r="E187" i="3"/>
  <c r="D187" i="3"/>
  <c r="C187" i="3"/>
  <c r="B187" i="3"/>
  <c r="A187" i="3"/>
  <c r="Z187" i="3" s="1"/>
  <c r="W186" i="3"/>
  <c r="V186" i="3"/>
  <c r="U186" i="3"/>
  <c r="T186" i="3"/>
  <c r="S186" i="3"/>
  <c r="R186" i="3"/>
  <c r="Q186" i="3"/>
  <c r="P186" i="3"/>
  <c r="O186" i="3"/>
  <c r="M186" i="3"/>
  <c r="L186" i="3"/>
  <c r="N186" i="3" s="1"/>
  <c r="J186" i="3"/>
  <c r="I186" i="3"/>
  <c r="K186" i="3" s="1"/>
  <c r="H186" i="3"/>
  <c r="G186" i="3"/>
  <c r="F186" i="3"/>
  <c r="E186" i="3"/>
  <c r="D186" i="3"/>
  <c r="C186" i="3"/>
  <c r="B186" i="3"/>
  <c r="A186" i="3"/>
  <c r="Y186" i="3" s="1"/>
  <c r="AB185" i="3"/>
  <c r="AA185" i="3"/>
  <c r="X185" i="3"/>
  <c r="V185" i="3"/>
  <c r="U185" i="3"/>
  <c r="W185" i="3" s="1"/>
  <c r="T185" i="3"/>
  <c r="S185" i="3"/>
  <c r="R185" i="3"/>
  <c r="P185" i="3"/>
  <c r="O185" i="3"/>
  <c r="Q185" i="3" s="1"/>
  <c r="M185" i="3"/>
  <c r="L185" i="3"/>
  <c r="N185" i="3" s="1"/>
  <c r="K185" i="3"/>
  <c r="J185" i="3"/>
  <c r="I185" i="3"/>
  <c r="H185" i="3"/>
  <c r="G185" i="3"/>
  <c r="F185" i="3"/>
  <c r="E185" i="3"/>
  <c r="D185" i="3"/>
  <c r="C185" i="3"/>
  <c r="B185" i="3"/>
  <c r="A185" i="3"/>
  <c r="Z185" i="3" s="1"/>
  <c r="W184" i="3"/>
  <c r="V184" i="3"/>
  <c r="U184" i="3"/>
  <c r="T184" i="3"/>
  <c r="S184" i="3"/>
  <c r="R184" i="3"/>
  <c r="Q184" i="3"/>
  <c r="P184" i="3"/>
  <c r="O184" i="3"/>
  <c r="M184" i="3"/>
  <c r="L184" i="3"/>
  <c r="N184" i="3" s="1"/>
  <c r="J184" i="3"/>
  <c r="I184" i="3"/>
  <c r="K184" i="3" s="1"/>
  <c r="H184" i="3"/>
  <c r="G184" i="3"/>
  <c r="F184" i="3"/>
  <c r="E184" i="3"/>
  <c r="D184" i="3"/>
  <c r="C184" i="3"/>
  <c r="B184" i="3"/>
  <c r="A184" i="3"/>
  <c r="Y184" i="3" s="1"/>
  <c r="AB183" i="3"/>
  <c r="AA183" i="3"/>
  <c r="X183" i="3"/>
  <c r="V183" i="3"/>
  <c r="U183" i="3"/>
  <c r="W183" i="3" s="1"/>
  <c r="T183" i="3"/>
  <c r="S183" i="3"/>
  <c r="R183" i="3"/>
  <c r="P183" i="3"/>
  <c r="O183" i="3"/>
  <c r="Q183" i="3" s="1"/>
  <c r="M183" i="3"/>
  <c r="L183" i="3"/>
  <c r="N183" i="3" s="1"/>
  <c r="K183" i="3"/>
  <c r="J183" i="3"/>
  <c r="I183" i="3"/>
  <c r="H183" i="3"/>
  <c r="G183" i="3"/>
  <c r="F183" i="3"/>
  <c r="E183" i="3"/>
  <c r="D183" i="3"/>
  <c r="C183" i="3"/>
  <c r="B183" i="3"/>
  <c r="A183" i="3"/>
  <c r="Z183" i="3" s="1"/>
  <c r="W182" i="3"/>
  <c r="V182" i="3"/>
  <c r="U182" i="3"/>
  <c r="T182" i="3"/>
  <c r="S182" i="3"/>
  <c r="R182" i="3"/>
  <c r="Q182" i="3"/>
  <c r="P182" i="3"/>
  <c r="O182" i="3"/>
  <c r="M182" i="3"/>
  <c r="L182" i="3"/>
  <c r="N182" i="3" s="1"/>
  <c r="J182" i="3"/>
  <c r="I182" i="3"/>
  <c r="K182" i="3" s="1"/>
  <c r="H182" i="3"/>
  <c r="G182" i="3"/>
  <c r="F182" i="3"/>
  <c r="E182" i="3"/>
  <c r="D182" i="3"/>
  <c r="C182" i="3"/>
  <c r="B182" i="3"/>
  <c r="A182" i="3"/>
  <c r="AB181" i="3"/>
  <c r="AA181" i="3"/>
  <c r="X181" i="3"/>
  <c r="V181" i="3"/>
  <c r="U181" i="3"/>
  <c r="W181" i="3" s="1"/>
  <c r="T181" i="3"/>
  <c r="S181" i="3"/>
  <c r="R181" i="3"/>
  <c r="P181" i="3"/>
  <c r="O181" i="3"/>
  <c r="Q181" i="3" s="1"/>
  <c r="M181" i="3"/>
  <c r="L181" i="3"/>
  <c r="N181" i="3" s="1"/>
  <c r="K181" i="3"/>
  <c r="J181" i="3"/>
  <c r="I181" i="3"/>
  <c r="H181" i="3"/>
  <c r="G181" i="3"/>
  <c r="F181" i="3"/>
  <c r="E181" i="3"/>
  <c r="D181" i="3"/>
  <c r="C181" i="3"/>
  <c r="B181" i="3"/>
  <c r="A181" i="3"/>
  <c r="Z181" i="3" s="1"/>
  <c r="Y180" i="3"/>
  <c r="W180" i="3"/>
  <c r="V180" i="3"/>
  <c r="U180" i="3"/>
  <c r="T180" i="3"/>
  <c r="S180" i="3"/>
  <c r="R180" i="3"/>
  <c r="Q180" i="3"/>
  <c r="P180" i="3"/>
  <c r="O180" i="3"/>
  <c r="M180" i="3"/>
  <c r="L180" i="3"/>
  <c r="N180" i="3" s="1"/>
  <c r="J180" i="3"/>
  <c r="I180" i="3"/>
  <c r="K180" i="3" s="1"/>
  <c r="H180" i="3"/>
  <c r="G180" i="3"/>
  <c r="F180" i="3"/>
  <c r="E180" i="3"/>
  <c r="D180" i="3"/>
  <c r="C180" i="3"/>
  <c r="B180" i="3"/>
  <c r="A180" i="3"/>
  <c r="X180" i="3" s="1"/>
  <c r="AB179" i="3"/>
  <c r="AA179" i="3"/>
  <c r="X179" i="3"/>
  <c r="V179" i="3"/>
  <c r="U179" i="3"/>
  <c r="W179" i="3" s="1"/>
  <c r="T179" i="3"/>
  <c r="S179" i="3"/>
  <c r="R179" i="3"/>
  <c r="P179" i="3"/>
  <c r="O179" i="3"/>
  <c r="Q179" i="3" s="1"/>
  <c r="M179" i="3"/>
  <c r="L179" i="3"/>
  <c r="N179" i="3" s="1"/>
  <c r="K179" i="3"/>
  <c r="J179" i="3"/>
  <c r="I179" i="3"/>
  <c r="H179" i="3"/>
  <c r="G179" i="3"/>
  <c r="F179" i="3"/>
  <c r="E179" i="3"/>
  <c r="D179" i="3"/>
  <c r="C179" i="3"/>
  <c r="B179" i="3"/>
  <c r="A179" i="3"/>
  <c r="Z179" i="3" s="1"/>
  <c r="X178" i="3"/>
  <c r="W178" i="3"/>
  <c r="V178" i="3"/>
  <c r="U178" i="3"/>
  <c r="T178" i="3"/>
  <c r="S178" i="3"/>
  <c r="R178" i="3"/>
  <c r="Q178" i="3"/>
  <c r="P178" i="3"/>
  <c r="O178" i="3"/>
  <c r="M178" i="3"/>
  <c r="L178" i="3"/>
  <c r="N178" i="3" s="1"/>
  <c r="J178" i="3"/>
  <c r="I178" i="3"/>
  <c r="K178" i="3" s="1"/>
  <c r="H178" i="3"/>
  <c r="G178" i="3"/>
  <c r="F178" i="3"/>
  <c r="E178" i="3"/>
  <c r="D178" i="3"/>
  <c r="C178" i="3"/>
  <c r="B178" i="3"/>
  <c r="A178" i="3"/>
  <c r="Y178" i="3" s="1"/>
  <c r="AB177" i="3"/>
  <c r="AA177" i="3"/>
  <c r="X177" i="3"/>
  <c r="W177" i="3"/>
  <c r="V177" i="3"/>
  <c r="U177" i="3"/>
  <c r="T177" i="3"/>
  <c r="S177" i="3"/>
  <c r="R177" i="3"/>
  <c r="P177" i="3"/>
  <c r="O177" i="3"/>
  <c r="Q177" i="3" s="1"/>
  <c r="M177" i="3"/>
  <c r="L177" i="3"/>
  <c r="N177" i="3" s="1"/>
  <c r="K177" i="3"/>
  <c r="J177" i="3"/>
  <c r="I177" i="3"/>
  <c r="H177" i="3"/>
  <c r="G177" i="3"/>
  <c r="F177" i="3"/>
  <c r="E177" i="3"/>
  <c r="D177" i="3"/>
  <c r="C177" i="3"/>
  <c r="B177" i="3"/>
  <c r="A177" i="3"/>
  <c r="Z177" i="3" s="1"/>
  <c r="Y176" i="3"/>
  <c r="W176" i="3"/>
  <c r="V176" i="3"/>
  <c r="U176" i="3"/>
  <c r="T176" i="3"/>
  <c r="S176" i="3"/>
  <c r="R176" i="3"/>
  <c r="Q176" i="3"/>
  <c r="P176" i="3"/>
  <c r="O176" i="3"/>
  <c r="M176" i="3"/>
  <c r="L176" i="3"/>
  <c r="N176" i="3" s="1"/>
  <c r="J176" i="3"/>
  <c r="I176" i="3"/>
  <c r="K176" i="3" s="1"/>
  <c r="H176" i="3"/>
  <c r="G176" i="3"/>
  <c r="F176" i="3"/>
  <c r="E176" i="3"/>
  <c r="D176" i="3"/>
  <c r="C176" i="3"/>
  <c r="B176" i="3"/>
  <c r="A176" i="3"/>
  <c r="X176" i="3" s="1"/>
  <c r="AB175" i="3"/>
  <c r="AA175" i="3"/>
  <c r="X175" i="3"/>
  <c r="W175" i="3"/>
  <c r="V175" i="3"/>
  <c r="U175" i="3"/>
  <c r="T175" i="3"/>
  <c r="S175" i="3"/>
  <c r="R175" i="3"/>
  <c r="P175" i="3"/>
  <c r="O175" i="3"/>
  <c r="Q175" i="3" s="1"/>
  <c r="M175" i="3"/>
  <c r="L175" i="3"/>
  <c r="N175" i="3" s="1"/>
  <c r="K175" i="3"/>
  <c r="J175" i="3"/>
  <c r="I175" i="3"/>
  <c r="H175" i="3"/>
  <c r="G175" i="3"/>
  <c r="F175" i="3"/>
  <c r="E175" i="3"/>
  <c r="D175" i="3"/>
  <c r="C175" i="3"/>
  <c r="B175" i="3"/>
  <c r="A175" i="3"/>
  <c r="Z175" i="3" s="1"/>
  <c r="AB174" i="3"/>
  <c r="W174" i="3"/>
  <c r="V174" i="3"/>
  <c r="U174" i="3"/>
  <c r="T174" i="3"/>
  <c r="S174" i="3"/>
  <c r="R174" i="3"/>
  <c r="Q174" i="3"/>
  <c r="P174" i="3"/>
  <c r="O174" i="3"/>
  <c r="M174" i="3"/>
  <c r="L174" i="3"/>
  <c r="N174" i="3" s="1"/>
  <c r="K174" i="3"/>
  <c r="J174" i="3"/>
  <c r="I174" i="3"/>
  <c r="H174" i="3"/>
  <c r="G174" i="3"/>
  <c r="F174" i="3"/>
  <c r="E174" i="3"/>
  <c r="D174" i="3"/>
  <c r="C174" i="3"/>
  <c r="B174" i="3"/>
  <c r="A174" i="3"/>
  <c r="Z174" i="3" s="1"/>
  <c r="AB173" i="3"/>
  <c r="AA173" i="3"/>
  <c r="X173" i="3"/>
  <c r="V173" i="3"/>
  <c r="U173" i="3"/>
  <c r="W173" i="3" s="1"/>
  <c r="T173" i="3"/>
  <c r="S173" i="3"/>
  <c r="R173" i="3"/>
  <c r="P173" i="3"/>
  <c r="O173" i="3"/>
  <c r="Q173" i="3" s="1"/>
  <c r="M173" i="3"/>
  <c r="L173" i="3"/>
  <c r="N173" i="3" s="1"/>
  <c r="K173" i="3"/>
  <c r="J173" i="3"/>
  <c r="I173" i="3"/>
  <c r="H173" i="3"/>
  <c r="G173" i="3"/>
  <c r="F173" i="3"/>
  <c r="E173" i="3"/>
  <c r="D173" i="3"/>
  <c r="C173" i="3"/>
  <c r="B173" i="3"/>
  <c r="A173" i="3"/>
  <c r="Z173" i="3" s="1"/>
  <c r="W172" i="3"/>
  <c r="V172" i="3"/>
  <c r="U172" i="3"/>
  <c r="T172" i="3"/>
  <c r="S172" i="3"/>
  <c r="R172" i="3"/>
  <c r="P172" i="3"/>
  <c r="O172" i="3"/>
  <c r="Q172" i="3" s="1"/>
  <c r="M172" i="3"/>
  <c r="L172" i="3"/>
  <c r="N172" i="3" s="1"/>
  <c r="K172" i="3"/>
  <c r="J172" i="3"/>
  <c r="I172" i="3"/>
  <c r="H172" i="3"/>
  <c r="G172" i="3"/>
  <c r="F172" i="3"/>
  <c r="E172" i="3"/>
  <c r="D172" i="3"/>
  <c r="C172" i="3"/>
  <c r="B172" i="3"/>
  <c r="A172" i="3"/>
  <c r="Z172" i="3" s="1"/>
  <c r="Y171" i="3"/>
  <c r="X171" i="3"/>
  <c r="W171" i="3"/>
  <c r="V171" i="3"/>
  <c r="U171" i="3"/>
  <c r="T171" i="3"/>
  <c r="S171" i="3"/>
  <c r="R171" i="3"/>
  <c r="P171" i="3"/>
  <c r="O171" i="3"/>
  <c r="Q171" i="3" s="1"/>
  <c r="M171" i="3"/>
  <c r="L171" i="3"/>
  <c r="N171" i="3" s="1"/>
  <c r="K171" i="3"/>
  <c r="J171" i="3"/>
  <c r="I171" i="3"/>
  <c r="H171" i="3"/>
  <c r="G171" i="3"/>
  <c r="F171" i="3"/>
  <c r="E171" i="3"/>
  <c r="D171" i="3"/>
  <c r="C171" i="3"/>
  <c r="B171" i="3"/>
  <c r="A171" i="3"/>
  <c r="Z171" i="3" s="1"/>
  <c r="AB170" i="3"/>
  <c r="Y170" i="3"/>
  <c r="W170" i="3"/>
  <c r="V170" i="3"/>
  <c r="U170" i="3"/>
  <c r="T170" i="3"/>
  <c r="S170" i="3"/>
  <c r="R170" i="3"/>
  <c r="Q170" i="3"/>
  <c r="P170" i="3"/>
  <c r="O170" i="3"/>
  <c r="M170" i="3"/>
  <c r="L170" i="3"/>
  <c r="N170" i="3" s="1"/>
  <c r="J170" i="3"/>
  <c r="I170" i="3"/>
  <c r="K170" i="3" s="1"/>
  <c r="H170" i="3"/>
  <c r="G170" i="3"/>
  <c r="F170" i="3"/>
  <c r="E170" i="3"/>
  <c r="D170" i="3"/>
  <c r="C170" i="3"/>
  <c r="B170" i="3"/>
  <c r="A170" i="3"/>
  <c r="Z170" i="3" s="1"/>
  <c r="AB169" i="3"/>
  <c r="Y169" i="3"/>
  <c r="X169" i="3"/>
  <c r="V169" i="3"/>
  <c r="U169" i="3"/>
  <c r="W169" i="3" s="1"/>
  <c r="T169" i="3"/>
  <c r="S169" i="3"/>
  <c r="R169" i="3"/>
  <c r="Q169" i="3"/>
  <c r="P169" i="3"/>
  <c r="O169" i="3"/>
  <c r="M169" i="3"/>
  <c r="L169" i="3"/>
  <c r="N169" i="3" s="1"/>
  <c r="K169" i="3"/>
  <c r="J169" i="3"/>
  <c r="I169" i="3"/>
  <c r="H169" i="3"/>
  <c r="G169" i="3"/>
  <c r="F169" i="3"/>
  <c r="E169" i="3"/>
  <c r="D169" i="3"/>
  <c r="C169" i="3"/>
  <c r="B169" i="3"/>
  <c r="A169" i="3"/>
  <c r="Z169" i="3" s="1"/>
  <c r="V168" i="3"/>
  <c r="U168" i="3"/>
  <c r="W168" i="3" s="1"/>
  <c r="T168" i="3"/>
  <c r="S168" i="3"/>
  <c r="R168" i="3"/>
  <c r="P168" i="3"/>
  <c r="O168" i="3"/>
  <c r="Q168" i="3" s="1"/>
  <c r="M168" i="3"/>
  <c r="L168" i="3"/>
  <c r="N168" i="3" s="1"/>
  <c r="J168" i="3"/>
  <c r="I168" i="3"/>
  <c r="K168" i="3" s="1"/>
  <c r="H168" i="3"/>
  <c r="G168" i="3"/>
  <c r="F168" i="3"/>
  <c r="E168" i="3"/>
  <c r="D168" i="3"/>
  <c r="C168" i="3"/>
  <c r="B168" i="3"/>
  <c r="A168" i="3"/>
  <c r="Z168" i="3" s="1"/>
  <c r="Y167" i="3"/>
  <c r="X167" i="3"/>
  <c r="W167" i="3"/>
  <c r="V167" i="3"/>
  <c r="U167" i="3"/>
  <c r="T167" i="3"/>
  <c r="S167" i="3"/>
  <c r="R167" i="3"/>
  <c r="P167" i="3"/>
  <c r="O167" i="3"/>
  <c r="Q167" i="3" s="1"/>
  <c r="M167" i="3"/>
  <c r="L167" i="3"/>
  <c r="N167" i="3" s="1"/>
  <c r="K167" i="3"/>
  <c r="J167" i="3"/>
  <c r="I167" i="3"/>
  <c r="H167" i="3"/>
  <c r="G167" i="3"/>
  <c r="F167" i="3"/>
  <c r="E167" i="3"/>
  <c r="D167" i="3"/>
  <c r="C167" i="3"/>
  <c r="B167" i="3"/>
  <c r="A167" i="3"/>
  <c r="Z167" i="3" s="1"/>
  <c r="AB166" i="3"/>
  <c r="Y166" i="3"/>
  <c r="W166" i="3"/>
  <c r="V166" i="3"/>
  <c r="U166" i="3"/>
  <c r="T166" i="3"/>
  <c r="S166" i="3"/>
  <c r="R166" i="3"/>
  <c r="Q166" i="3"/>
  <c r="P166" i="3"/>
  <c r="O166" i="3"/>
  <c r="M166" i="3"/>
  <c r="L166" i="3"/>
  <c r="N166" i="3" s="1"/>
  <c r="J166" i="3"/>
  <c r="I166" i="3"/>
  <c r="K166" i="3" s="1"/>
  <c r="H166" i="3"/>
  <c r="G166" i="3"/>
  <c r="F166" i="3"/>
  <c r="E166" i="3"/>
  <c r="D166" i="3"/>
  <c r="C166" i="3"/>
  <c r="B166" i="3"/>
  <c r="A166" i="3"/>
  <c r="Z166" i="3" s="1"/>
  <c r="AB165" i="3"/>
  <c r="Y165" i="3"/>
  <c r="X165" i="3"/>
  <c r="V165" i="3"/>
  <c r="U165" i="3"/>
  <c r="W165" i="3" s="1"/>
  <c r="T165" i="3"/>
  <c r="S165" i="3"/>
  <c r="R165" i="3"/>
  <c r="Q165" i="3"/>
  <c r="P165" i="3"/>
  <c r="O165" i="3"/>
  <c r="M165" i="3"/>
  <c r="L165" i="3"/>
  <c r="N165" i="3" s="1"/>
  <c r="K165" i="3"/>
  <c r="J165" i="3"/>
  <c r="I165" i="3"/>
  <c r="H165" i="3"/>
  <c r="G165" i="3"/>
  <c r="F165" i="3"/>
  <c r="E165" i="3"/>
  <c r="D165" i="3"/>
  <c r="C165" i="3"/>
  <c r="B165" i="3"/>
  <c r="A165" i="3"/>
  <c r="Z165" i="3" s="1"/>
  <c r="V164" i="3"/>
  <c r="U164" i="3"/>
  <c r="W164" i="3" s="1"/>
  <c r="T164" i="3"/>
  <c r="S164" i="3"/>
  <c r="R164" i="3"/>
  <c r="P164" i="3"/>
  <c r="O164" i="3"/>
  <c r="Q164" i="3" s="1"/>
  <c r="M164" i="3"/>
  <c r="L164" i="3"/>
  <c r="N164" i="3" s="1"/>
  <c r="J164" i="3"/>
  <c r="I164" i="3"/>
  <c r="K164" i="3" s="1"/>
  <c r="H164" i="3"/>
  <c r="G164" i="3"/>
  <c r="F164" i="3"/>
  <c r="E164" i="3"/>
  <c r="D164" i="3"/>
  <c r="C164" i="3"/>
  <c r="B164" i="3"/>
  <c r="A164" i="3"/>
  <c r="Z164" i="3" s="1"/>
  <c r="Y163" i="3"/>
  <c r="X163" i="3"/>
  <c r="W163" i="3"/>
  <c r="V163" i="3"/>
  <c r="U163" i="3"/>
  <c r="T163" i="3"/>
  <c r="S163" i="3"/>
  <c r="R163" i="3"/>
  <c r="P163" i="3"/>
  <c r="O163" i="3"/>
  <c r="Q163" i="3" s="1"/>
  <c r="M163" i="3"/>
  <c r="L163" i="3"/>
  <c r="N163" i="3" s="1"/>
  <c r="K163" i="3"/>
  <c r="J163" i="3"/>
  <c r="I163" i="3"/>
  <c r="H163" i="3"/>
  <c r="G163" i="3"/>
  <c r="F163" i="3"/>
  <c r="E163" i="3"/>
  <c r="D163" i="3"/>
  <c r="C163" i="3"/>
  <c r="B163" i="3"/>
  <c r="A163" i="3"/>
  <c r="Z163" i="3" s="1"/>
  <c r="AB162" i="3"/>
  <c r="Y162" i="3"/>
  <c r="W162" i="3"/>
  <c r="V162" i="3"/>
  <c r="U162" i="3"/>
  <c r="T162" i="3"/>
  <c r="S162" i="3"/>
  <c r="R162" i="3"/>
  <c r="Q162" i="3"/>
  <c r="P162" i="3"/>
  <c r="O162" i="3"/>
  <c r="M162" i="3"/>
  <c r="L162" i="3"/>
  <c r="N162" i="3" s="1"/>
  <c r="J162" i="3"/>
  <c r="I162" i="3"/>
  <c r="K162" i="3" s="1"/>
  <c r="H162" i="3"/>
  <c r="G162" i="3"/>
  <c r="F162" i="3"/>
  <c r="E162" i="3"/>
  <c r="D162" i="3"/>
  <c r="C162" i="3"/>
  <c r="B162" i="3"/>
  <c r="A162" i="3"/>
  <c r="Z162" i="3" s="1"/>
  <c r="AB161" i="3"/>
  <c r="Y161" i="3"/>
  <c r="X161" i="3"/>
  <c r="V161" i="3"/>
  <c r="U161" i="3"/>
  <c r="W161" i="3" s="1"/>
  <c r="T161" i="3"/>
  <c r="S161" i="3"/>
  <c r="R161" i="3"/>
  <c r="Q161" i="3"/>
  <c r="P161" i="3"/>
  <c r="O161" i="3"/>
  <c r="M161" i="3"/>
  <c r="L161" i="3"/>
  <c r="N161" i="3" s="1"/>
  <c r="K161" i="3"/>
  <c r="J161" i="3"/>
  <c r="I161" i="3"/>
  <c r="H161" i="3"/>
  <c r="G161" i="3"/>
  <c r="F161" i="3"/>
  <c r="E161" i="3"/>
  <c r="D161" i="3"/>
  <c r="C161" i="3"/>
  <c r="B161" i="3"/>
  <c r="A161" i="3"/>
  <c r="Z161" i="3" s="1"/>
  <c r="V160" i="3"/>
  <c r="U160" i="3"/>
  <c r="W160" i="3" s="1"/>
  <c r="T160" i="3"/>
  <c r="S160" i="3"/>
  <c r="R160" i="3"/>
  <c r="P160" i="3"/>
  <c r="O160" i="3"/>
  <c r="Q160" i="3" s="1"/>
  <c r="M160" i="3"/>
  <c r="L160" i="3"/>
  <c r="N160" i="3" s="1"/>
  <c r="J160" i="3"/>
  <c r="I160" i="3"/>
  <c r="K160" i="3" s="1"/>
  <c r="H160" i="3"/>
  <c r="G160" i="3"/>
  <c r="F160" i="3"/>
  <c r="E160" i="3"/>
  <c r="D160" i="3"/>
  <c r="C160" i="3"/>
  <c r="B160" i="3"/>
  <c r="A160" i="3"/>
  <c r="Z160" i="3" s="1"/>
  <c r="Y159" i="3"/>
  <c r="X159" i="3"/>
  <c r="W159" i="3"/>
  <c r="V159" i="3"/>
  <c r="U159" i="3"/>
  <c r="T159" i="3"/>
  <c r="S159" i="3"/>
  <c r="R159" i="3"/>
  <c r="P159" i="3"/>
  <c r="O159" i="3"/>
  <c r="Q159" i="3" s="1"/>
  <c r="M159" i="3"/>
  <c r="L159" i="3"/>
  <c r="N159" i="3" s="1"/>
  <c r="K159" i="3"/>
  <c r="J159" i="3"/>
  <c r="I159" i="3"/>
  <c r="H159" i="3"/>
  <c r="G159" i="3"/>
  <c r="F159" i="3"/>
  <c r="E159" i="3"/>
  <c r="D159" i="3"/>
  <c r="C159" i="3"/>
  <c r="B159" i="3"/>
  <c r="A159" i="3"/>
  <c r="Z159" i="3" s="1"/>
  <c r="AB158" i="3"/>
  <c r="Y158" i="3"/>
  <c r="W158" i="3"/>
  <c r="V158" i="3"/>
  <c r="U158" i="3"/>
  <c r="T158" i="3"/>
  <c r="S158" i="3"/>
  <c r="R158" i="3"/>
  <c r="Q158" i="3"/>
  <c r="P158" i="3"/>
  <c r="O158" i="3"/>
  <c r="M158" i="3"/>
  <c r="L158" i="3"/>
  <c r="N158" i="3" s="1"/>
  <c r="J158" i="3"/>
  <c r="I158" i="3"/>
  <c r="K158" i="3" s="1"/>
  <c r="H158" i="3"/>
  <c r="G158" i="3"/>
  <c r="F158" i="3"/>
  <c r="E158" i="3"/>
  <c r="D158" i="3"/>
  <c r="C158" i="3"/>
  <c r="B158" i="3"/>
  <c r="A158" i="3"/>
  <c r="Z158" i="3" s="1"/>
  <c r="AB157" i="3"/>
  <c r="Y157" i="3"/>
  <c r="X157" i="3"/>
  <c r="V157" i="3"/>
  <c r="U157" i="3"/>
  <c r="W157" i="3" s="1"/>
  <c r="T157" i="3"/>
  <c r="S157" i="3"/>
  <c r="R157" i="3"/>
  <c r="Q157" i="3"/>
  <c r="P157" i="3"/>
  <c r="O157" i="3"/>
  <c r="M157" i="3"/>
  <c r="L157" i="3"/>
  <c r="N157" i="3" s="1"/>
  <c r="K157" i="3"/>
  <c r="J157" i="3"/>
  <c r="I157" i="3"/>
  <c r="H157" i="3"/>
  <c r="G157" i="3"/>
  <c r="F157" i="3"/>
  <c r="E157" i="3"/>
  <c r="D157" i="3"/>
  <c r="C157" i="3"/>
  <c r="B157" i="3"/>
  <c r="A157" i="3"/>
  <c r="Z157" i="3" s="1"/>
  <c r="V156" i="3"/>
  <c r="U156" i="3"/>
  <c r="W156" i="3" s="1"/>
  <c r="T156" i="3"/>
  <c r="S156" i="3"/>
  <c r="R156" i="3"/>
  <c r="P156" i="3"/>
  <c r="O156" i="3"/>
  <c r="Q156" i="3" s="1"/>
  <c r="M156" i="3"/>
  <c r="L156" i="3"/>
  <c r="N156" i="3" s="1"/>
  <c r="J156" i="3"/>
  <c r="I156" i="3"/>
  <c r="K156" i="3" s="1"/>
  <c r="H156" i="3"/>
  <c r="G156" i="3"/>
  <c r="F156" i="3"/>
  <c r="E156" i="3"/>
  <c r="D156" i="3"/>
  <c r="C156" i="3"/>
  <c r="B156" i="3"/>
  <c r="A156" i="3"/>
  <c r="Z156" i="3" s="1"/>
  <c r="AB155" i="3"/>
  <c r="Y155" i="3"/>
  <c r="X155" i="3"/>
  <c r="W155" i="3"/>
  <c r="V155" i="3"/>
  <c r="U155" i="3"/>
  <c r="T155" i="3"/>
  <c r="S155" i="3"/>
  <c r="R155" i="3"/>
  <c r="P155" i="3"/>
  <c r="O155" i="3"/>
  <c r="Q155" i="3" s="1"/>
  <c r="M155" i="3"/>
  <c r="L155" i="3"/>
  <c r="N155" i="3" s="1"/>
  <c r="K155" i="3"/>
  <c r="J155" i="3"/>
  <c r="I155" i="3"/>
  <c r="H155" i="3"/>
  <c r="G155" i="3"/>
  <c r="F155" i="3"/>
  <c r="E155" i="3"/>
  <c r="D155" i="3"/>
  <c r="C155" i="3"/>
  <c r="B155" i="3"/>
  <c r="A155" i="3"/>
  <c r="Z155" i="3" s="1"/>
  <c r="AB154" i="3"/>
  <c r="Y154" i="3"/>
  <c r="W154" i="3"/>
  <c r="V154" i="3"/>
  <c r="U154" i="3"/>
  <c r="T154" i="3"/>
  <c r="S154" i="3"/>
  <c r="R154" i="3"/>
  <c r="Q154" i="3"/>
  <c r="P154" i="3"/>
  <c r="O154" i="3"/>
  <c r="M154" i="3"/>
  <c r="L154" i="3"/>
  <c r="N154" i="3" s="1"/>
  <c r="J154" i="3"/>
  <c r="I154" i="3"/>
  <c r="K154" i="3" s="1"/>
  <c r="H154" i="3"/>
  <c r="G154" i="3"/>
  <c r="F154" i="3"/>
  <c r="E154" i="3"/>
  <c r="D154" i="3"/>
  <c r="C154" i="3"/>
  <c r="B154" i="3"/>
  <c r="A154" i="3"/>
  <c r="Z154" i="3" s="1"/>
  <c r="AB153" i="3"/>
  <c r="Y153" i="3"/>
  <c r="X153" i="3"/>
  <c r="V153" i="3"/>
  <c r="U153" i="3"/>
  <c r="W153" i="3" s="1"/>
  <c r="T153" i="3"/>
  <c r="S153" i="3"/>
  <c r="R153" i="3"/>
  <c r="Q153" i="3"/>
  <c r="P153" i="3"/>
  <c r="O153" i="3"/>
  <c r="M153" i="3"/>
  <c r="L153" i="3"/>
  <c r="N153" i="3" s="1"/>
  <c r="K153" i="3"/>
  <c r="J153" i="3"/>
  <c r="I153" i="3"/>
  <c r="H153" i="3"/>
  <c r="G153" i="3"/>
  <c r="F153" i="3"/>
  <c r="E153" i="3"/>
  <c r="D153" i="3"/>
  <c r="C153" i="3"/>
  <c r="B153" i="3"/>
  <c r="A153" i="3"/>
  <c r="Z153" i="3" s="1"/>
  <c r="V152" i="3"/>
  <c r="U152" i="3"/>
  <c r="W152" i="3" s="1"/>
  <c r="T152" i="3"/>
  <c r="S152" i="3"/>
  <c r="R152" i="3"/>
  <c r="P152" i="3"/>
  <c r="O152" i="3"/>
  <c r="Q152" i="3" s="1"/>
  <c r="M152" i="3"/>
  <c r="L152" i="3"/>
  <c r="N152" i="3" s="1"/>
  <c r="J152" i="3"/>
  <c r="I152" i="3"/>
  <c r="K152" i="3" s="1"/>
  <c r="H152" i="3"/>
  <c r="G152" i="3"/>
  <c r="F152" i="3"/>
  <c r="E152" i="3"/>
  <c r="D152" i="3"/>
  <c r="C152" i="3"/>
  <c r="B152" i="3"/>
  <c r="A152" i="3"/>
  <c r="Z152" i="3" s="1"/>
  <c r="AB151" i="3"/>
  <c r="Y151" i="3"/>
  <c r="X151" i="3"/>
  <c r="W151" i="3"/>
  <c r="V151" i="3"/>
  <c r="U151" i="3"/>
  <c r="T151" i="3"/>
  <c r="S151" i="3"/>
  <c r="R151" i="3"/>
  <c r="P151" i="3"/>
  <c r="O151" i="3"/>
  <c r="Q151" i="3" s="1"/>
  <c r="M151" i="3"/>
  <c r="L151" i="3"/>
  <c r="N151" i="3" s="1"/>
  <c r="K151" i="3"/>
  <c r="J151" i="3"/>
  <c r="I151" i="3"/>
  <c r="H151" i="3"/>
  <c r="G151" i="3"/>
  <c r="F151" i="3"/>
  <c r="E151" i="3"/>
  <c r="D151" i="3"/>
  <c r="C151" i="3"/>
  <c r="B151" i="3"/>
  <c r="A151" i="3"/>
  <c r="Z151" i="3" s="1"/>
  <c r="Y150" i="3"/>
  <c r="W150" i="3"/>
  <c r="V150" i="3"/>
  <c r="U150" i="3"/>
  <c r="T150" i="3"/>
  <c r="S150" i="3"/>
  <c r="R150" i="3"/>
  <c r="Q150" i="3"/>
  <c r="P150" i="3"/>
  <c r="O150" i="3"/>
  <c r="M150" i="3"/>
  <c r="L150" i="3"/>
  <c r="N150" i="3" s="1"/>
  <c r="J150" i="3"/>
  <c r="I150" i="3"/>
  <c r="K150" i="3" s="1"/>
  <c r="H150" i="3"/>
  <c r="G150" i="3"/>
  <c r="F150" i="3"/>
  <c r="E150" i="3"/>
  <c r="D150" i="3"/>
  <c r="C150" i="3"/>
  <c r="B150" i="3"/>
  <c r="A150" i="3"/>
  <c r="Z150" i="3" s="1"/>
  <c r="AB149" i="3"/>
  <c r="Y149" i="3"/>
  <c r="X149" i="3"/>
  <c r="V149" i="3"/>
  <c r="U149" i="3"/>
  <c r="W149" i="3" s="1"/>
  <c r="T149" i="3"/>
  <c r="S149" i="3"/>
  <c r="R149" i="3"/>
  <c r="Q149" i="3"/>
  <c r="P149" i="3"/>
  <c r="O149" i="3"/>
  <c r="M149" i="3"/>
  <c r="L149" i="3"/>
  <c r="N149" i="3" s="1"/>
  <c r="K149" i="3"/>
  <c r="J149" i="3"/>
  <c r="I149" i="3"/>
  <c r="H149" i="3"/>
  <c r="G149" i="3"/>
  <c r="F149" i="3"/>
  <c r="E149" i="3"/>
  <c r="D149" i="3"/>
  <c r="C149" i="3"/>
  <c r="B149" i="3"/>
  <c r="A149" i="3"/>
  <c r="Z149" i="3" s="1"/>
  <c r="V148" i="3"/>
  <c r="U148" i="3"/>
  <c r="W148" i="3" s="1"/>
  <c r="T148" i="3"/>
  <c r="S148" i="3"/>
  <c r="R148" i="3"/>
  <c r="P148" i="3"/>
  <c r="O148" i="3"/>
  <c r="Q148" i="3" s="1"/>
  <c r="M148" i="3"/>
  <c r="L148" i="3"/>
  <c r="N148" i="3" s="1"/>
  <c r="J148" i="3"/>
  <c r="I148" i="3"/>
  <c r="K148" i="3" s="1"/>
  <c r="H148" i="3"/>
  <c r="G148" i="3"/>
  <c r="F148" i="3"/>
  <c r="E148" i="3"/>
  <c r="D148" i="3"/>
  <c r="C148" i="3"/>
  <c r="B148" i="3"/>
  <c r="A148" i="3"/>
  <c r="Z148" i="3" s="1"/>
  <c r="AB147" i="3"/>
  <c r="Y147" i="3"/>
  <c r="X147" i="3"/>
  <c r="W147" i="3"/>
  <c r="V147" i="3"/>
  <c r="U147" i="3"/>
  <c r="T147" i="3"/>
  <c r="S147" i="3"/>
  <c r="R147" i="3"/>
  <c r="P147" i="3"/>
  <c r="O147" i="3"/>
  <c r="Q147" i="3" s="1"/>
  <c r="M147" i="3"/>
  <c r="L147" i="3"/>
  <c r="N147" i="3" s="1"/>
  <c r="K147" i="3"/>
  <c r="J147" i="3"/>
  <c r="I147" i="3"/>
  <c r="G147" i="3"/>
  <c r="F147" i="3"/>
  <c r="H147" i="3" s="1"/>
  <c r="E147" i="3"/>
  <c r="D147" i="3"/>
  <c r="C147" i="3"/>
  <c r="B147" i="3"/>
  <c r="A147" i="3"/>
  <c r="Z147" i="3" s="1"/>
  <c r="AB146" i="3"/>
  <c r="AA146" i="3"/>
  <c r="Z146" i="3"/>
  <c r="X146" i="3"/>
  <c r="W146" i="3"/>
  <c r="V146" i="3"/>
  <c r="U146" i="3"/>
  <c r="S146" i="3"/>
  <c r="R146" i="3"/>
  <c r="T146" i="3" s="1"/>
  <c r="P146" i="3"/>
  <c r="O146" i="3"/>
  <c r="Q146" i="3" s="1"/>
  <c r="M146" i="3"/>
  <c r="L146" i="3"/>
  <c r="N146" i="3" s="1"/>
  <c r="K146" i="3"/>
  <c r="J146" i="3"/>
  <c r="I146" i="3"/>
  <c r="H146" i="3"/>
  <c r="G146" i="3"/>
  <c r="F146" i="3"/>
  <c r="E146" i="3"/>
  <c r="D146" i="3"/>
  <c r="C146" i="3"/>
  <c r="B146" i="3"/>
  <c r="A146" i="3"/>
  <c r="Y146" i="3" s="1"/>
  <c r="AB145" i="3"/>
  <c r="AA145" i="3"/>
  <c r="Z145" i="3"/>
  <c r="X145" i="3"/>
  <c r="W145" i="3"/>
  <c r="V145" i="3"/>
  <c r="U145" i="3"/>
  <c r="T145" i="3"/>
  <c r="S145" i="3"/>
  <c r="R145" i="3"/>
  <c r="P145" i="3"/>
  <c r="O145" i="3"/>
  <c r="Q145" i="3" s="1"/>
  <c r="N145" i="3"/>
  <c r="M145" i="3"/>
  <c r="L145" i="3"/>
  <c r="K145" i="3"/>
  <c r="J145" i="3"/>
  <c r="I145" i="3"/>
  <c r="G145" i="3"/>
  <c r="F145" i="3"/>
  <c r="H145" i="3" s="1"/>
  <c r="E145" i="3"/>
  <c r="D145" i="3"/>
  <c r="C145" i="3"/>
  <c r="B145" i="3"/>
  <c r="A145" i="3"/>
  <c r="Y145" i="3" s="1"/>
  <c r="AB144" i="3"/>
  <c r="AA144" i="3"/>
  <c r="Z144" i="3"/>
  <c r="X144" i="3"/>
  <c r="W144" i="3"/>
  <c r="V144" i="3"/>
  <c r="U144" i="3"/>
  <c r="S144" i="3"/>
  <c r="R144" i="3"/>
  <c r="T144" i="3" s="1"/>
  <c r="P144" i="3"/>
  <c r="O144" i="3"/>
  <c r="Q144" i="3" s="1"/>
  <c r="M144" i="3"/>
  <c r="L144" i="3"/>
  <c r="N144" i="3" s="1"/>
  <c r="K144" i="3"/>
  <c r="J144" i="3"/>
  <c r="I144" i="3"/>
  <c r="H144" i="3"/>
  <c r="G144" i="3"/>
  <c r="F144" i="3"/>
  <c r="E144" i="3"/>
  <c r="D144" i="3"/>
  <c r="C144" i="3"/>
  <c r="B144" i="3"/>
  <c r="A144" i="3"/>
  <c r="Y144" i="3" s="1"/>
  <c r="AB143" i="3"/>
  <c r="AA143" i="3"/>
  <c r="Z143" i="3"/>
  <c r="X143" i="3"/>
  <c r="W143" i="3"/>
  <c r="V143" i="3"/>
  <c r="U143" i="3"/>
  <c r="T143" i="3"/>
  <c r="S143" i="3"/>
  <c r="R143" i="3"/>
  <c r="P143" i="3"/>
  <c r="O143" i="3"/>
  <c r="Q143" i="3" s="1"/>
  <c r="N143" i="3"/>
  <c r="M143" i="3"/>
  <c r="L143" i="3"/>
  <c r="K143" i="3"/>
  <c r="J143" i="3"/>
  <c r="I143" i="3"/>
  <c r="G143" i="3"/>
  <c r="F143" i="3"/>
  <c r="H143" i="3" s="1"/>
  <c r="E143" i="3"/>
  <c r="D143" i="3"/>
  <c r="C143" i="3"/>
  <c r="B143" i="3"/>
  <c r="A143" i="3"/>
  <c r="Y143" i="3" s="1"/>
  <c r="AB142" i="3"/>
  <c r="AA142" i="3"/>
  <c r="Z142" i="3"/>
  <c r="X142" i="3"/>
  <c r="W142" i="3"/>
  <c r="V142" i="3"/>
  <c r="U142" i="3"/>
  <c r="S142" i="3"/>
  <c r="R142" i="3"/>
  <c r="T142" i="3" s="1"/>
  <c r="P142" i="3"/>
  <c r="O142" i="3"/>
  <c r="Q142" i="3" s="1"/>
  <c r="M142" i="3"/>
  <c r="L142" i="3"/>
  <c r="N142" i="3" s="1"/>
  <c r="K142" i="3"/>
  <c r="J142" i="3"/>
  <c r="I142" i="3"/>
  <c r="H142" i="3"/>
  <c r="G142" i="3"/>
  <c r="F142" i="3"/>
  <c r="E142" i="3"/>
  <c r="D142" i="3"/>
  <c r="C142" i="3"/>
  <c r="B142" i="3"/>
  <c r="A142" i="3"/>
  <c r="Y142" i="3" s="1"/>
  <c r="AB141" i="3"/>
  <c r="AA141" i="3"/>
  <c r="Z141" i="3"/>
  <c r="X141" i="3"/>
  <c r="W141" i="3"/>
  <c r="V141" i="3"/>
  <c r="U141" i="3"/>
  <c r="T141" i="3"/>
  <c r="S141" i="3"/>
  <c r="R141" i="3"/>
  <c r="P141" i="3"/>
  <c r="O141" i="3"/>
  <c r="Q141" i="3" s="1"/>
  <c r="N141" i="3"/>
  <c r="M141" i="3"/>
  <c r="L141" i="3"/>
  <c r="K141" i="3"/>
  <c r="J141" i="3"/>
  <c r="I141" i="3"/>
  <c r="G141" i="3"/>
  <c r="F141" i="3"/>
  <c r="H141" i="3" s="1"/>
  <c r="E141" i="3"/>
  <c r="D141" i="3"/>
  <c r="C141" i="3"/>
  <c r="B141" i="3"/>
  <c r="A141" i="3"/>
  <c r="Y141" i="3" s="1"/>
  <c r="AB140" i="3"/>
  <c r="AA140" i="3"/>
  <c r="Z140" i="3"/>
  <c r="X140" i="3"/>
  <c r="W140" i="3"/>
  <c r="V140" i="3"/>
  <c r="U140" i="3"/>
  <c r="S140" i="3"/>
  <c r="R140" i="3"/>
  <c r="T140" i="3" s="1"/>
  <c r="P140" i="3"/>
  <c r="O140" i="3"/>
  <c r="Q140" i="3" s="1"/>
  <c r="M140" i="3"/>
  <c r="L140" i="3"/>
  <c r="N140" i="3" s="1"/>
  <c r="K140" i="3"/>
  <c r="J140" i="3"/>
  <c r="I140" i="3"/>
  <c r="H140" i="3"/>
  <c r="G140" i="3"/>
  <c r="F140" i="3"/>
  <c r="E140" i="3"/>
  <c r="D140" i="3"/>
  <c r="C140" i="3"/>
  <c r="B140" i="3"/>
  <c r="A140" i="3"/>
  <c r="Y140" i="3" s="1"/>
  <c r="AB139" i="3"/>
  <c r="AA139" i="3"/>
  <c r="Z139" i="3"/>
  <c r="X139" i="3"/>
  <c r="W139" i="3"/>
  <c r="V139" i="3"/>
  <c r="U139" i="3"/>
  <c r="T139" i="3"/>
  <c r="S139" i="3"/>
  <c r="R139" i="3"/>
  <c r="P139" i="3"/>
  <c r="O139" i="3"/>
  <c r="Q139" i="3" s="1"/>
  <c r="N139" i="3"/>
  <c r="M139" i="3"/>
  <c r="L139" i="3"/>
  <c r="K139" i="3"/>
  <c r="J139" i="3"/>
  <c r="I139" i="3"/>
  <c r="G139" i="3"/>
  <c r="F139" i="3"/>
  <c r="H139" i="3" s="1"/>
  <c r="E139" i="3"/>
  <c r="D139" i="3"/>
  <c r="C139" i="3"/>
  <c r="B139" i="3"/>
  <c r="A139" i="3"/>
  <c r="Y139" i="3" s="1"/>
  <c r="AB138" i="3"/>
  <c r="AA138" i="3"/>
  <c r="Z138" i="3"/>
  <c r="X138" i="3"/>
  <c r="W138" i="3"/>
  <c r="V138" i="3"/>
  <c r="U138" i="3"/>
  <c r="S138" i="3"/>
  <c r="R138" i="3"/>
  <c r="T138" i="3" s="1"/>
  <c r="P138" i="3"/>
  <c r="O138" i="3"/>
  <c r="Q138" i="3" s="1"/>
  <c r="M138" i="3"/>
  <c r="L138" i="3"/>
  <c r="N138" i="3" s="1"/>
  <c r="K138" i="3"/>
  <c r="J138" i="3"/>
  <c r="I138" i="3"/>
  <c r="H138" i="3"/>
  <c r="G138" i="3"/>
  <c r="F138" i="3"/>
  <c r="E138" i="3"/>
  <c r="D138" i="3"/>
  <c r="C138" i="3"/>
  <c r="B138" i="3"/>
  <c r="A138" i="3"/>
  <c r="Y138" i="3" s="1"/>
  <c r="AB137" i="3"/>
  <c r="AA137" i="3"/>
  <c r="Z137" i="3"/>
  <c r="X137" i="3"/>
  <c r="W137" i="3"/>
  <c r="V137" i="3"/>
  <c r="U137" i="3"/>
  <c r="T137" i="3"/>
  <c r="S137" i="3"/>
  <c r="R137" i="3"/>
  <c r="P137" i="3"/>
  <c r="O137" i="3"/>
  <c r="Q137" i="3" s="1"/>
  <c r="N137" i="3"/>
  <c r="M137" i="3"/>
  <c r="L137" i="3"/>
  <c r="K137" i="3"/>
  <c r="J137" i="3"/>
  <c r="I137" i="3"/>
  <c r="G137" i="3"/>
  <c r="F137" i="3"/>
  <c r="H137" i="3" s="1"/>
  <c r="E137" i="3"/>
  <c r="D137" i="3"/>
  <c r="C137" i="3"/>
  <c r="B137" i="3"/>
  <c r="A137" i="3"/>
  <c r="Y137" i="3" s="1"/>
  <c r="AB136" i="3"/>
  <c r="AA136" i="3"/>
  <c r="Z136" i="3"/>
  <c r="X136" i="3"/>
  <c r="W136" i="3"/>
  <c r="V136" i="3"/>
  <c r="U136" i="3"/>
  <c r="S136" i="3"/>
  <c r="R136" i="3"/>
  <c r="T136" i="3" s="1"/>
  <c r="P136" i="3"/>
  <c r="O136" i="3"/>
  <c r="Q136" i="3" s="1"/>
  <c r="M136" i="3"/>
  <c r="L136" i="3"/>
  <c r="N136" i="3" s="1"/>
  <c r="K136" i="3"/>
  <c r="J136" i="3"/>
  <c r="I136" i="3"/>
  <c r="H136" i="3"/>
  <c r="G136" i="3"/>
  <c r="F136" i="3"/>
  <c r="E136" i="3"/>
  <c r="D136" i="3"/>
  <c r="C136" i="3"/>
  <c r="B136" i="3"/>
  <c r="A136" i="3"/>
  <c r="Y136" i="3" s="1"/>
  <c r="AB135" i="3"/>
  <c r="AA135" i="3"/>
  <c r="Z135" i="3"/>
  <c r="X135" i="3"/>
  <c r="W135" i="3"/>
  <c r="V135" i="3"/>
  <c r="U135" i="3"/>
  <c r="T135" i="3"/>
  <c r="S135" i="3"/>
  <c r="R135" i="3"/>
  <c r="P135" i="3"/>
  <c r="O135" i="3"/>
  <c r="Q135" i="3" s="1"/>
  <c r="N135" i="3"/>
  <c r="M135" i="3"/>
  <c r="L135" i="3"/>
  <c r="K135" i="3"/>
  <c r="J135" i="3"/>
  <c r="I135" i="3"/>
  <c r="G135" i="3"/>
  <c r="F135" i="3"/>
  <c r="H135" i="3" s="1"/>
  <c r="E135" i="3"/>
  <c r="D135" i="3"/>
  <c r="C135" i="3"/>
  <c r="B135" i="3"/>
  <c r="A135" i="3"/>
  <c r="Y135" i="3" s="1"/>
  <c r="AB134" i="3"/>
  <c r="AA134" i="3"/>
  <c r="Z134" i="3"/>
  <c r="X134" i="3"/>
  <c r="W134" i="3"/>
  <c r="V134" i="3"/>
  <c r="U134" i="3"/>
  <c r="S134" i="3"/>
  <c r="R134" i="3"/>
  <c r="T134" i="3" s="1"/>
  <c r="P134" i="3"/>
  <c r="O134" i="3"/>
  <c r="Q134" i="3" s="1"/>
  <c r="M134" i="3"/>
  <c r="L134" i="3"/>
  <c r="N134" i="3" s="1"/>
  <c r="K134" i="3"/>
  <c r="J134" i="3"/>
  <c r="I134" i="3"/>
  <c r="H134" i="3"/>
  <c r="G134" i="3"/>
  <c r="F134" i="3"/>
  <c r="E134" i="3"/>
  <c r="D134" i="3"/>
  <c r="C134" i="3"/>
  <c r="B134" i="3"/>
  <c r="A134" i="3"/>
  <c r="Y134" i="3" s="1"/>
  <c r="AB133" i="3"/>
  <c r="AA133" i="3"/>
  <c r="Z133" i="3"/>
  <c r="X133" i="3"/>
  <c r="W133" i="3"/>
  <c r="V133" i="3"/>
  <c r="U133" i="3"/>
  <c r="T133" i="3"/>
  <c r="S133" i="3"/>
  <c r="R133" i="3"/>
  <c r="P133" i="3"/>
  <c r="O133" i="3"/>
  <c r="Q133" i="3" s="1"/>
  <c r="N133" i="3"/>
  <c r="M133" i="3"/>
  <c r="L133" i="3"/>
  <c r="K133" i="3"/>
  <c r="J133" i="3"/>
  <c r="I133" i="3"/>
  <c r="G133" i="3"/>
  <c r="F133" i="3"/>
  <c r="H133" i="3" s="1"/>
  <c r="E133" i="3"/>
  <c r="D133" i="3"/>
  <c r="C133" i="3"/>
  <c r="B133" i="3"/>
  <c r="A133" i="3"/>
  <c r="Y133" i="3" s="1"/>
  <c r="AB132" i="3"/>
  <c r="AA132" i="3"/>
  <c r="Z132" i="3"/>
  <c r="X132" i="3"/>
  <c r="W132" i="3"/>
  <c r="V132" i="3"/>
  <c r="U132" i="3"/>
  <c r="S132" i="3"/>
  <c r="R132" i="3"/>
  <c r="T132" i="3" s="1"/>
  <c r="P132" i="3"/>
  <c r="O132" i="3"/>
  <c r="Q132" i="3" s="1"/>
  <c r="M132" i="3"/>
  <c r="L132" i="3"/>
  <c r="N132" i="3" s="1"/>
  <c r="K132" i="3"/>
  <c r="J132" i="3"/>
  <c r="I132" i="3"/>
  <c r="H132" i="3"/>
  <c r="G132" i="3"/>
  <c r="F132" i="3"/>
  <c r="E132" i="3"/>
  <c r="D132" i="3"/>
  <c r="C132" i="3"/>
  <c r="B132" i="3"/>
  <c r="A132" i="3"/>
  <c r="Y132" i="3" s="1"/>
  <c r="AB131" i="3"/>
  <c r="AA131" i="3"/>
  <c r="Z131" i="3"/>
  <c r="X131" i="3"/>
  <c r="W131" i="3"/>
  <c r="V131" i="3"/>
  <c r="U131" i="3"/>
  <c r="T131" i="3"/>
  <c r="S131" i="3"/>
  <c r="R131" i="3"/>
  <c r="P131" i="3"/>
  <c r="O131" i="3"/>
  <c r="Q131" i="3" s="1"/>
  <c r="N131" i="3"/>
  <c r="M131" i="3"/>
  <c r="L131" i="3"/>
  <c r="K131" i="3"/>
  <c r="J131" i="3"/>
  <c r="I131" i="3"/>
  <c r="G131" i="3"/>
  <c r="F131" i="3"/>
  <c r="H131" i="3" s="1"/>
  <c r="E131" i="3"/>
  <c r="D131" i="3"/>
  <c r="C131" i="3"/>
  <c r="B131" i="3"/>
  <c r="A131" i="3"/>
  <c r="Y131" i="3" s="1"/>
  <c r="AB130" i="3"/>
  <c r="AA130" i="3"/>
  <c r="Z130" i="3"/>
  <c r="X130" i="3"/>
  <c r="W130" i="3"/>
  <c r="V130" i="3"/>
  <c r="U130" i="3"/>
  <c r="S130" i="3"/>
  <c r="R130" i="3"/>
  <c r="T130" i="3" s="1"/>
  <c r="P130" i="3"/>
  <c r="O130" i="3"/>
  <c r="Q130" i="3" s="1"/>
  <c r="M130" i="3"/>
  <c r="L130" i="3"/>
  <c r="N130" i="3" s="1"/>
  <c r="K130" i="3"/>
  <c r="J130" i="3"/>
  <c r="I130" i="3"/>
  <c r="H130" i="3"/>
  <c r="G130" i="3"/>
  <c r="F130" i="3"/>
  <c r="E130" i="3"/>
  <c r="D130" i="3"/>
  <c r="C130" i="3"/>
  <c r="B130" i="3"/>
  <c r="A130" i="3"/>
  <c r="Y130" i="3" s="1"/>
  <c r="AB129" i="3"/>
  <c r="AA129" i="3"/>
  <c r="Z129" i="3"/>
  <c r="X129" i="3"/>
  <c r="W129" i="3"/>
  <c r="V129" i="3"/>
  <c r="U129" i="3"/>
  <c r="T129" i="3"/>
  <c r="S129" i="3"/>
  <c r="R129" i="3"/>
  <c r="P129" i="3"/>
  <c r="O129" i="3"/>
  <c r="Q129" i="3" s="1"/>
  <c r="N129" i="3"/>
  <c r="M129" i="3"/>
  <c r="L129" i="3"/>
  <c r="K129" i="3"/>
  <c r="J129" i="3"/>
  <c r="I129" i="3"/>
  <c r="G129" i="3"/>
  <c r="F129" i="3"/>
  <c r="H129" i="3" s="1"/>
  <c r="E129" i="3"/>
  <c r="D129" i="3"/>
  <c r="C129" i="3"/>
  <c r="B129" i="3"/>
  <c r="A129" i="3"/>
  <c r="Y129" i="3" s="1"/>
  <c r="AB128" i="3"/>
  <c r="AA128" i="3"/>
  <c r="Z128" i="3"/>
  <c r="X128" i="3"/>
  <c r="W128" i="3"/>
  <c r="V128" i="3"/>
  <c r="U128" i="3"/>
  <c r="S128" i="3"/>
  <c r="R128" i="3"/>
  <c r="T128" i="3" s="1"/>
  <c r="P128" i="3"/>
  <c r="O128" i="3"/>
  <c r="Q128" i="3" s="1"/>
  <c r="M128" i="3"/>
  <c r="L128" i="3"/>
  <c r="N128" i="3" s="1"/>
  <c r="K128" i="3"/>
  <c r="J128" i="3"/>
  <c r="I128" i="3"/>
  <c r="H128" i="3"/>
  <c r="G128" i="3"/>
  <c r="F128" i="3"/>
  <c r="E128" i="3"/>
  <c r="D128" i="3"/>
  <c r="C128" i="3"/>
  <c r="B128" i="3"/>
  <c r="A128" i="3"/>
  <c r="Y128" i="3" s="1"/>
  <c r="AB127" i="3"/>
  <c r="AA127" i="3"/>
  <c r="Z127" i="3"/>
  <c r="X127" i="3"/>
  <c r="W127" i="3"/>
  <c r="V127" i="3"/>
  <c r="U127" i="3"/>
  <c r="T127" i="3"/>
  <c r="S127" i="3"/>
  <c r="R127" i="3"/>
  <c r="P127" i="3"/>
  <c r="O127" i="3"/>
  <c r="Q127" i="3" s="1"/>
  <c r="N127" i="3"/>
  <c r="M127" i="3"/>
  <c r="L127" i="3"/>
  <c r="K127" i="3"/>
  <c r="J127" i="3"/>
  <c r="I127" i="3"/>
  <c r="G127" i="3"/>
  <c r="F127" i="3"/>
  <c r="H127" i="3" s="1"/>
  <c r="E127" i="3"/>
  <c r="D127" i="3"/>
  <c r="C127" i="3"/>
  <c r="B127" i="3"/>
  <c r="A127" i="3"/>
  <c r="Y127" i="3" s="1"/>
  <c r="AB126" i="3"/>
  <c r="AA126" i="3"/>
  <c r="Z126" i="3"/>
  <c r="X126" i="3"/>
  <c r="W126" i="3"/>
  <c r="V126" i="3"/>
  <c r="U126" i="3"/>
  <c r="S126" i="3"/>
  <c r="R126" i="3"/>
  <c r="T126" i="3" s="1"/>
  <c r="P126" i="3"/>
  <c r="O126" i="3"/>
  <c r="Q126" i="3" s="1"/>
  <c r="M126" i="3"/>
  <c r="L126" i="3"/>
  <c r="N126" i="3" s="1"/>
  <c r="K126" i="3"/>
  <c r="J126" i="3"/>
  <c r="I126" i="3"/>
  <c r="H126" i="3"/>
  <c r="G126" i="3"/>
  <c r="F126" i="3"/>
  <c r="E126" i="3"/>
  <c r="D126" i="3"/>
  <c r="C126" i="3"/>
  <c r="B126" i="3"/>
  <c r="A126" i="3"/>
  <c r="Y126" i="3" s="1"/>
  <c r="AB125" i="3"/>
  <c r="AA125" i="3"/>
  <c r="Z125" i="3"/>
  <c r="X125" i="3"/>
  <c r="W125" i="3"/>
  <c r="V125" i="3"/>
  <c r="U125" i="3"/>
  <c r="T125" i="3"/>
  <c r="S125" i="3"/>
  <c r="R125" i="3"/>
  <c r="P125" i="3"/>
  <c r="O125" i="3"/>
  <c r="Q125" i="3" s="1"/>
  <c r="N125" i="3"/>
  <c r="M125" i="3"/>
  <c r="L125" i="3"/>
  <c r="K125" i="3"/>
  <c r="J125" i="3"/>
  <c r="I125" i="3"/>
  <c r="G125" i="3"/>
  <c r="F125" i="3"/>
  <c r="H125" i="3" s="1"/>
  <c r="E125" i="3"/>
  <c r="D125" i="3"/>
  <c r="C125" i="3"/>
  <c r="B125" i="3"/>
  <c r="A125" i="3"/>
  <c r="Y125" i="3" s="1"/>
  <c r="AB124" i="3"/>
  <c r="AA124" i="3"/>
  <c r="Z124" i="3"/>
  <c r="X124" i="3"/>
  <c r="W124" i="3"/>
  <c r="V124" i="3"/>
  <c r="U124" i="3"/>
  <c r="S124" i="3"/>
  <c r="R124" i="3"/>
  <c r="T124" i="3" s="1"/>
  <c r="P124" i="3"/>
  <c r="O124" i="3"/>
  <c r="Q124" i="3" s="1"/>
  <c r="M124" i="3"/>
  <c r="L124" i="3"/>
  <c r="N124" i="3" s="1"/>
  <c r="K124" i="3"/>
  <c r="J124" i="3"/>
  <c r="I124" i="3"/>
  <c r="H124" i="3"/>
  <c r="G124" i="3"/>
  <c r="F124" i="3"/>
  <c r="E124" i="3"/>
  <c r="D124" i="3"/>
  <c r="C124" i="3"/>
  <c r="B124" i="3"/>
  <c r="A124" i="3"/>
  <c r="Y124" i="3" s="1"/>
  <c r="AB123" i="3"/>
  <c r="AA123" i="3"/>
  <c r="Z123" i="3"/>
  <c r="X123" i="3"/>
  <c r="W123" i="3"/>
  <c r="V123" i="3"/>
  <c r="U123" i="3"/>
  <c r="T123" i="3"/>
  <c r="S123" i="3"/>
  <c r="R123" i="3"/>
  <c r="P123" i="3"/>
  <c r="O123" i="3"/>
  <c r="Q123" i="3" s="1"/>
  <c r="N123" i="3"/>
  <c r="M123" i="3"/>
  <c r="L123" i="3"/>
  <c r="K123" i="3"/>
  <c r="J123" i="3"/>
  <c r="I123" i="3"/>
  <c r="G123" i="3"/>
  <c r="F123" i="3"/>
  <c r="H123" i="3" s="1"/>
  <c r="E123" i="3"/>
  <c r="D123" i="3"/>
  <c r="C123" i="3"/>
  <c r="B123" i="3"/>
  <c r="A123" i="3"/>
  <c r="Y123" i="3" s="1"/>
  <c r="AB122" i="3"/>
  <c r="AA122" i="3"/>
  <c r="Z122" i="3"/>
  <c r="X122" i="3"/>
  <c r="W122" i="3"/>
  <c r="V122" i="3"/>
  <c r="U122" i="3"/>
  <c r="S122" i="3"/>
  <c r="R122" i="3"/>
  <c r="T122" i="3" s="1"/>
  <c r="P122" i="3"/>
  <c r="O122" i="3"/>
  <c r="Q122" i="3" s="1"/>
  <c r="M122" i="3"/>
  <c r="L122" i="3"/>
  <c r="N122" i="3" s="1"/>
  <c r="K122" i="3"/>
  <c r="J122" i="3"/>
  <c r="I122" i="3"/>
  <c r="H122" i="3"/>
  <c r="G122" i="3"/>
  <c r="F122" i="3"/>
  <c r="E122" i="3"/>
  <c r="D122" i="3"/>
  <c r="C122" i="3"/>
  <c r="B122" i="3"/>
  <c r="A122" i="3"/>
  <c r="Y122" i="3" s="1"/>
  <c r="AB121" i="3"/>
  <c r="AA121" i="3"/>
  <c r="Z121" i="3"/>
  <c r="X121" i="3"/>
  <c r="W121" i="3"/>
  <c r="V121" i="3"/>
  <c r="U121" i="3"/>
  <c r="T121" i="3"/>
  <c r="S121" i="3"/>
  <c r="R121" i="3"/>
  <c r="P121" i="3"/>
  <c r="O121" i="3"/>
  <c r="Q121" i="3" s="1"/>
  <c r="N121" i="3"/>
  <c r="M121" i="3"/>
  <c r="L121" i="3"/>
  <c r="K121" i="3"/>
  <c r="J121" i="3"/>
  <c r="I121" i="3"/>
  <c r="G121" i="3"/>
  <c r="F121" i="3"/>
  <c r="H121" i="3" s="1"/>
  <c r="E121" i="3"/>
  <c r="D121" i="3"/>
  <c r="C121" i="3"/>
  <c r="B121" i="3"/>
  <c r="A121" i="3"/>
  <c r="Y121" i="3" s="1"/>
  <c r="AB120" i="3"/>
  <c r="AA120" i="3"/>
  <c r="Z120" i="3"/>
  <c r="X120" i="3"/>
  <c r="W120" i="3"/>
  <c r="V120" i="3"/>
  <c r="U120" i="3"/>
  <c r="S120" i="3"/>
  <c r="R120" i="3"/>
  <c r="T120" i="3" s="1"/>
  <c r="P120" i="3"/>
  <c r="O120" i="3"/>
  <c r="Q120" i="3" s="1"/>
  <c r="M120" i="3"/>
  <c r="L120" i="3"/>
  <c r="N120" i="3" s="1"/>
  <c r="K120" i="3"/>
  <c r="J120" i="3"/>
  <c r="I120" i="3"/>
  <c r="H120" i="3"/>
  <c r="G120" i="3"/>
  <c r="F120" i="3"/>
  <c r="E120" i="3"/>
  <c r="D120" i="3"/>
  <c r="C120" i="3"/>
  <c r="B120" i="3"/>
  <c r="A120" i="3"/>
  <c r="Y120" i="3" s="1"/>
  <c r="AB119" i="3"/>
  <c r="AA119" i="3"/>
  <c r="Z119" i="3"/>
  <c r="X119" i="3"/>
  <c r="W119" i="3"/>
  <c r="V119" i="3"/>
  <c r="U119" i="3"/>
  <c r="T119" i="3"/>
  <c r="S119" i="3"/>
  <c r="R119" i="3"/>
  <c r="P119" i="3"/>
  <c r="O119" i="3"/>
  <c r="Q119" i="3" s="1"/>
  <c r="N119" i="3"/>
  <c r="M119" i="3"/>
  <c r="L119" i="3"/>
  <c r="K119" i="3"/>
  <c r="J119" i="3"/>
  <c r="I119" i="3"/>
  <c r="G119" i="3"/>
  <c r="F119" i="3"/>
  <c r="H119" i="3" s="1"/>
  <c r="E119" i="3"/>
  <c r="D119" i="3"/>
  <c r="C119" i="3"/>
  <c r="B119" i="3"/>
  <c r="A119" i="3"/>
  <c r="Y119" i="3" s="1"/>
  <c r="AB118" i="3"/>
  <c r="AA118" i="3"/>
  <c r="Z118" i="3"/>
  <c r="X118" i="3"/>
  <c r="W118" i="3"/>
  <c r="V118" i="3"/>
  <c r="U118" i="3"/>
  <c r="S118" i="3"/>
  <c r="R118" i="3"/>
  <c r="T118" i="3" s="1"/>
  <c r="P118" i="3"/>
  <c r="O118" i="3"/>
  <c r="Q118" i="3" s="1"/>
  <c r="M118" i="3"/>
  <c r="L118" i="3"/>
  <c r="N118" i="3" s="1"/>
  <c r="K118" i="3"/>
  <c r="J118" i="3"/>
  <c r="I118" i="3"/>
  <c r="H118" i="3"/>
  <c r="G118" i="3"/>
  <c r="F118" i="3"/>
  <c r="E118" i="3"/>
  <c r="D118" i="3"/>
  <c r="C118" i="3"/>
  <c r="B118" i="3"/>
  <c r="A118" i="3"/>
  <c r="Y118" i="3" s="1"/>
  <c r="AB117" i="3"/>
  <c r="AA117" i="3"/>
  <c r="Z117" i="3"/>
  <c r="X117" i="3"/>
  <c r="W117" i="3"/>
  <c r="V117" i="3"/>
  <c r="U117" i="3"/>
  <c r="T117" i="3"/>
  <c r="S117" i="3"/>
  <c r="R117" i="3"/>
  <c r="P117" i="3"/>
  <c r="O117" i="3"/>
  <c r="Q117" i="3" s="1"/>
  <c r="N117" i="3"/>
  <c r="M117" i="3"/>
  <c r="L117" i="3"/>
  <c r="K117" i="3"/>
  <c r="J117" i="3"/>
  <c r="I117" i="3"/>
  <c r="G117" i="3"/>
  <c r="F117" i="3"/>
  <c r="H117" i="3" s="1"/>
  <c r="E117" i="3"/>
  <c r="D117" i="3"/>
  <c r="C117" i="3"/>
  <c r="B117" i="3"/>
  <c r="A117" i="3"/>
  <c r="Y117" i="3" s="1"/>
  <c r="AB116" i="3"/>
  <c r="AA116" i="3"/>
  <c r="Z116" i="3"/>
  <c r="X116" i="3"/>
  <c r="W116" i="3"/>
  <c r="V116" i="3"/>
  <c r="U116" i="3"/>
  <c r="S116" i="3"/>
  <c r="R116" i="3"/>
  <c r="T116" i="3" s="1"/>
  <c r="P116" i="3"/>
  <c r="O116" i="3"/>
  <c r="Q116" i="3" s="1"/>
  <c r="M116" i="3"/>
  <c r="L116" i="3"/>
  <c r="N116" i="3" s="1"/>
  <c r="K116" i="3"/>
  <c r="J116" i="3"/>
  <c r="I116" i="3"/>
  <c r="H116" i="3"/>
  <c r="G116" i="3"/>
  <c r="F116" i="3"/>
  <c r="E116" i="3"/>
  <c r="D116" i="3"/>
  <c r="C116" i="3"/>
  <c r="B116" i="3"/>
  <c r="A116" i="3"/>
  <c r="Y116" i="3" s="1"/>
  <c r="AB115" i="3"/>
  <c r="AA115" i="3"/>
  <c r="Z115" i="3"/>
  <c r="X115" i="3"/>
  <c r="W115" i="3"/>
  <c r="V115" i="3"/>
  <c r="U115" i="3"/>
  <c r="T115" i="3"/>
  <c r="S115" i="3"/>
  <c r="R115" i="3"/>
  <c r="P115" i="3"/>
  <c r="O115" i="3"/>
  <c r="Q115" i="3" s="1"/>
  <c r="N115" i="3"/>
  <c r="M115" i="3"/>
  <c r="L115" i="3"/>
  <c r="K115" i="3"/>
  <c r="J115" i="3"/>
  <c r="I115" i="3"/>
  <c r="G115" i="3"/>
  <c r="F115" i="3"/>
  <c r="H115" i="3" s="1"/>
  <c r="E115" i="3"/>
  <c r="D115" i="3"/>
  <c r="C115" i="3"/>
  <c r="B115" i="3"/>
  <c r="A115" i="3"/>
  <c r="Y115" i="3" s="1"/>
  <c r="AB114" i="3"/>
  <c r="AA114" i="3"/>
  <c r="Z114" i="3"/>
  <c r="X114" i="3"/>
  <c r="W114" i="3"/>
  <c r="V114" i="3"/>
  <c r="U114" i="3"/>
  <c r="S114" i="3"/>
  <c r="R114" i="3"/>
  <c r="T114" i="3" s="1"/>
  <c r="P114" i="3"/>
  <c r="O114" i="3"/>
  <c r="Q114" i="3" s="1"/>
  <c r="M114" i="3"/>
  <c r="L114" i="3"/>
  <c r="N114" i="3" s="1"/>
  <c r="K114" i="3"/>
  <c r="J114" i="3"/>
  <c r="I114" i="3"/>
  <c r="H114" i="3"/>
  <c r="G114" i="3"/>
  <c r="F114" i="3"/>
  <c r="E114" i="3"/>
  <c r="D114" i="3"/>
  <c r="C114" i="3"/>
  <c r="B114" i="3"/>
  <c r="A114" i="3"/>
  <c r="Y114" i="3" s="1"/>
  <c r="AB113" i="3"/>
  <c r="AA113" i="3"/>
  <c r="Z113" i="3"/>
  <c r="X113" i="3"/>
  <c r="W113" i="3"/>
  <c r="V113" i="3"/>
  <c r="U113" i="3"/>
  <c r="T113" i="3"/>
  <c r="S113" i="3"/>
  <c r="R113" i="3"/>
  <c r="P113" i="3"/>
  <c r="O113" i="3"/>
  <c r="Q113" i="3" s="1"/>
  <c r="N113" i="3"/>
  <c r="M113" i="3"/>
  <c r="L113" i="3"/>
  <c r="K113" i="3"/>
  <c r="J113" i="3"/>
  <c r="I113" i="3"/>
  <c r="G113" i="3"/>
  <c r="F113" i="3"/>
  <c r="H113" i="3" s="1"/>
  <c r="E113" i="3"/>
  <c r="D113" i="3"/>
  <c r="C113" i="3"/>
  <c r="B113" i="3"/>
  <c r="A113" i="3"/>
  <c r="Y113" i="3" s="1"/>
  <c r="AB112" i="3"/>
  <c r="AA112" i="3"/>
  <c r="Z112" i="3"/>
  <c r="X112" i="3"/>
  <c r="W112" i="3"/>
  <c r="V112" i="3"/>
  <c r="U112" i="3"/>
  <c r="S112" i="3"/>
  <c r="R112" i="3"/>
  <c r="T112" i="3" s="1"/>
  <c r="P112" i="3"/>
  <c r="O112" i="3"/>
  <c r="Q112" i="3" s="1"/>
  <c r="M112" i="3"/>
  <c r="L112" i="3"/>
  <c r="N112" i="3" s="1"/>
  <c r="K112" i="3"/>
  <c r="J112" i="3"/>
  <c r="I112" i="3"/>
  <c r="H112" i="3"/>
  <c r="G112" i="3"/>
  <c r="F112" i="3"/>
  <c r="E112" i="3"/>
  <c r="D112" i="3"/>
  <c r="C112" i="3"/>
  <c r="B112" i="3"/>
  <c r="A112" i="3"/>
  <c r="Y112" i="3" s="1"/>
  <c r="AB111" i="3"/>
  <c r="AA111" i="3"/>
  <c r="Z111" i="3"/>
  <c r="X111" i="3"/>
  <c r="W111" i="3"/>
  <c r="V111" i="3"/>
  <c r="U111" i="3"/>
  <c r="T111" i="3"/>
  <c r="S111" i="3"/>
  <c r="R111" i="3"/>
  <c r="P111" i="3"/>
  <c r="O111" i="3"/>
  <c r="Q111" i="3" s="1"/>
  <c r="N111" i="3"/>
  <c r="M111" i="3"/>
  <c r="L111" i="3"/>
  <c r="K111" i="3"/>
  <c r="J111" i="3"/>
  <c r="I111" i="3"/>
  <c r="G111" i="3"/>
  <c r="F111" i="3"/>
  <c r="H111" i="3" s="1"/>
  <c r="E111" i="3"/>
  <c r="D111" i="3"/>
  <c r="C111" i="3"/>
  <c r="B111" i="3"/>
  <c r="A111" i="3"/>
  <c r="Y111" i="3" s="1"/>
  <c r="AB110" i="3"/>
  <c r="AA110" i="3"/>
  <c r="Z110" i="3"/>
  <c r="X110" i="3"/>
  <c r="W110" i="3"/>
  <c r="V110" i="3"/>
  <c r="U110" i="3"/>
  <c r="S110" i="3"/>
  <c r="R110" i="3"/>
  <c r="T110" i="3" s="1"/>
  <c r="P110" i="3"/>
  <c r="O110" i="3"/>
  <c r="Q110" i="3" s="1"/>
  <c r="M110" i="3"/>
  <c r="L110" i="3"/>
  <c r="N110" i="3" s="1"/>
  <c r="K110" i="3"/>
  <c r="J110" i="3"/>
  <c r="I110" i="3"/>
  <c r="H110" i="3"/>
  <c r="G110" i="3"/>
  <c r="F110" i="3"/>
  <c r="E110" i="3"/>
  <c r="D110" i="3"/>
  <c r="C110" i="3"/>
  <c r="B110" i="3"/>
  <c r="A110" i="3"/>
  <c r="Y110" i="3" s="1"/>
  <c r="AB109" i="3"/>
  <c r="AA109" i="3"/>
  <c r="Z109" i="3"/>
  <c r="X109" i="3"/>
  <c r="W109" i="3"/>
  <c r="V109" i="3"/>
  <c r="U109" i="3"/>
  <c r="T109" i="3"/>
  <c r="S109" i="3"/>
  <c r="R109" i="3"/>
  <c r="P109" i="3"/>
  <c r="O109" i="3"/>
  <c r="Q109" i="3" s="1"/>
  <c r="N109" i="3"/>
  <c r="M109" i="3"/>
  <c r="L109" i="3"/>
  <c r="K109" i="3"/>
  <c r="J109" i="3"/>
  <c r="I109" i="3"/>
  <c r="G109" i="3"/>
  <c r="F109" i="3"/>
  <c r="H109" i="3" s="1"/>
  <c r="E109" i="3"/>
  <c r="D109" i="3"/>
  <c r="C109" i="3"/>
  <c r="B109" i="3"/>
  <c r="A109" i="3"/>
  <c r="Y109" i="3" s="1"/>
  <c r="AB108" i="3"/>
  <c r="AA108" i="3"/>
  <c r="Z108" i="3"/>
  <c r="X108" i="3"/>
  <c r="W108" i="3"/>
  <c r="V108" i="3"/>
  <c r="U108" i="3"/>
  <c r="S108" i="3"/>
  <c r="R108" i="3"/>
  <c r="T108" i="3" s="1"/>
  <c r="P108" i="3"/>
  <c r="O108" i="3"/>
  <c r="Q108" i="3" s="1"/>
  <c r="M108" i="3"/>
  <c r="L108" i="3"/>
  <c r="N108" i="3" s="1"/>
  <c r="K108" i="3"/>
  <c r="J108" i="3"/>
  <c r="I108" i="3"/>
  <c r="H108" i="3"/>
  <c r="G108" i="3"/>
  <c r="F108" i="3"/>
  <c r="E108" i="3"/>
  <c r="D108" i="3"/>
  <c r="C108" i="3"/>
  <c r="B108" i="3"/>
  <c r="A108" i="3"/>
  <c r="Y108" i="3" s="1"/>
  <c r="AB107" i="3"/>
  <c r="AA107" i="3"/>
  <c r="Z107" i="3"/>
  <c r="X107" i="3"/>
  <c r="W107" i="3"/>
  <c r="V107" i="3"/>
  <c r="U107" i="3"/>
  <c r="T107" i="3"/>
  <c r="S107" i="3"/>
  <c r="R107" i="3"/>
  <c r="P107" i="3"/>
  <c r="O107" i="3"/>
  <c r="Q107" i="3" s="1"/>
  <c r="N107" i="3"/>
  <c r="M107" i="3"/>
  <c r="L107" i="3"/>
  <c r="K107" i="3"/>
  <c r="J107" i="3"/>
  <c r="I107" i="3"/>
  <c r="G107" i="3"/>
  <c r="F107" i="3"/>
  <c r="H107" i="3" s="1"/>
  <c r="E107" i="3"/>
  <c r="D107" i="3"/>
  <c r="C107" i="3"/>
  <c r="B107" i="3"/>
  <c r="A107" i="3"/>
  <c r="Y107" i="3" s="1"/>
  <c r="AB106" i="3"/>
  <c r="AA106" i="3"/>
  <c r="Z106" i="3"/>
  <c r="X106" i="3"/>
  <c r="W106" i="3"/>
  <c r="V106" i="3"/>
  <c r="U106" i="3"/>
  <c r="S106" i="3"/>
  <c r="R106" i="3"/>
  <c r="T106" i="3" s="1"/>
  <c r="P106" i="3"/>
  <c r="O106" i="3"/>
  <c r="Q106" i="3" s="1"/>
  <c r="M106" i="3"/>
  <c r="L106" i="3"/>
  <c r="N106" i="3" s="1"/>
  <c r="K106" i="3"/>
  <c r="J106" i="3"/>
  <c r="I106" i="3"/>
  <c r="H106" i="3"/>
  <c r="G106" i="3"/>
  <c r="F106" i="3"/>
  <c r="E106" i="3"/>
  <c r="D106" i="3"/>
  <c r="C106" i="3"/>
  <c r="B106" i="3"/>
  <c r="A106" i="3"/>
  <c r="Y106" i="3" s="1"/>
  <c r="AB105" i="3"/>
  <c r="AA105" i="3"/>
  <c r="Z105" i="3"/>
  <c r="X105" i="3"/>
  <c r="W105" i="3"/>
  <c r="V105" i="3"/>
  <c r="U105" i="3"/>
  <c r="T105" i="3"/>
  <c r="S105" i="3"/>
  <c r="R105" i="3"/>
  <c r="P105" i="3"/>
  <c r="O105" i="3"/>
  <c r="Q105" i="3" s="1"/>
  <c r="N105" i="3"/>
  <c r="M105" i="3"/>
  <c r="L105" i="3"/>
  <c r="K105" i="3"/>
  <c r="J105" i="3"/>
  <c r="I105" i="3"/>
  <c r="G105" i="3"/>
  <c r="F105" i="3"/>
  <c r="H105" i="3" s="1"/>
  <c r="E105" i="3"/>
  <c r="D105" i="3"/>
  <c r="C105" i="3"/>
  <c r="B105" i="3"/>
  <c r="A105" i="3"/>
  <c r="Y105" i="3" s="1"/>
  <c r="AB104" i="3"/>
  <c r="AA104" i="3"/>
  <c r="Z104" i="3"/>
  <c r="X104" i="3"/>
  <c r="W104" i="3"/>
  <c r="V104" i="3"/>
  <c r="U104" i="3"/>
  <c r="S104" i="3"/>
  <c r="R104" i="3"/>
  <c r="T104" i="3" s="1"/>
  <c r="P104" i="3"/>
  <c r="O104" i="3"/>
  <c r="Q104" i="3" s="1"/>
  <c r="M104" i="3"/>
  <c r="L104" i="3"/>
  <c r="N104" i="3" s="1"/>
  <c r="K104" i="3"/>
  <c r="J104" i="3"/>
  <c r="I104" i="3"/>
  <c r="H104" i="3"/>
  <c r="G104" i="3"/>
  <c r="F104" i="3"/>
  <c r="E104" i="3"/>
  <c r="D104" i="3"/>
  <c r="C104" i="3"/>
  <c r="B104" i="3"/>
  <c r="A104" i="3"/>
  <c r="Y104" i="3" s="1"/>
  <c r="AB103" i="3"/>
  <c r="AA103" i="3"/>
  <c r="Z103" i="3"/>
  <c r="X103" i="3"/>
  <c r="W103" i="3"/>
  <c r="V103" i="3"/>
  <c r="U103" i="3"/>
  <c r="T103" i="3"/>
  <c r="S103" i="3"/>
  <c r="R103" i="3"/>
  <c r="P103" i="3"/>
  <c r="O103" i="3"/>
  <c r="Q103" i="3" s="1"/>
  <c r="N103" i="3"/>
  <c r="M103" i="3"/>
  <c r="L103" i="3"/>
  <c r="K103" i="3"/>
  <c r="J103" i="3"/>
  <c r="I103" i="3"/>
  <c r="G103" i="3"/>
  <c r="F103" i="3"/>
  <c r="H103" i="3" s="1"/>
  <c r="E103" i="3"/>
  <c r="D103" i="3"/>
  <c r="C103" i="3"/>
  <c r="B103" i="3"/>
  <c r="A103" i="3"/>
  <c r="Y103" i="3" s="1"/>
  <c r="AB102" i="3"/>
  <c r="AA102" i="3"/>
  <c r="Z102" i="3"/>
  <c r="X102" i="3"/>
  <c r="W102" i="3"/>
  <c r="V102" i="3"/>
  <c r="U102" i="3"/>
  <c r="S102" i="3"/>
  <c r="R102" i="3"/>
  <c r="T102" i="3" s="1"/>
  <c r="P102" i="3"/>
  <c r="O102" i="3"/>
  <c r="Q102" i="3" s="1"/>
  <c r="M102" i="3"/>
  <c r="L102" i="3"/>
  <c r="N102" i="3" s="1"/>
  <c r="K102" i="3"/>
  <c r="J102" i="3"/>
  <c r="I102" i="3"/>
  <c r="H102" i="3"/>
  <c r="G102" i="3"/>
  <c r="F102" i="3"/>
  <c r="E102" i="3"/>
  <c r="D102" i="3"/>
  <c r="C102" i="3"/>
  <c r="B102" i="3"/>
  <c r="A102" i="3"/>
  <c r="Y102" i="3" s="1"/>
  <c r="AB101" i="3"/>
  <c r="AA101" i="3"/>
  <c r="Z101" i="3"/>
  <c r="X101" i="3"/>
  <c r="W101" i="3"/>
  <c r="V101" i="3"/>
  <c r="U101" i="3"/>
  <c r="T101" i="3"/>
  <c r="S101" i="3"/>
  <c r="R101" i="3"/>
  <c r="P101" i="3"/>
  <c r="O101" i="3"/>
  <c r="Q101" i="3" s="1"/>
  <c r="N101" i="3"/>
  <c r="M101" i="3"/>
  <c r="L101" i="3"/>
  <c r="K101" i="3"/>
  <c r="J101" i="3"/>
  <c r="I101" i="3"/>
  <c r="G101" i="3"/>
  <c r="F101" i="3"/>
  <c r="H101" i="3" s="1"/>
  <c r="E101" i="3"/>
  <c r="D101" i="3"/>
  <c r="C101" i="3"/>
  <c r="B101" i="3"/>
  <c r="A101" i="3"/>
  <c r="Y101" i="3" s="1"/>
  <c r="AB100" i="3"/>
  <c r="AA100" i="3"/>
  <c r="Z100" i="3"/>
  <c r="X100" i="3"/>
  <c r="W100" i="3"/>
  <c r="V100" i="3"/>
  <c r="U100" i="3"/>
  <c r="S100" i="3"/>
  <c r="R100" i="3"/>
  <c r="T100" i="3" s="1"/>
  <c r="P100" i="3"/>
  <c r="O100" i="3"/>
  <c r="Q100" i="3" s="1"/>
  <c r="M100" i="3"/>
  <c r="L100" i="3"/>
  <c r="N100" i="3" s="1"/>
  <c r="K100" i="3"/>
  <c r="J100" i="3"/>
  <c r="I100" i="3"/>
  <c r="H100" i="3"/>
  <c r="G100" i="3"/>
  <c r="F100" i="3"/>
  <c r="E100" i="3"/>
  <c r="D100" i="3"/>
  <c r="C100" i="3"/>
  <c r="B100" i="3"/>
  <c r="A100" i="3"/>
  <c r="Y100" i="3" s="1"/>
  <c r="AB99" i="3"/>
  <c r="AA99" i="3"/>
  <c r="Z99" i="3"/>
  <c r="X99" i="3"/>
  <c r="W99" i="3"/>
  <c r="V99" i="3"/>
  <c r="U99" i="3"/>
  <c r="T99" i="3"/>
  <c r="S99" i="3"/>
  <c r="R99" i="3"/>
  <c r="P99" i="3"/>
  <c r="O99" i="3"/>
  <c r="Q99" i="3" s="1"/>
  <c r="N99" i="3"/>
  <c r="M99" i="3"/>
  <c r="L99" i="3"/>
  <c r="K99" i="3"/>
  <c r="J99" i="3"/>
  <c r="I99" i="3"/>
  <c r="G99" i="3"/>
  <c r="F99" i="3"/>
  <c r="H99" i="3" s="1"/>
  <c r="E99" i="3"/>
  <c r="D99" i="3"/>
  <c r="C99" i="3"/>
  <c r="B99" i="3"/>
  <c r="A99" i="3"/>
  <c r="Y99" i="3" s="1"/>
  <c r="AB98" i="3"/>
  <c r="AA98" i="3"/>
  <c r="Z98" i="3"/>
  <c r="X98" i="3"/>
  <c r="W98" i="3"/>
  <c r="V98" i="3"/>
  <c r="U98" i="3"/>
  <c r="S98" i="3"/>
  <c r="R98" i="3"/>
  <c r="T98" i="3" s="1"/>
  <c r="P98" i="3"/>
  <c r="O98" i="3"/>
  <c r="Q98" i="3" s="1"/>
  <c r="M98" i="3"/>
  <c r="L98" i="3"/>
  <c r="N98" i="3" s="1"/>
  <c r="K98" i="3"/>
  <c r="J98" i="3"/>
  <c r="I98" i="3"/>
  <c r="H98" i="3"/>
  <c r="G98" i="3"/>
  <c r="F98" i="3"/>
  <c r="E98" i="3"/>
  <c r="D98" i="3"/>
  <c r="C98" i="3"/>
  <c r="B98" i="3"/>
  <c r="A98" i="3"/>
  <c r="Y98" i="3" s="1"/>
  <c r="AB97" i="3"/>
  <c r="AA97" i="3"/>
  <c r="Z97" i="3"/>
  <c r="X97" i="3"/>
  <c r="W97" i="3"/>
  <c r="V97" i="3"/>
  <c r="U97" i="3"/>
  <c r="T97" i="3"/>
  <c r="S97" i="3"/>
  <c r="R97" i="3"/>
  <c r="P97" i="3"/>
  <c r="O97" i="3"/>
  <c r="Q97" i="3" s="1"/>
  <c r="N97" i="3"/>
  <c r="M97" i="3"/>
  <c r="L97" i="3"/>
  <c r="K97" i="3"/>
  <c r="J97" i="3"/>
  <c r="I97" i="3"/>
  <c r="G97" i="3"/>
  <c r="F97" i="3"/>
  <c r="H97" i="3" s="1"/>
  <c r="E97" i="3"/>
  <c r="D97" i="3"/>
  <c r="C97" i="3"/>
  <c r="B97" i="3"/>
  <c r="A97" i="3"/>
  <c r="Y97" i="3" s="1"/>
  <c r="AB96" i="3"/>
  <c r="AA96" i="3"/>
  <c r="Z96" i="3"/>
  <c r="X96" i="3"/>
  <c r="W96" i="3"/>
  <c r="V96" i="3"/>
  <c r="U96" i="3"/>
  <c r="S96" i="3"/>
  <c r="R96" i="3"/>
  <c r="T96" i="3" s="1"/>
  <c r="P96" i="3"/>
  <c r="O96" i="3"/>
  <c r="Q96" i="3" s="1"/>
  <c r="M96" i="3"/>
  <c r="L96" i="3"/>
  <c r="N96" i="3" s="1"/>
  <c r="K96" i="3"/>
  <c r="J96" i="3"/>
  <c r="I96" i="3"/>
  <c r="H96" i="3"/>
  <c r="G96" i="3"/>
  <c r="F96" i="3"/>
  <c r="E96" i="3"/>
  <c r="D96" i="3"/>
  <c r="C96" i="3"/>
  <c r="B96" i="3"/>
  <c r="A96" i="3"/>
  <c r="Y96" i="3" s="1"/>
  <c r="AB95" i="3"/>
  <c r="AA95" i="3"/>
  <c r="Z95" i="3"/>
  <c r="X95" i="3"/>
  <c r="W95" i="3"/>
  <c r="V95" i="3"/>
  <c r="U95" i="3"/>
  <c r="T95" i="3"/>
  <c r="S95" i="3"/>
  <c r="R95" i="3"/>
  <c r="P95" i="3"/>
  <c r="O95" i="3"/>
  <c r="Q95" i="3" s="1"/>
  <c r="N95" i="3"/>
  <c r="M95" i="3"/>
  <c r="L95" i="3"/>
  <c r="K95" i="3"/>
  <c r="J95" i="3"/>
  <c r="I95" i="3"/>
  <c r="G95" i="3"/>
  <c r="F95" i="3"/>
  <c r="H95" i="3" s="1"/>
  <c r="E95" i="3"/>
  <c r="D95" i="3"/>
  <c r="C95" i="3"/>
  <c r="B95" i="3"/>
  <c r="A95" i="3"/>
  <c r="Y95" i="3" s="1"/>
  <c r="AB94" i="3"/>
  <c r="AA94" i="3"/>
  <c r="Z94" i="3"/>
  <c r="X94" i="3"/>
  <c r="W94" i="3"/>
  <c r="V94" i="3"/>
  <c r="U94" i="3"/>
  <c r="S94" i="3"/>
  <c r="R94" i="3"/>
  <c r="T94" i="3" s="1"/>
  <c r="P94" i="3"/>
  <c r="O94" i="3"/>
  <c r="Q94" i="3" s="1"/>
  <c r="M94" i="3"/>
  <c r="L94" i="3"/>
  <c r="N94" i="3" s="1"/>
  <c r="K94" i="3"/>
  <c r="J94" i="3"/>
  <c r="I94" i="3"/>
  <c r="H94" i="3"/>
  <c r="G94" i="3"/>
  <c r="F94" i="3"/>
  <c r="E94" i="3"/>
  <c r="D94" i="3"/>
  <c r="C94" i="3"/>
  <c r="B94" i="3"/>
  <c r="A94" i="3"/>
  <c r="Y94" i="3" s="1"/>
  <c r="AB93" i="3"/>
  <c r="AA93" i="3"/>
  <c r="Z93" i="3"/>
  <c r="X93" i="3"/>
  <c r="W93" i="3"/>
  <c r="V93" i="3"/>
  <c r="U93" i="3"/>
  <c r="T93" i="3"/>
  <c r="S93" i="3"/>
  <c r="R93" i="3"/>
  <c r="P93" i="3"/>
  <c r="O93" i="3"/>
  <c r="Q93" i="3" s="1"/>
  <c r="N93" i="3"/>
  <c r="M93" i="3"/>
  <c r="L93" i="3"/>
  <c r="K93" i="3"/>
  <c r="J93" i="3"/>
  <c r="I93" i="3"/>
  <c r="G93" i="3"/>
  <c r="F93" i="3"/>
  <c r="H93" i="3" s="1"/>
  <c r="E93" i="3"/>
  <c r="D93" i="3"/>
  <c r="C93" i="3"/>
  <c r="B93" i="3"/>
  <c r="A93" i="3"/>
  <c r="Y93" i="3" s="1"/>
  <c r="AB92" i="3"/>
  <c r="AA92" i="3"/>
  <c r="Z92" i="3"/>
  <c r="X92" i="3"/>
  <c r="W92" i="3"/>
  <c r="V92" i="3"/>
  <c r="U92" i="3"/>
  <c r="S92" i="3"/>
  <c r="R92" i="3"/>
  <c r="T92" i="3" s="1"/>
  <c r="P92" i="3"/>
  <c r="O92" i="3"/>
  <c r="Q92" i="3" s="1"/>
  <c r="M92" i="3"/>
  <c r="L92" i="3"/>
  <c r="N92" i="3" s="1"/>
  <c r="K92" i="3"/>
  <c r="J92" i="3"/>
  <c r="I92" i="3"/>
  <c r="H92" i="3"/>
  <c r="G92" i="3"/>
  <c r="F92" i="3"/>
  <c r="E92" i="3"/>
  <c r="D92" i="3"/>
  <c r="C92" i="3"/>
  <c r="B92" i="3"/>
  <c r="A92" i="3"/>
  <c r="Y92" i="3" s="1"/>
  <c r="AB91" i="3"/>
  <c r="AA91" i="3"/>
  <c r="Z91" i="3"/>
  <c r="X91" i="3"/>
  <c r="W91" i="3"/>
  <c r="V91" i="3"/>
  <c r="U91" i="3"/>
  <c r="T91" i="3"/>
  <c r="S91" i="3"/>
  <c r="R91" i="3"/>
  <c r="P91" i="3"/>
  <c r="O91" i="3"/>
  <c r="Q91" i="3" s="1"/>
  <c r="N91" i="3"/>
  <c r="M91" i="3"/>
  <c r="L91" i="3"/>
  <c r="K91" i="3"/>
  <c r="J91" i="3"/>
  <c r="I91" i="3"/>
  <c r="G91" i="3"/>
  <c r="F91" i="3"/>
  <c r="H91" i="3" s="1"/>
  <c r="E91" i="3"/>
  <c r="D91" i="3"/>
  <c r="C91" i="3"/>
  <c r="B91" i="3"/>
  <c r="A91" i="3"/>
  <c r="Y91" i="3" s="1"/>
  <c r="AB90" i="3"/>
  <c r="AA90" i="3"/>
  <c r="Z90" i="3"/>
  <c r="X90" i="3"/>
  <c r="W90" i="3"/>
  <c r="V90" i="3"/>
  <c r="U90" i="3"/>
  <c r="S90" i="3"/>
  <c r="R90" i="3"/>
  <c r="T90" i="3" s="1"/>
  <c r="P90" i="3"/>
  <c r="O90" i="3"/>
  <c r="Q90" i="3" s="1"/>
  <c r="M90" i="3"/>
  <c r="L90" i="3"/>
  <c r="N90" i="3" s="1"/>
  <c r="K90" i="3"/>
  <c r="J90" i="3"/>
  <c r="I90" i="3"/>
  <c r="H90" i="3"/>
  <c r="G90" i="3"/>
  <c r="F90" i="3"/>
  <c r="E90" i="3"/>
  <c r="D90" i="3"/>
  <c r="C90" i="3"/>
  <c r="B90" i="3"/>
  <c r="A90" i="3"/>
  <c r="Y90" i="3" s="1"/>
  <c r="AB89" i="3"/>
  <c r="AA89" i="3"/>
  <c r="Z89" i="3"/>
  <c r="X89" i="3"/>
  <c r="W89" i="3"/>
  <c r="V89" i="3"/>
  <c r="U89" i="3"/>
  <c r="T89" i="3"/>
  <c r="S89" i="3"/>
  <c r="R89" i="3"/>
  <c r="P89" i="3"/>
  <c r="O89" i="3"/>
  <c r="Q89" i="3" s="1"/>
  <c r="N89" i="3"/>
  <c r="M89" i="3"/>
  <c r="L89" i="3"/>
  <c r="K89" i="3"/>
  <c r="J89" i="3"/>
  <c r="I89" i="3"/>
  <c r="G89" i="3"/>
  <c r="F89" i="3"/>
  <c r="H89" i="3" s="1"/>
  <c r="E89" i="3"/>
  <c r="D89" i="3"/>
  <c r="C89" i="3"/>
  <c r="B89" i="3"/>
  <c r="A89" i="3"/>
  <c r="Y89" i="3" s="1"/>
  <c r="AB88" i="3"/>
  <c r="AA88" i="3"/>
  <c r="Z88" i="3"/>
  <c r="X88" i="3"/>
  <c r="W88" i="3"/>
  <c r="V88" i="3"/>
  <c r="U88" i="3"/>
  <c r="S88" i="3"/>
  <c r="R88" i="3"/>
  <c r="T88" i="3" s="1"/>
  <c r="P88" i="3"/>
  <c r="O88" i="3"/>
  <c r="Q88" i="3" s="1"/>
  <c r="M88" i="3"/>
  <c r="L88" i="3"/>
  <c r="N88" i="3" s="1"/>
  <c r="K88" i="3"/>
  <c r="J88" i="3"/>
  <c r="I88" i="3"/>
  <c r="H88" i="3"/>
  <c r="G88" i="3"/>
  <c r="F88" i="3"/>
  <c r="E88" i="3"/>
  <c r="D88" i="3"/>
  <c r="C88" i="3"/>
  <c r="B88" i="3"/>
  <c r="A88" i="3"/>
  <c r="Y88" i="3" s="1"/>
  <c r="AB87" i="3"/>
  <c r="AA87" i="3"/>
  <c r="Z87" i="3"/>
  <c r="X87" i="3"/>
  <c r="W87" i="3"/>
  <c r="V87" i="3"/>
  <c r="U87" i="3"/>
  <c r="T87" i="3"/>
  <c r="S87" i="3"/>
  <c r="R87" i="3"/>
  <c r="P87" i="3"/>
  <c r="O87" i="3"/>
  <c r="Q87" i="3" s="1"/>
  <c r="N87" i="3"/>
  <c r="M87" i="3"/>
  <c r="L87" i="3"/>
  <c r="K87" i="3"/>
  <c r="J87" i="3"/>
  <c r="I87" i="3"/>
  <c r="G87" i="3"/>
  <c r="F87" i="3"/>
  <c r="H87" i="3" s="1"/>
  <c r="E87" i="3"/>
  <c r="D87" i="3"/>
  <c r="C87" i="3"/>
  <c r="B87" i="3"/>
  <c r="A87" i="3"/>
  <c r="Y87" i="3" s="1"/>
  <c r="AB86" i="3"/>
  <c r="AA86" i="3"/>
  <c r="Z86" i="3"/>
  <c r="X86" i="3"/>
  <c r="W86" i="3"/>
  <c r="V86" i="3"/>
  <c r="U86" i="3"/>
  <c r="S86" i="3"/>
  <c r="R86" i="3"/>
  <c r="T86" i="3" s="1"/>
  <c r="P86" i="3"/>
  <c r="O86" i="3"/>
  <c r="Q86" i="3" s="1"/>
  <c r="M86" i="3"/>
  <c r="L86" i="3"/>
  <c r="N86" i="3" s="1"/>
  <c r="K86" i="3"/>
  <c r="J86" i="3"/>
  <c r="I86" i="3"/>
  <c r="H86" i="3"/>
  <c r="G86" i="3"/>
  <c r="F86" i="3"/>
  <c r="E86" i="3"/>
  <c r="D86" i="3"/>
  <c r="C86" i="3"/>
  <c r="B86" i="3"/>
  <c r="A86" i="3"/>
  <c r="Y86" i="3" s="1"/>
  <c r="AB85" i="3"/>
  <c r="AA85" i="3"/>
  <c r="Z85" i="3"/>
  <c r="X85" i="3"/>
  <c r="W85" i="3"/>
  <c r="V85" i="3"/>
  <c r="U85" i="3"/>
  <c r="T85" i="3"/>
  <c r="S85" i="3"/>
  <c r="R85" i="3"/>
  <c r="P85" i="3"/>
  <c r="O85" i="3"/>
  <c r="Q85" i="3" s="1"/>
  <c r="N85" i="3"/>
  <c r="M85" i="3"/>
  <c r="L85" i="3"/>
  <c r="K85" i="3"/>
  <c r="J85" i="3"/>
  <c r="I85" i="3"/>
  <c r="G85" i="3"/>
  <c r="F85" i="3"/>
  <c r="H85" i="3" s="1"/>
  <c r="E85" i="3"/>
  <c r="D85" i="3"/>
  <c r="C85" i="3"/>
  <c r="B85" i="3"/>
  <c r="A85" i="3"/>
  <c r="Y85" i="3" s="1"/>
  <c r="AB84" i="3"/>
  <c r="AA84" i="3"/>
  <c r="Z84" i="3"/>
  <c r="X84" i="3"/>
  <c r="W84" i="3"/>
  <c r="V84" i="3"/>
  <c r="U84" i="3"/>
  <c r="S84" i="3"/>
  <c r="R84" i="3"/>
  <c r="T84" i="3" s="1"/>
  <c r="P84" i="3"/>
  <c r="O84" i="3"/>
  <c r="Q84" i="3" s="1"/>
  <c r="M84" i="3"/>
  <c r="L84" i="3"/>
  <c r="N84" i="3" s="1"/>
  <c r="K84" i="3"/>
  <c r="J84" i="3"/>
  <c r="I84" i="3"/>
  <c r="H84" i="3"/>
  <c r="G84" i="3"/>
  <c r="F84" i="3"/>
  <c r="E84" i="3"/>
  <c r="D84" i="3"/>
  <c r="C84" i="3"/>
  <c r="B84" i="3"/>
  <c r="A84" i="3"/>
  <c r="Y84" i="3" s="1"/>
  <c r="AB83" i="3"/>
  <c r="AA83" i="3"/>
  <c r="Z83" i="3"/>
  <c r="X83" i="3"/>
  <c r="W83" i="3"/>
  <c r="V83" i="3"/>
  <c r="U83" i="3"/>
  <c r="T83" i="3"/>
  <c r="S83" i="3"/>
  <c r="R83" i="3"/>
  <c r="P83" i="3"/>
  <c r="O83" i="3"/>
  <c r="Q83" i="3" s="1"/>
  <c r="N83" i="3"/>
  <c r="M83" i="3"/>
  <c r="L83" i="3"/>
  <c r="K83" i="3"/>
  <c r="J83" i="3"/>
  <c r="I83" i="3"/>
  <c r="G83" i="3"/>
  <c r="F83" i="3"/>
  <c r="H83" i="3" s="1"/>
  <c r="E83" i="3"/>
  <c r="D83" i="3"/>
  <c r="C83" i="3"/>
  <c r="B83" i="3"/>
  <c r="A83" i="3"/>
  <c r="Y83" i="3" s="1"/>
  <c r="AB82" i="3"/>
  <c r="AA82" i="3"/>
  <c r="Z82" i="3"/>
  <c r="X82" i="3"/>
  <c r="W82" i="3"/>
  <c r="V82" i="3"/>
  <c r="U82" i="3"/>
  <c r="S82" i="3"/>
  <c r="R82" i="3"/>
  <c r="T82" i="3" s="1"/>
  <c r="P82" i="3"/>
  <c r="O82" i="3"/>
  <c r="Q82" i="3" s="1"/>
  <c r="M82" i="3"/>
  <c r="L82" i="3"/>
  <c r="N82" i="3" s="1"/>
  <c r="K82" i="3"/>
  <c r="J82" i="3"/>
  <c r="I82" i="3"/>
  <c r="H82" i="3"/>
  <c r="G82" i="3"/>
  <c r="F82" i="3"/>
  <c r="E82" i="3"/>
  <c r="D82" i="3"/>
  <c r="C82" i="3"/>
  <c r="B82" i="3"/>
  <c r="A82" i="3"/>
  <c r="Y82" i="3" s="1"/>
  <c r="AB81" i="3"/>
  <c r="AA81" i="3"/>
  <c r="Z81" i="3"/>
  <c r="X81" i="3"/>
  <c r="W81" i="3"/>
  <c r="V81" i="3"/>
  <c r="U81" i="3"/>
  <c r="T81" i="3"/>
  <c r="S81" i="3"/>
  <c r="R81" i="3"/>
  <c r="P81" i="3"/>
  <c r="O81" i="3"/>
  <c r="Q81" i="3" s="1"/>
  <c r="N81" i="3"/>
  <c r="M81" i="3"/>
  <c r="L81" i="3"/>
  <c r="K81" i="3"/>
  <c r="J81" i="3"/>
  <c r="I81" i="3"/>
  <c r="G81" i="3"/>
  <c r="F81" i="3"/>
  <c r="H81" i="3" s="1"/>
  <c r="E81" i="3"/>
  <c r="D81" i="3"/>
  <c r="C81" i="3"/>
  <c r="B81" i="3"/>
  <c r="A81" i="3"/>
  <c r="Y81" i="3" s="1"/>
  <c r="AB80" i="3"/>
  <c r="AA80" i="3"/>
  <c r="Z80" i="3"/>
  <c r="X80" i="3"/>
  <c r="W80" i="3"/>
  <c r="V80" i="3"/>
  <c r="U80" i="3"/>
  <c r="S80" i="3"/>
  <c r="R80" i="3"/>
  <c r="T80" i="3" s="1"/>
  <c r="P80" i="3"/>
  <c r="O80" i="3"/>
  <c r="Q80" i="3" s="1"/>
  <c r="M80" i="3"/>
  <c r="L80" i="3"/>
  <c r="N80" i="3" s="1"/>
  <c r="K80" i="3"/>
  <c r="J80" i="3"/>
  <c r="I80" i="3"/>
  <c r="H80" i="3"/>
  <c r="G80" i="3"/>
  <c r="F80" i="3"/>
  <c r="E80" i="3"/>
  <c r="D80" i="3"/>
  <c r="C80" i="3"/>
  <c r="B80" i="3"/>
  <c r="A80" i="3"/>
  <c r="Y80" i="3" s="1"/>
  <c r="AB79" i="3"/>
  <c r="AA79" i="3"/>
  <c r="Z79" i="3"/>
  <c r="X79" i="3"/>
  <c r="W79" i="3"/>
  <c r="V79" i="3"/>
  <c r="U79" i="3"/>
  <c r="T79" i="3"/>
  <c r="S79" i="3"/>
  <c r="R79" i="3"/>
  <c r="P79" i="3"/>
  <c r="O79" i="3"/>
  <c r="Q79" i="3" s="1"/>
  <c r="M79" i="3"/>
  <c r="L79" i="3"/>
  <c r="N79" i="3" s="1"/>
  <c r="K79" i="3"/>
  <c r="J79" i="3"/>
  <c r="I79" i="3"/>
  <c r="G79" i="3"/>
  <c r="F79" i="3"/>
  <c r="H79" i="3" s="1"/>
  <c r="E79" i="3"/>
  <c r="D79" i="3"/>
  <c r="C79" i="3"/>
  <c r="B79" i="3"/>
  <c r="A79" i="3"/>
  <c r="Y79" i="3" s="1"/>
  <c r="AB78" i="3"/>
  <c r="AA78" i="3"/>
  <c r="Z78" i="3"/>
  <c r="X78" i="3"/>
  <c r="W78" i="3"/>
  <c r="V78" i="3"/>
  <c r="U78" i="3"/>
  <c r="S78" i="3"/>
  <c r="R78" i="3"/>
  <c r="T78" i="3" s="1"/>
  <c r="P78" i="3"/>
  <c r="O78" i="3"/>
  <c r="Q78" i="3" s="1"/>
  <c r="M78" i="3"/>
  <c r="L78" i="3"/>
  <c r="N78" i="3" s="1"/>
  <c r="K78" i="3"/>
  <c r="J78" i="3"/>
  <c r="I78" i="3"/>
  <c r="H78" i="3"/>
  <c r="G78" i="3"/>
  <c r="F78" i="3"/>
  <c r="E78" i="3"/>
  <c r="D78" i="3"/>
  <c r="C78" i="3"/>
  <c r="B78" i="3"/>
  <c r="A78" i="3"/>
  <c r="Y78" i="3" s="1"/>
  <c r="AB77" i="3"/>
  <c r="AA77" i="3"/>
  <c r="Z77" i="3"/>
  <c r="X77" i="3"/>
  <c r="W77" i="3"/>
  <c r="V77" i="3"/>
  <c r="U77" i="3"/>
  <c r="T77" i="3"/>
  <c r="S77" i="3"/>
  <c r="R77" i="3"/>
  <c r="P77" i="3"/>
  <c r="O77" i="3"/>
  <c r="Q77" i="3" s="1"/>
  <c r="N77" i="3"/>
  <c r="M77" i="3"/>
  <c r="L77" i="3"/>
  <c r="K77" i="3"/>
  <c r="J77" i="3"/>
  <c r="I77" i="3"/>
  <c r="G77" i="3"/>
  <c r="F77" i="3"/>
  <c r="H77" i="3" s="1"/>
  <c r="E77" i="3"/>
  <c r="D77" i="3"/>
  <c r="C77" i="3"/>
  <c r="B77" i="3"/>
  <c r="A77" i="3"/>
  <c r="Y77" i="3" s="1"/>
  <c r="AB76" i="3"/>
  <c r="AA76" i="3"/>
  <c r="Z76" i="3"/>
  <c r="X76" i="3"/>
  <c r="W76" i="3"/>
  <c r="V76" i="3"/>
  <c r="U76" i="3"/>
  <c r="T76" i="3"/>
  <c r="S76" i="3"/>
  <c r="R76" i="3"/>
  <c r="P76" i="3"/>
  <c r="O76" i="3"/>
  <c r="Q76" i="3" s="1"/>
  <c r="M76" i="3"/>
  <c r="L76" i="3"/>
  <c r="N76" i="3" s="1"/>
  <c r="K76" i="3"/>
  <c r="J76" i="3"/>
  <c r="I76" i="3"/>
  <c r="H76" i="3"/>
  <c r="G76" i="3"/>
  <c r="F76" i="3"/>
  <c r="E76" i="3"/>
  <c r="D76" i="3"/>
  <c r="C76" i="3"/>
  <c r="B76" i="3"/>
  <c r="A76" i="3"/>
  <c r="Y76" i="3" s="1"/>
  <c r="AB75" i="3"/>
  <c r="AA75" i="3"/>
  <c r="Z75" i="3"/>
  <c r="X75" i="3"/>
  <c r="W75" i="3"/>
  <c r="V75" i="3"/>
  <c r="U75" i="3"/>
  <c r="T75" i="3"/>
  <c r="S75" i="3"/>
  <c r="R75" i="3"/>
  <c r="P75" i="3"/>
  <c r="O75" i="3"/>
  <c r="Q75" i="3" s="1"/>
  <c r="N75" i="3"/>
  <c r="M75" i="3"/>
  <c r="L75" i="3"/>
  <c r="K75" i="3"/>
  <c r="J75" i="3"/>
  <c r="I75" i="3"/>
  <c r="G75" i="3"/>
  <c r="F75" i="3"/>
  <c r="H75" i="3" s="1"/>
  <c r="E75" i="3"/>
  <c r="D75" i="3"/>
  <c r="C75" i="3"/>
  <c r="B75" i="3"/>
  <c r="A75" i="3"/>
  <c r="Y75" i="3" s="1"/>
  <c r="AB74" i="3"/>
  <c r="AA74" i="3"/>
  <c r="Z74" i="3"/>
  <c r="X74" i="3"/>
  <c r="W74" i="3"/>
  <c r="V74" i="3"/>
  <c r="U74" i="3"/>
  <c r="T74" i="3"/>
  <c r="S74" i="3"/>
  <c r="R74" i="3"/>
  <c r="P74" i="3"/>
  <c r="O74" i="3"/>
  <c r="Q74" i="3" s="1"/>
  <c r="M74" i="3"/>
  <c r="L74" i="3"/>
  <c r="N74" i="3" s="1"/>
  <c r="K74" i="3"/>
  <c r="J74" i="3"/>
  <c r="I74" i="3"/>
  <c r="H74" i="3"/>
  <c r="G74" i="3"/>
  <c r="F74" i="3"/>
  <c r="E74" i="3"/>
  <c r="D74" i="3"/>
  <c r="C74" i="3"/>
  <c r="B74" i="3"/>
  <c r="A74" i="3"/>
  <c r="Y74" i="3" s="1"/>
  <c r="AB73" i="3"/>
  <c r="AA73" i="3"/>
  <c r="Z73" i="3"/>
  <c r="X73" i="3"/>
  <c r="W73" i="3"/>
  <c r="V73" i="3"/>
  <c r="U73" i="3"/>
  <c r="S73" i="3"/>
  <c r="R73" i="3"/>
  <c r="T73" i="3" s="1"/>
  <c r="P73" i="3"/>
  <c r="O73" i="3"/>
  <c r="Q73" i="3" s="1"/>
  <c r="N73" i="3"/>
  <c r="M73" i="3"/>
  <c r="L73" i="3"/>
  <c r="K73" i="3"/>
  <c r="J73" i="3"/>
  <c r="I73" i="3"/>
  <c r="G73" i="3"/>
  <c r="F73" i="3"/>
  <c r="H73" i="3" s="1"/>
  <c r="E73" i="3"/>
  <c r="D73" i="3"/>
  <c r="C73" i="3"/>
  <c r="B73" i="3"/>
  <c r="A73" i="3"/>
  <c r="Y73" i="3" s="1"/>
  <c r="AB72" i="3"/>
  <c r="AA72" i="3"/>
  <c r="Z72" i="3"/>
  <c r="X72" i="3"/>
  <c r="W72" i="3"/>
  <c r="V72" i="3"/>
  <c r="U72" i="3"/>
  <c r="T72" i="3"/>
  <c r="S72" i="3"/>
  <c r="R72" i="3"/>
  <c r="P72" i="3"/>
  <c r="O72" i="3"/>
  <c r="Q72" i="3" s="1"/>
  <c r="M72" i="3"/>
  <c r="L72" i="3"/>
  <c r="N72" i="3" s="1"/>
  <c r="K72" i="3"/>
  <c r="J72" i="3"/>
  <c r="I72" i="3"/>
  <c r="H72" i="3"/>
  <c r="G72" i="3"/>
  <c r="F72" i="3"/>
  <c r="E72" i="3"/>
  <c r="D72" i="3"/>
  <c r="C72" i="3"/>
  <c r="B72" i="3"/>
  <c r="A72" i="3"/>
  <c r="Y72" i="3" s="1"/>
  <c r="AB71" i="3"/>
  <c r="AA71" i="3"/>
  <c r="Z71" i="3"/>
  <c r="X71" i="3"/>
  <c r="W71" i="3"/>
  <c r="V71" i="3"/>
  <c r="U71" i="3"/>
  <c r="S71" i="3"/>
  <c r="R71" i="3"/>
  <c r="T71" i="3" s="1"/>
  <c r="P71" i="3"/>
  <c r="O71" i="3"/>
  <c r="Q71" i="3" s="1"/>
  <c r="N71" i="3"/>
  <c r="M71" i="3"/>
  <c r="L71" i="3"/>
  <c r="K71" i="3"/>
  <c r="J71" i="3"/>
  <c r="I71" i="3"/>
  <c r="G71" i="3"/>
  <c r="F71" i="3"/>
  <c r="H71" i="3" s="1"/>
  <c r="E71" i="3"/>
  <c r="D71" i="3"/>
  <c r="C71" i="3"/>
  <c r="B71" i="3"/>
  <c r="A71" i="3"/>
  <c r="Y71" i="3" s="1"/>
  <c r="AB70" i="3"/>
  <c r="AA70" i="3"/>
  <c r="Z70" i="3"/>
  <c r="X70" i="3"/>
  <c r="W70" i="3"/>
  <c r="V70" i="3"/>
  <c r="U70" i="3"/>
  <c r="T70" i="3"/>
  <c r="S70" i="3"/>
  <c r="R70" i="3"/>
  <c r="P70" i="3"/>
  <c r="O70" i="3"/>
  <c r="Q70" i="3" s="1"/>
  <c r="M70" i="3"/>
  <c r="L70" i="3"/>
  <c r="N70" i="3" s="1"/>
  <c r="K70" i="3"/>
  <c r="J70" i="3"/>
  <c r="I70" i="3"/>
  <c r="H70" i="3"/>
  <c r="G70" i="3"/>
  <c r="F70" i="3"/>
  <c r="E70" i="3"/>
  <c r="D70" i="3"/>
  <c r="C70" i="3"/>
  <c r="B70" i="3"/>
  <c r="A70" i="3"/>
  <c r="Y70" i="3" s="1"/>
  <c r="AB69" i="3"/>
  <c r="AA69" i="3"/>
  <c r="Z69" i="3"/>
  <c r="X69" i="3"/>
  <c r="W69" i="3"/>
  <c r="V69" i="3"/>
  <c r="U69" i="3"/>
  <c r="S69" i="3"/>
  <c r="R69" i="3"/>
  <c r="T69" i="3" s="1"/>
  <c r="P69" i="3"/>
  <c r="O69" i="3"/>
  <c r="Q69" i="3" s="1"/>
  <c r="N69" i="3"/>
  <c r="M69" i="3"/>
  <c r="L69" i="3"/>
  <c r="K69" i="3"/>
  <c r="J69" i="3"/>
  <c r="I69" i="3"/>
  <c r="G69" i="3"/>
  <c r="F69" i="3"/>
  <c r="H69" i="3" s="1"/>
  <c r="E69" i="3"/>
  <c r="D69" i="3"/>
  <c r="C69" i="3"/>
  <c r="B69" i="3"/>
  <c r="A69" i="3"/>
  <c r="Y69" i="3" s="1"/>
  <c r="AB68" i="3"/>
  <c r="AA68" i="3"/>
  <c r="Z68" i="3"/>
  <c r="X68" i="3"/>
  <c r="W68" i="3"/>
  <c r="V68" i="3"/>
  <c r="U68" i="3"/>
  <c r="T68" i="3"/>
  <c r="S68" i="3"/>
  <c r="R68" i="3"/>
  <c r="P68" i="3"/>
  <c r="O68" i="3"/>
  <c r="Q68" i="3" s="1"/>
  <c r="M68" i="3"/>
  <c r="L68" i="3"/>
  <c r="N68" i="3" s="1"/>
  <c r="K68" i="3"/>
  <c r="J68" i="3"/>
  <c r="I68" i="3"/>
  <c r="H68" i="3"/>
  <c r="G68" i="3"/>
  <c r="F68" i="3"/>
  <c r="E68" i="3"/>
  <c r="D68" i="3"/>
  <c r="C68" i="3"/>
  <c r="B68" i="3"/>
  <c r="A68" i="3"/>
  <c r="Y68" i="3" s="1"/>
  <c r="AB67" i="3"/>
  <c r="AA67" i="3"/>
  <c r="Z67" i="3"/>
  <c r="X67" i="3"/>
  <c r="W67" i="3"/>
  <c r="V67" i="3"/>
  <c r="U67" i="3"/>
  <c r="S67" i="3"/>
  <c r="R67" i="3"/>
  <c r="T67" i="3" s="1"/>
  <c r="P67" i="3"/>
  <c r="O67" i="3"/>
  <c r="Q67" i="3" s="1"/>
  <c r="N67" i="3"/>
  <c r="M67" i="3"/>
  <c r="L67" i="3"/>
  <c r="K67" i="3"/>
  <c r="J67" i="3"/>
  <c r="I67" i="3"/>
  <c r="G67" i="3"/>
  <c r="F67" i="3"/>
  <c r="H67" i="3" s="1"/>
  <c r="E67" i="3"/>
  <c r="D67" i="3"/>
  <c r="C67" i="3"/>
  <c r="B67" i="3"/>
  <c r="A67" i="3"/>
  <c r="Y67" i="3" s="1"/>
  <c r="W66" i="3"/>
  <c r="V66" i="3"/>
  <c r="U66" i="3"/>
  <c r="T66" i="3"/>
  <c r="S66" i="3"/>
  <c r="R66" i="3"/>
  <c r="P66" i="3"/>
  <c r="O66" i="3"/>
  <c r="M66" i="3"/>
  <c r="L66" i="3"/>
  <c r="N66" i="3" s="1"/>
  <c r="K66" i="3"/>
  <c r="C63" i="7" s="1"/>
  <c r="J66" i="3"/>
  <c r="I66" i="3"/>
  <c r="H66" i="3"/>
  <c r="G66" i="3"/>
  <c r="F66" i="3"/>
  <c r="X66" i="3" s="1"/>
  <c r="E66" i="3"/>
  <c r="D66" i="3"/>
  <c r="C66" i="3"/>
  <c r="B66" i="3"/>
  <c r="B63" i="7" s="1"/>
  <c r="A66" i="3"/>
  <c r="A63" i="7" s="1"/>
  <c r="V65" i="3"/>
  <c r="W65" i="3" s="1"/>
  <c r="U65" i="3"/>
  <c r="S65" i="3"/>
  <c r="R65" i="3"/>
  <c r="T65" i="3" s="1"/>
  <c r="P65" i="3"/>
  <c r="O65" i="3"/>
  <c r="N65" i="3"/>
  <c r="M65" i="3"/>
  <c r="L65" i="3"/>
  <c r="J65" i="3"/>
  <c r="K65" i="3" s="1"/>
  <c r="I65" i="3"/>
  <c r="G65" i="3"/>
  <c r="F65" i="3"/>
  <c r="H65" i="3" s="1"/>
  <c r="E65" i="3"/>
  <c r="D65" i="3"/>
  <c r="C65" i="3"/>
  <c r="B65" i="3"/>
  <c r="B62" i="7" s="1"/>
  <c r="A65" i="3"/>
  <c r="A62" i="7" s="1"/>
  <c r="W64" i="3"/>
  <c r="V64" i="3"/>
  <c r="U64" i="3"/>
  <c r="S64" i="3"/>
  <c r="T64" i="3" s="1"/>
  <c r="R64" i="3"/>
  <c r="P64" i="3"/>
  <c r="O64" i="3"/>
  <c r="M64" i="3"/>
  <c r="L64" i="3"/>
  <c r="X64" i="3" s="1"/>
  <c r="J64" i="3"/>
  <c r="K64" i="3" s="1"/>
  <c r="I64" i="3"/>
  <c r="G64" i="3"/>
  <c r="H64" i="3" s="1"/>
  <c r="F64" i="3"/>
  <c r="E64" i="3"/>
  <c r="D64" i="3"/>
  <c r="C64" i="3"/>
  <c r="B64" i="3"/>
  <c r="B61" i="7" s="1"/>
  <c r="A64" i="3"/>
  <c r="A61" i="7" s="1"/>
  <c r="W63" i="3"/>
  <c r="V63" i="3"/>
  <c r="U63" i="3"/>
  <c r="S63" i="3"/>
  <c r="R63" i="3"/>
  <c r="T63" i="3" s="1"/>
  <c r="P63" i="3"/>
  <c r="O63" i="3"/>
  <c r="N63" i="3"/>
  <c r="M63" i="3"/>
  <c r="L63" i="3"/>
  <c r="J63" i="3"/>
  <c r="K63" i="3" s="1"/>
  <c r="I63" i="3"/>
  <c r="G63" i="3"/>
  <c r="F63" i="3"/>
  <c r="X63" i="3" s="1"/>
  <c r="E63" i="3"/>
  <c r="D63" i="3"/>
  <c r="C63" i="3"/>
  <c r="B63" i="3"/>
  <c r="B60" i="7" s="1"/>
  <c r="A63" i="3"/>
  <c r="A60" i="7" s="1"/>
  <c r="W62" i="3"/>
  <c r="V62" i="3"/>
  <c r="U62" i="3"/>
  <c r="T62" i="3"/>
  <c r="S62" i="3"/>
  <c r="R62" i="3"/>
  <c r="P62" i="3"/>
  <c r="O62" i="3"/>
  <c r="M62" i="3"/>
  <c r="L62" i="3"/>
  <c r="N62" i="3" s="1"/>
  <c r="K62" i="3"/>
  <c r="C59" i="7" s="1"/>
  <c r="J62" i="3"/>
  <c r="I62" i="3"/>
  <c r="H62" i="3"/>
  <c r="G62" i="3"/>
  <c r="F62" i="3"/>
  <c r="X62" i="3" s="1"/>
  <c r="E62" i="3"/>
  <c r="D62" i="3"/>
  <c r="C62" i="3"/>
  <c r="B62" i="3"/>
  <c r="B59" i="7" s="1"/>
  <c r="A62" i="3"/>
  <c r="A59" i="7" s="1"/>
  <c r="W61" i="3"/>
  <c r="V61" i="3"/>
  <c r="U61" i="3"/>
  <c r="S61" i="3"/>
  <c r="R61" i="3"/>
  <c r="T61" i="3" s="1"/>
  <c r="P61" i="3"/>
  <c r="O61" i="3"/>
  <c r="N61" i="3"/>
  <c r="M61" i="3"/>
  <c r="L61" i="3"/>
  <c r="J61" i="3"/>
  <c r="K61" i="3" s="1"/>
  <c r="I61" i="3"/>
  <c r="G61" i="3"/>
  <c r="F61" i="3"/>
  <c r="H61" i="3" s="1"/>
  <c r="E61" i="3"/>
  <c r="D61" i="3"/>
  <c r="C61" i="3"/>
  <c r="B61" i="3"/>
  <c r="B58" i="7" s="1"/>
  <c r="A61" i="3"/>
  <c r="A58" i="7" s="1"/>
  <c r="W60" i="3"/>
  <c r="V60" i="3"/>
  <c r="U60" i="3"/>
  <c r="S60" i="3"/>
  <c r="T60" i="3" s="1"/>
  <c r="R60" i="3"/>
  <c r="P60" i="3"/>
  <c r="O60" i="3"/>
  <c r="M60" i="3"/>
  <c r="L60" i="3"/>
  <c r="X60" i="3" s="1"/>
  <c r="J60" i="3"/>
  <c r="K60" i="3" s="1"/>
  <c r="I60" i="3"/>
  <c r="H60" i="3"/>
  <c r="G60" i="3"/>
  <c r="F60" i="3"/>
  <c r="E60" i="3"/>
  <c r="D60" i="3"/>
  <c r="C60" i="3"/>
  <c r="B60" i="3"/>
  <c r="B57" i="7" s="1"/>
  <c r="A60" i="3"/>
  <c r="A57" i="7" s="1"/>
  <c r="W59" i="3"/>
  <c r="V59" i="3"/>
  <c r="U59" i="3"/>
  <c r="S59" i="3"/>
  <c r="R59" i="3"/>
  <c r="T59" i="3" s="1"/>
  <c r="P59" i="3"/>
  <c r="O59" i="3"/>
  <c r="N59" i="3"/>
  <c r="M59" i="3"/>
  <c r="L59" i="3"/>
  <c r="J59" i="3"/>
  <c r="K59" i="3" s="1"/>
  <c r="I59" i="3"/>
  <c r="G59" i="3"/>
  <c r="F59" i="3"/>
  <c r="X59" i="3" s="1"/>
  <c r="E59" i="3"/>
  <c r="D59" i="3"/>
  <c r="C59" i="3"/>
  <c r="B59" i="3"/>
  <c r="B56" i="7" s="1"/>
  <c r="A59" i="3"/>
  <c r="A56" i="7" s="1"/>
  <c r="W58" i="3"/>
  <c r="V58" i="3"/>
  <c r="U58" i="3"/>
  <c r="T58" i="3"/>
  <c r="S58" i="3"/>
  <c r="R58" i="3"/>
  <c r="P58" i="3"/>
  <c r="O58" i="3"/>
  <c r="M58" i="3"/>
  <c r="L58" i="3"/>
  <c r="N58" i="3" s="1"/>
  <c r="K58" i="3"/>
  <c r="C55" i="7" s="1"/>
  <c r="J58" i="3"/>
  <c r="I58" i="3"/>
  <c r="H58" i="3"/>
  <c r="G58" i="3"/>
  <c r="F58" i="3"/>
  <c r="X58" i="3" s="1"/>
  <c r="E58" i="3"/>
  <c r="D58" i="3"/>
  <c r="C58" i="3"/>
  <c r="B58" i="3"/>
  <c r="B55" i="7" s="1"/>
  <c r="A58" i="3"/>
  <c r="A55" i="7" s="1"/>
  <c r="W57" i="3"/>
  <c r="V57" i="3"/>
  <c r="U57" i="3"/>
  <c r="S57" i="3"/>
  <c r="R57" i="3"/>
  <c r="T57" i="3" s="1"/>
  <c r="P57" i="3"/>
  <c r="O57" i="3"/>
  <c r="N57" i="3"/>
  <c r="M57" i="3"/>
  <c r="L57" i="3"/>
  <c r="J57" i="3"/>
  <c r="K57" i="3" s="1"/>
  <c r="I57" i="3"/>
  <c r="G57" i="3"/>
  <c r="F57" i="3"/>
  <c r="H57" i="3" s="1"/>
  <c r="E57" i="3"/>
  <c r="D57" i="3"/>
  <c r="C57" i="3"/>
  <c r="B57" i="3"/>
  <c r="B54" i="7" s="1"/>
  <c r="A57" i="3"/>
  <c r="A54" i="7" s="1"/>
  <c r="W56" i="3"/>
  <c r="V56" i="3"/>
  <c r="U56" i="3"/>
  <c r="S56" i="3"/>
  <c r="T56" i="3" s="1"/>
  <c r="R56" i="3"/>
  <c r="P56" i="3"/>
  <c r="O56" i="3"/>
  <c r="M56" i="3"/>
  <c r="L56" i="3"/>
  <c r="X56" i="3" s="1"/>
  <c r="J56" i="3"/>
  <c r="K56" i="3" s="1"/>
  <c r="I56" i="3"/>
  <c r="H56" i="3"/>
  <c r="G56" i="3"/>
  <c r="F56" i="3"/>
  <c r="E56" i="3"/>
  <c r="D56" i="3"/>
  <c r="C56" i="3"/>
  <c r="B56" i="3"/>
  <c r="B53" i="7" s="1"/>
  <c r="A56" i="3"/>
  <c r="A53" i="7" s="1"/>
  <c r="W55" i="3"/>
  <c r="V55" i="3"/>
  <c r="U55" i="3"/>
  <c r="S55" i="3"/>
  <c r="R55" i="3"/>
  <c r="T55" i="3" s="1"/>
  <c r="P55" i="3"/>
  <c r="O55" i="3"/>
  <c r="N55" i="3"/>
  <c r="M55" i="3"/>
  <c r="L55" i="3"/>
  <c r="J55" i="3"/>
  <c r="K55" i="3" s="1"/>
  <c r="I55" i="3"/>
  <c r="G55" i="3"/>
  <c r="F55" i="3"/>
  <c r="X55" i="3" s="1"/>
  <c r="E55" i="3"/>
  <c r="D55" i="3"/>
  <c r="C55" i="3"/>
  <c r="B55" i="3"/>
  <c r="B52" i="7" s="1"/>
  <c r="A55" i="3"/>
  <c r="A52" i="7" s="1"/>
  <c r="V54" i="3"/>
  <c r="U54" i="3"/>
  <c r="W54" i="3" s="1"/>
  <c r="T54" i="3"/>
  <c r="S54" i="3"/>
  <c r="R54" i="3"/>
  <c r="P54" i="3"/>
  <c r="O54" i="3"/>
  <c r="M54" i="3"/>
  <c r="L54" i="3"/>
  <c r="N54" i="3" s="1"/>
  <c r="K54" i="3"/>
  <c r="C51" i="7" s="1"/>
  <c r="J54" i="3"/>
  <c r="I54" i="3"/>
  <c r="H54" i="3"/>
  <c r="G54" i="3"/>
  <c r="F54" i="3"/>
  <c r="X54" i="3" s="1"/>
  <c r="E54" i="3"/>
  <c r="D54" i="3"/>
  <c r="C54" i="3"/>
  <c r="B54" i="3"/>
  <c r="B51" i="7" s="1"/>
  <c r="A54" i="3"/>
  <c r="W53" i="3"/>
  <c r="V53" i="3"/>
  <c r="U53" i="3"/>
  <c r="T53" i="3"/>
  <c r="S53" i="3"/>
  <c r="R53" i="3"/>
  <c r="P53" i="3"/>
  <c r="O53" i="3"/>
  <c r="Q53" i="3" s="1"/>
  <c r="D50" i="7" s="1"/>
  <c r="M53" i="3"/>
  <c r="L53" i="3"/>
  <c r="X53" i="3" s="1"/>
  <c r="J53" i="3"/>
  <c r="K53" i="3" s="1"/>
  <c r="I53" i="3"/>
  <c r="H53" i="3"/>
  <c r="G53" i="3"/>
  <c r="F53" i="3"/>
  <c r="E53" i="3"/>
  <c r="D53" i="3"/>
  <c r="C53" i="3"/>
  <c r="B53" i="3"/>
  <c r="B50" i="7" s="1"/>
  <c r="A53" i="3"/>
  <c r="A50" i="7" s="1"/>
  <c r="X52" i="3"/>
  <c r="V52" i="3"/>
  <c r="W52" i="3" s="1"/>
  <c r="U52" i="3"/>
  <c r="T52" i="3"/>
  <c r="S52" i="3"/>
  <c r="R52" i="3"/>
  <c r="P52" i="3"/>
  <c r="O52" i="3"/>
  <c r="Q52" i="3" s="1"/>
  <c r="D49" i="7" s="1"/>
  <c r="M52" i="3"/>
  <c r="L52" i="3"/>
  <c r="N52" i="3" s="1"/>
  <c r="K52" i="3"/>
  <c r="C49" i="7" s="1"/>
  <c r="J52" i="3"/>
  <c r="I52" i="3"/>
  <c r="H52" i="3"/>
  <c r="G52" i="3"/>
  <c r="F52" i="3"/>
  <c r="E52" i="3"/>
  <c r="D52" i="3"/>
  <c r="C52" i="3"/>
  <c r="B52" i="3"/>
  <c r="B49" i="7" s="1"/>
  <c r="A52" i="3"/>
  <c r="A49" i="7" s="1"/>
  <c r="W51" i="3"/>
  <c r="V51" i="3"/>
  <c r="U51" i="3"/>
  <c r="T51" i="3"/>
  <c r="S51" i="3"/>
  <c r="R51" i="3"/>
  <c r="P51" i="3"/>
  <c r="O51" i="3"/>
  <c r="Q51" i="3" s="1"/>
  <c r="D48" i="7" s="1"/>
  <c r="M51" i="3"/>
  <c r="L51" i="3"/>
  <c r="X51" i="3" s="1"/>
  <c r="J51" i="3"/>
  <c r="K51" i="3" s="1"/>
  <c r="I51" i="3"/>
  <c r="H51" i="3"/>
  <c r="G51" i="3"/>
  <c r="F51" i="3"/>
  <c r="E51" i="3"/>
  <c r="D51" i="3"/>
  <c r="C51" i="3"/>
  <c r="B51" i="3"/>
  <c r="B48" i="7" s="1"/>
  <c r="A51" i="3"/>
  <c r="A48" i="7" s="1"/>
  <c r="X50" i="3"/>
  <c r="V50" i="3"/>
  <c r="W50" i="3" s="1"/>
  <c r="U50" i="3"/>
  <c r="T50" i="3"/>
  <c r="S50" i="3"/>
  <c r="R50" i="3"/>
  <c r="P50" i="3"/>
  <c r="O50" i="3"/>
  <c r="Q50" i="3" s="1"/>
  <c r="D47" i="7" s="1"/>
  <c r="M50" i="3"/>
  <c r="L50" i="3"/>
  <c r="N50" i="3" s="1"/>
  <c r="K50" i="3"/>
  <c r="C47" i="7" s="1"/>
  <c r="J50" i="3"/>
  <c r="I50" i="3"/>
  <c r="H50" i="3"/>
  <c r="G50" i="3"/>
  <c r="F50" i="3"/>
  <c r="E50" i="3"/>
  <c r="D50" i="3"/>
  <c r="C50" i="3"/>
  <c r="B50" i="3"/>
  <c r="B47" i="7" s="1"/>
  <c r="A50" i="3"/>
  <c r="A47" i="7" s="1"/>
  <c r="W49" i="3"/>
  <c r="V49" i="3"/>
  <c r="U49" i="3"/>
  <c r="T49" i="3"/>
  <c r="S49" i="3"/>
  <c r="R49" i="3"/>
  <c r="P49" i="3"/>
  <c r="O49" i="3"/>
  <c r="Q49" i="3" s="1"/>
  <c r="D46" i="7" s="1"/>
  <c r="M49" i="3"/>
  <c r="L49" i="3"/>
  <c r="X49" i="3" s="1"/>
  <c r="J49" i="3"/>
  <c r="K49" i="3" s="1"/>
  <c r="I49" i="3"/>
  <c r="H49" i="3"/>
  <c r="G49" i="3"/>
  <c r="F49" i="3"/>
  <c r="E49" i="3"/>
  <c r="D49" i="3"/>
  <c r="C49" i="3"/>
  <c r="B49" i="3"/>
  <c r="B46" i="7" s="1"/>
  <c r="A49" i="3"/>
  <c r="A46" i="7" s="1"/>
  <c r="X48" i="3"/>
  <c r="V48" i="3"/>
  <c r="W48" i="3" s="1"/>
  <c r="U48" i="3"/>
  <c r="T48" i="3"/>
  <c r="S48" i="3"/>
  <c r="R48" i="3"/>
  <c r="P48" i="3"/>
  <c r="O48" i="3"/>
  <c r="Q48" i="3" s="1"/>
  <c r="D45" i="7" s="1"/>
  <c r="M48" i="3"/>
  <c r="L48" i="3"/>
  <c r="N48" i="3" s="1"/>
  <c r="K48" i="3"/>
  <c r="C45" i="7" s="1"/>
  <c r="J48" i="3"/>
  <c r="I48" i="3"/>
  <c r="H48" i="3"/>
  <c r="G48" i="3"/>
  <c r="F48" i="3"/>
  <c r="E48" i="3"/>
  <c r="D48" i="3"/>
  <c r="C48" i="3"/>
  <c r="B48" i="3"/>
  <c r="B45" i="7" s="1"/>
  <c r="A48" i="3"/>
  <c r="A45" i="7" s="1"/>
  <c r="W47" i="3"/>
  <c r="V47" i="3"/>
  <c r="U47" i="3"/>
  <c r="T47" i="3"/>
  <c r="S47" i="3"/>
  <c r="R47" i="3"/>
  <c r="P47" i="3"/>
  <c r="O47" i="3"/>
  <c r="Q47" i="3" s="1"/>
  <c r="D44" i="7" s="1"/>
  <c r="M47" i="3"/>
  <c r="L47" i="3"/>
  <c r="X47" i="3" s="1"/>
  <c r="J47" i="3"/>
  <c r="K47" i="3" s="1"/>
  <c r="I47" i="3"/>
  <c r="H47" i="3"/>
  <c r="G47" i="3"/>
  <c r="F47" i="3"/>
  <c r="E47" i="3"/>
  <c r="D47" i="3"/>
  <c r="C47" i="3"/>
  <c r="B47" i="3"/>
  <c r="B44" i="7" s="1"/>
  <c r="A47" i="3"/>
  <c r="A44" i="7" s="1"/>
  <c r="X46" i="3"/>
  <c r="V46" i="3"/>
  <c r="W46" i="3" s="1"/>
  <c r="U46" i="3"/>
  <c r="T46" i="3"/>
  <c r="S46" i="3"/>
  <c r="R46" i="3"/>
  <c r="P46" i="3"/>
  <c r="O46" i="3"/>
  <c r="Q46" i="3" s="1"/>
  <c r="D43" i="7" s="1"/>
  <c r="M46" i="3"/>
  <c r="L46" i="3"/>
  <c r="N46" i="3" s="1"/>
  <c r="K46" i="3"/>
  <c r="C43" i="7" s="1"/>
  <c r="J46" i="3"/>
  <c r="I46" i="3"/>
  <c r="H46" i="3"/>
  <c r="G46" i="3"/>
  <c r="F46" i="3"/>
  <c r="E46" i="3"/>
  <c r="D46" i="3"/>
  <c r="C46" i="3"/>
  <c r="B46" i="3"/>
  <c r="B43" i="7" s="1"/>
  <c r="A46" i="3"/>
  <c r="A43" i="7" s="1"/>
  <c r="W45" i="3"/>
  <c r="V45" i="3"/>
  <c r="U45" i="3"/>
  <c r="T45" i="3"/>
  <c r="S45" i="3"/>
  <c r="R45" i="3"/>
  <c r="P45" i="3"/>
  <c r="O45" i="3"/>
  <c r="Q45" i="3" s="1"/>
  <c r="D42" i="7" s="1"/>
  <c r="M45" i="3"/>
  <c r="L45" i="3"/>
  <c r="X45" i="3" s="1"/>
  <c r="K45" i="3"/>
  <c r="C42" i="7" s="1"/>
  <c r="J45" i="3"/>
  <c r="I45" i="3"/>
  <c r="H45" i="3"/>
  <c r="G45" i="3"/>
  <c r="F45" i="3"/>
  <c r="E45" i="3"/>
  <c r="D45" i="3"/>
  <c r="C45" i="3"/>
  <c r="B45" i="3"/>
  <c r="B42" i="7" s="1"/>
  <c r="A45" i="3"/>
  <c r="A42" i="7" s="1"/>
  <c r="X44" i="3"/>
  <c r="W44" i="3"/>
  <c r="V44" i="3"/>
  <c r="U44" i="3"/>
  <c r="S44" i="3"/>
  <c r="T44" i="3" s="1"/>
  <c r="R44" i="3"/>
  <c r="P44" i="3"/>
  <c r="O44" i="3"/>
  <c r="Q44" i="3" s="1"/>
  <c r="D41" i="7" s="1"/>
  <c r="M44" i="3"/>
  <c r="L44" i="3"/>
  <c r="N44" i="3" s="1"/>
  <c r="K44" i="3"/>
  <c r="C41" i="7" s="1"/>
  <c r="J44" i="3"/>
  <c r="I44" i="3"/>
  <c r="H44" i="3"/>
  <c r="G44" i="3"/>
  <c r="F44" i="3"/>
  <c r="E44" i="3"/>
  <c r="D44" i="3"/>
  <c r="C44" i="3"/>
  <c r="B44" i="3"/>
  <c r="B41" i="7" s="1"/>
  <c r="A44" i="3"/>
  <c r="A41" i="7" s="1"/>
  <c r="W43" i="3"/>
  <c r="V43" i="3"/>
  <c r="U43" i="3"/>
  <c r="T43" i="3"/>
  <c r="S43" i="3"/>
  <c r="R43" i="3"/>
  <c r="P43" i="3"/>
  <c r="O43" i="3"/>
  <c r="Q43" i="3" s="1"/>
  <c r="D40" i="7" s="1"/>
  <c r="M43" i="3"/>
  <c r="L43" i="3"/>
  <c r="X43" i="3" s="1"/>
  <c r="K43" i="3"/>
  <c r="C40" i="7" s="1"/>
  <c r="J43" i="3"/>
  <c r="I43" i="3"/>
  <c r="G43" i="3"/>
  <c r="H43" i="3" s="1"/>
  <c r="F43" i="3"/>
  <c r="E43" i="3"/>
  <c r="D43" i="3"/>
  <c r="C43" i="3"/>
  <c r="B43" i="3"/>
  <c r="B40" i="7" s="1"/>
  <c r="A43" i="3"/>
  <c r="A40" i="7" s="1"/>
  <c r="X42" i="3"/>
  <c r="W42" i="3"/>
  <c r="V42" i="3"/>
  <c r="U42" i="3"/>
  <c r="S42" i="3"/>
  <c r="T42" i="3" s="1"/>
  <c r="R42" i="3"/>
  <c r="P42" i="3"/>
  <c r="O42" i="3"/>
  <c r="Q42" i="3" s="1"/>
  <c r="D39" i="7" s="1"/>
  <c r="M42" i="3"/>
  <c r="L42" i="3"/>
  <c r="N42" i="3" s="1"/>
  <c r="K42" i="3"/>
  <c r="C39" i="7" s="1"/>
  <c r="J42" i="3"/>
  <c r="I42" i="3"/>
  <c r="H42" i="3"/>
  <c r="G42" i="3"/>
  <c r="F42" i="3"/>
  <c r="E42" i="3"/>
  <c r="D42" i="3"/>
  <c r="C42" i="3"/>
  <c r="B42" i="3"/>
  <c r="B39" i="7" s="1"/>
  <c r="A42" i="3"/>
  <c r="A39" i="7" s="1"/>
  <c r="W41" i="3"/>
  <c r="V41" i="3"/>
  <c r="U41" i="3"/>
  <c r="T41" i="3"/>
  <c r="S41" i="3"/>
  <c r="R41" i="3"/>
  <c r="P41" i="3"/>
  <c r="O41" i="3"/>
  <c r="Q41" i="3" s="1"/>
  <c r="D38" i="7" s="1"/>
  <c r="M41" i="3"/>
  <c r="L41" i="3"/>
  <c r="X41" i="3" s="1"/>
  <c r="K41" i="3"/>
  <c r="C38" i="7" s="1"/>
  <c r="J41" i="3"/>
  <c r="I41" i="3"/>
  <c r="G41" i="3"/>
  <c r="H41" i="3" s="1"/>
  <c r="F41" i="3"/>
  <c r="E41" i="3"/>
  <c r="D41" i="3"/>
  <c r="C41" i="3"/>
  <c r="B41" i="3"/>
  <c r="B38" i="7" s="1"/>
  <c r="A41" i="3"/>
  <c r="A38" i="7" s="1"/>
  <c r="X40" i="3"/>
  <c r="W40" i="3"/>
  <c r="V40" i="3"/>
  <c r="U40" i="3"/>
  <c r="S40" i="3"/>
  <c r="T40" i="3" s="1"/>
  <c r="R40" i="3"/>
  <c r="P40" i="3"/>
  <c r="O40" i="3"/>
  <c r="Q40" i="3" s="1"/>
  <c r="D37" i="7" s="1"/>
  <c r="M40" i="3"/>
  <c r="L40" i="3"/>
  <c r="N40" i="3" s="1"/>
  <c r="K40" i="3"/>
  <c r="C37" i="7" s="1"/>
  <c r="J40" i="3"/>
  <c r="I40" i="3"/>
  <c r="H40" i="3"/>
  <c r="G40" i="3"/>
  <c r="F40" i="3"/>
  <c r="E40" i="3"/>
  <c r="D40" i="3"/>
  <c r="C40" i="3"/>
  <c r="B40" i="3"/>
  <c r="B37" i="7" s="1"/>
  <c r="A40" i="3"/>
  <c r="A37" i="7" s="1"/>
  <c r="W39" i="3"/>
  <c r="V39" i="3"/>
  <c r="U39" i="3"/>
  <c r="T39" i="3"/>
  <c r="S39" i="3"/>
  <c r="R39" i="3"/>
  <c r="P39" i="3"/>
  <c r="O39" i="3"/>
  <c r="Q39" i="3" s="1"/>
  <c r="D36" i="7" s="1"/>
  <c r="M39" i="3"/>
  <c r="L39" i="3"/>
  <c r="X39" i="3" s="1"/>
  <c r="K39" i="3"/>
  <c r="C36" i="7" s="1"/>
  <c r="J39" i="3"/>
  <c r="I39" i="3"/>
  <c r="G39" i="3"/>
  <c r="H39" i="3" s="1"/>
  <c r="F39" i="3"/>
  <c r="E39" i="3"/>
  <c r="D39" i="3"/>
  <c r="C39" i="3"/>
  <c r="B39" i="3"/>
  <c r="B36" i="7" s="1"/>
  <c r="A39" i="3"/>
  <c r="A36" i="7" s="1"/>
  <c r="X38" i="3"/>
  <c r="W38" i="3"/>
  <c r="V38" i="3"/>
  <c r="U38" i="3"/>
  <c r="S38" i="3"/>
  <c r="T38" i="3" s="1"/>
  <c r="R38" i="3"/>
  <c r="P38" i="3"/>
  <c r="O38" i="3"/>
  <c r="Q38" i="3" s="1"/>
  <c r="D35" i="7" s="1"/>
  <c r="M38" i="3"/>
  <c r="L38" i="3"/>
  <c r="N38" i="3" s="1"/>
  <c r="K38" i="3"/>
  <c r="C35" i="7" s="1"/>
  <c r="J38" i="3"/>
  <c r="I38" i="3"/>
  <c r="H38" i="3"/>
  <c r="G38" i="3"/>
  <c r="F38" i="3"/>
  <c r="E38" i="3"/>
  <c r="D38" i="3"/>
  <c r="C38" i="3"/>
  <c r="B38" i="3"/>
  <c r="B35" i="7" s="1"/>
  <c r="A38" i="3"/>
  <c r="A35" i="7" s="1"/>
  <c r="W37" i="3"/>
  <c r="V37" i="3"/>
  <c r="U37" i="3"/>
  <c r="T37" i="3"/>
  <c r="S37" i="3"/>
  <c r="R37" i="3"/>
  <c r="P37" i="3"/>
  <c r="O37" i="3"/>
  <c r="Q37" i="3" s="1"/>
  <c r="D34" i="7" s="1"/>
  <c r="M37" i="3"/>
  <c r="L37" i="3"/>
  <c r="X37" i="3" s="1"/>
  <c r="K37" i="3"/>
  <c r="C34" i="7" s="1"/>
  <c r="J37" i="3"/>
  <c r="I37" i="3"/>
  <c r="G37" i="3"/>
  <c r="H37" i="3" s="1"/>
  <c r="F37" i="3"/>
  <c r="E37" i="3"/>
  <c r="D37" i="3"/>
  <c r="C37" i="3"/>
  <c r="B37" i="3"/>
  <c r="B34" i="7" s="1"/>
  <c r="A37" i="3"/>
  <c r="A34" i="7" s="1"/>
  <c r="X36" i="3"/>
  <c r="W36" i="3"/>
  <c r="V36" i="3"/>
  <c r="U36" i="3"/>
  <c r="S36" i="3"/>
  <c r="T36" i="3" s="1"/>
  <c r="R36" i="3"/>
  <c r="P36" i="3"/>
  <c r="O36" i="3"/>
  <c r="Q36" i="3" s="1"/>
  <c r="D33" i="7" s="1"/>
  <c r="M36" i="3"/>
  <c r="L36" i="3"/>
  <c r="N36" i="3" s="1"/>
  <c r="K36" i="3"/>
  <c r="C33" i="7" s="1"/>
  <c r="J36" i="3"/>
  <c r="I36" i="3"/>
  <c r="H36" i="3"/>
  <c r="G36" i="3"/>
  <c r="F36" i="3"/>
  <c r="E36" i="3"/>
  <c r="D36" i="3"/>
  <c r="C36" i="3"/>
  <c r="B36" i="3"/>
  <c r="B33" i="7" s="1"/>
  <c r="A36" i="3"/>
  <c r="A33" i="7" s="1"/>
  <c r="W35" i="3"/>
  <c r="V35" i="3"/>
  <c r="U35" i="3"/>
  <c r="T35" i="3"/>
  <c r="S35" i="3"/>
  <c r="R35" i="3"/>
  <c r="P35" i="3"/>
  <c r="O35" i="3"/>
  <c r="Q35" i="3" s="1"/>
  <c r="D32" i="7" s="1"/>
  <c r="M35" i="3"/>
  <c r="L35" i="3"/>
  <c r="X35" i="3" s="1"/>
  <c r="K35" i="3"/>
  <c r="C32" i="7" s="1"/>
  <c r="J35" i="3"/>
  <c r="I35" i="3"/>
  <c r="G35" i="3"/>
  <c r="H35" i="3" s="1"/>
  <c r="F35" i="3"/>
  <c r="E35" i="3"/>
  <c r="D35" i="3"/>
  <c r="C35" i="3"/>
  <c r="B35" i="3"/>
  <c r="B32" i="7" s="1"/>
  <c r="A35" i="3"/>
  <c r="A32" i="7" s="1"/>
  <c r="X34" i="3"/>
  <c r="W34" i="3"/>
  <c r="V34" i="3"/>
  <c r="U34" i="3"/>
  <c r="S34" i="3"/>
  <c r="T34" i="3" s="1"/>
  <c r="R34" i="3"/>
  <c r="P34" i="3"/>
  <c r="O34" i="3"/>
  <c r="Q34" i="3" s="1"/>
  <c r="D31" i="7" s="1"/>
  <c r="M34" i="3"/>
  <c r="L34" i="3"/>
  <c r="N34" i="3" s="1"/>
  <c r="K34" i="3"/>
  <c r="C31" i="7" s="1"/>
  <c r="J34" i="3"/>
  <c r="I34" i="3"/>
  <c r="H34" i="3"/>
  <c r="G34" i="3"/>
  <c r="F34" i="3"/>
  <c r="E34" i="3"/>
  <c r="D34" i="3"/>
  <c r="C34" i="3"/>
  <c r="B34" i="3"/>
  <c r="B31" i="7" s="1"/>
  <c r="A34" i="3"/>
  <c r="A31" i="7" s="1"/>
  <c r="V33" i="3"/>
  <c r="W33" i="3" s="1"/>
  <c r="U33" i="3"/>
  <c r="T33" i="3"/>
  <c r="S33" i="3"/>
  <c r="R33" i="3"/>
  <c r="P33" i="3"/>
  <c r="O33" i="3"/>
  <c r="Q33" i="3" s="1"/>
  <c r="D30" i="7" s="1"/>
  <c r="M33" i="3"/>
  <c r="L33" i="3"/>
  <c r="N33" i="3" s="1"/>
  <c r="K33" i="3"/>
  <c r="C30" i="7" s="1"/>
  <c r="J33" i="3"/>
  <c r="I33" i="3"/>
  <c r="G33" i="3"/>
  <c r="F33" i="3"/>
  <c r="X33" i="3" s="1"/>
  <c r="E33" i="3"/>
  <c r="D33" i="3"/>
  <c r="C33" i="3"/>
  <c r="B33" i="3"/>
  <c r="B30" i="7" s="1"/>
  <c r="A33" i="3"/>
  <c r="A30" i="7" s="1"/>
  <c r="X32" i="3"/>
  <c r="W32" i="3"/>
  <c r="V32" i="3"/>
  <c r="U32" i="3"/>
  <c r="S32" i="3"/>
  <c r="R32" i="3"/>
  <c r="T32" i="3" s="1"/>
  <c r="P32" i="3"/>
  <c r="O32" i="3"/>
  <c r="Q32" i="3" s="1"/>
  <c r="D29" i="7" s="1"/>
  <c r="M32" i="3"/>
  <c r="L32" i="3"/>
  <c r="N32" i="3" s="1"/>
  <c r="J32" i="3"/>
  <c r="K32" i="3" s="1"/>
  <c r="I32" i="3"/>
  <c r="H32" i="3"/>
  <c r="G32" i="3"/>
  <c r="F32" i="3"/>
  <c r="E32" i="3"/>
  <c r="D32" i="3"/>
  <c r="C32" i="3"/>
  <c r="B32" i="3"/>
  <c r="B29" i="7" s="1"/>
  <c r="A32" i="3"/>
  <c r="A29" i="7" s="1"/>
  <c r="V31" i="3"/>
  <c r="W31" i="3" s="1"/>
  <c r="U31" i="3"/>
  <c r="T31" i="3"/>
  <c r="S31" i="3"/>
  <c r="R31" i="3"/>
  <c r="P31" i="3"/>
  <c r="O31" i="3"/>
  <c r="Q31" i="3" s="1"/>
  <c r="D28" i="7" s="1"/>
  <c r="M31" i="3"/>
  <c r="L31" i="3"/>
  <c r="N31" i="3" s="1"/>
  <c r="K31" i="3"/>
  <c r="C28" i="7" s="1"/>
  <c r="J31" i="3"/>
  <c r="I31" i="3"/>
  <c r="G31" i="3"/>
  <c r="F31" i="3"/>
  <c r="X31" i="3" s="1"/>
  <c r="E31" i="3"/>
  <c r="D31" i="3"/>
  <c r="C31" i="3"/>
  <c r="B31" i="3"/>
  <c r="B28" i="7" s="1"/>
  <c r="A31" i="3"/>
  <c r="A28" i="7" s="1"/>
  <c r="X30" i="3"/>
  <c r="V30" i="3"/>
  <c r="W30" i="3" s="1"/>
  <c r="U30" i="3"/>
  <c r="S30" i="3"/>
  <c r="R30" i="3"/>
  <c r="T30" i="3" s="1"/>
  <c r="P30" i="3"/>
  <c r="O30" i="3"/>
  <c r="Q30" i="3" s="1"/>
  <c r="D27" i="7" s="1"/>
  <c r="M30" i="3"/>
  <c r="L30" i="3"/>
  <c r="N30" i="3" s="1"/>
  <c r="J30" i="3"/>
  <c r="K30" i="3" s="1"/>
  <c r="I30" i="3"/>
  <c r="H30" i="3"/>
  <c r="G30" i="3"/>
  <c r="F30" i="3"/>
  <c r="E30" i="3"/>
  <c r="D30" i="3"/>
  <c r="C30" i="3"/>
  <c r="B30" i="3"/>
  <c r="B27" i="7" s="1"/>
  <c r="A30" i="3"/>
  <c r="A27" i="7" s="1"/>
  <c r="V29" i="3"/>
  <c r="W29" i="3" s="1"/>
  <c r="U29" i="3"/>
  <c r="T29" i="3"/>
  <c r="S29" i="3"/>
  <c r="R29" i="3"/>
  <c r="P29" i="3"/>
  <c r="O29" i="3"/>
  <c r="Q29" i="3" s="1"/>
  <c r="D26" i="7" s="1"/>
  <c r="M29" i="3"/>
  <c r="L29" i="3"/>
  <c r="N29" i="3" s="1"/>
  <c r="J29" i="3"/>
  <c r="K29" i="3" s="1"/>
  <c r="I29" i="3"/>
  <c r="G29" i="3"/>
  <c r="F29" i="3"/>
  <c r="X29" i="3" s="1"/>
  <c r="E29" i="3"/>
  <c r="D29" i="3"/>
  <c r="C29" i="3"/>
  <c r="B29" i="3"/>
  <c r="B26" i="7" s="1"/>
  <c r="A29" i="3"/>
  <c r="A26" i="7" s="1"/>
  <c r="X28" i="3"/>
  <c r="V28" i="3"/>
  <c r="W28" i="3" s="1"/>
  <c r="U28" i="3"/>
  <c r="S28" i="3"/>
  <c r="R28" i="3"/>
  <c r="T28" i="3" s="1"/>
  <c r="P28" i="3"/>
  <c r="O28" i="3"/>
  <c r="Q28" i="3" s="1"/>
  <c r="D25" i="7" s="1"/>
  <c r="N28" i="3"/>
  <c r="M28" i="3"/>
  <c r="L28" i="3"/>
  <c r="J28" i="3"/>
  <c r="K28" i="3" s="1"/>
  <c r="I28" i="3"/>
  <c r="H28" i="3"/>
  <c r="G28" i="3"/>
  <c r="F28" i="3"/>
  <c r="E28" i="3"/>
  <c r="D28" i="3"/>
  <c r="C28" i="3"/>
  <c r="B28" i="3"/>
  <c r="B25" i="7" s="1"/>
  <c r="A28" i="3"/>
  <c r="A25" i="7" s="1"/>
  <c r="V27" i="3"/>
  <c r="W27" i="3" s="1"/>
  <c r="U27" i="3"/>
  <c r="T27" i="3"/>
  <c r="S27" i="3"/>
  <c r="R27" i="3"/>
  <c r="P27" i="3"/>
  <c r="O27" i="3"/>
  <c r="Q27" i="3" s="1"/>
  <c r="D24" i="7" s="1"/>
  <c r="M27" i="3"/>
  <c r="L27" i="3"/>
  <c r="N27" i="3" s="1"/>
  <c r="J27" i="3"/>
  <c r="K27" i="3" s="1"/>
  <c r="I27" i="3"/>
  <c r="G27" i="3"/>
  <c r="F27" i="3"/>
  <c r="H27" i="3" s="1"/>
  <c r="E27" i="3"/>
  <c r="D27" i="3"/>
  <c r="C27" i="3"/>
  <c r="B27" i="3"/>
  <c r="B24" i="7" s="1"/>
  <c r="A27" i="3"/>
  <c r="A24" i="7" s="1"/>
  <c r="X26" i="3"/>
  <c r="V26" i="3"/>
  <c r="W26" i="3" s="1"/>
  <c r="U26" i="3"/>
  <c r="S26" i="3"/>
  <c r="R26" i="3"/>
  <c r="T26" i="3" s="1"/>
  <c r="P26" i="3"/>
  <c r="O26" i="3"/>
  <c r="Q26" i="3" s="1"/>
  <c r="D23" i="7" s="1"/>
  <c r="N26" i="3"/>
  <c r="M26" i="3"/>
  <c r="L26" i="3"/>
  <c r="J26" i="3"/>
  <c r="K26" i="3" s="1"/>
  <c r="I26" i="3"/>
  <c r="H26" i="3"/>
  <c r="G26" i="3"/>
  <c r="F26" i="3"/>
  <c r="E26" i="3"/>
  <c r="D26" i="3"/>
  <c r="C26" i="3"/>
  <c r="B26" i="3"/>
  <c r="B23" i="7" s="1"/>
  <c r="A26" i="3"/>
  <c r="A23" i="7" s="1"/>
  <c r="V25" i="3"/>
  <c r="W25" i="3" s="1"/>
  <c r="U25" i="3"/>
  <c r="T25" i="3"/>
  <c r="S25" i="3"/>
  <c r="R25" i="3"/>
  <c r="P25" i="3"/>
  <c r="O25" i="3"/>
  <c r="Q25" i="3" s="1"/>
  <c r="D22" i="7" s="1"/>
  <c r="M25" i="3"/>
  <c r="L25" i="3"/>
  <c r="N25" i="3" s="1"/>
  <c r="J25" i="3"/>
  <c r="K25" i="3" s="1"/>
  <c r="I25" i="3"/>
  <c r="G25" i="3"/>
  <c r="F25" i="3"/>
  <c r="X25" i="3" s="1"/>
  <c r="E25" i="3"/>
  <c r="D25" i="3"/>
  <c r="C25" i="3"/>
  <c r="B25" i="3"/>
  <c r="B22" i="7" s="1"/>
  <c r="A25" i="3"/>
  <c r="A22" i="7" s="1"/>
  <c r="X24" i="3"/>
  <c r="V24" i="3"/>
  <c r="W24" i="3" s="1"/>
  <c r="U24" i="3"/>
  <c r="S24" i="3"/>
  <c r="R24" i="3"/>
  <c r="T24" i="3" s="1"/>
  <c r="P24" i="3"/>
  <c r="O24" i="3"/>
  <c r="Q24" i="3" s="1"/>
  <c r="D21" i="7" s="1"/>
  <c r="N24" i="3"/>
  <c r="M24" i="3"/>
  <c r="L24" i="3"/>
  <c r="J24" i="3"/>
  <c r="K24" i="3" s="1"/>
  <c r="I24" i="3"/>
  <c r="H24" i="3"/>
  <c r="G24" i="3"/>
  <c r="F24" i="3"/>
  <c r="E24" i="3"/>
  <c r="D24" i="3"/>
  <c r="C24" i="3"/>
  <c r="B24" i="3"/>
  <c r="B21" i="7" s="1"/>
  <c r="A24" i="3"/>
  <c r="A21" i="7" s="1"/>
  <c r="V23" i="3"/>
  <c r="W23" i="3" s="1"/>
  <c r="U23" i="3"/>
  <c r="T23" i="3"/>
  <c r="S23" i="3"/>
  <c r="R23" i="3"/>
  <c r="P23" i="3"/>
  <c r="O23" i="3"/>
  <c r="Q23" i="3" s="1"/>
  <c r="D20" i="7" s="1"/>
  <c r="M23" i="3"/>
  <c r="L23" i="3"/>
  <c r="N23" i="3" s="1"/>
  <c r="J23" i="3"/>
  <c r="K23" i="3" s="1"/>
  <c r="I23" i="3"/>
  <c r="G23" i="3"/>
  <c r="F23" i="3"/>
  <c r="X23" i="3" s="1"/>
  <c r="E23" i="3"/>
  <c r="D23" i="3"/>
  <c r="C23" i="3"/>
  <c r="B23" i="3"/>
  <c r="B20" i="7" s="1"/>
  <c r="A23" i="3"/>
  <c r="A20" i="7" s="1"/>
  <c r="X22" i="3"/>
  <c r="V22" i="3"/>
  <c r="W22" i="3" s="1"/>
  <c r="U22" i="3"/>
  <c r="S22" i="3"/>
  <c r="R22" i="3"/>
  <c r="T22" i="3" s="1"/>
  <c r="P22" i="3"/>
  <c r="O22" i="3"/>
  <c r="Q22" i="3" s="1"/>
  <c r="D19" i="7" s="1"/>
  <c r="N22" i="3"/>
  <c r="M22" i="3"/>
  <c r="L22" i="3"/>
  <c r="J22" i="3"/>
  <c r="K22" i="3" s="1"/>
  <c r="I22" i="3"/>
  <c r="H22" i="3"/>
  <c r="G22" i="3"/>
  <c r="F22" i="3"/>
  <c r="E22" i="3"/>
  <c r="D22" i="3"/>
  <c r="C22" i="3"/>
  <c r="B22" i="3"/>
  <c r="B19" i="7" s="1"/>
  <c r="A22" i="3"/>
  <c r="A19" i="7" s="1"/>
  <c r="V21" i="3"/>
  <c r="W21" i="3" s="1"/>
  <c r="U21" i="3"/>
  <c r="T21" i="3"/>
  <c r="S21" i="3"/>
  <c r="R21" i="3"/>
  <c r="P21" i="3"/>
  <c r="O21" i="3"/>
  <c r="Q21" i="3" s="1"/>
  <c r="D18" i="7" s="1"/>
  <c r="M21" i="3"/>
  <c r="L21" i="3"/>
  <c r="N21" i="3" s="1"/>
  <c r="J21" i="3"/>
  <c r="K21" i="3" s="1"/>
  <c r="I21" i="3"/>
  <c r="G21" i="3"/>
  <c r="F21" i="3"/>
  <c r="X21" i="3" s="1"/>
  <c r="E21" i="3"/>
  <c r="D21" i="3"/>
  <c r="C21" i="3"/>
  <c r="B21" i="3"/>
  <c r="B18" i="7" s="1"/>
  <c r="A21" i="3"/>
  <c r="A18" i="7" s="1"/>
  <c r="X20" i="3"/>
  <c r="V20" i="3"/>
  <c r="W20" i="3" s="1"/>
  <c r="U20" i="3"/>
  <c r="S20" i="3"/>
  <c r="R20" i="3"/>
  <c r="T20" i="3" s="1"/>
  <c r="P20" i="3"/>
  <c r="O20" i="3"/>
  <c r="Q20" i="3" s="1"/>
  <c r="D17" i="7" s="1"/>
  <c r="N20" i="3"/>
  <c r="M20" i="3"/>
  <c r="L20" i="3"/>
  <c r="J20" i="3"/>
  <c r="K20" i="3" s="1"/>
  <c r="I20" i="3"/>
  <c r="H20" i="3"/>
  <c r="G20" i="3"/>
  <c r="F20" i="3"/>
  <c r="E20" i="3"/>
  <c r="D20" i="3"/>
  <c r="C20" i="3"/>
  <c r="B20" i="3"/>
  <c r="B17" i="7" s="1"/>
  <c r="A20" i="3"/>
  <c r="A17" i="7" s="1"/>
  <c r="V19" i="3"/>
  <c r="W19" i="3" s="1"/>
  <c r="U19" i="3"/>
  <c r="T19" i="3"/>
  <c r="S19" i="3"/>
  <c r="R19" i="3"/>
  <c r="P19" i="3"/>
  <c r="O19" i="3"/>
  <c r="Q19" i="3" s="1"/>
  <c r="D16" i="7" s="1"/>
  <c r="M19" i="3"/>
  <c r="L19" i="3"/>
  <c r="N19" i="3" s="1"/>
  <c r="J19" i="3"/>
  <c r="K19" i="3" s="1"/>
  <c r="I19" i="3"/>
  <c r="G19" i="3"/>
  <c r="F19" i="3"/>
  <c r="X19" i="3" s="1"/>
  <c r="E19" i="3"/>
  <c r="D19" i="3"/>
  <c r="C19" i="3"/>
  <c r="B19" i="3"/>
  <c r="B16" i="7" s="1"/>
  <c r="A19" i="3"/>
  <c r="A16" i="7" s="1"/>
  <c r="X18" i="3"/>
  <c r="V18" i="3"/>
  <c r="W18" i="3" s="1"/>
  <c r="U18" i="3"/>
  <c r="S18" i="3"/>
  <c r="R18" i="3"/>
  <c r="T18" i="3" s="1"/>
  <c r="P18" i="3"/>
  <c r="O18" i="3"/>
  <c r="Q18" i="3" s="1"/>
  <c r="D15" i="7" s="1"/>
  <c r="N18" i="3"/>
  <c r="M18" i="3"/>
  <c r="L18" i="3"/>
  <c r="J18" i="3"/>
  <c r="K18" i="3" s="1"/>
  <c r="I18" i="3"/>
  <c r="H18" i="3"/>
  <c r="G18" i="3"/>
  <c r="F18" i="3"/>
  <c r="E18" i="3"/>
  <c r="D18" i="3"/>
  <c r="C18" i="3"/>
  <c r="B18" i="3"/>
  <c r="B15" i="7" s="1"/>
  <c r="A18" i="3"/>
  <c r="A15" i="7" s="1"/>
  <c r="V17" i="3"/>
  <c r="U17" i="3"/>
  <c r="T17" i="3"/>
  <c r="S17" i="3"/>
  <c r="R17" i="3"/>
  <c r="P17" i="3"/>
  <c r="O17" i="3"/>
  <c r="Q17" i="3" s="1"/>
  <c r="D14" i="7" s="1"/>
  <c r="M17" i="3"/>
  <c r="L17" i="3"/>
  <c r="N17" i="3" s="1"/>
  <c r="J17" i="3"/>
  <c r="I17" i="3"/>
  <c r="G17" i="3"/>
  <c r="F17" i="3"/>
  <c r="X17" i="3" s="1"/>
  <c r="E17" i="3"/>
  <c r="D17" i="3"/>
  <c r="C17" i="3"/>
  <c r="B17" i="3"/>
  <c r="B14" i="7" s="1"/>
  <c r="A17" i="3"/>
  <c r="A14" i="7" s="1"/>
  <c r="C10" i="3"/>
  <c r="C15" i="4" s="1"/>
  <c r="B10" i="3"/>
  <c r="B15" i="4" s="1"/>
  <c r="C9" i="3"/>
  <c r="C14" i="4" s="1"/>
  <c r="B9" i="3"/>
  <c r="B14" i="4" s="1"/>
  <c r="C8" i="3"/>
  <c r="C13" i="4" s="1"/>
  <c r="B8" i="3"/>
  <c r="B13" i="4" s="1"/>
  <c r="D7" i="3"/>
  <c r="B31" i="4" s="1"/>
  <c r="D31" i="4" s="1"/>
  <c r="C7" i="3"/>
  <c r="C12" i="4" s="1"/>
  <c r="B7" i="3"/>
  <c r="B12" i="4" s="1"/>
  <c r="C6" i="3"/>
  <c r="C11" i="4" s="1"/>
  <c r="B6" i="3"/>
  <c r="B11" i="4" s="1"/>
  <c r="F5" i="3"/>
  <c r="D5" i="3"/>
  <c r="C5" i="3"/>
  <c r="C10" i="4" s="1"/>
  <c r="B5" i="3"/>
  <c r="B10" i="4" s="1"/>
  <c r="C17" i="7" l="1"/>
  <c r="AA20" i="3"/>
  <c r="C25" i="7"/>
  <c r="AA28" i="3"/>
  <c r="C46" i="7"/>
  <c r="C61" i="7"/>
  <c r="C20" i="7"/>
  <c r="AA23" i="3"/>
  <c r="C48" i="7"/>
  <c r="C52" i="7"/>
  <c r="Z64" i="3"/>
  <c r="C50" i="7"/>
  <c r="C62" i="7"/>
  <c r="C18" i="7"/>
  <c r="C26" i="7"/>
  <c r="Z44" i="3"/>
  <c r="C57" i="7"/>
  <c r="C23" i="7"/>
  <c r="AA26" i="3"/>
  <c r="Z25" i="3"/>
  <c r="Z26" i="3"/>
  <c r="C29" i="7"/>
  <c r="AA32" i="3"/>
  <c r="C16" i="7"/>
  <c r="C53" i="7"/>
  <c r="C58" i="7"/>
  <c r="Z62" i="3"/>
  <c r="C60" i="7"/>
  <c r="C21" i="7"/>
  <c r="AA24" i="3"/>
  <c r="C24" i="7"/>
  <c r="AA27" i="3"/>
  <c r="C27" i="7"/>
  <c r="AA30" i="3"/>
  <c r="Z48" i="3"/>
  <c r="C15" i="7"/>
  <c r="AA18" i="3"/>
  <c r="C19" i="7"/>
  <c r="AA22" i="3"/>
  <c r="C22" i="7"/>
  <c r="C44" i="7"/>
  <c r="AA47" i="3"/>
  <c r="C54" i="7"/>
  <c r="C56" i="7"/>
  <c r="N35" i="3"/>
  <c r="N37" i="3"/>
  <c r="AA37" i="3" s="1"/>
  <c r="N39" i="3"/>
  <c r="AA39" i="3" s="1"/>
  <c r="N41" i="3"/>
  <c r="N43" i="3"/>
  <c r="N45" i="3"/>
  <c r="N47" i="3"/>
  <c r="N49" i="3"/>
  <c r="AA49" i="3" s="1"/>
  <c r="N51" i="3"/>
  <c r="AA51" i="3" s="1"/>
  <c r="N53" i="3"/>
  <c r="AA53" i="3" s="1"/>
  <c r="H55" i="3"/>
  <c r="N56" i="3"/>
  <c r="H59" i="3"/>
  <c r="N60" i="3"/>
  <c r="H63" i="3"/>
  <c r="N64" i="3"/>
  <c r="F7" i="3"/>
  <c r="AA34" i="3"/>
  <c r="AA36" i="3"/>
  <c r="AA38" i="3"/>
  <c r="AA40" i="3"/>
  <c r="AA42" i="3"/>
  <c r="AA44" i="3"/>
  <c r="AA46" i="3"/>
  <c r="AA48" i="3"/>
  <c r="AA50" i="3"/>
  <c r="AA52" i="3"/>
  <c r="Q56" i="3"/>
  <c r="D53" i="7" s="1"/>
  <c r="Q60" i="3"/>
  <c r="D57" i="7" s="1"/>
  <c r="Q64" i="3"/>
  <c r="D61" i="7" s="1"/>
  <c r="D6" i="3"/>
  <c r="H21" i="3"/>
  <c r="AA21" i="3" s="1"/>
  <c r="X27" i="3"/>
  <c r="Z27" i="3" s="1"/>
  <c r="H29" i="3"/>
  <c r="AA29" i="3" s="1"/>
  <c r="H31" i="3"/>
  <c r="H33" i="3"/>
  <c r="X182" i="3"/>
  <c r="AB182" i="3"/>
  <c r="AA182" i="3"/>
  <c r="Z182" i="3"/>
  <c r="Y182" i="3"/>
  <c r="W17" i="3"/>
  <c r="H17" i="3"/>
  <c r="H19" i="3"/>
  <c r="AA19" i="3" s="1"/>
  <c r="H23" i="3"/>
  <c r="H25" i="3"/>
  <c r="AA25" i="3" s="1"/>
  <c r="D8" i="3"/>
  <c r="Y17" i="3"/>
  <c r="B6" i="6" s="1"/>
  <c r="Y19" i="3"/>
  <c r="Z19" i="3" s="1"/>
  <c r="Y21" i="3"/>
  <c r="Z21" i="3" s="1"/>
  <c r="Y23" i="3"/>
  <c r="Z23" i="3" s="1"/>
  <c r="Y25" i="3"/>
  <c r="Y27" i="3"/>
  <c r="Y29" i="3"/>
  <c r="Z29" i="3" s="1"/>
  <c r="Y31" i="3"/>
  <c r="Z31" i="3" s="1"/>
  <c r="Y33" i="3"/>
  <c r="Z33" i="3" s="1"/>
  <c r="Y35" i="3"/>
  <c r="Z35" i="3" s="1"/>
  <c r="Y37" i="3"/>
  <c r="Z37" i="3" s="1"/>
  <c r="Y39" i="3"/>
  <c r="Z39" i="3" s="1"/>
  <c r="Y41" i="3"/>
  <c r="Z41" i="3" s="1"/>
  <c r="Y43" i="3"/>
  <c r="Z43" i="3" s="1"/>
  <c r="Y45" i="3"/>
  <c r="Z45" i="3" s="1"/>
  <c r="Y47" i="3"/>
  <c r="Z47" i="3" s="1"/>
  <c r="Y49" i="3"/>
  <c r="Z49" i="3" s="1"/>
  <c r="Y51" i="3"/>
  <c r="Z51" i="3" s="1"/>
  <c r="Y53" i="3"/>
  <c r="Z53" i="3" s="1"/>
  <c r="Q57" i="3"/>
  <c r="D54" i="7" s="1"/>
  <c r="X57" i="3"/>
  <c r="Q61" i="3"/>
  <c r="D58" i="7" s="1"/>
  <c r="X61" i="3"/>
  <c r="Q65" i="3"/>
  <c r="D62" i="7" s="1"/>
  <c r="X65" i="3"/>
  <c r="Z65" i="3" s="1"/>
  <c r="B29" i="4"/>
  <c r="D29" i="4" s="1"/>
  <c r="D9" i="3"/>
  <c r="E5" i="3"/>
  <c r="D10" i="3"/>
  <c r="K17" i="3"/>
  <c r="AA31" i="3"/>
  <c r="AA33" i="3"/>
  <c r="AA35" i="3"/>
  <c r="AA41" i="3"/>
  <c r="AA43" i="3"/>
  <c r="AA45" i="3"/>
  <c r="Q54" i="3"/>
  <c r="D51" i="7" s="1"/>
  <c r="Q58" i="3"/>
  <c r="D55" i="7" s="1"/>
  <c r="Q62" i="3"/>
  <c r="D59" i="7" s="1"/>
  <c r="Q66" i="3"/>
  <c r="D63" i="7" s="1"/>
  <c r="E7" i="3"/>
  <c r="Y18" i="3"/>
  <c r="Z18" i="3" s="1"/>
  <c r="Y20" i="3"/>
  <c r="Z20" i="3" s="1"/>
  <c r="Y22" i="3"/>
  <c r="Z22" i="3" s="1"/>
  <c r="Y24" i="3"/>
  <c r="Z24" i="3" s="1"/>
  <c r="Y26" i="3"/>
  <c r="Y28" i="3"/>
  <c r="Z28" i="3" s="1"/>
  <c r="Y30" i="3"/>
  <c r="Z30" i="3" s="1"/>
  <c r="Y32" i="3"/>
  <c r="Z32" i="3" s="1"/>
  <c r="Y34" i="3"/>
  <c r="Z34" i="3" s="1"/>
  <c r="Y36" i="3"/>
  <c r="Z36" i="3" s="1"/>
  <c r="Y38" i="3"/>
  <c r="Z38" i="3" s="1"/>
  <c r="Y40" i="3"/>
  <c r="Z40" i="3" s="1"/>
  <c r="Y42" i="3"/>
  <c r="Z42" i="3" s="1"/>
  <c r="Y44" i="3"/>
  <c r="Y46" i="3"/>
  <c r="Z46" i="3" s="1"/>
  <c r="Y48" i="3"/>
  <c r="Y50" i="3"/>
  <c r="Z50" i="3" s="1"/>
  <c r="Y52" i="3"/>
  <c r="Z52" i="3" s="1"/>
  <c r="A51" i="7"/>
  <c r="Y54" i="3"/>
  <c r="Z54" i="3" s="1"/>
  <c r="Q55" i="3"/>
  <c r="D52" i="7" s="1"/>
  <c r="AA58" i="3"/>
  <c r="Q59" i="3"/>
  <c r="D56" i="7" s="1"/>
  <c r="AA62" i="3"/>
  <c r="Q63" i="3"/>
  <c r="D60" i="7" s="1"/>
  <c r="AA66" i="3"/>
  <c r="Y56" i="3"/>
  <c r="Z56" i="3" s="1"/>
  <c r="Y58" i="3"/>
  <c r="Z58" i="3" s="1"/>
  <c r="Y60" i="3"/>
  <c r="Z60" i="3" s="1"/>
  <c r="Y62" i="3"/>
  <c r="Y64" i="3"/>
  <c r="Y66" i="3"/>
  <c r="Z66" i="3" s="1"/>
  <c r="AA149" i="3"/>
  <c r="X150" i="3"/>
  <c r="AA153" i="3"/>
  <c r="X154" i="3"/>
  <c r="AA157" i="3"/>
  <c r="X158" i="3"/>
  <c r="AA161" i="3"/>
  <c r="X162" i="3"/>
  <c r="AA165" i="3"/>
  <c r="X166" i="3"/>
  <c r="AA169" i="3"/>
  <c r="X170" i="3"/>
  <c r="AA174" i="3"/>
  <c r="AA150" i="3"/>
  <c r="AA154" i="3"/>
  <c r="AA158" i="3"/>
  <c r="AA162" i="3"/>
  <c r="AA166" i="3"/>
  <c r="AA170" i="3"/>
  <c r="AB176" i="3"/>
  <c r="Z176" i="3"/>
  <c r="AA176" i="3"/>
  <c r="AB150" i="3"/>
  <c r="AB178" i="3"/>
  <c r="Z178" i="3"/>
  <c r="AA178" i="3"/>
  <c r="AB180" i="3"/>
  <c r="AA180" i="3"/>
  <c r="Z180" i="3"/>
  <c r="Y55" i="3"/>
  <c r="Z55" i="3" s="1"/>
  <c r="Y57" i="3"/>
  <c r="Y59" i="3"/>
  <c r="Z59" i="3" s="1"/>
  <c r="Y61" i="3"/>
  <c r="Y63" i="3"/>
  <c r="Z63" i="3" s="1"/>
  <c r="Y65" i="3"/>
  <c r="AA147" i="3"/>
  <c r="X148" i="3"/>
  <c r="AA151" i="3"/>
  <c r="X152" i="3"/>
  <c r="AA155" i="3"/>
  <c r="X156" i="3"/>
  <c r="AA159" i="3"/>
  <c r="X160" i="3"/>
  <c r="AA163" i="3"/>
  <c r="X164" i="3"/>
  <c r="AA167" i="3"/>
  <c r="X168" i="3"/>
  <c r="AA171" i="3"/>
  <c r="X172" i="3"/>
  <c r="Y148" i="3"/>
  <c r="Y152" i="3"/>
  <c r="Y156" i="3"/>
  <c r="AB159" i="3"/>
  <c r="Y160" i="3"/>
  <c r="AB163" i="3"/>
  <c r="Y164" i="3"/>
  <c r="AB167" i="3"/>
  <c r="Y168" i="3"/>
  <c r="AB171" i="3"/>
  <c r="Y172" i="3"/>
  <c r="AA148" i="3"/>
  <c r="AA152" i="3"/>
  <c r="AA156" i="3"/>
  <c r="AA160" i="3"/>
  <c r="AA164" i="3"/>
  <c r="AA168" i="3"/>
  <c r="AA172" i="3"/>
  <c r="X174" i="3"/>
  <c r="AB148" i="3"/>
  <c r="AB152" i="3"/>
  <c r="AB156" i="3"/>
  <c r="AB160" i="3"/>
  <c r="AB164" i="3"/>
  <c r="AB168" i="3"/>
  <c r="AB172" i="3"/>
  <c r="Y174" i="3"/>
  <c r="Z184" i="3"/>
  <c r="Z186" i="3"/>
  <c r="Z188" i="3"/>
  <c r="Z190" i="3"/>
  <c r="Z192" i="3"/>
  <c r="Z194" i="3"/>
  <c r="Z196" i="3"/>
  <c r="Z198" i="3"/>
  <c r="Z200" i="3"/>
  <c r="Z202" i="3"/>
  <c r="Z204" i="3"/>
  <c r="AA210" i="3"/>
  <c r="Y212" i="3"/>
  <c r="AA218" i="3"/>
  <c r="Y220" i="3"/>
  <c r="AA226" i="3"/>
  <c r="Y228" i="3"/>
  <c r="X234" i="3"/>
  <c r="AB234" i="3"/>
  <c r="AA262" i="3"/>
  <c r="Y262" i="3"/>
  <c r="X262" i="3"/>
  <c r="AA270" i="3"/>
  <c r="X270" i="3"/>
  <c r="AA184" i="3"/>
  <c r="AA186" i="3"/>
  <c r="AA188" i="3"/>
  <c r="AA190" i="3"/>
  <c r="AA192" i="3"/>
  <c r="AA194" i="3"/>
  <c r="AA196" i="3"/>
  <c r="AA198" i="3"/>
  <c r="AA200" i="3"/>
  <c r="AA202" i="3"/>
  <c r="AA204" i="3"/>
  <c r="Z212" i="3"/>
  <c r="Z220" i="3"/>
  <c r="Z228" i="3"/>
  <c r="AB247" i="3"/>
  <c r="AA247" i="3"/>
  <c r="X263" i="3"/>
  <c r="AA268" i="3"/>
  <c r="Z268" i="3"/>
  <c r="Y268" i="3"/>
  <c r="X268" i="3"/>
  <c r="AA379" i="3"/>
  <c r="Z379" i="3"/>
  <c r="AB379" i="3"/>
  <c r="Y379" i="3"/>
  <c r="X379" i="3"/>
  <c r="AB184" i="3"/>
  <c r="AB186" i="3"/>
  <c r="AB188" i="3"/>
  <c r="AB190" i="3"/>
  <c r="AB192" i="3"/>
  <c r="AB194" i="3"/>
  <c r="AB196" i="3"/>
  <c r="AB198" i="3"/>
  <c r="AB200" i="3"/>
  <c r="AB202" i="3"/>
  <c r="AB204" i="3"/>
  <c r="AA212" i="3"/>
  <c r="AA220" i="3"/>
  <c r="AA228" i="3"/>
  <c r="Y237" i="3"/>
  <c r="Y243" i="3"/>
  <c r="X243" i="3"/>
  <c r="X253" i="3"/>
  <c r="AB253" i="3"/>
  <c r="Z259" i="3"/>
  <c r="Y263" i="3"/>
  <c r="Y173" i="3"/>
  <c r="Y175" i="3"/>
  <c r="Y177" i="3"/>
  <c r="Y179" i="3"/>
  <c r="Y181" i="3"/>
  <c r="Y183" i="3"/>
  <c r="Y185" i="3"/>
  <c r="Y187" i="3"/>
  <c r="Y189" i="3"/>
  <c r="Y191" i="3"/>
  <c r="Y193" i="3"/>
  <c r="Y195" i="3"/>
  <c r="Y197" i="3"/>
  <c r="Y199" i="3"/>
  <c r="Y201" i="3"/>
  <c r="Y203" i="3"/>
  <c r="AB205" i="3"/>
  <c r="Y205" i="3"/>
  <c r="AA205" i="3"/>
  <c r="AB212" i="3"/>
  <c r="Z237" i="3"/>
  <c r="AA240" i="3"/>
  <c r="X240" i="3"/>
  <c r="AA259" i="3"/>
  <c r="Z262" i="3"/>
  <c r="AA206" i="3"/>
  <c r="Y208" i="3"/>
  <c r="AA214" i="3"/>
  <c r="Y216" i="3"/>
  <c r="AA222" i="3"/>
  <c r="Y224" i="3"/>
  <c r="AA230" i="3"/>
  <c r="Y232" i="3"/>
  <c r="AA246" i="3"/>
  <c r="Y246" i="3"/>
  <c r="X246" i="3"/>
  <c r="AA250" i="3"/>
  <c r="AB250" i="3"/>
  <c r="Y256" i="3"/>
  <c r="Z208" i="3"/>
  <c r="Z216" i="3"/>
  <c r="Z224" i="3"/>
  <c r="Z232" i="3"/>
  <c r="Z263" i="3"/>
  <c r="AB263" i="3"/>
  <c r="X184" i="3"/>
  <c r="X186" i="3"/>
  <c r="X188" i="3"/>
  <c r="X190" i="3"/>
  <c r="X192" i="3"/>
  <c r="X194" i="3"/>
  <c r="X196" i="3"/>
  <c r="X198" i="3"/>
  <c r="X200" i="3"/>
  <c r="AA208" i="3"/>
  <c r="AA216" i="3"/>
  <c r="AA224" i="3"/>
  <c r="AA232" i="3"/>
  <c r="X237" i="3"/>
  <c r="AB237" i="3"/>
  <c r="Y253" i="3"/>
  <c r="Y259" i="3"/>
  <c r="X259" i="3"/>
  <c r="AB268" i="3"/>
  <c r="AB208" i="3"/>
  <c r="AB216" i="3"/>
  <c r="AB224" i="3"/>
  <c r="AB232" i="3"/>
  <c r="Z247" i="3"/>
  <c r="AA256" i="3"/>
  <c r="X256" i="3"/>
  <c r="AA349" i="3"/>
  <c r="Z349" i="3"/>
  <c r="AB349" i="3"/>
  <c r="Y349" i="3"/>
  <c r="X349" i="3"/>
  <c r="AA363" i="3"/>
  <c r="Z363" i="3"/>
  <c r="AB363" i="3"/>
  <c r="Y363" i="3"/>
  <c r="X363" i="3"/>
  <c r="AB393" i="3"/>
  <c r="Y393" i="3"/>
  <c r="X393" i="3"/>
  <c r="AA393" i="3"/>
  <c r="Z393" i="3"/>
  <c r="Z241" i="3"/>
  <c r="Z244" i="3"/>
  <c r="X245" i="3"/>
  <c r="X248" i="3"/>
  <c r="Z257" i="3"/>
  <c r="Z260" i="3"/>
  <c r="X261" i="3"/>
  <c r="Y207" i="3"/>
  <c r="Y209" i="3"/>
  <c r="Y211" i="3"/>
  <c r="Y213" i="3"/>
  <c r="Y215" i="3"/>
  <c r="Y217" i="3"/>
  <c r="Y219" i="3"/>
  <c r="Y221" i="3"/>
  <c r="Y223" i="3"/>
  <c r="Y225" i="3"/>
  <c r="Y227" i="3"/>
  <c r="Y229" i="3"/>
  <c r="Y231" i="3"/>
  <c r="Y233" i="3"/>
  <c r="Z238" i="3"/>
  <c r="X239" i="3"/>
  <c r="X242" i="3"/>
  <c r="AB244" i="3"/>
  <c r="Y245" i="3"/>
  <c r="Y248" i="3"/>
  <c r="Z254" i="3"/>
  <c r="X255" i="3"/>
  <c r="X258" i="3"/>
  <c r="AB260" i="3"/>
  <c r="Y261" i="3"/>
  <c r="AB264" i="3"/>
  <c r="Y266" i="3"/>
  <c r="AB272" i="3"/>
  <c r="Z245" i="3"/>
  <c r="Z248" i="3"/>
  <c r="Z261" i="3"/>
  <c r="AA339" i="3"/>
  <c r="Z339" i="3"/>
  <c r="Y339" i="3"/>
  <c r="X339" i="3"/>
  <c r="AA371" i="3"/>
  <c r="Z371" i="3"/>
  <c r="AB371" i="3"/>
  <c r="Y371" i="3"/>
  <c r="X371" i="3"/>
  <c r="AB387" i="3"/>
  <c r="AA387" i="3"/>
  <c r="Z387" i="3"/>
  <c r="Y387" i="3"/>
  <c r="X387" i="3"/>
  <c r="Z239" i="3"/>
  <c r="Z242" i="3"/>
  <c r="AA245" i="3"/>
  <c r="AB248" i="3"/>
  <c r="Z255" i="3"/>
  <c r="Z258" i="3"/>
  <c r="AA261" i="3"/>
  <c r="AB266" i="3"/>
  <c r="AA355" i="3"/>
  <c r="Z355" i="3"/>
  <c r="AB355" i="3"/>
  <c r="Y355" i="3"/>
  <c r="X355" i="3"/>
  <c r="Z236" i="3"/>
  <c r="AB242" i="3"/>
  <c r="Z252" i="3"/>
  <c r="AB258" i="3"/>
  <c r="AB516" i="3"/>
  <c r="AA516" i="3"/>
  <c r="Y516" i="3"/>
  <c r="X516" i="3"/>
  <c r="Z516" i="3"/>
  <c r="Y265" i="3"/>
  <c r="Y267" i="3"/>
  <c r="Y269" i="3"/>
  <c r="Y271" i="3"/>
  <c r="Y273" i="3"/>
  <c r="Y275" i="3"/>
  <c r="Y277" i="3"/>
  <c r="Y279" i="3"/>
  <c r="Y281" i="3"/>
  <c r="Y283" i="3"/>
  <c r="Y285" i="3"/>
  <c r="Y287" i="3"/>
  <c r="Y289" i="3"/>
  <c r="Y291" i="3"/>
  <c r="Y293" i="3"/>
  <c r="Y295" i="3"/>
  <c r="Y297" i="3"/>
  <c r="Y299" i="3"/>
  <c r="Y333" i="3"/>
  <c r="AA336" i="3"/>
  <c r="X337" i="3"/>
  <c r="X338" i="3"/>
  <c r="Y351" i="3"/>
  <c r="AA354" i="3"/>
  <c r="Z354" i="3"/>
  <c r="Y359" i="3"/>
  <c r="AA362" i="3"/>
  <c r="Z362" i="3"/>
  <c r="Y367" i="3"/>
  <c r="AA370" i="3"/>
  <c r="Z370" i="3"/>
  <c r="Y375" i="3"/>
  <c r="AA378" i="3"/>
  <c r="Z378" i="3"/>
  <c r="Y383" i="3"/>
  <c r="AA386" i="3"/>
  <c r="Z386" i="3"/>
  <c r="X334" i="3"/>
  <c r="Y338" i="3"/>
  <c r="AA353" i="3"/>
  <c r="Z353" i="3"/>
  <c r="AA361" i="3"/>
  <c r="Z361" i="3"/>
  <c r="AA369" i="3"/>
  <c r="Z369" i="3"/>
  <c r="AA377" i="3"/>
  <c r="Z377" i="3"/>
  <c r="AA385" i="3"/>
  <c r="Z385" i="3"/>
  <c r="Y334" i="3"/>
  <c r="AA337" i="3"/>
  <c r="Z337" i="3"/>
  <c r="AB337" i="3"/>
  <c r="Z338" i="3"/>
  <c r="AA352" i="3"/>
  <c r="Z352" i="3"/>
  <c r="AA360" i="3"/>
  <c r="Z360" i="3"/>
  <c r="AA368" i="3"/>
  <c r="Z368" i="3"/>
  <c r="AA376" i="3"/>
  <c r="Z376" i="3"/>
  <c r="AA384" i="3"/>
  <c r="Z384" i="3"/>
  <c r="AB389" i="3"/>
  <c r="Y389" i="3"/>
  <c r="X389" i="3"/>
  <c r="Z334" i="3"/>
  <c r="AA338" i="3"/>
  <c r="AA351" i="3"/>
  <c r="Z351" i="3"/>
  <c r="AA359" i="3"/>
  <c r="Z359" i="3"/>
  <c r="AA367" i="3"/>
  <c r="Z367" i="3"/>
  <c r="AA375" i="3"/>
  <c r="Z375" i="3"/>
  <c r="AA383" i="3"/>
  <c r="Z383" i="3"/>
  <c r="Y274" i="3"/>
  <c r="Y276" i="3"/>
  <c r="Y278" i="3"/>
  <c r="Y280" i="3"/>
  <c r="Y282" i="3"/>
  <c r="Y284" i="3"/>
  <c r="Y286" i="3"/>
  <c r="Y288" i="3"/>
  <c r="Y290" i="3"/>
  <c r="Y292" i="3"/>
  <c r="Y294" i="3"/>
  <c r="Y296" i="3"/>
  <c r="Y298" i="3"/>
  <c r="Y300" i="3"/>
  <c r="Y302" i="3"/>
  <c r="Y304" i="3"/>
  <c r="Y306" i="3"/>
  <c r="Y308" i="3"/>
  <c r="Y310" i="3"/>
  <c r="Y312" i="3"/>
  <c r="Y314" i="3"/>
  <c r="Y316" i="3"/>
  <c r="Y318" i="3"/>
  <c r="Y320" i="3"/>
  <c r="Y322" i="3"/>
  <c r="Y324" i="3"/>
  <c r="Y326" i="3"/>
  <c r="Y328" i="3"/>
  <c r="Y330" i="3"/>
  <c r="Y332" i="3"/>
  <c r="X335" i="3"/>
  <c r="AA350" i="3"/>
  <c r="Z350" i="3"/>
  <c r="AA358" i="3"/>
  <c r="Z358" i="3"/>
  <c r="AA366" i="3"/>
  <c r="Z366" i="3"/>
  <c r="X370" i="3"/>
  <c r="AA374" i="3"/>
  <c r="Z374" i="3"/>
  <c r="AA382" i="3"/>
  <c r="Z382" i="3"/>
  <c r="X353" i="3"/>
  <c r="Y354" i="3"/>
  <c r="AA357" i="3"/>
  <c r="Z357" i="3"/>
  <c r="X361" i="3"/>
  <c r="Y362" i="3"/>
  <c r="AA365" i="3"/>
  <c r="Z365" i="3"/>
  <c r="X369" i="3"/>
  <c r="Y370" i="3"/>
  <c r="AA373" i="3"/>
  <c r="Z373" i="3"/>
  <c r="X377" i="3"/>
  <c r="Y378" i="3"/>
  <c r="AA381" i="3"/>
  <c r="Z381" i="3"/>
  <c r="X385" i="3"/>
  <c r="Y386" i="3"/>
  <c r="X388" i="3"/>
  <c r="Y388" i="3"/>
  <c r="AB388" i="3"/>
  <c r="AA388" i="3"/>
  <c r="Z335" i="3"/>
  <c r="AA341" i="3"/>
  <c r="Z341" i="3"/>
  <c r="AA343" i="3"/>
  <c r="Z343" i="3"/>
  <c r="AA345" i="3"/>
  <c r="Z345" i="3"/>
  <c r="AA347" i="3"/>
  <c r="Z347" i="3"/>
  <c r="AA348" i="3"/>
  <c r="Z348" i="3"/>
  <c r="X352" i="3"/>
  <c r="Y353" i="3"/>
  <c r="AB354" i="3"/>
  <c r="AA356" i="3"/>
  <c r="Z356" i="3"/>
  <c r="X360" i="3"/>
  <c r="Y361" i="3"/>
  <c r="AB362" i="3"/>
  <c r="AA364" i="3"/>
  <c r="Z364" i="3"/>
  <c r="X368" i="3"/>
  <c r="Y369" i="3"/>
  <c r="AB370" i="3"/>
  <c r="AA372" i="3"/>
  <c r="Z372" i="3"/>
  <c r="X376" i="3"/>
  <c r="Y377" i="3"/>
  <c r="AB378" i="3"/>
  <c r="AA380" i="3"/>
  <c r="Z380" i="3"/>
  <c r="X384" i="3"/>
  <c r="Y385" i="3"/>
  <c r="AB386" i="3"/>
  <c r="Z389" i="3"/>
  <c r="AA392" i="3"/>
  <c r="AB392" i="3"/>
  <c r="X429" i="3"/>
  <c r="AB429" i="3"/>
  <c r="Z429" i="3"/>
  <c r="Y429" i="3"/>
  <c r="AA390" i="3"/>
  <c r="X391" i="3"/>
  <c r="AA394" i="3"/>
  <c r="Y395" i="3"/>
  <c r="Y397" i="3"/>
  <c r="Y399" i="3"/>
  <c r="Y401" i="3"/>
  <c r="AB436" i="3"/>
  <c r="AA436" i="3"/>
  <c r="Z436" i="3"/>
  <c r="Y436" i="3"/>
  <c r="X436" i="3"/>
  <c r="X445" i="3"/>
  <c r="AA445" i="3"/>
  <c r="Y445" i="3"/>
  <c r="AB445" i="3"/>
  <c r="X449" i="3"/>
  <c r="AA449" i="3"/>
  <c r="Z449" i="3"/>
  <c r="AB449" i="3"/>
  <c r="AB390" i="3"/>
  <c r="Y391" i="3"/>
  <c r="AB394" i="3"/>
  <c r="AA429" i="3"/>
  <c r="Z391" i="3"/>
  <c r="AB395" i="3"/>
  <c r="AA395" i="3"/>
  <c r="AB397" i="3"/>
  <c r="AA397" i="3"/>
  <c r="AB399" i="3"/>
  <c r="AA399" i="3"/>
  <c r="AB401" i="3"/>
  <c r="AA401" i="3"/>
  <c r="X433" i="3"/>
  <c r="AB433" i="3"/>
  <c r="Z433" i="3"/>
  <c r="Y433" i="3"/>
  <c r="Z428" i="3"/>
  <c r="Z432" i="3"/>
  <c r="X451" i="3"/>
  <c r="AA451" i="3"/>
  <c r="Z451" i="3"/>
  <c r="AB460" i="3"/>
  <c r="Z460" i="3"/>
  <c r="Y460" i="3"/>
  <c r="X468" i="3"/>
  <c r="AA468" i="3"/>
  <c r="Z468" i="3"/>
  <c r="Y403" i="3"/>
  <c r="Y405" i="3"/>
  <c r="Y407" i="3"/>
  <c r="Y409" i="3"/>
  <c r="Y411" i="3"/>
  <c r="Y413" i="3"/>
  <c r="Y415" i="3"/>
  <c r="Y417" i="3"/>
  <c r="Y419" i="3"/>
  <c r="Y421" i="3"/>
  <c r="Y423" i="3"/>
  <c r="Z425" i="3"/>
  <c r="AA428" i="3"/>
  <c r="AA432" i="3"/>
  <c r="X453" i="3"/>
  <c r="AA453" i="3"/>
  <c r="Z453" i="3"/>
  <c r="AA463" i="3"/>
  <c r="Z463" i="3"/>
  <c r="Y463" i="3"/>
  <c r="X463" i="3"/>
  <c r="X455" i="3"/>
  <c r="AA455" i="3"/>
  <c r="Z455" i="3"/>
  <c r="AA403" i="3"/>
  <c r="AA405" i="3"/>
  <c r="AA407" i="3"/>
  <c r="AA409" i="3"/>
  <c r="AA411" i="3"/>
  <c r="AA413" i="3"/>
  <c r="AA415" i="3"/>
  <c r="AA417" i="3"/>
  <c r="AA419" i="3"/>
  <c r="AA421" i="3"/>
  <c r="AA423" i="3"/>
  <c r="AB425" i="3"/>
  <c r="AB444" i="3"/>
  <c r="AA444" i="3"/>
  <c r="Z444" i="3"/>
  <c r="Y451" i="3"/>
  <c r="X457" i="3"/>
  <c r="AA457" i="3"/>
  <c r="Z457" i="3"/>
  <c r="X460" i="3"/>
  <c r="AB463" i="3"/>
  <c r="Y468" i="3"/>
  <c r="X396" i="3"/>
  <c r="X398" i="3"/>
  <c r="X400" i="3"/>
  <c r="X402" i="3"/>
  <c r="X404" i="3"/>
  <c r="X406" i="3"/>
  <c r="X408" i="3"/>
  <c r="X410" i="3"/>
  <c r="Z426" i="3"/>
  <c r="Z430" i="3"/>
  <c r="Z434" i="3"/>
  <c r="AB442" i="3"/>
  <c r="AA442" i="3"/>
  <c r="Z442" i="3"/>
  <c r="AB451" i="3"/>
  <c r="Y453" i="3"/>
  <c r="AA459" i="3"/>
  <c r="X459" i="3"/>
  <c r="AB459" i="3"/>
  <c r="Z459" i="3"/>
  <c r="AA460" i="3"/>
  <c r="AB467" i="3"/>
  <c r="AA467" i="3"/>
  <c r="Z467" i="3"/>
  <c r="Y467" i="3"/>
  <c r="X467" i="3"/>
  <c r="AB468" i="3"/>
  <c r="X488" i="3"/>
  <c r="AA488" i="3"/>
  <c r="Z488" i="3"/>
  <c r="AB488" i="3"/>
  <c r="Y488" i="3"/>
  <c r="Y412" i="3"/>
  <c r="Y414" i="3"/>
  <c r="Y416" i="3"/>
  <c r="Y418" i="3"/>
  <c r="Y420" i="3"/>
  <c r="Y422" i="3"/>
  <c r="Y424" i="3"/>
  <c r="AA426" i="3"/>
  <c r="Z427" i="3"/>
  <c r="AA430" i="3"/>
  <c r="Z431" i="3"/>
  <c r="AA434" i="3"/>
  <c r="AA435" i="3"/>
  <c r="AB437" i="3"/>
  <c r="AB440" i="3"/>
  <c r="AA440" i="3"/>
  <c r="Z440" i="3"/>
  <c r="X447" i="3"/>
  <c r="AA447" i="3"/>
  <c r="AB453" i="3"/>
  <c r="Y455" i="3"/>
  <c r="AA427" i="3"/>
  <c r="X428" i="3"/>
  <c r="AA431" i="3"/>
  <c r="X432" i="3"/>
  <c r="AB435" i="3"/>
  <c r="AB438" i="3"/>
  <c r="AA438" i="3"/>
  <c r="Z438" i="3"/>
  <c r="AB455" i="3"/>
  <c r="Y457" i="3"/>
  <c r="AB464" i="3"/>
  <c r="AA466" i="3"/>
  <c r="X476" i="3"/>
  <c r="AA476" i="3"/>
  <c r="AB494" i="3"/>
  <c r="AA494" i="3"/>
  <c r="Z494" i="3"/>
  <c r="X494" i="3"/>
  <c r="AB502" i="3"/>
  <c r="AA502" i="3"/>
  <c r="Z502" i="3"/>
  <c r="X502" i="3"/>
  <c r="AB465" i="3"/>
  <c r="AA465" i="3"/>
  <c r="Z465" i="3"/>
  <c r="AB466" i="3"/>
  <c r="X480" i="3"/>
  <c r="AA480" i="3"/>
  <c r="Z480" i="3"/>
  <c r="X484" i="3"/>
  <c r="AA484" i="3"/>
  <c r="Z484" i="3"/>
  <c r="AB510" i="3"/>
  <c r="AA510" i="3"/>
  <c r="Z510" i="3"/>
  <c r="X510" i="3"/>
  <c r="E7" i="5"/>
  <c r="F7" i="5" s="1"/>
  <c r="Y446" i="3"/>
  <c r="Y448" i="3"/>
  <c r="Y450" i="3"/>
  <c r="Y452" i="3"/>
  <c r="Y454" i="3"/>
  <c r="Y456" i="3"/>
  <c r="Y458" i="3"/>
  <c r="AB469" i="3"/>
  <c r="AA469" i="3"/>
  <c r="Z469" i="3"/>
  <c r="AB470" i="3"/>
  <c r="X474" i="3"/>
  <c r="AA474" i="3"/>
  <c r="Z446" i="3"/>
  <c r="Z448" i="3"/>
  <c r="Z450" i="3"/>
  <c r="Z452" i="3"/>
  <c r="Z454" i="3"/>
  <c r="Z456" i="3"/>
  <c r="Z458" i="3"/>
  <c r="AA461" i="3"/>
  <c r="Z461" i="3"/>
  <c r="AB461" i="3"/>
  <c r="Z462" i="3"/>
  <c r="AB471" i="3"/>
  <c r="AA471" i="3"/>
  <c r="Z471" i="3"/>
  <c r="X472" i="3"/>
  <c r="AA472" i="3"/>
  <c r="AB473" i="3"/>
  <c r="AA473" i="3"/>
  <c r="Z473" i="3"/>
  <c r="Y476" i="3"/>
  <c r="X486" i="3"/>
  <c r="AA486" i="3"/>
  <c r="Z486" i="3"/>
  <c r="Y494" i="3"/>
  <c r="Y502" i="3"/>
  <c r="AA446" i="3"/>
  <c r="AA448" i="3"/>
  <c r="AA450" i="3"/>
  <c r="AA452" i="3"/>
  <c r="AA454" i="3"/>
  <c r="AA456" i="3"/>
  <c r="AA458" i="3"/>
  <c r="AA462" i="3"/>
  <c r="Y464" i="3"/>
  <c r="Z476" i="3"/>
  <c r="X478" i="3"/>
  <c r="AA478" i="3"/>
  <c r="Z478" i="3"/>
  <c r="Y480" i="3"/>
  <c r="X482" i="3"/>
  <c r="AA482" i="3"/>
  <c r="Z482" i="3"/>
  <c r="Y484" i="3"/>
  <c r="Y510" i="3"/>
  <c r="Z464" i="3"/>
  <c r="Y466" i="3"/>
  <c r="AB476" i="3"/>
  <c r="AB480" i="3"/>
  <c r="AB484" i="3"/>
  <c r="Y496" i="3"/>
  <c r="Y504" i="3"/>
  <c r="Z512" i="3"/>
  <c r="Z496" i="3"/>
  <c r="Z504" i="3"/>
  <c r="AA512" i="3"/>
  <c r="D49" i="4"/>
  <c r="E49" i="4" s="1"/>
  <c r="E6" i="5"/>
  <c r="F6" i="5" s="1"/>
  <c r="Y475" i="3"/>
  <c r="Y477" i="3"/>
  <c r="Y479" i="3"/>
  <c r="Y481" i="3"/>
  <c r="Y483" i="3"/>
  <c r="Y485" i="3"/>
  <c r="Y487" i="3"/>
  <c r="Z489" i="3"/>
  <c r="D7" i="5"/>
  <c r="Z475" i="3"/>
  <c r="Z477" i="3"/>
  <c r="Z479" i="3"/>
  <c r="Z481" i="3"/>
  <c r="Z483" i="3"/>
  <c r="Z485" i="3"/>
  <c r="Z487" i="3"/>
  <c r="AA489" i="3"/>
  <c r="Y492" i="3"/>
  <c r="Y500" i="3"/>
  <c r="Y514" i="3"/>
  <c r="E10" i="5"/>
  <c r="F10" i="5" s="1"/>
  <c r="AA475" i="3"/>
  <c r="AA477" i="3"/>
  <c r="AA479" i="3"/>
  <c r="AA481" i="3"/>
  <c r="AA483" i="3"/>
  <c r="AA485" i="3"/>
  <c r="AA487" i="3"/>
  <c r="AB489" i="3"/>
  <c r="X490" i="3"/>
  <c r="X498" i="3"/>
  <c r="X506" i="3"/>
  <c r="D53" i="4"/>
  <c r="E53" i="4" s="1"/>
  <c r="D5" i="5"/>
  <c r="E5" i="5" s="1"/>
  <c r="F5" i="5" s="1"/>
  <c r="D9" i="5"/>
  <c r="E9" i="5" s="1"/>
  <c r="F9" i="5" s="1"/>
  <c r="E16" i="7" l="1"/>
  <c r="AB19" i="3"/>
  <c r="F16" i="7" s="1"/>
  <c r="G16" i="7" s="1"/>
  <c r="E36" i="7"/>
  <c r="AB39" i="3"/>
  <c r="F36" i="7" s="1"/>
  <c r="G36" i="7" s="1"/>
  <c r="E26" i="7"/>
  <c r="AB29" i="3"/>
  <c r="F26" i="7" s="1"/>
  <c r="G26" i="7" s="1"/>
  <c r="E50" i="7"/>
  <c r="AB53" i="3"/>
  <c r="F50" i="7" s="1"/>
  <c r="G50" i="7" s="1"/>
  <c r="E34" i="7"/>
  <c r="AB37" i="3"/>
  <c r="F34" i="7" s="1"/>
  <c r="G34" i="7" s="1"/>
  <c r="E48" i="7"/>
  <c r="AB51" i="3"/>
  <c r="F48" i="7" s="1"/>
  <c r="G48" i="7" s="1"/>
  <c r="C6" i="6"/>
  <c r="E18" i="7"/>
  <c r="AB21" i="3"/>
  <c r="F18" i="7" s="1"/>
  <c r="G18" i="7" s="1"/>
  <c r="E46" i="7"/>
  <c r="AB49" i="3"/>
  <c r="F46" i="7" s="1"/>
  <c r="G46" i="7" s="1"/>
  <c r="E22" i="7"/>
  <c r="AB25" i="3"/>
  <c r="F22" i="7" s="1"/>
  <c r="G22" i="7" s="1"/>
  <c r="E42" i="7"/>
  <c r="AB45" i="3"/>
  <c r="F42" i="7" s="1"/>
  <c r="G42" i="7" s="1"/>
  <c r="B9" i="6"/>
  <c r="E45" i="7"/>
  <c r="AB48" i="3"/>
  <c r="F45" i="7" s="1"/>
  <c r="G45" i="7" s="1"/>
  <c r="B5" i="6"/>
  <c r="D6" i="6" s="1"/>
  <c r="E19" i="7"/>
  <c r="AB22" i="3"/>
  <c r="F19" i="7" s="1"/>
  <c r="G19" i="7" s="1"/>
  <c r="E21" i="7"/>
  <c r="AB24" i="3"/>
  <c r="F21" i="7" s="1"/>
  <c r="G21" i="7" s="1"/>
  <c r="AA61" i="3"/>
  <c r="Z17" i="3"/>
  <c r="AA55" i="3"/>
  <c r="E59" i="7"/>
  <c r="AB62" i="3"/>
  <c r="F59" i="7" s="1"/>
  <c r="G59" i="7" s="1"/>
  <c r="E40" i="7"/>
  <c r="AB43" i="3"/>
  <c r="F40" i="7" s="1"/>
  <c r="G40" i="7" s="1"/>
  <c r="C14" i="7"/>
  <c r="AA17" i="3"/>
  <c r="B7" i="7"/>
  <c r="B32" i="4"/>
  <c r="D32" i="4" s="1"/>
  <c r="F8" i="3"/>
  <c r="E8" i="3"/>
  <c r="B8" i="6"/>
  <c r="E43" i="7"/>
  <c r="AB46" i="3"/>
  <c r="F43" i="7" s="1"/>
  <c r="G43" i="7" s="1"/>
  <c r="E44" i="7"/>
  <c r="AB47" i="3"/>
  <c r="F44" i="7" s="1"/>
  <c r="G44" i="7" s="1"/>
  <c r="E23" i="7"/>
  <c r="AB26" i="3"/>
  <c r="F23" i="7" s="1"/>
  <c r="G23" i="7" s="1"/>
  <c r="AA64" i="3"/>
  <c r="E25" i="7"/>
  <c r="AB28" i="3"/>
  <c r="F25" i="7" s="1"/>
  <c r="G25" i="7" s="1"/>
  <c r="B7" i="6"/>
  <c r="E38" i="7"/>
  <c r="AB41" i="3"/>
  <c r="F38" i="7" s="1"/>
  <c r="G38" i="7" s="1"/>
  <c r="B34" i="4"/>
  <c r="D34" i="4" s="1"/>
  <c r="F10" i="3"/>
  <c r="E10" i="3"/>
  <c r="Z61" i="3"/>
  <c r="B6" i="7"/>
  <c r="B30" i="4"/>
  <c r="D30" i="4" s="1"/>
  <c r="F6" i="3"/>
  <c r="E6" i="3"/>
  <c r="G5" i="4" s="1"/>
  <c r="B12" i="3"/>
  <c r="E41" i="7"/>
  <c r="AB44" i="3"/>
  <c r="F41" i="7" s="1"/>
  <c r="G41" i="7" s="1"/>
  <c r="B10" i="6"/>
  <c r="E27" i="7"/>
  <c r="AB30" i="3"/>
  <c r="F27" i="7" s="1"/>
  <c r="G27" i="7" s="1"/>
  <c r="AA56" i="3"/>
  <c r="E55" i="7"/>
  <c r="AB58" i="3"/>
  <c r="F55" i="7" s="1"/>
  <c r="G55" i="7" s="1"/>
  <c r="E39" i="7"/>
  <c r="AB42" i="3"/>
  <c r="F39" i="7" s="1"/>
  <c r="G39" i="7" s="1"/>
  <c r="AA59" i="3"/>
  <c r="E15" i="7"/>
  <c r="AB18" i="3"/>
  <c r="F15" i="7" s="1"/>
  <c r="G15" i="7" s="1"/>
  <c r="E47" i="7"/>
  <c r="AB50" i="3"/>
  <c r="F47" i="7" s="1"/>
  <c r="G47" i="7" s="1"/>
  <c r="B33" i="4"/>
  <c r="D33" i="4" s="1"/>
  <c r="F9" i="3"/>
  <c r="E9" i="3"/>
  <c r="B11" i="3" s="1"/>
  <c r="A5" i="4" s="1"/>
  <c r="Z57" i="3"/>
  <c r="E37" i="7"/>
  <c r="AB40" i="3"/>
  <c r="F37" i="7" s="1"/>
  <c r="G37" i="7" s="1"/>
  <c r="AA60" i="3"/>
  <c r="E31" i="7"/>
  <c r="AB34" i="3"/>
  <c r="F31" i="7" s="1"/>
  <c r="G31" i="7" s="1"/>
  <c r="E20" i="7"/>
  <c r="AB23" i="3"/>
  <c r="F20" i="7" s="1"/>
  <c r="G20" i="7" s="1"/>
  <c r="AA54" i="3"/>
  <c r="E32" i="7"/>
  <c r="AB35" i="3"/>
  <c r="F32" i="7" s="1"/>
  <c r="G32" i="7" s="1"/>
  <c r="E35" i="7"/>
  <c r="AB38" i="3"/>
  <c r="F35" i="7" s="1"/>
  <c r="G35" i="7" s="1"/>
  <c r="AA63" i="3"/>
  <c r="E29" i="7"/>
  <c r="AB32" i="3"/>
  <c r="F29" i="7" s="1"/>
  <c r="G29" i="7" s="1"/>
  <c r="E17" i="7"/>
  <c r="AB20" i="3"/>
  <c r="F17" i="7" s="1"/>
  <c r="G17" i="7" s="1"/>
  <c r="E63" i="7"/>
  <c r="AB66" i="3"/>
  <c r="F63" i="7" s="1"/>
  <c r="G63" i="7" s="1"/>
  <c r="E28" i="7"/>
  <c r="AB31" i="3"/>
  <c r="F28" i="7" s="1"/>
  <c r="G28" i="7" s="1"/>
  <c r="E30" i="7"/>
  <c r="AB33" i="3"/>
  <c r="F30" i="7" s="1"/>
  <c r="G30" i="7" s="1"/>
  <c r="J5" i="4"/>
  <c r="E49" i="7"/>
  <c r="AB52" i="3"/>
  <c r="F49" i="7" s="1"/>
  <c r="G49" i="7" s="1"/>
  <c r="E33" i="7"/>
  <c r="AB36" i="3"/>
  <c r="F33" i="7" s="1"/>
  <c r="G33" i="7" s="1"/>
  <c r="AA57" i="3"/>
  <c r="E24" i="7"/>
  <c r="AB27" i="3"/>
  <c r="F24" i="7" s="1"/>
  <c r="G24" i="7" s="1"/>
  <c r="AA65" i="3"/>
  <c r="E62" i="7" l="1"/>
  <c r="AB65" i="3"/>
  <c r="F62" i="7" s="1"/>
  <c r="G62" i="7" s="1"/>
  <c r="E56" i="7"/>
  <c r="AB59" i="3"/>
  <c r="F56" i="7" s="1"/>
  <c r="G56" i="7" s="1"/>
  <c r="E53" i="7"/>
  <c r="AB56" i="3"/>
  <c r="F53" i="7" s="1"/>
  <c r="G53" i="7" s="1"/>
  <c r="E14" i="7"/>
  <c r="AB17" i="3"/>
  <c r="F14" i="7" s="1"/>
  <c r="E58" i="7"/>
  <c r="AB61" i="3"/>
  <c r="F58" i="7" s="1"/>
  <c r="G58" i="7" s="1"/>
  <c r="C9" i="6"/>
  <c r="D9" i="6"/>
  <c r="D7" i="6"/>
  <c r="C7" i="6"/>
  <c r="D8" i="6"/>
  <c r="C8" i="6"/>
  <c r="C10" i="6"/>
  <c r="D10" i="6"/>
  <c r="M5" i="4"/>
  <c r="E61" i="7"/>
  <c r="AB64" i="3"/>
  <c r="F61" i="7" s="1"/>
  <c r="G61" i="7" s="1"/>
  <c r="E51" i="7"/>
  <c r="AB54" i="3"/>
  <c r="F51" i="7" s="1"/>
  <c r="G51" i="7" s="1"/>
  <c r="E57" i="7"/>
  <c r="AB60" i="3"/>
  <c r="F57" i="7" s="1"/>
  <c r="G57" i="7" s="1"/>
  <c r="D5" i="6"/>
  <c r="C5" i="6"/>
  <c r="E54" i="7"/>
  <c r="AB57" i="3"/>
  <c r="F54" i="7" s="1"/>
  <c r="G54" i="7" s="1"/>
  <c r="E60" i="7"/>
  <c r="AB63" i="3"/>
  <c r="F60" i="7" s="1"/>
  <c r="G60" i="7" s="1"/>
  <c r="D5" i="4"/>
  <c r="B5" i="7"/>
  <c r="B8" i="7" s="1"/>
  <c r="B9" i="7" s="1"/>
  <c r="B13" i="3"/>
  <c r="E52" i="7"/>
  <c r="AB55" i="3"/>
  <c r="F52" i="7" s="1"/>
  <c r="G52" i="7" s="1"/>
  <c r="B69" i="7" l="1"/>
  <c r="B68" i="7"/>
  <c r="B67" i="7"/>
  <c r="B66" i="7"/>
  <c r="G14" i="7"/>
</calcChain>
</file>

<file path=xl/sharedStrings.xml><?xml version="1.0" encoding="utf-8"?>
<sst xmlns="http://schemas.openxmlformats.org/spreadsheetml/2006/main" count="606" uniqueCount="339">
  <si>
    <t>Employee Experience Survey -- Item Bank</t>
  </si>
  <si>
    <t>Each item rated twice: Promise Score (1-10) = 'To what extent was this promised/expected?' | Experience Score (1-10) = 'To what extent do you experience this today?'</t>
  </si>
  <si>
    <t>Dimension</t>
  </si>
  <si>
    <t>Item #</t>
  </si>
  <si>
    <t>Measure</t>
  </si>
  <si>
    <t>Promise Question</t>
  </si>
  <si>
    <t>Experience Question</t>
  </si>
  <si>
    <t>Weight</t>
  </si>
  <si>
    <t>Job Fit</t>
  </si>
  <si>
    <t>Role Clarity</t>
  </si>
  <si>
    <t>To what extent was 'Role Clarity' promised, communicated, or expected by the organization?</t>
  </si>
  <si>
    <t>To what extent do you actually experience 'Role Clarity' in your work today?</t>
  </si>
  <si>
    <t>Skill Utilization</t>
  </si>
  <si>
    <t>To what extent was 'Skill Utilization' promised, communicated, or expected by the organization?</t>
  </si>
  <si>
    <t>To what extent do you actually experience 'Skill Utilization' in your work today?</t>
  </si>
  <si>
    <t>Career Growth Alignment</t>
  </si>
  <si>
    <t>To what extent was 'Career Growth Alignment' promised, communicated, or expected by the organization?</t>
  </si>
  <si>
    <t>To what extent do you actually experience 'Career Growth Alignment' in your work today?</t>
  </si>
  <si>
    <t>Workload Appropriateness</t>
  </si>
  <si>
    <t>To what extent was 'Workload Appropriateness' promised, communicated, or expected by the organization?</t>
  </si>
  <si>
    <t>To what extent do you actually experience 'Workload Appropriateness' in your work today?</t>
  </si>
  <si>
    <t>Meaningfulness of Work</t>
  </si>
  <si>
    <t>To what extent was 'Meaningfulness of Work' promised, communicated, or expected by the organization?</t>
  </si>
  <si>
    <t>To what extent do you actually experience 'Meaningfulness of Work' in your work today?</t>
  </si>
  <si>
    <t>Manager Effectiveness</t>
  </si>
  <si>
    <t>Coaching Quality</t>
  </si>
  <si>
    <t>To what extent was 'Coaching Quality' promised, communicated, or expected by the organization?</t>
  </si>
  <si>
    <t>To what extent do you actually experience 'Coaching Quality' in your work today?</t>
  </si>
  <si>
    <t>Feedback Quality</t>
  </si>
  <si>
    <t>To what extent was 'Feedback Quality' promised, communicated, or expected by the organization?</t>
  </si>
  <si>
    <t>To what extent do you actually experience 'Feedback Quality' in your work today?</t>
  </si>
  <si>
    <t>Fairness</t>
  </si>
  <si>
    <t>To what extent was 'Fairness' promised, communicated, or expected by the organization?</t>
  </si>
  <si>
    <t>To what extent do you actually experience 'Fairness' in your work today?</t>
  </si>
  <si>
    <t>Communication</t>
  </si>
  <si>
    <t>To what extent was 'Communication' promised, communicated, or expected by the organization?</t>
  </si>
  <si>
    <t>To what extent do you actually experience 'Communication' in your work today?</t>
  </si>
  <si>
    <t>Trust</t>
  </si>
  <si>
    <t>To what extent was 'Trust' promised, communicated, or expected by the organization?</t>
  </si>
  <si>
    <t>To what extent do you actually experience 'Trust' in your work today?</t>
  </si>
  <si>
    <t>Team Collaboration</t>
  </si>
  <si>
    <t>Cooperation</t>
  </si>
  <si>
    <t>To what extent was 'Cooperation' promised, communicated, or expected by the organization?</t>
  </si>
  <si>
    <t>To what extent do you actually experience 'Cooperation' in your work today?</t>
  </si>
  <si>
    <t>Psychological Safety</t>
  </si>
  <si>
    <t>To what extent was 'Psychological Safety' promised, communicated, or expected by the organization?</t>
  </si>
  <si>
    <t>To what extent do you actually experience 'Psychological Safety' in your work today?</t>
  </si>
  <si>
    <t>Knowledge Sharing</t>
  </si>
  <si>
    <t>To what extent was 'Knowledge Sharing' promised, communicated, or expected by the organization?</t>
  </si>
  <si>
    <t>To what extent do you actually experience 'Knowledge Sharing' in your work today?</t>
  </si>
  <si>
    <t>Conflict Resolution</t>
  </si>
  <si>
    <t>To what extent was 'Conflict Resolution' promised, communicated, or expected by the organization?</t>
  </si>
  <si>
    <t>To what extent do you actually experience 'Conflict Resolution' in your work today?</t>
  </si>
  <si>
    <t>Supportiveness</t>
  </si>
  <si>
    <t>To what extent was 'Supportiveness' promised, communicated, or expected by the organization?</t>
  </si>
  <si>
    <t>To what extent do you actually experience 'Supportiveness' in your work today?</t>
  </si>
  <si>
    <t>Workplace Culture</t>
  </si>
  <si>
    <t>Inclusion</t>
  </si>
  <si>
    <t>To what extent was 'Inclusion' promised, communicated, or expected by the organization?</t>
  </si>
  <si>
    <t>To what extent do you actually experience 'Inclusion' in your work today?</t>
  </si>
  <si>
    <t>Respect</t>
  </si>
  <si>
    <t>To what extent was 'Respect' promised, communicated, or expected by the organization?</t>
  </si>
  <si>
    <t>To what extent do you actually experience 'Respect' in your work today?</t>
  </si>
  <si>
    <t>Transparency</t>
  </si>
  <si>
    <t>To what extent was 'Transparency' promised, communicated, or expected by the organization?</t>
  </si>
  <si>
    <t>To what extent do you actually experience 'Transparency' in your work today?</t>
  </si>
  <si>
    <t>Recognition</t>
  </si>
  <si>
    <t>To what extent was 'Recognition' promised, communicated, or expected by the organization?</t>
  </si>
  <si>
    <t>To what extent do you actually experience 'Recognition' in your work today?</t>
  </si>
  <si>
    <t>Values Alignment</t>
  </si>
  <si>
    <t>To what extent was 'Values Alignment' promised, communicated, or expected by the organization?</t>
  </si>
  <si>
    <t>To what extent do you actually experience 'Values Alignment' in your work today?</t>
  </si>
  <si>
    <t>Innovation &amp; Empowerment</t>
  </si>
  <si>
    <t>Autonomy</t>
  </si>
  <si>
    <t>To what extent was 'Autonomy' promised, communicated, or expected by the organization?</t>
  </si>
  <si>
    <t>To what extent do you actually experience 'Autonomy' in your work today?</t>
  </si>
  <si>
    <t>Decision Authority</t>
  </si>
  <si>
    <t>To what extent was 'Decision Authority' promised, communicated, or expected by the organization?</t>
  </si>
  <si>
    <t>To what extent do you actually experience 'Decision Authority' in your work today?</t>
  </si>
  <si>
    <t>Idea Acceptance</t>
  </si>
  <si>
    <t>To what extent was 'Idea Acceptance' promised, communicated, or expected by the organization?</t>
  </si>
  <si>
    <t>To what extent do you actually experience 'Idea Acceptance' in your work today?</t>
  </si>
  <si>
    <t>Learning Opportunities</t>
  </si>
  <si>
    <t>To what extent was 'Learning Opportunities' promised, communicated, or expected by the organization?</t>
  </si>
  <si>
    <t>To what extent do you actually experience 'Learning Opportunities' in your work today?</t>
  </si>
  <si>
    <t>Experimentation Support</t>
  </si>
  <si>
    <t>To what extent was 'Experimentation Support' promised, communicated, or expected by the organization?</t>
  </si>
  <si>
    <t>To what extent do you actually experience 'Experimentation Support' in your work today?</t>
  </si>
  <si>
    <t>Rewards &amp; Growth</t>
  </si>
  <si>
    <t>Compensation Fairness</t>
  </si>
  <si>
    <t>To what extent was 'Compensation Fairness' promised, communicated, or expected by the organization?</t>
  </si>
  <si>
    <t>To what extent do you actually experience 'Compensation Fairness' in your work today?</t>
  </si>
  <si>
    <t>Promotion Opportunities</t>
  </si>
  <si>
    <t>To what extent was 'Promotion Opportunities' promised, communicated, or expected by the organization?</t>
  </si>
  <si>
    <t>To what extent do you actually experience 'Promotion Opportunities' in your work today?</t>
  </si>
  <si>
    <t>Training</t>
  </si>
  <si>
    <t>To what extent was 'Training' promised, communicated, or expected by the organization?</t>
  </si>
  <si>
    <t>To what extent do you actually experience 'Training' in your work today?</t>
  </si>
  <si>
    <t>Career Progression</t>
  </si>
  <si>
    <t>To what extent was 'Career Progression' promised, communicated, or expected by the organization?</t>
  </si>
  <si>
    <t>To what extent do you actually experience 'Career Progression' in your work today?</t>
  </si>
  <si>
    <t>Scale: 1 = 'Not at all' | 10 = 'Completely/To a great extent'</t>
  </si>
  <si>
    <t>Dimensions: 6 dimensions x 5 items = 30 items total | Weights: Job Fit(20%), Manager(20%), Team(15%), Culture(15%), Innovation(15%), Rewards(15%)</t>
  </si>
  <si>
    <t>Raw Survey Data -- Respondent Scores</t>
  </si>
  <si>
    <t>RespID</t>
  </si>
  <si>
    <t>Department</t>
  </si>
  <si>
    <t>Location</t>
  </si>
  <si>
    <t>Business Unit</t>
  </si>
  <si>
    <t>Manager</t>
  </si>
  <si>
    <t>P01</t>
  </si>
  <si>
    <t>E01</t>
  </si>
  <si>
    <t>P02</t>
  </si>
  <si>
    <t>E02</t>
  </si>
  <si>
    <t>P03</t>
  </si>
  <si>
    <t>E03</t>
  </si>
  <si>
    <t>P04</t>
  </si>
  <si>
    <t>E04</t>
  </si>
  <si>
    <t>P05</t>
  </si>
  <si>
    <t>E05</t>
  </si>
  <si>
    <t>P06</t>
  </si>
  <si>
    <t>E06</t>
  </si>
  <si>
    <t>P07</t>
  </si>
  <si>
    <t>E07</t>
  </si>
  <si>
    <t>P08</t>
  </si>
  <si>
    <t>E08</t>
  </si>
  <si>
    <t>P09</t>
  </si>
  <si>
    <t>E09</t>
  </si>
  <si>
    <t>P10</t>
  </si>
  <si>
    <t>E10</t>
  </si>
  <si>
    <t>P11</t>
  </si>
  <si>
    <t>E11</t>
  </si>
  <si>
    <t>P12</t>
  </si>
  <si>
    <t>E12</t>
  </si>
  <si>
    <t>P13</t>
  </si>
  <si>
    <t>E13</t>
  </si>
  <si>
    <t>P14</t>
  </si>
  <si>
    <t>E14</t>
  </si>
  <si>
    <t>P15</t>
  </si>
  <si>
    <t>E15</t>
  </si>
  <si>
    <t>P16</t>
  </si>
  <si>
    <t>E16</t>
  </si>
  <si>
    <t>P17</t>
  </si>
  <si>
    <t>E17</t>
  </si>
  <si>
    <t>P18</t>
  </si>
  <si>
    <t>E18</t>
  </si>
  <si>
    <t>P19</t>
  </si>
  <si>
    <t>E19</t>
  </si>
  <si>
    <t>P20</t>
  </si>
  <si>
    <t>E20</t>
  </si>
  <si>
    <t>P21</t>
  </si>
  <si>
    <t>E21</t>
  </si>
  <si>
    <t>P22</t>
  </si>
  <si>
    <t>E22</t>
  </si>
  <si>
    <t>P23</t>
  </si>
  <si>
    <t>E23</t>
  </si>
  <si>
    <t>P24</t>
  </si>
  <si>
    <t>E24</t>
  </si>
  <si>
    <t>P25</t>
  </si>
  <si>
    <t>E25</t>
  </si>
  <si>
    <t>P26</t>
  </si>
  <si>
    <t>E26</t>
  </si>
  <si>
    <t>P27</t>
  </si>
  <si>
    <t>E27</t>
  </si>
  <si>
    <t>P28</t>
  </si>
  <si>
    <t>E28</t>
  </si>
  <si>
    <t>P29</t>
  </si>
  <si>
    <t>E29</t>
  </si>
  <si>
    <t>P30</t>
  </si>
  <si>
    <t>E30</t>
  </si>
  <si>
    <t>R001</t>
  </si>
  <si>
    <t>Operations</t>
  </si>
  <si>
    <t>New York</t>
  </si>
  <si>
    <t>Core Product</t>
  </si>
  <si>
    <t>R. Kim</t>
  </si>
  <si>
    <t>R002</t>
  </si>
  <si>
    <t>Sydney</t>
  </si>
  <si>
    <t>J. Brown</t>
  </si>
  <si>
    <t>R003</t>
  </si>
  <si>
    <t>Engineering</t>
  </si>
  <si>
    <t>London</t>
  </si>
  <si>
    <t>Growth</t>
  </si>
  <si>
    <t>L. Williams</t>
  </si>
  <si>
    <t>R004</t>
  </si>
  <si>
    <t>Marketing</t>
  </si>
  <si>
    <t>Tokyo</t>
  </si>
  <si>
    <t>Corporate</t>
  </si>
  <si>
    <t>R005</t>
  </si>
  <si>
    <t>Enterprise</t>
  </si>
  <si>
    <t>R006</t>
  </si>
  <si>
    <t>R007</t>
  </si>
  <si>
    <t>K. Taylor</t>
  </si>
  <si>
    <t>R008</t>
  </si>
  <si>
    <t>Finance</t>
  </si>
  <si>
    <t>R009</t>
  </si>
  <si>
    <t>Berlin</t>
  </si>
  <si>
    <t>R010</t>
  </si>
  <si>
    <t>R011</t>
  </si>
  <si>
    <t>A. Patel</t>
  </si>
  <si>
    <t>R012</t>
  </si>
  <si>
    <t>R013</t>
  </si>
  <si>
    <t>T. Garcia</t>
  </si>
  <si>
    <t>R014</t>
  </si>
  <si>
    <t>Human Resources</t>
  </si>
  <si>
    <t>M. Chen</t>
  </si>
  <si>
    <t>R015</t>
  </si>
  <si>
    <t>R016</t>
  </si>
  <si>
    <t>Sales</t>
  </si>
  <si>
    <t>R017</t>
  </si>
  <si>
    <t>R018</t>
  </si>
  <si>
    <t>S. Johnson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</si>
  <si>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</si>
  <si>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</si>
  <si>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</si>
  <si>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</si>
  <si>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</si>
  <si>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</si>
  <si>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</si>
  <si>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</si>
  <si>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</si>
  <si>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</si>
  <si>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</si>
  <si>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</si>
  <si>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</si>
  <si>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</si>
  <si>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</si>
  <si>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</si>
  <si>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</si>
  <si>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</si>
  <si>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</si>
  <si>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</si>
  <si>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</si>
  <si>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</si>
  <si>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</si>
  <si>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</si>
  <si>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</si>
  <si>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</si>
  <si>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</si>
  <si>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</si>
  <si>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</si>
  <si>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</si>
  <si>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</si>
  <si>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</si>
  <si>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Scoring Engine -- Dimension &amp; Overall Calculations</t>
  </si>
  <si>
    <t>All calculations use native Excel formulas. Extend row references as you add respondents.</t>
  </si>
  <si>
    <t>Avg Promise</t>
  </si>
  <si>
    <t>Avg Experience</t>
  </si>
  <si>
    <t>Gap</t>
  </si>
  <si>
    <t>Health Score (0-100)</t>
  </si>
  <si>
    <t>Classification</t>
  </si>
  <si>
    <t>Overall Experience Index</t>
  </si>
  <si>
    <t>Retention Risk Score</t>
  </si>
  <si>
    <t>Retention Risk Classification</t>
  </si>
  <si>
    <t>Per-Respondent Dimension Scores &amp; Overall Index</t>
  </si>
  <si>
    <t>JF_P_Avg</t>
  </si>
  <si>
    <t>JF_E_Avg</t>
  </si>
  <si>
    <t>JF_Gap</t>
  </si>
  <si>
    <t>ME_P_Avg</t>
  </si>
  <si>
    <t>ME_E_Avg</t>
  </si>
  <si>
    <t>ME_Gap</t>
  </si>
  <si>
    <t>TC_P_Avg</t>
  </si>
  <si>
    <t>TC_E_Avg</t>
  </si>
  <si>
    <t>TC_Gap</t>
  </si>
  <si>
    <t>WC_P_Avg</t>
  </si>
  <si>
    <t>WC_E_Avg</t>
  </si>
  <si>
    <t>WC_Gap</t>
  </si>
  <si>
    <t>IE_P_Avg</t>
  </si>
  <si>
    <t>IE_E_Avg</t>
  </si>
  <si>
    <t>IE_Gap</t>
  </si>
  <si>
    <t>RG_P_Avg</t>
  </si>
  <si>
    <t>RG_E_Avg</t>
  </si>
  <si>
    <t>RG_Gap</t>
  </si>
  <si>
    <t>Overall_P</t>
  </si>
  <si>
    <t>Overall_E</t>
  </si>
  <si>
    <t>Overall_Gap</t>
  </si>
  <si>
    <t>Retention_Risk</t>
  </si>
  <si>
    <t>Turnover_Prob%</t>
  </si>
  <si>
    <t>Employee Experience Gap Analysis &amp; Retention Risk Assessment</t>
  </si>
  <si>
    <t>Executive Dashboard  —  Key Metrics  •  Visual Analysis  •  Department View</t>
  </si>
  <si>
    <t>Overall
Experience Index</t>
  </si>
  <si>
    <t>Retention
Risk Score</t>
  </si>
  <si>
    <t>Engagement
Score</t>
  </si>
  <si>
    <t>Largest
Gap</t>
  </si>
  <si>
    <t>Strongest
Dimension</t>
  </si>
  <si>
    <t>Total
Respondents</t>
  </si>
  <si>
    <t>Weighted avg of 6 dimensions</t>
  </si>
  <si>
    <t>Higher = greater flight risk</t>
  </si>
  <si>
    <t>Avg health across dimensions</t>
  </si>
  <si>
    <t>Dimension needing attention</t>
  </si>
  <si>
    <t>Top-performing dimension</t>
  </si>
  <si>
    <t>Sample of 50</t>
  </si>
  <si>
    <t>1  Experience Profile  —  Promise vs Actual</t>
  </si>
  <si>
    <t>Promise Avg</t>
  </si>
  <si>
    <t>Experience Avg</t>
  </si>
  <si>
    <t>2  Gap Analysis Heat Map  —  All 30 Items by Dimension</t>
  </si>
  <si>
    <t>Item 1</t>
  </si>
  <si>
    <t>Item 2</t>
  </si>
  <si>
    <t>Item 3</t>
  </si>
  <si>
    <t>Item 4</t>
  </si>
  <si>
    <t>Item 5</t>
  </si>
  <si>
    <t>&lt; 1.0 Healthy   |   1.0 - 2.0 Watch   |   2.0 - 3.0 Concern   |   &gt; 3.0 High Risk</t>
  </si>
  <si>
    <t>3  Risk Matrix  —  Gap vs Importance by Dimension</t>
  </si>
  <si>
    <t>Gap Size</t>
  </si>
  <si>
    <t>Risk Score</t>
  </si>
  <si>
    <t>4  Department Comparison  —  Filterable Dimension Scores</t>
  </si>
  <si>
    <t>Filter: Department</t>
  </si>
  <si>
    <t>All</t>
  </si>
  <si>
    <t>Health Score</t>
  </si>
  <si>
    <t>Cronbach's Alpha -- Internal Consistency Reliability</t>
  </si>
  <si>
    <t>Target: alpha &gt;= 0.70. All calculations use VAR (sample variance) and native Excel formulas.</t>
  </si>
  <si>
    <t># Items (k)</t>
  </si>
  <si>
    <t>Sum Item Variances</t>
  </si>
  <si>
    <t>Total Score Variance</t>
  </si>
  <si>
    <t>Cronbach's alpha</t>
  </si>
  <si>
    <t>Interpretation</t>
  </si>
  <si>
    <t>Cronbach's Alpha measures internal consistency: how closely related the items are as a group. alpha &gt;= 0.70 is the research standard for acceptable reliability.</t>
  </si>
  <si>
    <t>Driver Analysis -- Correlation with Overall Experience Index</t>
  </si>
  <si>
    <t>CORREL() function measures the strength of each dimension's relationship with the Overall Index.</t>
  </si>
  <si>
    <t>Correlation with Overall Index</t>
  </si>
  <si>
    <t>Strength</t>
  </si>
  <si>
    <t>Rank (1=Strongest)</t>
  </si>
  <si>
    <t>Driver Analysis interprets CORREL() results: values near +1 = strong positive relationship; near 0 = no relationship. The higher the correlation, the more that dimension drives the overall experience score.</t>
  </si>
  <si>
    <t>Action: Focus improvement efforts on dimensions with the strongest correlation AND the largest gap -- these are 'high-impact' drivers.</t>
  </si>
  <si>
    <t>Turnover Prediction Model -- Retention Risk Assessment</t>
  </si>
  <si>
    <t>Model: Turnover Probability = (Retention Risk x 0.5) + (Manager Gap x 0.3) + (Culture Gap x 0.2)</t>
  </si>
  <si>
    <t>Aggregate Turnover Prediction</t>
  </si>
  <si>
    <t>Manager Gap (weight 30%)</t>
  </si>
  <si>
    <t>Culture Gap (weight 20%)</t>
  </si>
  <si>
    <t>Turnover Probability</t>
  </si>
  <si>
    <t>Risk Classification</t>
  </si>
  <si>
    <t>Per-Respondent Turnover Risk</t>
  </si>
  <si>
    <t>Manager Gap</t>
  </si>
  <si>
    <t>Culture Gap</t>
  </si>
  <si>
    <t>Retention Risk</t>
  </si>
  <si>
    <t>Risk Level</t>
  </si>
  <si>
    <t>Summary Statistics</t>
  </si>
  <si>
    <t>Average Turnover Probability</t>
  </si>
  <si>
    <t>High Risk Employees (&gt;=60%)</t>
  </si>
  <si>
    <t>Moderate Risk (40-60%)</t>
  </si>
  <si>
    <t>Low Risk (&lt;40%)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</si>
</sst>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4" x14ac:knownFonts="1">
    <font>
      <sz val="11"/>
      <color theme="1"/>
      <name val="Calibri"/>
      <family val="2"/>
      <scheme val="minor"/>
    </font>
    <font>
      <b/>
      <sz val="14"/>
      <color rgb="FF1F4E79"/>
      <name val="Calibri"/>
    </font>
    <font>
      <i/>
      <sz val="9"/>
      <color rgb="FF404040"/>
      <name val="Calibri"/>
    </font>
    <font>
      <b/>
      <sz val="10"/>
      <color rgb="FFFFFFFF"/>
      <name val="Calibri"/>
    </font>
    <font>
      <sz val="10"/>
      <color rgb="FF404040"/>
      <name val="Calibri"/>
    </font>
    <font>
      <sz val="9"/>
      <color rgb="FF404040"/>
      <name val="Calibri"/>
    </font>
    <font>
      <b/>
      <sz val="10"/>
      <color rgb="FF404040"/>
      <name val="Calibri"/>
    </font>
    <font>
      <b/>
      <sz val="14"/>
      <color rgb="FFC00000"/>
      <name val="Calibri"/>
    </font>
    <font>
      <b/>
      <sz val="11"/>
      <color rgb="FFC00000"/>
      <name val="Calibri"/>
    </font>
    <font>
      <b/>
      <sz val="12"/>
      <color rgb="FF2E75B6"/>
      <name val="Calibri"/>
    </font>
    <font>
      <b/>
      <sz val="16"/>
      <color rgb="FFFFFFFF"/>
      <name val="Calibri"/>
    </font>
    <font>
      <sz val="10"/>
      <color rgb="FFFFFFFF"/>
      <name val="Calibri"/>
    </font>
    <font>
      <b/>
      <sz val="9"/>
      <color rgb="FFFFFFFF"/>
      <name val="Calibri"/>
    </font>
    <font>
      <b/>
      <sz val="24"/>
      <color rgb="FF00B050"/>
      <name val="Calibri"/>
    </font>
    <font>
      <i/>
      <sz val="8"/>
      <color rgb="FF999999"/>
      <name val="Calibri"/>
    </font>
    <font>
      <b/>
      <sz val="24"/>
      <color rgb="FF2E75B6"/>
      <name val="Calibri"/>
    </font>
    <font>
      <b/>
      <sz val="24"/>
      <color rgb="FF00B0F0"/>
      <name val="Calibri"/>
    </font>
    <font>
      <b/>
      <sz val="24"/>
      <color rgb="FFED7D31"/>
      <name val="Calibri"/>
    </font>
    <font>
      <b/>
      <sz val="24"/>
      <color rgb="FF1F4E79"/>
      <name val="Calibri"/>
    </font>
    <font>
      <b/>
      <sz val="11"/>
      <color rgb="FF1F4E79"/>
      <name val="Calibri"/>
    </font>
    <font>
      <b/>
      <sz val="12"/>
      <color rgb="FFC00000"/>
      <name val="Calibri"/>
    </font>
    <font>
      <b/>
      <sz val="12"/>
      <color rgb="FF404040"/>
      <name val="Calibri"/>
    </font>
    <font>
      <b/>
      <sz val="12"/>
      <color rgb="FFED7D31"/>
      <name val="Calibri"/>
    </font>
    <font>
      <b/>
      <sz val="12"/>
      <color rgb="FF00B05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E8F0FE"/>
        <bgColor rgb="FFE8F0FE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rgb="FF00B0F0"/>
      </patternFill>
    </fill>
    <fill>
      <patternFill patternType="solid">
        <fgColor rgb="FFED7D31"/>
        <bgColor rgb="FFED7D31"/>
      </patternFill>
    </fill>
    <fill>
      <patternFill patternType="solid">
        <fgColor rgb="FFF4F4F4"/>
        <bgColor rgb="FFF4F4F4"/>
      </patternFill>
    </fill>
    <fill>
      <patternFill patternType="solid">
        <fgColor rgb="FFFFF8E1"/>
        <bgColor rgb="FFFFF8E1"/>
      </patternFill>
    </fill>
  </fills>
  <borders count="5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medium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9" fontId="4" fillId="0" borderId="2" xfId="0" applyNumberFormat="1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9" fontId="4" fillId="3" borderId="2" xfId="0" applyNumberFormat="1" applyFont="1" applyFill="1" applyBorder="1" applyAlignment="1">
      <alignment horizontal="left" vertical="center" wrapText="1"/>
    </xf>
    <xf numFmtId="0" fontId="5" fillId="0" borderId="0" xfId="0" applyFont="1"/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center" vertical="center" wrapText="1"/>
    </xf>
    <xf numFmtId="2" fontId="4" fillId="4" borderId="2" xfId="0" applyNumberFormat="1" applyFont="1" applyFill="1" applyBorder="1" applyAlignment="1">
      <alignment horizontal="center" vertical="center" wrapText="1"/>
    </xf>
    <xf numFmtId="164" fontId="4" fillId="4" borderId="2" xfId="0" applyNumberFormat="1" applyFont="1" applyFill="1" applyBorder="1" applyAlignment="1">
      <alignment horizontal="center" vertical="center" wrapText="1"/>
    </xf>
    <xf numFmtId="9" fontId="4" fillId="4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/>
    <xf numFmtId="164" fontId="1" fillId="5" borderId="2" xfId="0" applyNumberFormat="1" applyFont="1" applyFill="1" applyBorder="1" applyAlignment="1">
      <alignment horizontal="center" vertical="center" wrapText="1"/>
    </xf>
    <xf numFmtId="0" fontId="0" fillId="5" borderId="2" xfId="0" applyFill="1" applyBorder="1"/>
    <xf numFmtId="0" fontId="6" fillId="6" borderId="2" xfId="0" applyFont="1" applyFill="1" applyBorder="1"/>
    <xf numFmtId="164" fontId="7" fillId="6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/>
    <xf numFmtId="0" fontId="8" fillId="6" borderId="2" xfId="0" applyFont="1" applyFill="1" applyBorder="1" applyAlignment="1">
      <alignment horizontal="center" vertical="center" wrapText="1"/>
    </xf>
    <xf numFmtId="165" fontId="4" fillId="0" borderId="2" xfId="0" applyNumberFormat="1" applyFont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6" fillId="0" borderId="0" xfId="0" applyFont="1"/>
    <xf numFmtId="0" fontId="6" fillId="13" borderId="2" xfId="0" applyFont="1" applyFill="1" applyBorder="1" applyAlignment="1">
      <alignment horizontal="center" vertical="center" wrapText="1"/>
    </xf>
    <xf numFmtId="166" fontId="4" fillId="0" borderId="2" xfId="0" applyNumberFormat="1" applyFont="1" applyBorder="1" applyAlignment="1">
      <alignment horizontal="center" vertical="center" wrapText="1"/>
    </xf>
    <xf numFmtId="166" fontId="4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/>
    <xf numFmtId="164" fontId="20" fillId="4" borderId="2" xfId="0" applyNumberFormat="1" applyFont="1" applyFill="1" applyBorder="1" applyAlignment="1">
      <alignment horizontal="center" vertical="center" wrapText="1"/>
    </xf>
    <xf numFmtId="2" fontId="21" fillId="4" borderId="2" xfId="0" applyNumberFormat="1" applyFont="1" applyFill="1" applyBorder="1" applyAlignment="1">
      <alignment horizontal="center" vertical="center" wrapText="1"/>
    </xf>
    <xf numFmtId="165" fontId="20" fillId="6" borderId="2" xfId="0" applyNumberFormat="1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 wrapText="1"/>
    </xf>
    <xf numFmtId="165" fontId="20" fillId="4" borderId="2" xfId="0" applyNumberFormat="1" applyFont="1" applyFill="1" applyBorder="1" applyAlignment="1">
      <alignment horizontal="center" vertical="center" wrapText="1"/>
    </xf>
    <xf numFmtId="1" fontId="20" fillId="4" borderId="2" xfId="0" applyNumberFormat="1" applyFont="1" applyFill="1" applyBorder="1" applyAlignment="1">
      <alignment horizontal="center" vertical="center" wrapText="1"/>
    </xf>
    <xf numFmtId="1" fontId="22" fillId="4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/>
    <xf numFmtId="0" fontId="1" fillId="0" borderId="0" xfId="0" applyFont="1" applyAlignment="1">
      <alignment horizontal="left" vertical="center"/>
    </xf>
    <xf numFmtId="0" fontId="5" fillId="0" borderId="0" xfId="0" applyFont="1"/>
    <xf numFmtId="0" fontId="1" fillId="0" borderId="0" xfId="0" applyFont="1"/>
    <xf numFmtId="0" fontId="9" fillId="0" borderId="0" xfId="0" applyFont="1"/>
    <xf numFmtId="0" fontId="14" fillId="9" borderId="3" xfId="0" applyFont="1" applyFill="1" applyBorder="1" applyAlignment="1">
      <alignment horizontal="center" vertical="center"/>
    </xf>
    <xf numFmtId="0" fontId="14" fillId="9" borderId="3" xfId="0" applyFont="1" applyFill="1" applyBorder="1"/>
    <xf numFmtId="0" fontId="12" fillId="11" borderId="3" xfId="0" applyFont="1" applyFill="1" applyBorder="1" applyAlignment="1">
      <alignment horizontal="center" vertical="center" wrapText="1"/>
    </xf>
    <xf numFmtId="0" fontId="0" fillId="11" borderId="3" xfId="0" applyFill="1" applyBorder="1"/>
    <xf numFmtId="0" fontId="19" fillId="12" borderId="4" xfId="0" applyFont="1" applyFill="1" applyBorder="1" applyAlignment="1">
      <alignment horizontal="left" vertical="center"/>
    </xf>
    <xf numFmtId="0" fontId="0" fillId="12" borderId="2" xfId="0" applyFill="1" applyBorder="1"/>
    <xf numFmtId="0" fontId="13" fillId="9" borderId="3" xfId="0" applyFont="1" applyFill="1" applyBorder="1" applyAlignment="1">
      <alignment horizontal="center" vertical="center"/>
    </xf>
    <xf numFmtId="0" fontId="0" fillId="9" borderId="3" xfId="0" applyFill="1" applyBorder="1"/>
    <xf numFmtId="0" fontId="16" fillId="9" borderId="3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/>
    <xf numFmtId="0" fontId="12" fillId="7" borderId="3" xfId="0" applyFont="1" applyFill="1" applyBorder="1" applyAlignment="1">
      <alignment horizontal="center" vertical="center" wrapText="1"/>
    </xf>
    <xf numFmtId="0" fontId="0" fillId="7" borderId="3" xfId="0" applyFill="1" applyBorder="1"/>
    <xf numFmtId="0" fontId="12" fillId="10" borderId="3" xfId="0" applyFont="1" applyFill="1" applyBorder="1" applyAlignment="1">
      <alignment horizontal="center" vertical="center" wrapText="1"/>
    </xf>
    <xf numFmtId="0" fontId="0" fillId="10" borderId="3" xfId="0" applyFill="1" applyBorder="1"/>
    <xf numFmtId="0" fontId="12" fillId="8" borderId="3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15" fillId="9" borderId="3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0" fillId="2" borderId="3" xfId="0" applyFill="1" applyBorder="1"/>
    <xf numFmtId="0" fontId="17" fillId="9" borderId="3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0" xfId="0" applyFill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ont>
        <b/>
        <color rgb="FFC00000"/>
      </font>
      <fill>
        <patternFill patternType="solid">
          <fgColor rgb="FFFCE4D6"/>
          <bgColor rgb="FFFCE4D6"/>
        </patternFill>
      </fill>
    </dxf>
    <dxf>
      <font>
        <b/>
        <color rgb="FFED7D31"/>
      </font>
      <fill>
        <patternFill patternType="solid">
          <fgColor rgb="FFFCE4D6"/>
          <bgColor rgb="FFFCE4D6"/>
        </patternFill>
      </fill>
    </dxf>
    <dxf>
      <font>
        <b/>
        <color rgb="FFFFC000"/>
      </font>
      <fill>
        <patternFill patternType="solid">
          <fgColor rgb="FFFFF2CC"/>
          <bgColor rgb="FFFFF2CC"/>
        </patternFill>
      </fill>
    </dxf>
    <dxf>
      <font>
        <b/>
        <color rgb="FF00B050"/>
      </font>
      <fill>
        <patternFill patternType="solid">
          <fgColor rgb="FFE2EFDA"/>
          <bgColor rgb="FFE2EFDA"/>
        </patternFill>
      </fill>
    </dxf>
    <dxf>
      <font>
        <b/>
        <color rgb="FF00B050"/>
      </font>
      <fill>
        <patternFill patternType="solid">
          <fgColor rgb="FFE2EFDA"/>
          <bgColor rgb="FFE2EFDA"/>
        </patternFill>
      </fill>
    </dxf>
    <dxf>
      <font>
        <b/>
        <color rgb="FFC00000"/>
      </font>
      <fill>
        <patternFill patternType="solid">
          <fgColor rgb="FFFCE4D6"/>
          <bgColor rgb="FFFCE4D6"/>
        </patternFill>
      </fill>
    </dxf>
    <dxf>
      <font>
        <b/>
        <color rgb="FFED7D31"/>
      </font>
      <fill>
        <patternFill patternType="solid">
          <fgColor rgb="FFFCE4D6"/>
          <bgColor rgb="FFFCE4D6"/>
        </patternFill>
      </fill>
    </dxf>
    <dxf>
      <font>
        <b/>
        <color rgb="FFFFC000"/>
      </font>
      <fill>
        <patternFill patternType="solid">
          <fgColor rgb="FFFFF2CC"/>
          <bgColor rgb="FFFFF2CC"/>
        </patternFill>
      </fill>
    </dxf>
    <dxf>
      <font>
        <b/>
        <color rgb="FF00B050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6"/>
  <c:chart>
    <c:title>
      <c:tx>
        <c:rich>
          <a:bodyPr/>
          <a:lstStyle/>
          <a:p>
            <a:pPr>
              <a:defRPr/>
            </a:pPr>
            <a:r>
              <a:rPr lang="en-US"/>
              <a:t>Experience Profile: Promise vs Actual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Dashboard!$B$9</c:f>
              <c:strCache>
                <c:ptCount val="1"/>
                <c:pt idx="0">
                  <c:v>Promise Avg</c:v>
                </c:pt>
              </c:strCache>
            </c:strRef>
          </c:tx>
          <c:spPr>
            <a:solidFill>
              <a:srgbClr val="2E75B6"/>
            </a:solidFill>
            <a:ln>
              <a:solidFill>
                <a:srgbClr val="1F4E79"/>
              </a:solidFill>
              <a:prstDash val="solid"/>
            </a:ln>
          </c:spPr>
          <c:marker>
            <c:spPr>
              <a:ln>
                <a:prstDash val="solid"/>
              </a:ln>
            </c:spPr>
          </c:marker>
          <c:cat>
            <c:strRef>
              <c:f>Dashboard!$A$10:$A$15</c:f>
              <c:strCache>
                <c:ptCount val="6"/>
                <c:pt idx="0">
                  <c:v>Job Fit</c:v>
                </c:pt>
                <c:pt idx="1">
                  <c:v>Manager Effectiveness</c:v>
                </c:pt>
                <c:pt idx="2">
                  <c:v>Team Collaboration</c:v>
                </c:pt>
                <c:pt idx="3">
                  <c:v>Workplace Culture</c:v>
                </c:pt>
                <c:pt idx="4">
                  <c:v>Innovation &amp; Empowerment</c:v>
                </c:pt>
                <c:pt idx="5">
                  <c:v>Rewards &amp; Growth</c:v>
                </c:pt>
              </c:strCache>
            </c:strRef>
          </c:cat>
          <c:val>
            <c:numRef>
              <c:f>Dashboard!$B$10:$B$15</c:f>
              <c:numCache>
                <c:formatCode>0.00</c:formatCode>
                <c:ptCount val="6"/>
                <c:pt idx="0">
                  <c:v>7.9240000000000004</c:v>
                </c:pt>
                <c:pt idx="1">
                  <c:v>8.1760000000000002</c:v>
                </c:pt>
                <c:pt idx="2">
                  <c:v>7.4320000000000004</c:v>
                </c:pt>
                <c:pt idx="3">
                  <c:v>8</c:v>
                </c:pt>
                <c:pt idx="4">
                  <c:v>7.6280000000000001</c:v>
                </c:pt>
                <c:pt idx="5">
                  <c:v>8.0239999999999991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3-4819-AC33-738619D48F93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Experience Avg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C00000"/>
              </a:solidFill>
              <a:prstDash val="solid"/>
            </a:ln>
          </c:spPr>
          <c:marker>
            <c:spPr>
              <a:ln>
                <a:prstDash val="solid"/>
              </a:ln>
            </c:spPr>
          </c:marker>
          <c:val>
            <c:numRef>
              <c:f>Dashboard!$C$10:$C$15</c:f>
              <c:numCache>
                <c:formatCode>0.00</c:formatCode>
                <c:ptCount val="6"/>
                <c:pt idx="0">
                  <c:v>5.8</c:v>
                </c:pt>
                <c:pt idx="1">
                  <c:v>6.7320000000000002</c:v>
                </c:pt>
                <c:pt idx="2">
                  <c:v>6.3959999999999999</c:v>
                </c:pt>
                <c:pt idx="3">
                  <c:v>5.2839999999999998</c:v>
                </c:pt>
                <c:pt idx="4">
                  <c:v>5.3440000000000003</c:v>
                </c:pt>
                <c:pt idx="5">
                  <c:v>4.9880000000000004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3-4819-AC33-738619D48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Risk Matrix — Priority Quadrants</a:t>
            </a:r>
          </a:p>
        </c:rich>
      </c:tx>
      <c:overlay val="1"/>
    </c:title>
    <c:autoTitleDeleted val="0"/>
    <c:plotArea>
      <c:layout/>
      <c:scatterChart>
        <c:scatterStyle val="smoothMarker"/>
        <c:varyColors val="1"/>
        <c:ser>
          <c:idx val="0"/>
          <c:order val="0"/>
          <c:tx>
            <c:v>Dimensions</c:v>
          </c:tx>
          <c:marker>
            <c:symbol val="circle"/>
            <c:size val="10"/>
            <c:spPr>
              <a:solidFill>
                <a:srgbClr val="1F4E79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Dashboard!$B$29:$B$34</c:f>
              <c:numCache>
                <c:formatCode>0.00</c:formatCode>
                <c:ptCount val="6"/>
                <c:pt idx="0">
                  <c:v>2.1240000000000006</c:v>
                </c:pt>
                <c:pt idx="1">
                  <c:v>1.444</c:v>
                </c:pt>
                <c:pt idx="2">
                  <c:v>1.0360000000000005</c:v>
                </c:pt>
                <c:pt idx="3">
                  <c:v>2.7160000000000002</c:v>
                </c:pt>
                <c:pt idx="4">
                  <c:v>2.2839999999999998</c:v>
                </c:pt>
                <c:pt idx="5">
                  <c:v>3.0359999999999987</c:v>
                </c:pt>
              </c:numCache>
            </c:numRef>
          </c:xVal>
          <c:yVal>
            <c:numRef>
              <c:f>Dashboard!$E$29:$E$34</c:f>
              <c:numCache>
                <c:formatCode>0.0</c:formatCode>
                <c:ptCount val="6"/>
                <c:pt idx="0">
                  <c:v>20</c:v>
                </c:pt>
                <c:pt idx="1">
                  <c:v>20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53-4842-B2CB-1D8536159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Gap Size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5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 × 100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Driver Strength -- Correlation with Overall Experience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'Driver Analysis'!$B$4</c:f>
              <c:strCache>
                <c:ptCount val="1"/>
                <c:pt idx="0">
                  <c:v>Correlation with Overall Index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flip="none"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1"/>
            <c:invertIfNegative val="1"/>
            <c:bubble3D val="0"/>
            <c:spPr>
              <a:gradFill flip="none"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2"/>
            <c:invertIfNegative val="1"/>
            <c:bubble3D val="0"/>
            <c:spPr>
              <a:gradFill flip="none"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3"/>
            <c:invertIfNegative val="1"/>
            <c:bubble3D val="0"/>
            <c:spPr>
              <a:gradFill flip="none"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4"/>
            <c:invertIfNegative val="1"/>
            <c:bubble3D val="0"/>
            <c:spPr>
              <a:gradFill flip="none" rotWithShape="1">
                <a:gsLst>
                  <a:gs pos="0">
                    <a:schemeClr val="accent5"/>
                  </a:gs>
                  <a:gs pos="75000">
                    <a:schemeClr val="accent5">
                      <a:lumMod val="60000"/>
                      <a:lumOff val="40000"/>
                    </a:schemeClr>
                  </a:gs>
                  <a:gs pos="51000">
                    <a:schemeClr val="accent5">
                      <a:alpha val="75000"/>
                    </a:schemeClr>
                  </a:gs>
                  <a:gs pos="100000">
                    <a:schemeClr val="accent5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5"/>
            <c:invertIfNegative val="1"/>
            <c:bubble3D val="0"/>
            <c:spPr>
              <a:gradFill flip="none" rotWithShape="1">
                <a:gsLst>
                  <a:gs pos="0">
                    <a:schemeClr val="accent6"/>
                  </a:gs>
                  <a:gs pos="75000">
                    <a:schemeClr val="accent6">
                      <a:lumMod val="60000"/>
                      <a:lumOff val="40000"/>
                    </a:schemeClr>
                  </a:gs>
                  <a:gs pos="51000">
                    <a:schemeClr val="accent6">
                      <a:alpha val="75000"/>
                    </a:schemeClr>
                  </a:gs>
                  <a:gs pos="100000">
                    <a:schemeClr val="accent6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cat>
            <c:strRef>
              <c:f>'Driver Analysis'!$A$5:$A$10</c:f>
              <c:strCache>
                <c:ptCount val="6"/>
                <c:pt idx="0">
                  <c:v>Job Fit</c:v>
                </c:pt>
                <c:pt idx="1">
                  <c:v>Manager Effectiveness</c:v>
                </c:pt>
                <c:pt idx="2">
                  <c:v>Team Collaboration</c:v>
                </c:pt>
                <c:pt idx="3">
                  <c:v>Workplace Culture</c:v>
                </c:pt>
                <c:pt idx="4">
                  <c:v>Innovation &amp; Empowerment</c:v>
                </c:pt>
                <c:pt idx="5">
                  <c:v>Rewards &amp; Growth</c:v>
                </c:pt>
              </c:strCache>
            </c:strRef>
          </c:cat>
          <c:val>
            <c:numRef>
              <c:f>'Driver Analysis'!$B$5:$B$10</c:f>
              <c:numCache>
                <c:formatCode>0.000</c:formatCode>
                <c:ptCount val="6"/>
                <c:pt idx="0">
                  <c:v>0.28604009722952439</c:v>
                </c:pt>
                <c:pt idx="1">
                  <c:v>0.56696262466538394</c:v>
                </c:pt>
                <c:pt idx="2">
                  <c:v>0.23372948605956811</c:v>
                </c:pt>
                <c:pt idx="3">
                  <c:v>0.35036515924840478</c:v>
                </c:pt>
                <c:pt idx="4">
                  <c:v>0.34771763898939634</c:v>
                </c:pt>
                <c:pt idx="5">
                  <c:v>0.547539315533497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9-4FF4-9FB9-245A87148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Correlation (r)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95250</xdr:colOff>
      <xdr:row>7</xdr:row>
      <xdr:rowOff>28575</xdr:rowOff>
    </xdr:from>
    <xdr:ext cx="64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781050</xdr:colOff>
      <xdr:row>33</xdr:row>
      <xdr:rowOff>142875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F43"/>
  <sheetViews>
    <sheetView tabSelected="1"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22" customWidth="1"/>
    <col min="2" max="2" width="8" customWidth="1"/>
    <col min="3" max="3" width="24" customWidth="1"/>
    <col min="4" max="5" width="55" customWidth="1"/>
    <col min="6" max="6" width="10" customWidth="1"/>
  </cols>
  <sheetData>
    <row r="1" spans="1:6" ht="30" customHeight="1" x14ac:dyDescent="0.25">
      <c r="A1" s="44" t="s">
        <v>0</v>
      </c>
      <c r="B1" s="43"/>
      <c r="C1" s="43"/>
      <c r="D1" s="43"/>
      <c r="E1" s="43"/>
      <c r="F1" s="43"/>
    </row>
    <row r="2" spans="1:6" ht="21.95" customHeight="1" x14ac:dyDescent="0.25">
      <c r="A2" s="42" t="s">
        <v>1</v>
      </c>
      <c r="B2" s="43"/>
      <c r="C2" s="43"/>
      <c r="D2" s="43"/>
      <c r="E2" s="43"/>
      <c r="F2" s="43"/>
    </row>
    <row r="4" spans="1: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ht="25.5" x14ac:dyDescent="0.25">
      <c r="A5" s="2" t="s">
        <v>8</v>
      </c>
      <c r="B5" s="2">
        <v>1</v>
      </c>
      <c r="C5" s="3" t="s">
        <v>9</v>
      </c>
      <c r="D5" s="3" t="s">
        <v>10</v>
      </c>
      <c r="E5" s="3" t="s">
        <v>11</v>
      </c>
      <c r="F5" s="4">
        <v>0.2</v>
      </c>
    </row>
    <row r="6" spans="1:6" ht="25.5" x14ac:dyDescent="0.25">
      <c r="A6" s="2" t="s">
        <v>8</v>
      </c>
      <c r="B6" s="2">
        <v>2</v>
      </c>
      <c r="C6" s="3" t="s">
        <v>12</v>
      </c>
      <c r="D6" s="3" t="s">
        <v>13</v>
      </c>
      <c r="E6" s="3" t="s">
        <v>14</v>
      </c>
      <c r="F6" s="4">
        <v>0.2</v>
      </c>
    </row>
    <row r="7" spans="1:6" ht="25.5" x14ac:dyDescent="0.25">
      <c r="A7" s="2" t="s">
        <v>8</v>
      </c>
      <c r="B7" s="2">
        <v>3</v>
      </c>
      <c r="C7" s="3" t="s">
        <v>15</v>
      </c>
      <c r="D7" s="3" t="s">
        <v>16</v>
      </c>
      <c r="E7" s="3" t="s">
        <v>17</v>
      </c>
      <c r="F7" s="4">
        <v>0.2</v>
      </c>
    </row>
    <row r="8" spans="1:6" ht="25.5" x14ac:dyDescent="0.25">
      <c r="A8" s="2" t="s">
        <v>8</v>
      </c>
      <c r="B8" s="2">
        <v>4</v>
      </c>
      <c r="C8" s="3" t="s">
        <v>18</v>
      </c>
      <c r="D8" s="3" t="s">
        <v>19</v>
      </c>
      <c r="E8" s="3" t="s">
        <v>20</v>
      </c>
      <c r="F8" s="4">
        <v>0.2</v>
      </c>
    </row>
    <row r="9" spans="1:6" ht="25.5" x14ac:dyDescent="0.25">
      <c r="A9" s="2" t="s">
        <v>8</v>
      </c>
      <c r="B9" s="2">
        <v>5</v>
      </c>
      <c r="C9" s="3" t="s">
        <v>21</v>
      </c>
      <c r="D9" s="3" t="s">
        <v>22</v>
      </c>
      <c r="E9" s="3" t="s">
        <v>23</v>
      </c>
      <c r="F9" s="4">
        <v>0.2</v>
      </c>
    </row>
    <row r="11" spans="1:6" ht="25.5" x14ac:dyDescent="0.25">
      <c r="A11" s="2" t="s">
        <v>24</v>
      </c>
      <c r="B11" s="2">
        <v>6</v>
      </c>
      <c r="C11" s="3" t="s">
        <v>25</v>
      </c>
      <c r="D11" s="3" t="s">
        <v>26</v>
      </c>
      <c r="E11" s="3" t="s">
        <v>27</v>
      </c>
      <c r="F11" s="4">
        <v>0.2</v>
      </c>
    </row>
    <row r="12" spans="1:6" ht="25.5" x14ac:dyDescent="0.25">
      <c r="A12" s="2" t="s">
        <v>24</v>
      </c>
      <c r="B12" s="2">
        <v>7</v>
      </c>
      <c r="C12" s="3" t="s">
        <v>28</v>
      </c>
      <c r="D12" s="3" t="s">
        <v>29</v>
      </c>
      <c r="E12" s="3" t="s">
        <v>30</v>
      </c>
      <c r="F12" s="4">
        <v>0.2</v>
      </c>
    </row>
    <row r="13" spans="1:6" ht="25.5" x14ac:dyDescent="0.25">
      <c r="A13" s="2" t="s">
        <v>24</v>
      </c>
      <c r="B13" s="2">
        <v>8</v>
      </c>
      <c r="C13" s="3" t="s">
        <v>31</v>
      </c>
      <c r="D13" s="3" t="s">
        <v>32</v>
      </c>
      <c r="E13" s="3" t="s">
        <v>33</v>
      </c>
      <c r="F13" s="4">
        <v>0.2</v>
      </c>
    </row>
    <row r="14" spans="1:6" ht="25.5" x14ac:dyDescent="0.25">
      <c r="A14" s="2" t="s">
        <v>24</v>
      </c>
      <c r="B14" s="2">
        <v>9</v>
      </c>
      <c r="C14" s="3" t="s">
        <v>34</v>
      </c>
      <c r="D14" s="3" t="s">
        <v>35</v>
      </c>
      <c r="E14" s="3" t="s">
        <v>36</v>
      </c>
      <c r="F14" s="4">
        <v>0.2</v>
      </c>
    </row>
    <row r="15" spans="1:6" ht="25.5" x14ac:dyDescent="0.25">
      <c r="A15" s="2" t="s">
        <v>24</v>
      </c>
      <c r="B15" s="2">
        <v>10</v>
      </c>
      <c r="C15" s="3" t="s">
        <v>37</v>
      </c>
      <c r="D15" s="3" t="s">
        <v>38</v>
      </c>
      <c r="E15" s="3" t="s">
        <v>39</v>
      </c>
      <c r="F15" s="4">
        <v>0.2</v>
      </c>
    </row>
    <row r="17" spans="1:6" ht="25.5" x14ac:dyDescent="0.25">
      <c r="A17" s="5" t="s">
        <v>40</v>
      </c>
      <c r="B17" s="5">
        <v>11</v>
      </c>
      <c r="C17" s="6" t="s">
        <v>41</v>
      </c>
      <c r="D17" s="6" t="s">
        <v>42</v>
      </c>
      <c r="E17" s="6" t="s">
        <v>43</v>
      </c>
      <c r="F17" s="7">
        <v>0.15</v>
      </c>
    </row>
    <row r="18" spans="1:6" ht="25.5" x14ac:dyDescent="0.25">
      <c r="A18" s="5" t="s">
        <v>40</v>
      </c>
      <c r="B18" s="5">
        <v>12</v>
      </c>
      <c r="C18" s="6" t="s">
        <v>44</v>
      </c>
      <c r="D18" s="6" t="s">
        <v>45</v>
      </c>
      <c r="E18" s="6" t="s">
        <v>46</v>
      </c>
      <c r="F18" s="7">
        <v>0.15</v>
      </c>
    </row>
    <row r="19" spans="1:6" ht="25.5" x14ac:dyDescent="0.25">
      <c r="A19" s="5" t="s">
        <v>40</v>
      </c>
      <c r="B19" s="5">
        <v>13</v>
      </c>
      <c r="C19" s="6" t="s">
        <v>47</v>
      </c>
      <c r="D19" s="6" t="s">
        <v>48</v>
      </c>
      <c r="E19" s="6" t="s">
        <v>49</v>
      </c>
      <c r="F19" s="7">
        <v>0.15</v>
      </c>
    </row>
    <row r="20" spans="1:6" ht="25.5" x14ac:dyDescent="0.25">
      <c r="A20" s="5" t="s">
        <v>40</v>
      </c>
      <c r="B20" s="5">
        <v>14</v>
      </c>
      <c r="C20" s="6" t="s">
        <v>50</v>
      </c>
      <c r="D20" s="6" t="s">
        <v>51</v>
      </c>
      <c r="E20" s="6" t="s">
        <v>52</v>
      </c>
      <c r="F20" s="7">
        <v>0.15</v>
      </c>
    </row>
    <row r="21" spans="1:6" ht="25.5" x14ac:dyDescent="0.25">
      <c r="A21" s="5" t="s">
        <v>40</v>
      </c>
      <c r="B21" s="5">
        <v>15</v>
      </c>
      <c r="C21" s="6" t="s">
        <v>53</v>
      </c>
      <c r="D21" s="6" t="s">
        <v>54</v>
      </c>
      <c r="E21" s="6" t="s">
        <v>55</v>
      </c>
      <c r="F21" s="7">
        <v>0.15</v>
      </c>
    </row>
    <row r="23" spans="1:6" ht="25.5" x14ac:dyDescent="0.25">
      <c r="A23" s="2" t="s">
        <v>56</v>
      </c>
      <c r="B23" s="2">
        <v>16</v>
      </c>
      <c r="C23" s="3" t="s">
        <v>57</v>
      </c>
      <c r="D23" s="3" t="s">
        <v>58</v>
      </c>
      <c r="E23" s="3" t="s">
        <v>59</v>
      </c>
      <c r="F23" s="4">
        <v>0.15</v>
      </c>
    </row>
    <row r="24" spans="1:6" ht="25.5" x14ac:dyDescent="0.25">
      <c r="A24" s="2" t="s">
        <v>56</v>
      </c>
      <c r="B24" s="2">
        <v>17</v>
      </c>
      <c r="C24" s="3" t="s">
        <v>60</v>
      </c>
      <c r="D24" s="3" t="s">
        <v>61</v>
      </c>
      <c r="E24" s="3" t="s">
        <v>62</v>
      </c>
      <c r="F24" s="4">
        <v>0.15</v>
      </c>
    </row>
    <row r="25" spans="1:6" ht="25.5" x14ac:dyDescent="0.25">
      <c r="A25" s="2" t="s">
        <v>56</v>
      </c>
      <c r="B25" s="2">
        <v>18</v>
      </c>
      <c r="C25" s="3" t="s">
        <v>63</v>
      </c>
      <c r="D25" s="3" t="s">
        <v>64</v>
      </c>
      <c r="E25" s="3" t="s">
        <v>65</v>
      </c>
      <c r="F25" s="4">
        <v>0.15</v>
      </c>
    </row>
    <row r="26" spans="1:6" ht="25.5" x14ac:dyDescent="0.25">
      <c r="A26" s="2" t="s">
        <v>56</v>
      </c>
      <c r="B26" s="2">
        <v>19</v>
      </c>
      <c r="C26" s="3" t="s">
        <v>66</v>
      </c>
      <c r="D26" s="3" t="s">
        <v>67</v>
      </c>
      <c r="E26" s="3" t="s">
        <v>68</v>
      </c>
      <c r="F26" s="4">
        <v>0.15</v>
      </c>
    </row>
    <row r="27" spans="1:6" ht="25.5" x14ac:dyDescent="0.25">
      <c r="A27" s="2" t="s">
        <v>56</v>
      </c>
      <c r="B27" s="2">
        <v>20</v>
      </c>
      <c r="C27" s="3" t="s">
        <v>69</v>
      </c>
      <c r="D27" s="3" t="s">
        <v>70</v>
      </c>
      <c r="E27" s="3" t="s">
        <v>71</v>
      </c>
      <c r="F27" s="4">
        <v>0.15</v>
      </c>
    </row>
    <row r="29" spans="1:6" ht="25.5" x14ac:dyDescent="0.25">
      <c r="A29" s="5" t="s">
        <v>72</v>
      </c>
      <c r="B29" s="5">
        <v>21</v>
      </c>
      <c r="C29" s="6" t="s">
        <v>73</v>
      </c>
      <c r="D29" s="6" t="s">
        <v>74</v>
      </c>
      <c r="E29" s="6" t="s">
        <v>75</v>
      </c>
      <c r="F29" s="7">
        <v>0.15</v>
      </c>
    </row>
    <row r="30" spans="1:6" ht="25.5" x14ac:dyDescent="0.25">
      <c r="A30" s="5" t="s">
        <v>72</v>
      </c>
      <c r="B30" s="5">
        <v>22</v>
      </c>
      <c r="C30" s="6" t="s">
        <v>76</v>
      </c>
      <c r="D30" s="6" t="s">
        <v>77</v>
      </c>
      <c r="E30" s="6" t="s">
        <v>78</v>
      </c>
      <c r="F30" s="7">
        <v>0.15</v>
      </c>
    </row>
    <row r="31" spans="1:6" ht="25.5" x14ac:dyDescent="0.25">
      <c r="A31" s="5" t="s">
        <v>72</v>
      </c>
      <c r="B31" s="5">
        <v>23</v>
      </c>
      <c r="C31" s="6" t="s">
        <v>79</v>
      </c>
      <c r="D31" s="6" t="s">
        <v>80</v>
      </c>
      <c r="E31" s="6" t="s">
        <v>81</v>
      </c>
      <c r="F31" s="7">
        <v>0.15</v>
      </c>
    </row>
    <row r="32" spans="1:6" ht="25.5" x14ac:dyDescent="0.25">
      <c r="A32" s="5" t="s">
        <v>72</v>
      </c>
      <c r="B32" s="5">
        <v>24</v>
      </c>
      <c r="C32" s="6" t="s">
        <v>82</v>
      </c>
      <c r="D32" s="6" t="s">
        <v>83</v>
      </c>
      <c r="E32" s="6" t="s">
        <v>84</v>
      </c>
      <c r="F32" s="7">
        <v>0.15</v>
      </c>
    </row>
    <row r="33" spans="1:6" ht="25.5" x14ac:dyDescent="0.25">
      <c r="A33" s="5" t="s">
        <v>72</v>
      </c>
      <c r="B33" s="5">
        <v>25</v>
      </c>
      <c r="C33" s="6" t="s">
        <v>85</v>
      </c>
      <c r="D33" s="6" t="s">
        <v>86</v>
      </c>
      <c r="E33" s="6" t="s">
        <v>87</v>
      </c>
      <c r="F33" s="7">
        <v>0.15</v>
      </c>
    </row>
    <row r="35" spans="1:6" ht="25.5" x14ac:dyDescent="0.25">
      <c r="A35" s="2" t="s">
        <v>88</v>
      </c>
      <c r="B35" s="2">
        <v>26</v>
      </c>
      <c r="C35" s="3" t="s">
        <v>89</v>
      </c>
      <c r="D35" s="3" t="s">
        <v>90</v>
      </c>
      <c r="E35" s="3" t="s">
        <v>91</v>
      </c>
      <c r="F35" s="4">
        <v>0.15</v>
      </c>
    </row>
    <row r="36" spans="1:6" ht="25.5" x14ac:dyDescent="0.25">
      <c r="A36" s="2" t="s">
        <v>88</v>
      </c>
      <c r="B36" s="2">
        <v>27</v>
      </c>
      <c r="C36" s="3" t="s">
        <v>92</v>
      </c>
      <c r="D36" s="3" t="s">
        <v>93</v>
      </c>
      <c r="E36" s="3" t="s">
        <v>94</v>
      </c>
      <c r="F36" s="4">
        <v>0.15</v>
      </c>
    </row>
    <row r="37" spans="1:6" ht="25.5" x14ac:dyDescent="0.25">
      <c r="A37" s="2" t="s">
        <v>88</v>
      </c>
      <c r="B37" s="2">
        <v>28</v>
      </c>
      <c r="C37" s="3" t="s">
        <v>66</v>
      </c>
      <c r="D37" s="3" t="s">
        <v>67</v>
      </c>
      <c r="E37" s="3" t="s">
        <v>68</v>
      </c>
      <c r="F37" s="4">
        <v>0.15</v>
      </c>
    </row>
    <row r="38" spans="1:6" ht="25.5" x14ac:dyDescent="0.25">
      <c r="A38" s="2" t="s">
        <v>88</v>
      </c>
      <c r="B38" s="2">
        <v>29</v>
      </c>
      <c r="C38" s="3" t="s">
        <v>95</v>
      </c>
      <c r="D38" s="3" t="s">
        <v>96</v>
      </c>
      <c r="E38" s="3" t="s">
        <v>97</v>
      </c>
      <c r="F38" s="4">
        <v>0.15</v>
      </c>
    </row>
    <row r="39" spans="1:6" ht="25.5" x14ac:dyDescent="0.25">
      <c r="A39" s="2" t="s">
        <v>88</v>
      </c>
      <c r="B39" s="2">
        <v>30</v>
      </c>
      <c r="C39" s="3" t="s">
        <v>98</v>
      </c>
      <c r="D39" s="3" t="s">
        <v>99</v>
      </c>
      <c r="E39" s="3" t="s">
        <v>100</v>
      </c>
      <c r="F39" s="4">
        <v>0.15</v>
      </c>
    </row>
    <row r="42" spans="1:6" x14ac:dyDescent="0.25">
      <c r="A42" s="45" t="s">
        <v>101</v>
      </c>
      <c r="B42" s="43"/>
      <c r="C42" s="43"/>
      <c r="D42" s="43"/>
      <c r="E42" s="43"/>
      <c r="F42" s="43"/>
    </row>
    <row r="43" spans="1:6" x14ac:dyDescent="0.25">
      <c r="A43" s="45" t="s">
        <v>102</v>
      </c>
      <c r="B43" s="43"/>
      <c r="C43" s="43"/>
      <c r="D43" s="43"/>
      <c r="E43" s="43"/>
      <c r="F43" s="43"/>
    </row>
  </sheetData>
  <mergeCells count="4">
    <mergeCell ref="A2:F2"/>
    <mergeCell ref="A1:F1"/>
    <mergeCell ref="A42:F42"/>
    <mergeCell ref="A43:F43"/>
  </mergeCells>
  <pageMargins left="0.75" right="0.75" top="1" bottom="1" header="0.5" footer="0.5"/>
  <pageSetup paperSize="8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BM53"/>
  <sheetViews>
    <sheetView workbookViewId="0">
      <pane xSplit="6" ySplit="3" topLeftCell="G4" activePane="bottomRight" state="frozen"/>
      <selection pane="topRight"/>
      <selection pane="bottomLeft"/>
      <selection pane="bottomRight" sqref="A1:BM1"/>
    </sheetView>
  </sheetViews>
  <sheetFormatPr defaultRowHeight="15" x14ac:dyDescent="0.25"/>
  <cols>
    <col min="1" max="1" width="10" customWidth="1"/>
    <col min="2" max="2" width="18" customWidth="1"/>
    <col min="3" max="3" width="14" customWidth="1"/>
    <col min="4" max="4" width="18" customWidth="1"/>
    <col min="5" max="5" width="16" customWidth="1"/>
    <col min="6" max="65" width="6" customWidth="1"/>
  </cols>
  <sheetData>
    <row r="1" spans="1:65" ht="27.95" customHeight="1" x14ac:dyDescent="0.3">
      <c r="A1" s="46" t="s">
        <v>103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</row>
    <row r="3" spans="1:65" ht="20.100000000000001" customHeight="1" x14ac:dyDescent="0.25">
      <c r="A3" s="1" t="s">
        <v>104</v>
      </c>
      <c r="B3" s="1" t="s">
        <v>105</v>
      </c>
      <c r="C3" s="1" t="s">
        <v>106</v>
      </c>
      <c r="D3" s="1" t="s">
        <v>107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Q3" s="1" t="s">
        <v>120</v>
      </c>
      <c r="R3" s="1" t="s">
        <v>121</v>
      </c>
      <c r="S3" s="1" t="s">
        <v>122</v>
      </c>
      <c r="T3" s="1" t="s">
        <v>123</v>
      </c>
      <c r="U3" s="1" t="s">
        <v>124</v>
      </c>
      <c r="V3" s="1" t="s">
        <v>125</v>
      </c>
      <c r="W3" s="1" t="s">
        <v>126</v>
      </c>
      <c r="X3" s="1" t="s">
        <v>127</v>
      </c>
      <c r="Y3" s="1" t="s">
        <v>128</v>
      </c>
      <c r="Z3" s="1" t="s">
        <v>129</v>
      </c>
      <c r="AA3" s="1" t="s">
        <v>130</v>
      </c>
      <c r="AB3" s="1" t="s">
        <v>131</v>
      </c>
      <c r="AC3" s="1" t="s">
        <v>132</v>
      </c>
      <c r="AD3" s="1" t="s">
        <v>133</v>
      </c>
      <c r="AE3" s="1" t="s">
        <v>134</v>
      </c>
      <c r="AF3" s="1" t="s">
        <v>135</v>
      </c>
      <c r="AG3" s="1" t="s">
        <v>136</v>
      </c>
      <c r="AH3" s="1" t="s">
        <v>137</v>
      </c>
      <c r="AI3" s="1" t="s">
        <v>138</v>
      </c>
      <c r="AJ3" s="1" t="s">
        <v>139</v>
      </c>
      <c r="AK3" s="1" t="s">
        <v>140</v>
      </c>
      <c r="AL3" s="1" t="s">
        <v>141</v>
      </c>
      <c r="AM3" s="1" t="s">
        <v>142</v>
      </c>
      <c r="AN3" s="1" t="s">
        <v>143</v>
      </c>
      <c r="AO3" s="1" t="s">
        <v>144</v>
      </c>
      <c r="AP3" s="1" t="s">
        <v>145</v>
      </c>
      <c r="AQ3" s="1" t="s">
        <v>146</v>
      </c>
      <c r="AR3" s="1" t="s">
        <v>147</v>
      </c>
      <c r="AS3" s="1" t="s">
        <v>148</v>
      </c>
      <c r="AT3" s="1" t="s">
        <v>149</v>
      </c>
      <c r="AU3" s="1" t="s">
        <v>150</v>
      </c>
      <c r="AV3" s="1" t="s">
        <v>151</v>
      </c>
      <c r="AW3" s="1" t="s">
        <v>152</v>
      </c>
      <c r="AX3" s="1" t="s">
        <v>153</v>
      </c>
      <c r="AY3" s="1" t="s">
        <v>154</v>
      </c>
      <c r="AZ3" s="1" t="s">
        <v>155</v>
      </c>
      <c r="BA3" s="1" t="s">
        <v>156</v>
      </c>
      <c r="BB3" s="1" t="s">
        <v>157</v>
      </c>
      <c r="BC3" s="1" t="s">
        <v>158</v>
      </c>
      <c r="BD3" s="1" t="s">
        <v>159</v>
      </c>
      <c r="BE3" s="1" t="s">
        <v>160</v>
      </c>
      <c r="BF3" s="1" t="s">
        <v>161</v>
      </c>
      <c r="BG3" s="1" t="s">
        <v>162</v>
      </c>
      <c r="BH3" s="1" t="s">
        <v>163</v>
      </c>
      <c r="BI3" s="1" t="s">
        <v>164</v>
      </c>
      <c r="BJ3" s="1" t="s">
        <v>165</v>
      </c>
      <c r="BK3" s="1" t="s">
        <v>166</v>
      </c>
      <c r="BL3" s="1" t="s">
        <v>167</v>
      </c>
      <c r="BM3" s="1" t="s">
        <v>168</v>
      </c>
    </row>
    <row r="4" spans="1:65" x14ac:dyDescent="0.25">
      <c r="A4" s="9" t="s">
        <v>169</v>
      </c>
      <c r="B4" s="9" t="s">
        <v>170</v>
      </c>
      <c r="C4" s="9" t="s">
        <v>171</v>
      </c>
      <c r="D4" s="9" t="s">
        <v>172</v>
      </c>
      <c r="E4" s="9" t="s">
        <v>173</v>
      </c>
      <c r="F4" s="10">
        <v>8</v>
      </c>
      <c r="G4" s="10">
        <v>7</v>
      </c>
      <c r="H4" s="10">
        <v>8</v>
      </c>
      <c r="I4" s="10">
        <v>4</v>
      </c>
      <c r="J4" s="10">
        <v>8</v>
      </c>
      <c r="K4" s="10">
        <v>6</v>
      </c>
      <c r="L4" s="10">
        <v>7</v>
      </c>
      <c r="M4" s="10">
        <v>5</v>
      </c>
      <c r="N4" s="10">
        <v>7</v>
      </c>
      <c r="O4" s="10">
        <v>5</v>
      </c>
      <c r="P4" s="10">
        <v>8</v>
      </c>
      <c r="Q4" s="10">
        <v>10</v>
      </c>
      <c r="R4" s="10">
        <v>9</v>
      </c>
      <c r="S4" s="10">
        <v>8</v>
      </c>
      <c r="T4" s="10">
        <v>9</v>
      </c>
      <c r="U4" s="10">
        <v>9</v>
      </c>
      <c r="V4" s="10">
        <v>7</v>
      </c>
      <c r="W4" s="10">
        <v>8</v>
      </c>
      <c r="X4" s="10">
        <v>8</v>
      </c>
      <c r="Y4" s="10">
        <v>7</v>
      </c>
      <c r="Z4" s="10">
        <v>9</v>
      </c>
      <c r="AA4" s="10">
        <v>9</v>
      </c>
      <c r="AB4" s="10">
        <v>7</v>
      </c>
      <c r="AC4" s="10">
        <v>8</v>
      </c>
      <c r="AD4" s="10">
        <v>7</v>
      </c>
      <c r="AE4" s="10">
        <v>7</v>
      </c>
      <c r="AF4" s="10">
        <v>6</v>
      </c>
      <c r="AG4" s="10">
        <v>4</v>
      </c>
      <c r="AH4" s="10">
        <v>9</v>
      </c>
      <c r="AI4" s="10">
        <v>4</v>
      </c>
      <c r="AJ4" s="10">
        <v>6</v>
      </c>
      <c r="AK4" s="10">
        <v>6</v>
      </c>
      <c r="AL4" s="10">
        <v>7</v>
      </c>
      <c r="AM4" s="10">
        <v>7</v>
      </c>
      <c r="AN4" s="10">
        <v>8</v>
      </c>
      <c r="AO4" s="10">
        <v>5</v>
      </c>
      <c r="AP4" s="10">
        <v>7</v>
      </c>
      <c r="AQ4" s="10">
        <v>5</v>
      </c>
      <c r="AR4" s="10">
        <v>8</v>
      </c>
      <c r="AS4" s="10">
        <v>9</v>
      </c>
      <c r="AT4" s="10">
        <v>8</v>
      </c>
      <c r="AU4" s="10">
        <v>7</v>
      </c>
      <c r="AV4" s="10">
        <v>10</v>
      </c>
      <c r="AW4" s="10">
        <v>7</v>
      </c>
      <c r="AX4" s="10">
        <v>7</v>
      </c>
      <c r="AY4" s="10">
        <v>6</v>
      </c>
      <c r="AZ4" s="10">
        <v>6</v>
      </c>
      <c r="BA4" s="10">
        <v>4</v>
      </c>
      <c r="BB4" s="10">
        <v>5</v>
      </c>
      <c r="BC4" s="10">
        <v>6</v>
      </c>
      <c r="BD4" s="10">
        <v>8</v>
      </c>
      <c r="BE4" s="10">
        <v>6</v>
      </c>
      <c r="BF4" s="10">
        <v>6</v>
      </c>
      <c r="BG4" s="10">
        <v>4</v>
      </c>
      <c r="BH4" s="10">
        <v>7</v>
      </c>
      <c r="BI4" s="10">
        <v>4</v>
      </c>
      <c r="BJ4" s="10">
        <v>9</v>
      </c>
      <c r="BK4" s="10">
        <v>7</v>
      </c>
      <c r="BL4" s="10">
        <v>8</v>
      </c>
      <c r="BM4" s="10">
        <v>4</v>
      </c>
    </row>
    <row r="5" spans="1:65" x14ac:dyDescent="0.25">
      <c r="A5" s="3" t="s">
        <v>174</v>
      </c>
      <c r="B5" s="3" t="s">
        <v>170</v>
      </c>
      <c r="C5" s="3" t="s">
        <v>175</v>
      </c>
      <c r="D5" s="3" t="s">
        <v>172</v>
      </c>
      <c r="E5" s="3" t="s">
        <v>176</v>
      </c>
      <c r="F5" s="2">
        <v>5</v>
      </c>
      <c r="G5" s="2">
        <v>10</v>
      </c>
      <c r="H5" s="2">
        <v>9</v>
      </c>
      <c r="I5" s="2">
        <v>3</v>
      </c>
      <c r="J5" s="2">
        <v>9</v>
      </c>
      <c r="K5" s="2">
        <v>5</v>
      </c>
      <c r="L5" s="2">
        <v>7</v>
      </c>
      <c r="M5" s="2">
        <v>7</v>
      </c>
      <c r="N5" s="2">
        <v>10</v>
      </c>
      <c r="O5" s="2">
        <v>6</v>
      </c>
      <c r="P5" s="2">
        <v>10</v>
      </c>
      <c r="Q5" s="2">
        <v>6</v>
      </c>
      <c r="R5" s="2">
        <v>9</v>
      </c>
      <c r="S5" s="2">
        <v>8</v>
      </c>
      <c r="T5" s="2">
        <v>7</v>
      </c>
      <c r="U5" s="2">
        <v>6</v>
      </c>
      <c r="V5" s="2">
        <v>10</v>
      </c>
      <c r="W5" s="2">
        <v>10</v>
      </c>
      <c r="X5" s="2">
        <v>9</v>
      </c>
      <c r="Y5" s="2">
        <v>5</v>
      </c>
      <c r="Z5" s="2">
        <v>8</v>
      </c>
      <c r="AA5" s="2">
        <v>7</v>
      </c>
      <c r="AB5" s="2">
        <v>8</v>
      </c>
      <c r="AC5" s="2">
        <v>6</v>
      </c>
      <c r="AD5" s="2">
        <v>7</v>
      </c>
      <c r="AE5" s="2">
        <v>6</v>
      </c>
      <c r="AF5" s="2">
        <v>9</v>
      </c>
      <c r="AG5" s="2">
        <v>3</v>
      </c>
      <c r="AH5" s="2">
        <v>9</v>
      </c>
      <c r="AI5" s="2">
        <v>8</v>
      </c>
      <c r="AJ5" s="2">
        <v>9</v>
      </c>
      <c r="AK5" s="2">
        <v>7</v>
      </c>
      <c r="AL5" s="2">
        <v>10</v>
      </c>
      <c r="AM5" s="2">
        <v>5</v>
      </c>
      <c r="AN5" s="2">
        <v>7</v>
      </c>
      <c r="AO5" s="2">
        <v>3</v>
      </c>
      <c r="AP5" s="2">
        <v>8</v>
      </c>
      <c r="AQ5" s="2">
        <v>4</v>
      </c>
      <c r="AR5" s="2">
        <v>7</v>
      </c>
      <c r="AS5" s="2">
        <v>6</v>
      </c>
      <c r="AT5" s="2">
        <v>9</v>
      </c>
      <c r="AU5" s="2">
        <v>6</v>
      </c>
      <c r="AV5" s="2">
        <v>10</v>
      </c>
      <c r="AW5" s="2">
        <v>6</v>
      </c>
      <c r="AX5" s="2">
        <v>8</v>
      </c>
      <c r="AY5" s="2">
        <v>6</v>
      </c>
      <c r="AZ5" s="2">
        <v>6</v>
      </c>
      <c r="BA5" s="2">
        <v>5</v>
      </c>
      <c r="BB5" s="2">
        <v>5</v>
      </c>
      <c r="BC5" s="2">
        <v>5</v>
      </c>
      <c r="BD5" s="2">
        <v>7</v>
      </c>
      <c r="BE5" s="2">
        <v>4</v>
      </c>
      <c r="BF5" s="2">
        <v>8</v>
      </c>
      <c r="BG5" s="2">
        <v>5</v>
      </c>
      <c r="BH5" s="2">
        <v>7</v>
      </c>
      <c r="BI5" s="2">
        <v>6</v>
      </c>
      <c r="BJ5" s="2">
        <v>10</v>
      </c>
      <c r="BK5" s="2">
        <v>6</v>
      </c>
      <c r="BL5" s="2">
        <v>10</v>
      </c>
      <c r="BM5" s="2">
        <v>6</v>
      </c>
    </row>
    <row r="6" spans="1:65" x14ac:dyDescent="0.25">
      <c r="A6" s="9" t="s">
        <v>177</v>
      </c>
      <c r="B6" s="9" t="s">
        <v>178</v>
      </c>
      <c r="C6" s="9" t="s">
        <v>179</v>
      </c>
      <c r="D6" s="9" t="s">
        <v>180</v>
      </c>
      <c r="E6" s="9" t="s">
        <v>181</v>
      </c>
      <c r="F6" s="10">
        <v>7</v>
      </c>
      <c r="G6" s="10">
        <v>6</v>
      </c>
      <c r="H6" s="10">
        <v>5</v>
      </c>
      <c r="I6" s="10">
        <v>7</v>
      </c>
      <c r="J6" s="10">
        <v>9</v>
      </c>
      <c r="K6" s="10">
        <v>3</v>
      </c>
      <c r="L6" s="10">
        <v>9</v>
      </c>
      <c r="M6" s="10">
        <v>1</v>
      </c>
      <c r="N6" s="10">
        <v>8</v>
      </c>
      <c r="O6" s="10">
        <v>8</v>
      </c>
      <c r="P6" s="10">
        <v>8</v>
      </c>
      <c r="Q6" s="10">
        <v>7</v>
      </c>
      <c r="R6" s="10">
        <v>9</v>
      </c>
      <c r="S6" s="10">
        <v>6</v>
      </c>
      <c r="T6" s="10">
        <v>7</v>
      </c>
      <c r="U6" s="10">
        <v>7</v>
      </c>
      <c r="V6" s="10">
        <v>10</v>
      </c>
      <c r="W6" s="10">
        <v>6</v>
      </c>
      <c r="X6" s="10">
        <v>9</v>
      </c>
      <c r="Y6" s="10">
        <v>8</v>
      </c>
      <c r="Z6" s="10">
        <v>6</v>
      </c>
      <c r="AA6" s="10">
        <v>6</v>
      </c>
      <c r="AB6" s="10">
        <v>9</v>
      </c>
      <c r="AC6" s="10">
        <v>7</v>
      </c>
      <c r="AD6" s="10">
        <v>8</v>
      </c>
      <c r="AE6" s="10">
        <v>6</v>
      </c>
      <c r="AF6" s="10">
        <v>8</v>
      </c>
      <c r="AG6" s="10">
        <v>7</v>
      </c>
      <c r="AH6" s="10">
        <v>7</v>
      </c>
      <c r="AI6" s="10">
        <v>6</v>
      </c>
      <c r="AJ6" s="10">
        <v>9</v>
      </c>
      <c r="AK6" s="10">
        <v>5</v>
      </c>
      <c r="AL6" s="10">
        <v>7</v>
      </c>
      <c r="AM6" s="10">
        <v>4</v>
      </c>
      <c r="AN6" s="10">
        <v>6</v>
      </c>
      <c r="AO6" s="10">
        <v>5</v>
      </c>
      <c r="AP6" s="10">
        <v>8</v>
      </c>
      <c r="AQ6" s="10">
        <v>4</v>
      </c>
      <c r="AR6" s="10">
        <v>8</v>
      </c>
      <c r="AS6" s="10">
        <v>4</v>
      </c>
      <c r="AT6" s="10">
        <v>8</v>
      </c>
      <c r="AU6" s="10">
        <v>5</v>
      </c>
      <c r="AV6" s="10">
        <v>10</v>
      </c>
      <c r="AW6" s="10">
        <v>5</v>
      </c>
      <c r="AX6" s="10">
        <v>8</v>
      </c>
      <c r="AY6" s="10">
        <v>7</v>
      </c>
      <c r="AZ6" s="10">
        <v>9</v>
      </c>
      <c r="BA6" s="10">
        <v>3</v>
      </c>
      <c r="BB6" s="10">
        <v>9</v>
      </c>
      <c r="BC6" s="10">
        <v>8</v>
      </c>
      <c r="BD6" s="10">
        <v>6</v>
      </c>
      <c r="BE6" s="10">
        <v>2</v>
      </c>
      <c r="BF6" s="10">
        <v>10</v>
      </c>
      <c r="BG6" s="10">
        <v>5</v>
      </c>
      <c r="BH6" s="10">
        <v>7</v>
      </c>
      <c r="BI6" s="10">
        <v>1</v>
      </c>
      <c r="BJ6" s="10">
        <v>8</v>
      </c>
      <c r="BK6" s="10">
        <v>6</v>
      </c>
      <c r="BL6" s="10">
        <v>8</v>
      </c>
      <c r="BM6" s="10">
        <v>7</v>
      </c>
    </row>
    <row r="7" spans="1:65" x14ac:dyDescent="0.25">
      <c r="A7" s="3" t="s">
        <v>182</v>
      </c>
      <c r="B7" s="3" t="s">
        <v>183</v>
      </c>
      <c r="C7" s="3" t="s">
        <v>184</v>
      </c>
      <c r="D7" s="3" t="s">
        <v>185</v>
      </c>
      <c r="E7" s="3" t="s">
        <v>173</v>
      </c>
      <c r="F7" s="2">
        <v>10</v>
      </c>
      <c r="G7" s="2">
        <v>5</v>
      </c>
      <c r="H7" s="2">
        <v>9</v>
      </c>
      <c r="I7" s="2">
        <v>3</v>
      </c>
      <c r="J7" s="2">
        <v>9</v>
      </c>
      <c r="K7" s="2">
        <v>6</v>
      </c>
      <c r="L7" s="2">
        <v>7</v>
      </c>
      <c r="M7" s="2">
        <v>4</v>
      </c>
      <c r="N7" s="2">
        <v>10</v>
      </c>
      <c r="O7" s="2">
        <v>5</v>
      </c>
      <c r="P7" s="2">
        <v>9</v>
      </c>
      <c r="Q7" s="2">
        <v>7</v>
      </c>
      <c r="R7" s="2">
        <v>8</v>
      </c>
      <c r="S7" s="2">
        <v>7</v>
      </c>
      <c r="T7" s="2">
        <v>10</v>
      </c>
      <c r="U7" s="2">
        <v>1</v>
      </c>
      <c r="V7" s="2">
        <v>8</v>
      </c>
      <c r="W7" s="2">
        <v>4</v>
      </c>
      <c r="X7" s="2">
        <v>6</v>
      </c>
      <c r="Y7" s="2">
        <v>5</v>
      </c>
      <c r="Z7" s="2">
        <v>7</v>
      </c>
      <c r="AA7" s="2">
        <v>3</v>
      </c>
      <c r="AB7" s="2">
        <v>9</v>
      </c>
      <c r="AC7" s="2">
        <v>9</v>
      </c>
      <c r="AD7" s="2">
        <v>7</v>
      </c>
      <c r="AE7" s="2">
        <v>7</v>
      </c>
      <c r="AF7" s="2">
        <v>8</v>
      </c>
      <c r="AG7" s="2">
        <v>5</v>
      </c>
      <c r="AH7" s="2">
        <v>7</v>
      </c>
      <c r="AI7" s="2">
        <v>5</v>
      </c>
      <c r="AJ7" s="2">
        <v>10</v>
      </c>
      <c r="AK7" s="2">
        <v>1</v>
      </c>
      <c r="AL7" s="2">
        <v>9</v>
      </c>
      <c r="AM7" s="2">
        <v>9</v>
      </c>
      <c r="AN7" s="2">
        <v>9</v>
      </c>
      <c r="AO7" s="2">
        <v>2</v>
      </c>
      <c r="AP7" s="2">
        <v>7</v>
      </c>
      <c r="AQ7" s="2">
        <v>4</v>
      </c>
      <c r="AR7" s="2">
        <v>10</v>
      </c>
      <c r="AS7" s="2">
        <v>7</v>
      </c>
      <c r="AT7" s="2">
        <v>6</v>
      </c>
      <c r="AU7" s="2">
        <v>5</v>
      </c>
      <c r="AV7" s="2">
        <v>7</v>
      </c>
      <c r="AW7" s="2">
        <v>6</v>
      </c>
      <c r="AX7" s="2">
        <v>7</v>
      </c>
      <c r="AY7" s="2">
        <v>8</v>
      </c>
      <c r="AZ7" s="2">
        <v>9</v>
      </c>
      <c r="BA7" s="2">
        <v>6</v>
      </c>
      <c r="BB7" s="2">
        <v>8</v>
      </c>
      <c r="BC7" s="2">
        <v>4</v>
      </c>
      <c r="BD7" s="2">
        <v>10</v>
      </c>
      <c r="BE7" s="2">
        <v>8</v>
      </c>
      <c r="BF7" s="2">
        <v>9</v>
      </c>
      <c r="BG7" s="2">
        <v>6</v>
      </c>
      <c r="BH7" s="2">
        <v>9</v>
      </c>
      <c r="BI7" s="2">
        <v>2</v>
      </c>
      <c r="BJ7" s="2">
        <v>8</v>
      </c>
      <c r="BK7" s="2">
        <v>4</v>
      </c>
      <c r="BL7" s="2">
        <v>10</v>
      </c>
      <c r="BM7" s="2">
        <v>4</v>
      </c>
    </row>
    <row r="8" spans="1:65" x14ac:dyDescent="0.25">
      <c r="A8" s="9" t="s">
        <v>186</v>
      </c>
      <c r="B8" s="9" t="s">
        <v>170</v>
      </c>
      <c r="C8" s="9" t="s">
        <v>171</v>
      </c>
      <c r="D8" s="9" t="s">
        <v>187</v>
      </c>
      <c r="E8" s="9" t="s">
        <v>173</v>
      </c>
      <c r="F8" s="10">
        <v>7</v>
      </c>
      <c r="G8" s="10">
        <v>5</v>
      </c>
      <c r="H8" s="10">
        <v>7</v>
      </c>
      <c r="I8" s="10">
        <v>6</v>
      </c>
      <c r="J8" s="10">
        <v>6</v>
      </c>
      <c r="K8" s="10">
        <v>8</v>
      </c>
      <c r="L8" s="10">
        <v>7</v>
      </c>
      <c r="M8" s="10">
        <v>6</v>
      </c>
      <c r="N8" s="10">
        <v>8</v>
      </c>
      <c r="O8" s="10">
        <v>7</v>
      </c>
      <c r="P8" s="10">
        <v>7</v>
      </c>
      <c r="Q8" s="10">
        <v>6</v>
      </c>
      <c r="R8" s="10">
        <v>8</v>
      </c>
      <c r="S8" s="10">
        <v>5</v>
      </c>
      <c r="T8" s="10">
        <v>10</v>
      </c>
      <c r="U8" s="10">
        <v>6</v>
      </c>
      <c r="V8" s="10">
        <v>8</v>
      </c>
      <c r="W8" s="10">
        <v>9</v>
      </c>
      <c r="X8" s="10">
        <v>10</v>
      </c>
      <c r="Y8" s="10">
        <v>9</v>
      </c>
      <c r="Z8" s="10">
        <v>7</v>
      </c>
      <c r="AA8" s="10">
        <v>9</v>
      </c>
      <c r="AB8" s="10">
        <v>10</v>
      </c>
      <c r="AC8" s="10">
        <v>8</v>
      </c>
      <c r="AD8" s="10">
        <v>8</v>
      </c>
      <c r="AE8" s="10">
        <v>5</v>
      </c>
      <c r="AF8" s="10">
        <v>6</v>
      </c>
      <c r="AG8" s="10">
        <v>5</v>
      </c>
      <c r="AH8" s="10">
        <v>7</v>
      </c>
      <c r="AI8" s="10">
        <v>7</v>
      </c>
      <c r="AJ8" s="10">
        <v>10</v>
      </c>
      <c r="AK8" s="10">
        <v>3</v>
      </c>
      <c r="AL8" s="10">
        <v>8</v>
      </c>
      <c r="AM8" s="10">
        <v>4</v>
      </c>
      <c r="AN8" s="10">
        <v>8</v>
      </c>
      <c r="AO8" s="10">
        <v>4</v>
      </c>
      <c r="AP8" s="10">
        <v>8</v>
      </c>
      <c r="AQ8" s="10">
        <v>5</v>
      </c>
      <c r="AR8" s="10">
        <v>7</v>
      </c>
      <c r="AS8" s="10">
        <v>6</v>
      </c>
      <c r="AT8" s="10">
        <v>7</v>
      </c>
      <c r="AU8" s="10">
        <v>8</v>
      </c>
      <c r="AV8" s="10">
        <v>9</v>
      </c>
      <c r="AW8" s="10">
        <v>2</v>
      </c>
      <c r="AX8" s="10">
        <v>9</v>
      </c>
      <c r="AY8" s="10">
        <v>5</v>
      </c>
      <c r="AZ8" s="10">
        <v>8</v>
      </c>
      <c r="BA8" s="10">
        <v>4</v>
      </c>
      <c r="BB8" s="10">
        <v>8</v>
      </c>
      <c r="BC8" s="10">
        <v>4</v>
      </c>
      <c r="BD8" s="10">
        <v>7</v>
      </c>
      <c r="BE8" s="10">
        <v>5</v>
      </c>
      <c r="BF8" s="10">
        <v>8</v>
      </c>
      <c r="BG8" s="10">
        <v>4</v>
      </c>
      <c r="BH8" s="10">
        <v>8</v>
      </c>
      <c r="BI8" s="10">
        <v>5</v>
      </c>
      <c r="BJ8" s="10">
        <v>8</v>
      </c>
      <c r="BK8" s="10">
        <v>6</v>
      </c>
      <c r="BL8" s="10">
        <v>7</v>
      </c>
      <c r="BM8" s="10">
        <v>6</v>
      </c>
    </row>
    <row r="9" spans="1:65" x14ac:dyDescent="0.25">
      <c r="A9" s="3" t="s">
        <v>188</v>
      </c>
      <c r="B9" s="3" t="s">
        <v>178</v>
      </c>
      <c r="C9" s="3" t="s">
        <v>179</v>
      </c>
      <c r="D9" s="3" t="s">
        <v>185</v>
      </c>
      <c r="E9" s="3" t="s">
        <v>176</v>
      </c>
      <c r="F9" s="2">
        <v>9</v>
      </c>
      <c r="G9" s="2">
        <v>5</v>
      </c>
      <c r="H9" s="2">
        <v>9</v>
      </c>
      <c r="I9" s="2">
        <v>4</v>
      </c>
      <c r="J9" s="2">
        <v>9</v>
      </c>
      <c r="K9" s="2">
        <v>6</v>
      </c>
      <c r="L9" s="2">
        <v>10</v>
      </c>
      <c r="M9" s="2">
        <v>3</v>
      </c>
      <c r="N9" s="2">
        <v>8</v>
      </c>
      <c r="O9" s="2">
        <v>4</v>
      </c>
      <c r="P9" s="2">
        <v>8</v>
      </c>
      <c r="Q9" s="2">
        <v>8</v>
      </c>
      <c r="R9" s="2">
        <v>9</v>
      </c>
      <c r="S9" s="2">
        <v>7</v>
      </c>
      <c r="T9" s="2">
        <v>8</v>
      </c>
      <c r="U9" s="2">
        <v>7</v>
      </c>
      <c r="V9" s="2">
        <v>10</v>
      </c>
      <c r="W9" s="2">
        <v>3</v>
      </c>
      <c r="X9" s="2">
        <v>8</v>
      </c>
      <c r="Y9" s="2">
        <v>6</v>
      </c>
      <c r="Z9" s="2">
        <v>8</v>
      </c>
      <c r="AA9" s="2">
        <v>8</v>
      </c>
      <c r="AB9" s="2">
        <v>7</v>
      </c>
      <c r="AC9" s="2">
        <v>7</v>
      </c>
      <c r="AD9" s="2">
        <v>8</v>
      </c>
      <c r="AE9" s="2">
        <v>5</v>
      </c>
      <c r="AF9" s="2">
        <v>8</v>
      </c>
      <c r="AG9" s="2">
        <v>6</v>
      </c>
      <c r="AH9" s="2">
        <v>9</v>
      </c>
      <c r="AI9" s="2">
        <v>7</v>
      </c>
      <c r="AJ9" s="2">
        <v>7</v>
      </c>
      <c r="AK9" s="2">
        <v>7</v>
      </c>
      <c r="AL9" s="2">
        <v>7</v>
      </c>
      <c r="AM9" s="2">
        <v>3</v>
      </c>
      <c r="AN9" s="2">
        <v>8</v>
      </c>
      <c r="AO9" s="2">
        <v>6</v>
      </c>
      <c r="AP9" s="2">
        <v>9</v>
      </c>
      <c r="AQ9" s="2">
        <v>7</v>
      </c>
      <c r="AR9" s="2">
        <v>8</v>
      </c>
      <c r="AS9" s="2">
        <v>8</v>
      </c>
      <c r="AT9" s="2">
        <v>8</v>
      </c>
      <c r="AU9" s="2">
        <v>7</v>
      </c>
      <c r="AV9" s="2">
        <v>9</v>
      </c>
      <c r="AW9" s="2">
        <v>7</v>
      </c>
      <c r="AX9" s="2">
        <v>8</v>
      </c>
      <c r="AY9" s="2">
        <v>6</v>
      </c>
      <c r="AZ9" s="2">
        <v>6</v>
      </c>
      <c r="BA9" s="2">
        <v>2</v>
      </c>
      <c r="BB9" s="2">
        <v>7</v>
      </c>
      <c r="BC9" s="2">
        <v>5</v>
      </c>
      <c r="BD9" s="2">
        <v>8</v>
      </c>
      <c r="BE9" s="2">
        <v>4</v>
      </c>
      <c r="BF9" s="2">
        <v>9</v>
      </c>
      <c r="BG9" s="2">
        <v>3</v>
      </c>
      <c r="BH9" s="2">
        <v>10</v>
      </c>
      <c r="BI9" s="2">
        <v>5</v>
      </c>
      <c r="BJ9" s="2">
        <v>7</v>
      </c>
      <c r="BK9" s="2">
        <v>6</v>
      </c>
      <c r="BL9" s="2">
        <v>7</v>
      </c>
      <c r="BM9" s="2">
        <v>8</v>
      </c>
    </row>
    <row r="10" spans="1:65" x14ac:dyDescent="0.25">
      <c r="A10" s="9" t="s">
        <v>189</v>
      </c>
      <c r="B10" s="9" t="s">
        <v>178</v>
      </c>
      <c r="C10" s="9" t="s">
        <v>175</v>
      </c>
      <c r="D10" s="9" t="s">
        <v>187</v>
      </c>
      <c r="E10" s="9" t="s">
        <v>190</v>
      </c>
      <c r="F10" s="10">
        <v>7</v>
      </c>
      <c r="G10" s="10">
        <v>5</v>
      </c>
      <c r="H10" s="10">
        <v>9</v>
      </c>
      <c r="I10" s="10">
        <v>6</v>
      </c>
      <c r="J10" s="10">
        <v>6</v>
      </c>
      <c r="K10" s="10">
        <v>6</v>
      </c>
      <c r="L10" s="10">
        <v>8</v>
      </c>
      <c r="M10" s="10">
        <v>5</v>
      </c>
      <c r="N10" s="10">
        <v>8</v>
      </c>
      <c r="O10" s="10">
        <v>6</v>
      </c>
      <c r="P10" s="10">
        <v>8</v>
      </c>
      <c r="Q10" s="10">
        <v>8</v>
      </c>
      <c r="R10" s="10">
        <v>8</v>
      </c>
      <c r="S10" s="10">
        <v>7</v>
      </c>
      <c r="T10" s="10">
        <v>9</v>
      </c>
      <c r="U10" s="10">
        <v>8</v>
      </c>
      <c r="V10" s="10">
        <v>7</v>
      </c>
      <c r="W10" s="10">
        <v>9</v>
      </c>
      <c r="X10" s="10">
        <v>8</v>
      </c>
      <c r="Y10" s="10">
        <v>7</v>
      </c>
      <c r="Z10" s="10">
        <v>9</v>
      </c>
      <c r="AA10" s="10">
        <v>8</v>
      </c>
      <c r="AB10" s="10">
        <v>8</v>
      </c>
      <c r="AC10" s="10">
        <v>4</v>
      </c>
      <c r="AD10" s="10">
        <v>5</v>
      </c>
      <c r="AE10" s="10">
        <v>7</v>
      </c>
      <c r="AF10" s="10">
        <v>8</v>
      </c>
      <c r="AG10" s="10">
        <v>9</v>
      </c>
      <c r="AH10" s="10">
        <v>6</v>
      </c>
      <c r="AI10" s="10">
        <v>6</v>
      </c>
      <c r="AJ10" s="10">
        <v>7</v>
      </c>
      <c r="AK10" s="10">
        <v>7</v>
      </c>
      <c r="AL10" s="10">
        <v>8</v>
      </c>
      <c r="AM10" s="10">
        <v>4</v>
      </c>
      <c r="AN10" s="10">
        <v>8</v>
      </c>
      <c r="AO10" s="10">
        <v>6</v>
      </c>
      <c r="AP10" s="10">
        <v>6</v>
      </c>
      <c r="AQ10" s="10">
        <v>5</v>
      </c>
      <c r="AR10" s="10">
        <v>8</v>
      </c>
      <c r="AS10" s="10">
        <v>7</v>
      </c>
      <c r="AT10" s="10">
        <v>9</v>
      </c>
      <c r="AU10" s="10">
        <v>5</v>
      </c>
      <c r="AV10" s="10">
        <v>8</v>
      </c>
      <c r="AW10" s="10">
        <v>6</v>
      </c>
      <c r="AX10" s="10">
        <v>8</v>
      </c>
      <c r="AY10" s="10">
        <v>6</v>
      </c>
      <c r="AZ10" s="10">
        <v>7</v>
      </c>
      <c r="BA10" s="10">
        <v>10</v>
      </c>
      <c r="BB10" s="10">
        <v>7</v>
      </c>
      <c r="BC10" s="10">
        <v>5</v>
      </c>
      <c r="BD10" s="10">
        <v>6</v>
      </c>
      <c r="BE10" s="10">
        <v>5</v>
      </c>
      <c r="BF10" s="10">
        <v>7</v>
      </c>
      <c r="BG10" s="10">
        <v>5</v>
      </c>
      <c r="BH10" s="10">
        <v>10</v>
      </c>
      <c r="BI10" s="10">
        <v>6</v>
      </c>
      <c r="BJ10" s="10">
        <v>8</v>
      </c>
      <c r="BK10" s="10">
        <v>3</v>
      </c>
      <c r="BL10" s="10">
        <v>8</v>
      </c>
      <c r="BM10" s="10">
        <v>5</v>
      </c>
    </row>
    <row r="11" spans="1:65" x14ac:dyDescent="0.25">
      <c r="A11" s="3" t="s">
        <v>191</v>
      </c>
      <c r="B11" s="3" t="s">
        <v>192</v>
      </c>
      <c r="C11" s="3" t="s">
        <v>184</v>
      </c>
      <c r="D11" s="3" t="s">
        <v>172</v>
      </c>
      <c r="E11" s="3" t="s">
        <v>181</v>
      </c>
      <c r="F11" s="2">
        <v>9</v>
      </c>
      <c r="G11" s="2">
        <v>8</v>
      </c>
      <c r="H11" s="2">
        <v>8</v>
      </c>
      <c r="I11" s="2">
        <v>5</v>
      </c>
      <c r="J11" s="2">
        <v>7</v>
      </c>
      <c r="K11" s="2">
        <v>7</v>
      </c>
      <c r="L11" s="2">
        <v>9</v>
      </c>
      <c r="M11" s="2">
        <v>6</v>
      </c>
      <c r="N11" s="2">
        <v>6</v>
      </c>
      <c r="O11" s="2">
        <v>5</v>
      </c>
      <c r="P11" s="2">
        <v>8</v>
      </c>
      <c r="Q11" s="2">
        <v>8</v>
      </c>
      <c r="R11" s="2">
        <v>9</v>
      </c>
      <c r="S11" s="2">
        <v>7</v>
      </c>
      <c r="T11" s="2">
        <v>9</v>
      </c>
      <c r="U11" s="2">
        <v>7</v>
      </c>
      <c r="V11" s="2">
        <v>8</v>
      </c>
      <c r="W11" s="2">
        <v>8</v>
      </c>
      <c r="X11" s="2">
        <v>8</v>
      </c>
      <c r="Y11" s="2">
        <v>5</v>
      </c>
      <c r="Z11" s="2">
        <v>9</v>
      </c>
      <c r="AA11" s="2">
        <v>5</v>
      </c>
      <c r="AB11" s="2">
        <v>6</v>
      </c>
      <c r="AC11" s="2">
        <v>4</v>
      </c>
      <c r="AD11" s="2">
        <v>6</v>
      </c>
      <c r="AE11" s="2">
        <v>6</v>
      </c>
      <c r="AF11" s="2">
        <v>8</v>
      </c>
      <c r="AG11" s="2">
        <v>6</v>
      </c>
      <c r="AH11" s="2">
        <v>7</v>
      </c>
      <c r="AI11" s="2">
        <v>9</v>
      </c>
      <c r="AJ11" s="2">
        <v>8</v>
      </c>
      <c r="AK11" s="2">
        <v>6</v>
      </c>
      <c r="AL11" s="2">
        <v>7</v>
      </c>
      <c r="AM11" s="2">
        <v>2</v>
      </c>
      <c r="AN11" s="2">
        <v>10</v>
      </c>
      <c r="AO11" s="2">
        <v>3</v>
      </c>
      <c r="AP11" s="2">
        <v>8</v>
      </c>
      <c r="AQ11" s="2">
        <v>7</v>
      </c>
      <c r="AR11" s="2">
        <v>10</v>
      </c>
      <c r="AS11" s="2">
        <v>5</v>
      </c>
      <c r="AT11" s="2">
        <v>10</v>
      </c>
      <c r="AU11" s="2">
        <v>4</v>
      </c>
      <c r="AV11" s="2">
        <v>7</v>
      </c>
      <c r="AW11" s="2">
        <v>6</v>
      </c>
      <c r="AX11" s="2">
        <v>6</v>
      </c>
      <c r="AY11" s="2">
        <v>6</v>
      </c>
      <c r="AZ11" s="2">
        <v>8</v>
      </c>
      <c r="BA11" s="2">
        <v>7</v>
      </c>
      <c r="BB11" s="2">
        <v>7</v>
      </c>
      <c r="BC11" s="2">
        <v>6</v>
      </c>
      <c r="BD11" s="2">
        <v>7</v>
      </c>
      <c r="BE11" s="2">
        <v>7</v>
      </c>
      <c r="BF11" s="2">
        <v>7</v>
      </c>
      <c r="BG11" s="2">
        <v>7</v>
      </c>
      <c r="BH11" s="2">
        <v>10</v>
      </c>
      <c r="BI11" s="2">
        <v>4</v>
      </c>
      <c r="BJ11" s="2">
        <v>7</v>
      </c>
      <c r="BK11" s="2">
        <v>5</v>
      </c>
      <c r="BL11" s="2">
        <v>9</v>
      </c>
      <c r="BM11" s="2">
        <v>5</v>
      </c>
    </row>
    <row r="12" spans="1:65" x14ac:dyDescent="0.25">
      <c r="A12" s="9" t="s">
        <v>193</v>
      </c>
      <c r="B12" s="9" t="s">
        <v>178</v>
      </c>
      <c r="C12" s="9" t="s">
        <v>194</v>
      </c>
      <c r="D12" s="9" t="s">
        <v>185</v>
      </c>
      <c r="E12" s="9" t="s">
        <v>176</v>
      </c>
      <c r="F12" s="10">
        <v>9</v>
      </c>
      <c r="G12" s="10">
        <v>7</v>
      </c>
      <c r="H12" s="10">
        <v>7</v>
      </c>
      <c r="I12" s="10">
        <v>6</v>
      </c>
      <c r="J12" s="10">
        <v>8</v>
      </c>
      <c r="K12" s="10">
        <v>7</v>
      </c>
      <c r="L12" s="10">
        <v>9</v>
      </c>
      <c r="M12" s="10">
        <v>3</v>
      </c>
      <c r="N12" s="10">
        <v>9</v>
      </c>
      <c r="O12" s="10">
        <v>8</v>
      </c>
      <c r="P12" s="10">
        <v>10</v>
      </c>
      <c r="Q12" s="10">
        <v>9</v>
      </c>
      <c r="R12" s="10">
        <v>8</v>
      </c>
      <c r="S12" s="10">
        <v>7</v>
      </c>
      <c r="T12" s="10">
        <v>6</v>
      </c>
      <c r="U12" s="10">
        <v>7</v>
      </c>
      <c r="V12" s="10">
        <v>8</v>
      </c>
      <c r="W12" s="10">
        <v>10</v>
      </c>
      <c r="X12" s="10">
        <v>8</v>
      </c>
      <c r="Y12" s="10">
        <v>9</v>
      </c>
      <c r="Z12" s="10">
        <v>9</v>
      </c>
      <c r="AA12" s="10">
        <v>6</v>
      </c>
      <c r="AB12" s="10">
        <v>8</v>
      </c>
      <c r="AC12" s="10">
        <v>6</v>
      </c>
      <c r="AD12" s="10">
        <v>5</v>
      </c>
      <c r="AE12" s="10">
        <v>8</v>
      </c>
      <c r="AF12" s="10">
        <v>8</v>
      </c>
      <c r="AG12" s="10">
        <v>5</v>
      </c>
      <c r="AH12" s="10">
        <v>4</v>
      </c>
      <c r="AI12" s="10">
        <v>4</v>
      </c>
      <c r="AJ12" s="10">
        <v>9</v>
      </c>
      <c r="AK12" s="10">
        <v>7</v>
      </c>
      <c r="AL12" s="10">
        <v>7</v>
      </c>
      <c r="AM12" s="10">
        <v>5</v>
      </c>
      <c r="AN12" s="10">
        <v>8</v>
      </c>
      <c r="AO12" s="10">
        <v>6</v>
      </c>
      <c r="AP12" s="10">
        <v>7</v>
      </c>
      <c r="AQ12" s="10">
        <v>5</v>
      </c>
      <c r="AR12" s="10">
        <v>10</v>
      </c>
      <c r="AS12" s="10">
        <v>6</v>
      </c>
      <c r="AT12" s="10">
        <v>8</v>
      </c>
      <c r="AU12" s="10">
        <v>4</v>
      </c>
      <c r="AV12" s="10">
        <v>9</v>
      </c>
      <c r="AW12" s="10">
        <v>1</v>
      </c>
      <c r="AX12" s="10">
        <v>9</v>
      </c>
      <c r="AY12" s="10">
        <v>6</v>
      </c>
      <c r="AZ12" s="10">
        <v>9</v>
      </c>
      <c r="BA12" s="10">
        <v>3</v>
      </c>
      <c r="BB12" s="10">
        <v>6</v>
      </c>
      <c r="BC12" s="10">
        <v>5</v>
      </c>
      <c r="BD12" s="10">
        <v>7</v>
      </c>
      <c r="BE12" s="10">
        <v>6</v>
      </c>
      <c r="BF12" s="10">
        <v>5</v>
      </c>
      <c r="BG12" s="10">
        <v>6</v>
      </c>
      <c r="BH12" s="10">
        <v>7</v>
      </c>
      <c r="BI12" s="10">
        <v>3</v>
      </c>
      <c r="BJ12" s="10">
        <v>9</v>
      </c>
      <c r="BK12" s="10">
        <v>2</v>
      </c>
      <c r="BL12" s="10">
        <v>7</v>
      </c>
      <c r="BM12" s="10">
        <v>8</v>
      </c>
    </row>
    <row r="13" spans="1:65" x14ac:dyDescent="0.25">
      <c r="A13" s="3" t="s">
        <v>195</v>
      </c>
      <c r="B13" s="3" t="s">
        <v>192</v>
      </c>
      <c r="C13" s="3" t="s">
        <v>171</v>
      </c>
      <c r="D13" s="3" t="s">
        <v>172</v>
      </c>
      <c r="E13" s="3" t="s">
        <v>181</v>
      </c>
      <c r="F13" s="2">
        <v>6</v>
      </c>
      <c r="G13" s="2">
        <v>4</v>
      </c>
      <c r="H13" s="2">
        <v>8</v>
      </c>
      <c r="I13" s="2">
        <v>5</v>
      </c>
      <c r="J13" s="2">
        <v>6</v>
      </c>
      <c r="K13" s="2">
        <v>4</v>
      </c>
      <c r="L13" s="2">
        <v>9</v>
      </c>
      <c r="M13" s="2">
        <v>2</v>
      </c>
      <c r="N13" s="2">
        <v>7</v>
      </c>
      <c r="O13" s="2">
        <v>7</v>
      </c>
      <c r="P13" s="2">
        <v>7</v>
      </c>
      <c r="Q13" s="2">
        <v>8</v>
      </c>
      <c r="R13" s="2">
        <v>9</v>
      </c>
      <c r="S13" s="2">
        <v>8</v>
      </c>
      <c r="T13" s="2">
        <v>8</v>
      </c>
      <c r="U13" s="2">
        <v>5</v>
      </c>
      <c r="V13" s="2">
        <v>8</v>
      </c>
      <c r="W13" s="2">
        <v>9</v>
      </c>
      <c r="X13" s="2">
        <v>7</v>
      </c>
      <c r="Y13" s="2">
        <v>4</v>
      </c>
      <c r="Z13" s="2">
        <v>7</v>
      </c>
      <c r="AA13" s="2">
        <v>8</v>
      </c>
      <c r="AB13" s="2">
        <v>10</v>
      </c>
      <c r="AC13" s="2">
        <v>5</v>
      </c>
      <c r="AD13" s="2">
        <v>9</v>
      </c>
      <c r="AE13" s="2">
        <v>6</v>
      </c>
      <c r="AF13" s="2">
        <v>6</v>
      </c>
      <c r="AG13" s="2">
        <v>10</v>
      </c>
      <c r="AH13" s="2">
        <v>8</v>
      </c>
      <c r="AI13" s="2">
        <v>7</v>
      </c>
      <c r="AJ13" s="2">
        <v>10</v>
      </c>
      <c r="AK13" s="2">
        <v>2</v>
      </c>
      <c r="AL13" s="2">
        <v>10</v>
      </c>
      <c r="AM13" s="2">
        <v>6</v>
      </c>
      <c r="AN13" s="2">
        <v>10</v>
      </c>
      <c r="AO13" s="2">
        <v>5</v>
      </c>
      <c r="AP13" s="2">
        <v>9</v>
      </c>
      <c r="AQ13" s="2">
        <v>2</v>
      </c>
      <c r="AR13" s="2">
        <v>8</v>
      </c>
      <c r="AS13" s="2">
        <v>9</v>
      </c>
      <c r="AT13" s="2">
        <v>8</v>
      </c>
      <c r="AU13" s="2">
        <v>7</v>
      </c>
      <c r="AV13" s="2">
        <v>8</v>
      </c>
      <c r="AW13" s="2">
        <v>3</v>
      </c>
      <c r="AX13" s="2">
        <v>10</v>
      </c>
      <c r="AY13" s="2">
        <v>1</v>
      </c>
      <c r="AZ13" s="2">
        <v>6</v>
      </c>
      <c r="BA13" s="2">
        <v>4</v>
      </c>
      <c r="BB13" s="2">
        <v>7</v>
      </c>
      <c r="BC13" s="2">
        <v>8</v>
      </c>
      <c r="BD13" s="2">
        <v>9</v>
      </c>
      <c r="BE13" s="2">
        <v>7</v>
      </c>
      <c r="BF13" s="2">
        <v>6</v>
      </c>
      <c r="BG13" s="2">
        <v>4</v>
      </c>
      <c r="BH13" s="2">
        <v>8</v>
      </c>
      <c r="BI13" s="2">
        <v>8</v>
      </c>
      <c r="BJ13" s="2">
        <v>9</v>
      </c>
      <c r="BK13" s="2">
        <v>2</v>
      </c>
      <c r="BL13" s="2">
        <v>10</v>
      </c>
      <c r="BM13" s="2">
        <v>8</v>
      </c>
    </row>
    <row r="14" spans="1:65" x14ac:dyDescent="0.25">
      <c r="A14" s="9" t="s">
        <v>196</v>
      </c>
      <c r="B14" s="9" t="s">
        <v>183</v>
      </c>
      <c r="C14" s="9" t="s">
        <v>175</v>
      </c>
      <c r="D14" s="9" t="s">
        <v>187</v>
      </c>
      <c r="E14" s="9" t="s">
        <v>197</v>
      </c>
      <c r="F14" s="10">
        <v>8</v>
      </c>
      <c r="G14" s="10">
        <v>6</v>
      </c>
      <c r="H14" s="10">
        <v>6</v>
      </c>
      <c r="I14" s="10">
        <v>7</v>
      </c>
      <c r="J14" s="10">
        <v>6</v>
      </c>
      <c r="K14" s="10">
        <v>5</v>
      </c>
      <c r="L14" s="10">
        <v>10</v>
      </c>
      <c r="M14" s="10">
        <v>3</v>
      </c>
      <c r="N14" s="10">
        <v>8</v>
      </c>
      <c r="O14" s="10">
        <v>7</v>
      </c>
      <c r="P14" s="10">
        <v>9</v>
      </c>
      <c r="Q14" s="10">
        <v>6</v>
      </c>
      <c r="R14" s="10">
        <v>10</v>
      </c>
      <c r="S14" s="10">
        <v>9</v>
      </c>
      <c r="T14" s="10">
        <v>8</v>
      </c>
      <c r="U14" s="10">
        <v>7</v>
      </c>
      <c r="V14" s="10">
        <v>9</v>
      </c>
      <c r="W14" s="10">
        <v>8</v>
      </c>
      <c r="X14" s="10">
        <v>8</v>
      </c>
      <c r="Y14" s="10">
        <v>3</v>
      </c>
      <c r="Z14" s="10">
        <v>7</v>
      </c>
      <c r="AA14" s="10">
        <v>6</v>
      </c>
      <c r="AB14" s="10">
        <v>9</v>
      </c>
      <c r="AC14" s="10">
        <v>7</v>
      </c>
      <c r="AD14" s="10">
        <v>8</v>
      </c>
      <c r="AE14" s="10">
        <v>6</v>
      </c>
      <c r="AF14" s="10">
        <v>5</v>
      </c>
      <c r="AG14" s="10">
        <v>8</v>
      </c>
      <c r="AH14" s="10">
        <v>9</v>
      </c>
      <c r="AI14" s="10">
        <v>8</v>
      </c>
      <c r="AJ14" s="10">
        <v>9</v>
      </c>
      <c r="AK14" s="10">
        <v>5</v>
      </c>
      <c r="AL14" s="10">
        <v>8</v>
      </c>
      <c r="AM14" s="10">
        <v>6</v>
      </c>
      <c r="AN14" s="10">
        <v>7</v>
      </c>
      <c r="AO14" s="10">
        <v>6</v>
      </c>
      <c r="AP14" s="10">
        <v>8</v>
      </c>
      <c r="AQ14" s="10">
        <v>5</v>
      </c>
      <c r="AR14" s="10">
        <v>8</v>
      </c>
      <c r="AS14" s="10">
        <v>6</v>
      </c>
      <c r="AT14" s="10">
        <v>10</v>
      </c>
      <c r="AU14" s="10">
        <v>7</v>
      </c>
      <c r="AV14" s="10">
        <v>8</v>
      </c>
      <c r="AW14" s="10">
        <v>9</v>
      </c>
      <c r="AX14" s="10">
        <v>9</v>
      </c>
      <c r="AY14" s="10">
        <v>1</v>
      </c>
      <c r="AZ14" s="10">
        <v>5</v>
      </c>
      <c r="BA14" s="10">
        <v>5</v>
      </c>
      <c r="BB14" s="10">
        <v>8</v>
      </c>
      <c r="BC14" s="10">
        <v>5</v>
      </c>
      <c r="BD14" s="10">
        <v>10</v>
      </c>
      <c r="BE14" s="10">
        <v>1</v>
      </c>
      <c r="BF14" s="10">
        <v>9</v>
      </c>
      <c r="BG14" s="10">
        <v>6</v>
      </c>
      <c r="BH14" s="10">
        <v>9</v>
      </c>
      <c r="BI14" s="10">
        <v>6</v>
      </c>
      <c r="BJ14" s="10">
        <v>7</v>
      </c>
      <c r="BK14" s="10">
        <v>4</v>
      </c>
      <c r="BL14" s="10">
        <v>7</v>
      </c>
      <c r="BM14" s="10">
        <v>3</v>
      </c>
    </row>
    <row r="15" spans="1:65" x14ac:dyDescent="0.25">
      <c r="A15" s="3" t="s">
        <v>198</v>
      </c>
      <c r="B15" s="3" t="s">
        <v>170</v>
      </c>
      <c r="C15" s="3" t="s">
        <v>194</v>
      </c>
      <c r="D15" s="3" t="s">
        <v>187</v>
      </c>
      <c r="E15" s="3" t="s">
        <v>190</v>
      </c>
      <c r="F15" s="2">
        <v>8</v>
      </c>
      <c r="G15" s="2">
        <v>6</v>
      </c>
      <c r="H15" s="2">
        <v>9</v>
      </c>
      <c r="I15" s="2">
        <v>5</v>
      </c>
      <c r="J15" s="2">
        <v>7</v>
      </c>
      <c r="K15" s="2">
        <v>5</v>
      </c>
      <c r="L15" s="2">
        <v>8</v>
      </c>
      <c r="M15" s="2">
        <v>7</v>
      </c>
      <c r="N15" s="2">
        <v>7</v>
      </c>
      <c r="O15" s="2">
        <v>5</v>
      </c>
      <c r="P15" s="2">
        <v>7</v>
      </c>
      <c r="Q15" s="2">
        <v>8</v>
      </c>
      <c r="R15" s="2">
        <v>7</v>
      </c>
      <c r="S15" s="2">
        <v>6</v>
      </c>
      <c r="T15" s="2">
        <v>9</v>
      </c>
      <c r="U15" s="2">
        <v>8</v>
      </c>
      <c r="V15" s="2">
        <v>6</v>
      </c>
      <c r="W15" s="2">
        <v>5</v>
      </c>
      <c r="X15" s="2">
        <v>9</v>
      </c>
      <c r="Y15" s="2">
        <v>5</v>
      </c>
      <c r="Z15" s="2">
        <v>6</v>
      </c>
      <c r="AA15" s="2">
        <v>8</v>
      </c>
      <c r="AB15" s="2">
        <v>7</v>
      </c>
      <c r="AC15" s="2">
        <v>7</v>
      </c>
      <c r="AD15" s="2">
        <v>7</v>
      </c>
      <c r="AE15" s="2">
        <v>5</v>
      </c>
      <c r="AF15" s="2">
        <v>9</v>
      </c>
      <c r="AG15" s="2">
        <v>7</v>
      </c>
      <c r="AH15" s="2">
        <v>7</v>
      </c>
      <c r="AI15" s="2">
        <v>7</v>
      </c>
      <c r="AJ15" s="2">
        <v>9</v>
      </c>
      <c r="AK15" s="2">
        <v>5</v>
      </c>
      <c r="AL15" s="2">
        <v>6</v>
      </c>
      <c r="AM15" s="2">
        <v>7</v>
      </c>
      <c r="AN15" s="2">
        <v>6</v>
      </c>
      <c r="AO15" s="2">
        <v>7</v>
      </c>
      <c r="AP15" s="2">
        <v>8</v>
      </c>
      <c r="AQ15" s="2">
        <v>7</v>
      </c>
      <c r="AR15" s="2">
        <v>7</v>
      </c>
      <c r="AS15" s="2">
        <v>5</v>
      </c>
      <c r="AT15" s="2">
        <v>8</v>
      </c>
      <c r="AU15" s="2">
        <v>4</v>
      </c>
      <c r="AV15" s="2">
        <v>8</v>
      </c>
      <c r="AW15" s="2">
        <v>6</v>
      </c>
      <c r="AX15" s="2">
        <v>6</v>
      </c>
      <c r="AY15" s="2">
        <v>6</v>
      </c>
      <c r="AZ15" s="2">
        <v>6</v>
      </c>
      <c r="BA15" s="2">
        <v>4</v>
      </c>
      <c r="BB15" s="2">
        <v>6</v>
      </c>
      <c r="BC15" s="2">
        <v>4</v>
      </c>
      <c r="BD15" s="2">
        <v>9</v>
      </c>
      <c r="BE15" s="2">
        <v>5</v>
      </c>
      <c r="BF15" s="2">
        <v>9</v>
      </c>
      <c r="BG15" s="2">
        <v>4</v>
      </c>
      <c r="BH15" s="2">
        <v>9</v>
      </c>
      <c r="BI15" s="2">
        <v>7</v>
      </c>
      <c r="BJ15" s="2">
        <v>8</v>
      </c>
      <c r="BK15" s="2">
        <v>1</v>
      </c>
      <c r="BL15" s="2">
        <v>7</v>
      </c>
      <c r="BM15" s="2">
        <v>5</v>
      </c>
    </row>
    <row r="16" spans="1:65" x14ac:dyDescent="0.25">
      <c r="A16" s="9" t="s">
        <v>199</v>
      </c>
      <c r="B16" s="9" t="s">
        <v>183</v>
      </c>
      <c r="C16" s="9" t="s">
        <v>184</v>
      </c>
      <c r="D16" s="9" t="s">
        <v>187</v>
      </c>
      <c r="E16" s="9" t="s">
        <v>200</v>
      </c>
      <c r="F16" s="10">
        <v>8</v>
      </c>
      <c r="G16" s="10">
        <v>4</v>
      </c>
      <c r="H16" s="10">
        <v>8</v>
      </c>
      <c r="I16" s="10">
        <v>6</v>
      </c>
      <c r="J16" s="10">
        <v>7</v>
      </c>
      <c r="K16" s="10">
        <v>5</v>
      </c>
      <c r="L16" s="10">
        <v>7</v>
      </c>
      <c r="M16" s="10">
        <v>6</v>
      </c>
      <c r="N16" s="10">
        <v>8</v>
      </c>
      <c r="O16" s="10">
        <v>5</v>
      </c>
      <c r="P16" s="10">
        <v>8</v>
      </c>
      <c r="Q16" s="10">
        <v>9</v>
      </c>
      <c r="R16" s="10">
        <v>8</v>
      </c>
      <c r="S16" s="10">
        <v>6</v>
      </c>
      <c r="T16" s="10">
        <v>8</v>
      </c>
      <c r="U16" s="10">
        <v>6</v>
      </c>
      <c r="V16" s="10">
        <v>8</v>
      </c>
      <c r="W16" s="10">
        <v>7</v>
      </c>
      <c r="X16" s="10">
        <v>8</v>
      </c>
      <c r="Y16" s="10">
        <v>7</v>
      </c>
      <c r="Z16" s="10">
        <v>8</v>
      </c>
      <c r="AA16" s="10">
        <v>8</v>
      </c>
      <c r="AB16" s="10">
        <v>5</v>
      </c>
      <c r="AC16" s="10">
        <v>6</v>
      </c>
      <c r="AD16" s="10">
        <v>9</v>
      </c>
      <c r="AE16" s="10">
        <v>2</v>
      </c>
      <c r="AF16" s="10">
        <v>10</v>
      </c>
      <c r="AG16" s="10">
        <v>5</v>
      </c>
      <c r="AH16" s="10">
        <v>6</v>
      </c>
      <c r="AI16" s="10">
        <v>6</v>
      </c>
      <c r="AJ16" s="10">
        <v>8</v>
      </c>
      <c r="AK16" s="10">
        <v>6</v>
      </c>
      <c r="AL16" s="10">
        <v>8</v>
      </c>
      <c r="AM16" s="10">
        <v>3</v>
      </c>
      <c r="AN16" s="10">
        <v>8</v>
      </c>
      <c r="AO16" s="10">
        <v>5</v>
      </c>
      <c r="AP16" s="10">
        <v>8</v>
      </c>
      <c r="AQ16" s="10">
        <v>8</v>
      </c>
      <c r="AR16" s="10">
        <v>7</v>
      </c>
      <c r="AS16" s="10">
        <v>6</v>
      </c>
      <c r="AT16" s="10">
        <v>7</v>
      </c>
      <c r="AU16" s="10">
        <v>6</v>
      </c>
      <c r="AV16" s="10">
        <v>9</v>
      </c>
      <c r="AW16" s="10">
        <v>7</v>
      </c>
      <c r="AX16" s="10">
        <v>6</v>
      </c>
      <c r="AY16" s="10">
        <v>8</v>
      </c>
      <c r="AZ16" s="10">
        <v>8</v>
      </c>
      <c r="BA16" s="10">
        <v>4</v>
      </c>
      <c r="BB16" s="10">
        <v>8</v>
      </c>
      <c r="BC16" s="10">
        <v>8</v>
      </c>
      <c r="BD16" s="10">
        <v>8</v>
      </c>
      <c r="BE16" s="10">
        <v>4</v>
      </c>
      <c r="BF16" s="10">
        <v>6</v>
      </c>
      <c r="BG16" s="10">
        <v>5</v>
      </c>
      <c r="BH16" s="10">
        <v>6</v>
      </c>
      <c r="BI16" s="10">
        <v>6</v>
      </c>
      <c r="BJ16" s="10">
        <v>7</v>
      </c>
      <c r="BK16" s="10">
        <v>3</v>
      </c>
      <c r="BL16" s="10">
        <v>8</v>
      </c>
      <c r="BM16" s="10">
        <v>4</v>
      </c>
    </row>
    <row r="17" spans="1:65" x14ac:dyDescent="0.25">
      <c r="A17" s="3" t="s">
        <v>201</v>
      </c>
      <c r="B17" s="3" t="s">
        <v>202</v>
      </c>
      <c r="C17" s="3" t="s">
        <v>184</v>
      </c>
      <c r="D17" s="3" t="s">
        <v>187</v>
      </c>
      <c r="E17" s="3" t="s">
        <v>203</v>
      </c>
      <c r="F17" s="2">
        <v>8</v>
      </c>
      <c r="G17" s="2">
        <v>7</v>
      </c>
      <c r="H17" s="2">
        <v>9</v>
      </c>
      <c r="I17" s="2">
        <v>7</v>
      </c>
      <c r="J17" s="2">
        <v>6</v>
      </c>
      <c r="K17" s="2">
        <v>3</v>
      </c>
      <c r="L17" s="2">
        <v>7</v>
      </c>
      <c r="M17" s="2">
        <v>5</v>
      </c>
      <c r="N17" s="2">
        <v>9</v>
      </c>
      <c r="O17" s="2">
        <v>2</v>
      </c>
      <c r="P17" s="2">
        <v>7</v>
      </c>
      <c r="Q17" s="2">
        <v>5</v>
      </c>
      <c r="R17" s="2">
        <v>6</v>
      </c>
      <c r="S17" s="2">
        <v>7</v>
      </c>
      <c r="T17" s="2">
        <v>9</v>
      </c>
      <c r="U17" s="2">
        <v>6</v>
      </c>
      <c r="V17" s="2">
        <v>10</v>
      </c>
      <c r="W17" s="2">
        <v>7</v>
      </c>
      <c r="X17" s="2">
        <v>7</v>
      </c>
      <c r="Y17" s="2">
        <v>6</v>
      </c>
      <c r="Z17" s="2">
        <v>9</v>
      </c>
      <c r="AA17" s="2">
        <v>6</v>
      </c>
      <c r="AB17" s="2">
        <v>7</v>
      </c>
      <c r="AC17" s="2">
        <v>6</v>
      </c>
      <c r="AD17" s="2">
        <v>7</v>
      </c>
      <c r="AE17" s="2">
        <v>8</v>
      </c>
      <c r="AF17" s="2">
        <v>7</v>
      </c>
      <c r="AG17" s="2">
        <v>7</v>
      </c>
      <c r="AH17" s="2">
        <v>9</v>
      </c>
      <c r="AI17" s="2">
        <v>6</v>
      </c>
      <c r="AJ17" s="2">
        <v>9</v>
      </c>
      <c r="AK17" s="2">
        <v>7</v>
      </c>
      <c r="AL17" s="2">
        <v>7</v>
      </c>
      <c r="AM17" s="2">
        <v>8</v>
      </c>
      <c r="AN17" s="2">
        <v>9</v>
      </c>
      <c r="AO17" s="2">
        <v>7</v>
      </c>
      <c r="AP17" s="2">
        <v>7</v>
      </c>
      <c r="AQ17" s="2">
        <v>5</v>
      </c>
      <c r="AR17" s="2">
        <v>9</v>
      </c>
      <c r="AS17" s="2">
        <v>7</v>
      </c>
      <c r="AT17" s="2">
        <v>10</v>
      </c>
      <c r="AU17" s="2">
        <v>5</v>
      </c>
      <c r="AV17" s="2">
        <v>10</v>
      </c>
      <c r="AW17" s="2">
        <v>1</v>
      </c>
      <c r="AX17" s="2">
        <v>9</v>
      </c>
      <c r="AY17" s="2">
        <v>5</v>
      </c>
      <c r="AZ17" s="2">
        <v>10</v>
      </c>
      <c r="BA17" s="2">
        <v>10</v>
      </c>
      <c r="BB17" s="2">
        <v>7</v>
      </c>
      <c r="BC17" s="2">
        <v>8</v>
      </c>
      <c r="BD17" s="2">
        <v>6</v>
      </c>
      <c r="BE17" s="2">
        <v>4</v>
      </c>
      <c r="BF17" s="2">
        <v>7</v>
      </c>
      <c r="BG17" s="2">
        <v>2</v>
      </c>
      <c r="BH17" s="2">
        <v>7</v>
      </c>
      <c r="BI17" s="2">
        <v>4</v>
      </c>
      <c r="BJ17" s="2">
        <v>7</v>
      </c>
      <c r="BK17" s="2">
        <v>3</v>
      </c>
      <c r="BL17" s="2">
        <v>8</v>
      </c>
      <c r="BM17" s="2">
        <v>4</v>
      </c>
    </row>
    <row r="18" spans="1:65" x14ac:dyDescent="0.25">
      <c r="A18" s="9" t="s">
        <v>204</v>
      </c>
      <c r="B18" s="9" t="s">
        <v>170</v>
      </c>
      <c r="C18" s="9" t="s">
        <v>179</v>
      </c>
      <c r="D18" s="9" t="s">
        <v>185</v>
      </c>
      <c r="E18" s="9" t="s">
        <v>173</v>
      </c>
      <c r="F18" s="10">
        <v>8</v>
      </c>
      <c r="G18" s="10">
        <v>4</v>
      </c>
      <c r="H18" s="10">
        <v>8</v>
      </c>
      <c r="I18" s="10">
        <v>10</v>
      </c>
      <c r="J18" s="10">
        <v>8</v>
      </c>
      <c r="K18" s="10">
        <v>6</v>
      </c>
      <c r="L18" s="10">
        <v>7</v>
      </c>
      <c r="M18" s="10">
        <v>6</v>
      </c>
      <c r="N18" s="10">
        <v>8</v>
      </c>
      <c r="O18" s="10">
        <v>4</v>
      </c>
      <c r="P18" s="10">
        <v>9</v>
      </c>
      <c r="Q18" s="10">
        <v>7</v>
      </c>
      <c r="R18" s="10">
        <v>8</v>
      </c>
      <c r="S18" s="10">
        <v>6</v>
      </c>
      <c r="T18" s="10">
        <v>6</v>
      </c>
      <c r="U18" s="10">
        <v>9</v>
      </c>
      <c r="V18" s="10">
        <v>8</v>
      </c>
      <c r="W18" s="10">
        <v>6</v>
      </c>
      <c r="X18" s="10">
        <v>9</v>
      </c>
      <c r="Y18" s="10">
        <v>8</v>
      </c>
      <c r="Z18" s="10">
        <v>8</v>
      </c>
      <c r="AA18" s="10">
        <v>6</v>
      </c>
      <c r="AB18" s="10">
        <v>9</v>
      </c>
      <c r="AC18" s="10">
        <v>4</v>
      </c>
      <c r="AD18" s="10">
        <v>6</v>
      </c>
      <c r="AE18" s="10">
        <v>7</v>
      </c>
      <c r="AF18" s="10">
        <v>7</v>
      </c>
      <c r="AG18" s="10">
        <v>7</v>
      </c>
      <c r="AH18" s="10">
        <v>7</v>
      </c>
      <c r="AI18" s="10">
        <v>7</v>
      </c>
      <c r="AJ18" s="10">
        <v>10</v>
      </c>
      <c r="AK18" s="10">
        <v>3</v>
      </c>
      <c r="AL18" s="10">
        <v>9</v>
      </c>
      <c r="AM18" s="10">
        <v>3</v>
      </c>
      <c r="AN18" s="10">
        <v>9</v>
      </c>
      <c r="AO18" s="10">
        <v>1</v>
      </c>
      <c r="AP18" s="10">
        <v>6</v>
      </c>
      <c r="AQ18" s="10">
        <v>5</v>
      </c>
      <c r="AR18" s="10">
        <v>9</v>
      </c>
      <c r="AS18" s="10">
        <v>6</v>
      </c>
      <c r="AT18" s="10">
        <v>9</v>
      </c>
      <c r="AU18" s="10">
        <v>6</v>
      </c>
      <c r="AV18" s="10">
        <v>7</v>
      </c>
      <c r="AW18" s="10">
        <v>6</v>
      </c>
      <c r="AX18" s="10">
        <v>7</v>
      </c>
      <c r="AY18" s="10">
        <v>5</v>
      </c>
      <c r="AZ18" s="10">
        <v>8</v>
      </c>
      <c r="BA18" s="10">
        <v>6</v>
      </c>
      <c r="BB18" s="10">
        <v>7</v>
      </c>
      <c r="BC18" s="10">
        <v>5</v>
      </c>
      <c r="BD18" s="10">
        <v>8</v>
      </c>
      <c r="BE18" s="10">
        <v>4</v>
      </c>
      <c r="BF18" s="10">
        <v>9</v>
      </c>
      <c r="BG18" s="10">
        <v>6</v>
      </c>
      <c r="BH18" s="10">
        <v>9</v>
      </c>
      <c r="BI18" s="10">
        <v>5</v>
      </c>
      <c r="BJ18" s="10">
        <v>6</v>
      </c>
      <c r="BK18" s="10">
        <v>5</v>
      </c>
      <c r="BL18" s="10">
        <v>8</v>
      </c>
      <c r="BM18" s="10">
        <v>5</v>
      </c>
    </row>
    <row r="19" spans="1:65" x14ac:dyDescent="0.25">
      <c r="A19" s="3" t="s">
        <v>205</v>
      </c>
      <c r="B19" s="3" t="s">
        <v>206</v>
      </c>
      <c r="C19" s="3" t="s">
        <v>179</v>
      </c>
      <c r="D19" s="3" t="s">
        <v>172</v>
      </c>
      <c r="E19" s="3" t="s">
        <v>200</v>
      </c>
      <c r="F19" s="2">
        <v>9</v>
      </c>
      <c r="G19" s="2">
        <v>7</v>
      </c>
      <c r="H19" s="2">
        <v>6</v>
      </c>
      <c r="I19" s="2">
        <v>4</v>
      </c>
      <c r="J19" s="2">
        <v>9</v>
      </c>
      <c r="K19" s="2">
        <v>6</v>
      </c>
      <c r="L19" s="2">
        <v>9</v>
      </c>
      <c r="M19" s="2">
        <v>8</v>
      </c>
      <c r="N19" s="2">
        <v>9</v>
      </c>
      <c r="O19" s="2">
        <v>6</v>
      </c>
      <c r="P19" s="2">
        <v>9</v>
      </c>
      <c r="Q19" s="2">
        <v>6</v>
      </c>
      <c r="R19" s="2">
        <v>7</v>
      </c>
      <c r="S19" s="2">
        <v>8</v>
      </c>
      <c r="T19" s="2">
        <v>10</v>
      </c>
      <c r="U19" s="2">
        <v>7</v>
      </c>
      <c r="V19" s="2">
        <v>8</v>
      </c>
      <c r="W19" s="2">
        <v>6</v>
      </c>
      <c r="X19" s="2">
        <v>8</v>
      </c>
      <c r="Y19" s="2">
        <v>9</v>
      </c>
      <c r="Z19" s="2">
        <v>6</v>
      </c>
      <c r="AA19" s="2">
        <v>7</v>
      </c>
      <c r="AB19" s="2">
        <v>7</v>
      </c>
      <c r="AC19" s="2">
        <v>7</v>
      </c>
      <c r="AD19" s="2">
        <v>6</v>
      </c>
      <c r="AE19" s="2">
        <v>8</v>
      </c>
      <c r="AF19" s="2">
        <v>9</v>
      </c>
      <c r="AG19" s="2">
        <v>7</v>
      </c>
      <c r="AH19" s="2">
        <v>8</v>
      </c>
      <c r="AI19" s="2">
        <v>6</v>
      </c>
      <c r="AJ19" s="2">
        <v>9</v>
      </c>
      <c r="AK19" s="2">
        <v>6</v>
      </c>
      <c r="AL19" s="2">
        <v>7</v>
      </c>
      <c r="AM19" s="2">
        <v>6</v>
      </c>
      <c r="AN19" s="2">
        <v>7</v>
      </c>
      <c r="AO19" s="2">
        <v>6</v>
      </c>
      <c r="AP19" s="2">
        <v>9</v>
      </c>
      <c r="AQ19" s="2">
        <v>4</v>
      </c>
      <c r="AR19" s="2">
        <v>7</v>
      </c>
      <c r="AS19" s="2">
        <v>3</v>
      </c>
      <c r="AT19" s="2">
        <v>7</v>
      </c>
      <c r="AU19" s="2">
        <v>4</v>
      </c>
      <c r="AV19" s="2">
        <v>10</v>
      </c>
      <c r="AW19" s="2">
        <v>1</v>
      </c>
      <c r="AX19" s="2">
        <v>8</v>
      </c>
      <c r="AY19" s="2">
        <v>6</v>
      </c>
      <c r="AZ19" s="2">
        <v>9</v>
      </c>
      <c r="BA19" s="2">
        <v>3</v>
      </c>
      <c r="BB19" s="2">
        <v>6</v>
      </c>
      <c r="BC19" s="2">
        <v>6</v>
      </c>
      <c r="BD19" s="2">
        <v>9</v>
      </c>
      <c r="BE19" s="2">
        <v>5</v>
      </c>
      <c r="BF19" s="2">
        <v>8</v>
      </c>
      <c r="BG19" s="2">
        <v>6</v>
      </c>
      <c r="BH19" s="2">
        <v>9</v>
      </c>
      <c r="BI19" s="2">
        <v>5</v>
      </c>
      <c r="BJ19" s="2">
        <v>8</v>
      </c>
      <c r="BK19" s="2">
        <v>5</v>
      </c>
      <c r="BL19" s="2">
        <v>8</v>
      </c>
      <c r="BM19" s="2">
        <v>4</v>
      </c>
    </row>
    <row r="20" spans="1:65" x14ac:dyDescent="0.25">
      <c r="A20" s="9" t="s">
        <v>207</v>
      </c>
      <c r="B20" s="9" t="s">
        <v>170</v>
      </c>
      <c r="C20" s="9" t="s">
        <v>175</v>
      </c>
      <c r="D20" s="9" t="s">
        <v>180</v>
      </c>
      <c r="E20" s="9" t="s">
        <v>197</v>
      </c>
      <c r="F20" s="10">
        <v>8</v>
      </c>
      <c r="G20" s="10">
        <v>7</v>
      </c>
      <c r="H20" s="10">
        <v>7</v>
      </c>
      <c r="I20" s="10">
        <v>1</v>
      </c>
      <c r="J20" s="10">
        <v>10</v>
      </c>
      <c r="K20" s="10">
        <v>5</v>
      </c>
      <c r="L20" s="10">
        <v>7</v>
      </c>
      <c r="M20" s="10">
        <v>4</v>
      </c>
      <c r="N20" s="10">
        <v>8</v>
      </c>
      <c r="O20" s="10">
        <v>7</v>
      </c>
      <c r="P20" s="10">
        <v>8</v>
      </c>
      <c r="Q20" s="10">
        <v>6</v>
      </c>
      <c r="R20" s="10">
        <v>9</v>
      </c>
      <c r="S20" s="10">
        <v>10</v>
      </c>
      <c r="T20" s="10">
        <v>8</v>
      </c>
      <c r="U20" s="10">
        <v>8</v>
      </c>
      <c r="V20" s="10">
        <v>7</v>
      </c>
      <c r="W20" s="10">
        <v>6</v>
      </c>
      <c r="X20" s="10">
        <v>10</v>
      </c>
      <c r="Y20" s="10">
        <v>9</v>
      </c>
      <c r="Z20" s="10">
        <v>6</v>
      </c>
      <c r="AA20" s="10">
        <v>8</v>
      </c>
      <c r="AB20" s="10">
        <v>6</v>
      </c>
      <c r="AC20" s="10">
        <v>7</v>
      </c>
      <c r="AD20" s="10">
        <v>8</v>
      </c>
      <c r="AE20" s="10">
        <v>7</v>
      </c>
      <c r="AF20" s="10">
        <v>6</v>
      </c>
      <c r="AG20" s="10">
        <v>7</v>
      </c>
      <c r="AH20" s="10">
        <v>8</v>
      </c>
      <c r="AI20" s="10">
        <v>5</v>
      </c>
      <c r="AJ20" s="10">
        <v>8</v>
      </c>
      <c r="AK20" s="10">
        <v>5</v>
      </c>
      <c r="AL20" s="10">
        <v>9</v>
      </c>
      <c r="AM20" s="10">
        <v>3</v>
      </c>
      <c r="AN20" s="10">
        <v>8</v>
      </c>
      <c r="AO20" s="10">
        <v>6</v>
      </c>
      <c r="AP20" s="10">
        <v>8</v>
      </c>
      <c r="AQ20" s="10">
        <v>10</v>
      </c>
      <c r="AR20" s="10">
        <v>8</v>
      </c>
      <c r="AS20" s="10">
        <v>6</v>
      </c>
      <c r="AT20" s="10">
        <v>9</v>
      </c>
      <c r="AU20" s="10">
        <v>5</v>
      </c>
      <c r="AV20" s="10">
        <v>7</v>
      </c>
      <c r="AW20" s="10">
        <v>5</v>
      </c>
      <c r="AX20" s="10">
        <v>6</v>
      </c>
      <c r="AY20" s="10">
        <v>4</v>
      </c>
      <c r="AZ20" s="10">
        <v>6</v>
      </c>
      <c r="BA20" s="10">
        <v>3</v>
      </c>
      <c r="BB20" s="10">
        <v>8</v>
      </c>
      <c r="BC20" s="10">
        <v>5</v>
      </c>
      <c r="BD20" s="10">
        <v>10</v>
      </c>
      <c r="BE20" s="10">
        <v>7</v>
      </c>
      <c r="BF20" s="10">
        <v>8</v>
      </c>
      <c r="BG20" s="10">
        <v>6</v>
      </c>
      <c r="BH20" s="10">
        <v>8</v>
      </c>
      <c r="BI20" s="10">
        <v>5</v>
      </c>
      <c r="BJ20" s="10">
        <v>6</v>
      </c>
      <c r="BK20" s="10">
        <v>4</v>
      </c>
      <c r="BL20" s="10">
        <v>8</v>
      </c>
      <c r="BM20" s="10">
        <v>8</v>
      </c>
    </row>
    <row r="21" spans="1:65" x14ac:dyDescent="0.25">
      <c r="A21" s="3" t="s">
        <v>208</v>
      </c>
      <c r="B21" s="3" t="s">
        <v>202</v>
      </c>
      <c r="C21" s="3" t="s">
        <v>171</v>
      </c>
      <c r="D21" s="3" t="s">
        <v>172</v>
      </c>
      <c r="E21" s="3" t="s">
        <v>209</v>
      </c>
      <c r="F21" s="2">
        <v>7</v>
      </c>
      <c r="G21" s="2">
        <v>7</v>
      </c>
      <c r="H21" s="2">
        <v>7</v>
      </c>
      <c r="I21" s="2">
        <v>5</v>
      </c>
      <c r="J21" s="2">
        <v>8</v>
      </c>
      <c r="K21" s="2">
        <v>3</v>
      </c>
      <c r="L21" s="2">
        <v>9</v>
      </c>
      <c r="M21" s="2">
        <v>7</v>
      </c>
      <c r="N21" s="2">
        <v>7</v>
      </c>
      <c r="O21" s="2">
        <v>8</v>
      </c>
      <c r="P21" s="2">
        <v>8</v>
      </c>
      <c r="Q21" s="2">
        <v>7</v>
      </c>
      <c r="R21" s="2">
        <v>7</v>
      </c>
      <c r="S21" s="2">
        <v>8</v>
      </c>
      <c r="T21" s="2">
        <v>9</v>
      </c>
      <c r="U21" s="2">
        <v>6</v>
      </c>
      <c r="V21" s="2">
        <v>7</v>
      </c>
      <c r="W21" s="2">
        <v>6</v>
      </c>
      <c r="X21" s="2">
        <v>7</v>
      </c>
      <c r="Y21" s="2">
        <v>7</v>
      </c>
      <c r="Z21" s="2">
        <v>7</v>
      </c>
      <c r="AA21" s="2">
        <v>7</v>
      </c>
      <c r="AB21" s="2">
        <v>4</v>
      </c>
      <c r="AC21" s="2">
        <v>6</v>
      </c>
      <c r="AD21" s="2">
        <v>7</v>
      </c>
      <c r="AE21" s="2">
        <v>7</v>
      </c>
      <c r="AF21" s="2">
        <v>9</v>
      </c>
      <c r="AG21" s="2">
        <v>5</v>
      </c>
      <c r="AH21" s="2">
        <v>5</v>
      </c>
      <c r="AI21" s="2">
        <v>6</v>
      </c>
      <c r="AJ21" s="2">
        <v>9</v>
      </c>
      <c r="AK21" s="2">
        <v>4</v>
      </c>
      <c r="AL21" s="2">
        <v>7</v>
      </c>
      <c r="AM21" s="2">
        <v>7</v>
      </c>
      <c r="AN21" s="2">
        <v>8</v>
      </c>
      <c r="AO21" s="2">
        <v>8</v>
      </c>
      <c r="AP21" s="2">
        <v>6</v>
      </c>
      <c r="AQ21" s="2">
        <v>5</v>
      </c>
      <c r="AR21" s="2">
        <v>10</v>
      </c>
      <c r="AS21" s="2">
        <v>5</v>
      </c>
      <c r="AT21" s="2">
        <v>9</v>
      </c>
      <c r="AU21" s="2">
        <v>5</v>
      </c>
      <c r="AV21" s="2">
        <v>6</v>
      </c>
      <c r="AW21" s="2">
        <v>9</v>
      </c>
      <c r="AX21" s="2">
        <v>8</v>
      </c>
      <c r="AY21" s="2">
        <v>7</v>
      </c>
      <c r="AZ21" s="2">
        <v>8</v>
      </c>
      <c r="BA21" s="2">
        <v>6</v>
      </c>
      <c r="BB21" s="2">
        <v>6</v>
      </c>
      <c r="BC21" s="2">
        <v>6</v>
      </c>
      <c r="BD21" s="2">
        <v>7</v>
      </c>
      <c r="BE21" s="2">
        <v>5</v>
      </c>
      <c r="BF21" s="2">
        <v>10</v>
      </c>
      <c r="BG21" s="2">
        <v>10</v>
      </c>
      <c r="BH21" s="2">
        <v>8</v>
      </c>
      <c r="BI21" s="2">
        <v>7</v>
      </c>
      <c r="BJ21" s="2">
        <v>6</v>
      </c>
      <c r="BK21" s="2">
        <v>4</v>
      </c>
      <c r="BL21" s="2">
        <v>8</v>
      </c>
      <c r="BM21" s="2">
        <v>3</v>
      </c>
    </row>
    <row r="22" spans="1:65" x14ac:dyDescent="0.25">
      <c r="A22" s="9" t="s">
        <v>210</v>
      </c>
      <c r="B22" s="9" t="s">
        <v>202</v>
      </c>
      <c r="C22" s="9" t="s">
        <v>194</v>
      </c>
      <c r="D22" s="9" t="s">
        <v>187</v>
      </c>
      <c r="E22" s="9" t="s">
        <v>203</v>
      </c>
      <c r="F22" s="10">
        <v>7</v>
      </c>
      <c r="G22" s="10">
        <v>6</v>
      </c>
      <c r="H22" s="10">
        <v>9</v>
      </c>
      <c r="I22" s="10">
        <v>6</v>
      </c>
      <c r="J22" s="10">
        <v>9</v>
      </c>
      <c r="K22" s="10">
        <v>7</v>
      </c>
      <c r="L22" s="10">
        <v>7</v>
      </c>
      <c r="M22" s="10">
        <v>4</v>
      </c>
      <c r="N22" s="10">
        <v>8</v>
      </c>
      <c r="O22" s="10">
        <v>5</v>
      </c>
      <c r="P22" s="10">
        <v>8</v>
      </c>
      <c r="Q22" s="10">
        <v>6</v>
      </c>
      <c r="R22" s="10">
        <v>7</v>
      </c>
      <c r="S22" s="10">
        <v>7</v>
      </c>
      <c r="T22" s="10">
        <v>7</v>
      </c>
      <c r="U22" s="10">
        <v>6</v>
      </c>
      <c r="V22" s="10">
        <v>9</v>
      </c>
      <c r="W22" s="10">
        <v>4</v>
      </c>
      <c r="X22" s="10">
        <v>7</v>
      </c>
      <c r="Y22" s="10">
        <v>6</v>
      </c>
      <c r="Z22" s="10">
        <v>6</v>
      </c>
      <c r="AA22" s="10">
        <v>7</v>
      </c>
      <c r="AB22" s="10">
        <v>6</v>
      </c>
      <c r="AC22" s="10">
        <v>7</v>
      </c>
      <c r="AD22" s="10">
        <v>6</v>
      </c>
      <c r="AE22" s="10">
        <v>4</v>
      </c>
      <c r="AF22" s="10">
        <v>8</v>
      </c>
      <c r="AG22" s="10">
        <v>5</v>
      </c>
      <c r="AH22" s="10">
        <v>8</v>
      </c>
      <c r="AI22" s="10">
        <v>6</v>
      </c>
      <c r="AJ22" s="10">
        <v>10</v>
      </c>
      <c r="AK22" s="10">
        <v>4</v>
      </c>
      <c r="AL22" s="10">
        <v>8</v>
      </c>
      <c r="AM22" s="10">
        <v>3</v>
      </c>
      <c r="AN22" s="10">
        <v>7</v>
      </c>
      <c r="AO22" s="10">
        <v>6</v>
      </c>
      <c r="AP22" s="10">
        <v>8</v>
      </c>
      <c r="AQ22" s="10">
        <v>4</v>
      </c>
      <c r="AR22" s="10">
        <v>6</v>
      </c>
      <c r="AS22" s="10">
        <v>5</v>
      </c>
      <c r="AT22" s="10">
        <v>6</v>
      </c>
      <c r="AU22" s="10">
        <v>8</v>
      </c>
      <c r="AV22" s="10">
        <v>10</v>
      </c>
      <c r="AW22" s="10">
        <v>7</v>
      </c>
      <c r="AX22" s="10">
        <v>9</v>
      </c>
      <c r="AY22" s="10">
        <v>4</v>
      </c>
      <c r="AZ22" s="10">
        <v>8</v>
      </c>
      <c r="BA22" s="10">
        <v>8</v>
      </c>
      <c r="BB22" s="10">
        <v>7</v>
      </c>
      <c r="BC22" s="10">
        <v>5</v>
      </c>
      <c r="BD22" s="10">
        <v>8</v>
      </c>
      <c r="BE22" s="10">
        <v>4</v>
      </c>
      <c r="BF22" s="10">
        <v>9</v>
      </c>
      <c r="BG22" s="10">
        <v>4</v>
      </c>
      <c r="BH22" s="10">
        <v>9</v>
      </c>
      <c r="BI22" s="10">
        <v>6</v>
      </c>
      <c r="BJ22" s="10">
        <v>8</v>
      </c>
      <c r="BK22" s="10">
        <v>4</v>
      </c>
      <c r="BL22" s="10">
        <v>9</v>
      </c>
      <c r="BM22" s="10">
        <v>5</v>
      </c>
    </row>
    <row r="23" spans="1:65" x14ac:dyDescent="0.25">
      <c r="A23" s="3" t="s">
        <v>211</v>
      </c>
      <c r="B23" s="3" t="s">
        <v>202</v>
      </c>
      <c r="C23" s="3" t="s">
        <v>175</v>
      </c>
      <c r="D23" s="3" t="s">
        <v>180</v>
      </c>
      <c r="E23" s="3" t="s">
        <v>173</v>
      </c>
      <c r="F23" s="2">
        <v>7</v>
      </c>
      <c r="G23" s="2">
        <v>8</v>
      </c>
      <c r="H23" s="2">
        <v>9</v>
      </c>
      <c r="I23" s="2">
        <v>7</v>
      </c>
      <c r="J23" s="2">
        <v>7</v>
      </c>
      <c r="K23" s="2">
        <v>3</v>
      </c>
      <c r="L23" s="2">
        <v>9</v>
      </c>
      <c r="M23" s="2">
        <v>9</v>
      </c>
      <c r="N23" s="2">
        <v>10</v>
      </c>
      <c r="O23" s="2">
        <v>4</v>
      </c>
      <c r="P23" s="2">
        <v>6</v>
      </c>
      <c r="Q23" s="2">
        <v>7</v>
      </c>
      <c r="R23" s="2">
        <v>9</v>
      </c>
      <c r="S23" s="2">
        <v>2</v>
      </c>
      <c r="T23" s="2">
        <v>7</v>
      </c>
      <c r="U23" s="2">
        <v>10</v>
      </c>
      <c r="V23" s="2">
        <v>6</v>
      </c>
      <c r="W23" s="2">
        <v>7</v>
      </c>
      <c r="X23" s="2">
        <v>7</v>
      </c>
      <c r="Y23" s="2">
        <v>7</v>
      </c>
      <c r="Z23" s="2">
        <v>8</v>
      </c>
      <c r="AA23" s="2">
        <v>8</v>
      </c>
      <c r="AB23" s="2">
        <v>8</v>
      </c>
      <c r="AC23" s="2">
        <v>9</v>
      </c>
      <c r="AD23" s="2">
        <v>6</v>
      </c>
      <c r="AE23" s="2">
        <v>6</v>
      </c>
      <c r="AF23" s="2">
        <v>9</v>
      </c>
      <c r="AG23" s="2">
        <v>4</v>
      </c>
      <c r="AH23" s="2">
        <v>7</v>
      </c>
      <c r="AI23" s="2">
        <v>6</v>
      </c>
      <c r="AJ23" s="2">
        <v>8</v>
      </c>
      <c r="AK23" s="2">
        <v>6</v>
      </c>
      <c r="AL23" s="2">
        <v>8</v>
      </c>
      <c r="AM23" s="2">
        <v>7</v>
      </c>
      <c r="AN23" s="2">
        <v>8</v>
      </c>
      <c r="AO23" s="2">
        <v>1</v>
      </c>
      <c r="AP23" s="2">
        <v>8</v>
      </c>
      <c r="AQ23" s="2">
        <v>5</v>
      </c>
      <c r="AR23" s="2">
        <v>8</v>
      </c>
      <c r="AS23" s="2">
        <v>5</v>
      </c>
      <c r="AT23" s="2">
        <v>7</v>
      </c>
      <c r="AU23" s="2">
        <v>7</v>
      </c>
      <c r="AV23" s="2">
        <v>9</v>
      </c>
      <c r="AW23" s="2">
        <v>4</v>
      </c>
      <c r="AX23" s="2">
        <v>10</v>
      </c>
      <c r="AY23" s="2">
        <v>8</v>
      </c>
      <c r="AZ23" s="2">
        <v>7</v>
      </c>
      <c r="BA23" s="2">
        <v>5</v>
      </c>
      <c r="BB23" s="2">
        <v>9</v>
      </c>
      <c r="BC23" s="2">
        <v>8</v>
      </c>
      <c r="BD23" s="2">
        <v>7</v>
      </c>
      <c r="BE23" s="2">
        <v>6</v>
      </c>
      <c r="BF23" s="2">
        <v>6</v>
      </c>
      <c r="BG23" s="2">
        <v>4</v>
      </c>
      <c r="BH23" s="2">
        <v>8</v>
      </c>
      <c r="BI23" s="2">
        <v>8</v>
      </c>
      <c r="BJ23" s="2">
        <v>9</v>
      </c>
      <c r="BK23" s="2">
        <v>6</v>
      </c>
      <c r="BL23" s="2">
        <v>9</v>
      </c>
      <c r="BM23" s="2">
        <v>6</v>
      </c>
    </row>
    <row r="24" spans="1:65" x14ac:dyDescent="0.25">
      <c r="A24" s="9" t="s">
        <v>212</v>
      </c>
      <c r="B24" s="9" t="s">
        <v>192</v>
      </c>
      <c r="C24" s="9" t="s">
        <v>194</v>
      </c>
      <c r="D24" s="9" t="s">
        <v>180</v>
      </c>
      <c r="E24" s="9" t="s">
        <v>209</v>
      </c>
      <c r="F24" s="10">
        <v>9</v>
      </c>
      <c r="G24" s="10">
        <v>9</v>
      </c>
      <c r="H24" s="10">
        <v>7</v>
      </c>
      <c r="I24" s="10">
        <v>4</v>
      </c>
      <c r="J24" s="10">
        <v>9</v>
      </c>
      <c r="K24" s="10">
        <v>5</v>
      </c>
      <c r="L24" s="10">
        <v>9</v>
      </c>
      <c r="M24" s="10">
        <v>7</v>
      </c>
      <c r="N24" s="10">
        <v>6</v>
      </c>
      <c r="O24" s="10">
        <v>5</v>
      </c>
      <c r="P24" s="10">
        <v>9</v>
      </c>
      <c r="Q24" s="10">
        <v>3</v>
      </c>
      <c r="R24" s="10">
        <v>9</v>
      </c>
      <c r="S24" s="10">
        <v>7</v>
      </c>
      <c r="T24" s="10">
        <v>8</v>
      </c>
      <c r="U24" s="10">
        <v>6</v>
      </c>
      <c r="V24" s="10">
        <v>9</v>
      </c>
      <c r="W24" s="10">
        <v>6</v>
      </c>
      <c r="X24" s="10">
        <v>8</v>
      </c>
      <c r="Y24" s="10">
        <v>7</v>
      </c>
      <c r="Z24" s="10">
        <v>7</v>
      </c>
      <c r="AA24" s="10">
        <v>3</v>
      </c>
      <c r="AB24" s="10">
        <v>9</v>
      </c>
      <c r="AC24" s="10">
        <v>6</v>
      </c>
      <c r="AD24" s="10">
        <v>7</v>
      </c>
      <c r="AE24" s="10">
        <v>7</v>
      </c>
      <c r="AF24" s="10">
        <v>8</v>
      </c>
      <c r="AG24" s="10">
        <v>6</v>
      </c>
      <c r="AH24" s="10">
        <v>10</v>
      </c>
      <c r="AI24" s="10">
        <v>9</v>
      </c>
      <c r="AJ24" s="10">
        <v>10</v>
      </c>
      <c r="AK24" s="10">
        <v>9</v>
      </c>
      <c r="AL24" s="10">
        <v>8</v>
      </c>
      <c r="AM24" s="10">
        <v>1</v>
      </c>
      <c r="AN24" s="10">
        <v>8</v>
      </c>
      <c r="AO24" s="10">
        <v>4</v>
      </c>
      <c r="AP24" s="10">
        <v>8</v>
      </c>
      <c r="AQ24" s="10">
        <v>7</v>
      </c>
      <c r="AR24" s="10">
        <v>9</v>
      </c>
      <c r="AS24" s="10">
        <v>9</v>
      </c>
      <c r="AT24" s="10">
        <v>9</v>
      </c>
      <c r="AU24" s="10">
        <v>6</v>
      </c>
      <c r="AV24" s="10">
        <v>10</v>
      </c>
      <c r="AW24" s="10">
        <v>4</v>
      </c>
      <c r="AX24" s="10">
        <v>9</v>
      </c>
      <c r="AY24" s="10">
        <v>6</v>
      </c>
      <c r="AZ24" s="10">
        <v>6</v>
      </c>
      <c r="BA24" s="10">
        <v>3</v>
      </c>
      <c r="BB24" s="10">
        <v>9</v>
      </c>
      <c r="BC24" s="10">
        <v>6</v>
      </c>
      <c r="BD24" s="10">
        <v>8</v>
      </c>
      <c r="BE24" s="10">
        <v>2</v>
      </c>
      <c r="BF24" s="10">
        <v>9</v>
      </c>
      <c r="BG24" s="10">
        <v>5</v>
      </c>
      <c r="BH24" s="10">
        <v>7</v>
      </c>
      <c r="BI24" s="10">
        <v>4</v>
      </c>
      <c r="BJ24" s="10">
        <v>8</v>
      </c>
      <c r="BK24" s="10">
        <v>4</v>
      </c>
      <c r="BL24" s="10">
        <v>9</v>
      </c>
      <c r="BM24" s="10">
        <v>5</v>
      </c>
    </row>
    <row r="25" spans="1:65" x14ac:dyDescent="0.25">
      <c r="A25" s="3" t="s">
        <v>213</v>
      </c>
      <c r="B25" s="3" t="s">
        <v>206</v>
      </c>
      <c r="C25" s="3" t="s">
        <v>171</v>
      </c>
      <c r="D25" s="3" t="s">
        <v>180</v>
      </c>
      <c r="E25" s="3" t="s">
        <v>176</v>
      </c>
      <c r="F25" s="2">
        <v>7</v>
      </c>
      <c r="G25" s="2">
        <v>6</v>
      </c>
      <c r="H25" s="2">
        <v>7</v>
      </c>
      <c r="I25" s="2">
        <v>5</v>
      </c>
      <c r="J25" s="2">
        <v>7</v>
      </c>
      <c r="K25" s="2">
        <v>5</v>
      </c>
      <c r="L25" s="2">
        <v>8</v>
      </c>
      <c r="M25" s="2">
        <v>8</v>
      </c>
      <c r="N25" s="2">
        <v>8</v>
      </c>
      <c r="O25" s="2">
        <v>9</v>
      </c>
      <c r="P25" s="2">
        <v>8</v>
      </c>
      <c r="Q25" s="2">
        <v>7</v>
      </c>
      <c r="R25" s="2">
        <v>7</v>
      </c>
      <c r="S25" s="2">
        <v>7</v>
      </c>
      <c r="T25" s="2">
        <v>8</v>
      </c>
      <c r="U25" s="2">
        <v>8</v>
      </c>
      <c r="V25" s="2">
        <v>7</v>
      </c>
      <c r="W25" s="2">
        <v>7</v>
      </c>
      <c r="X25" s="2">
        <v>8</v>
      </c>
      <c r="Y25" s="2">
        <v>6</v>
      </c>
      <c r="Z25" s="2">
        <v>7</v>
      </c>
      <c r="AA25" s="2">
        <v>6</v>
      </c>
      <c r="AB25" s="2">
        <v>8</v>
      </c>
      <c r="AC25" s="2">
        <v>5</v>
      </c>
      <c r="AD25" s="2">
        <v>8</v>
      </c>
      <c r="AE25" s="2">
        <v>7</v>
      </c>
      <c r="AF25" s="2">
        <v>7</v>
      </c>
      <c r="AG25" s="2">
        <v>9</v>
      </c>
      <c r="AH25" s="2">
        <v>8</v>
      </c>
      <c r="AI25" s="2">
        <v>9</v>
      </c>
      <c r="AJ25" s="2">
        <v>8</v>
      </c>
      <c r="AK25" s="2">
        <v>2</v>
      </c>
      <c r="AL25" s="2">
        <v>8</v>
      </c>
      <c r="AM25" s="2">
        <v>4</v>
      </c>
      <c r="AN25" s="2">
        <v>8</v>
      </c>
      <c r="AO25" s="2">
        <v>7</v>
      </c>
      <c r="AP25" s="2">
        <v>7</v>
      </c>
      <c r="AQ25" s="2">
        <v>4</v>
      </c>
      <c r="AR25" s="2">
        <v>9</v>
      </c>
      <c r="AS25" s="2">
        <v>4</v>
      </c>
      <c r="AT25" s="2">
        <v>7</v>
      </c>
      <c r="AU25" s="2">
        <v>3</v>
      </c>
      <c r="AV25" s="2">
        <v>9</v>
      </c>
      <c r="AW25" s="2">
        <v>3</v>
      </c>
      <c r="AX25" s="2">
        <v>8</v>
      </c>
      <c r="AY25" s="2">
        <v>6</v>
      </c>
      <c r="AZ25" s="2">
        <v>6</v>
      </c>
      <c r="BA25" s="2">
        <v>5</v>
      </c>
      <c r="BB25" s="2">
        <v>7</v>
      </c>
      <c r="BC25" s="2">
        <v>7</v>
      </c>
      <c r="BD25" s="2">
        <v>6</v>
      </c>
      <c r="BE25" s="2">
        <v>5</v>
      </c>
      <c r="BF25" s="2">
        <v>8</v>
      </c>
      <c r="BG25" s="2">
        <v>8</v>
      </c>
      <c r="BH25" s="2">
        <v>7</v>
      </c>
      <c r="BI25" s="2">
        <v>3</v>
      </c>
      <c r="BJ25" s="2">
        <v>8</v>
      </c>
      <c r="BK25" s="2">
        <v>4</v>
      </c>
      <c r="BL25" s="2">
        <v>6</v>
      </c>
      <c r="BM25" s="2">
        <v>5</v>
      </c>
    </row>
    <row r="26" spans="1:65" x14ac:dyDescent="0.25">
      <c r="A26" s="9" t="s">
        <v>214</v>
      </c>
      <c r="B26" s="9" t="s">
        <v>170</v>
      </c>
      <c r="C26" s="9" t="s">
        <v>171</v>
      </c>
      <c r="D26" s="9" t="s">
        <v>172</v>
      </c>
      <c r="E26" s="9" t="s">
        <v>197</v>
      </c>
      <c r="F26" s="10">
        <v>9</v>
      </c>
      <c r="G26" s="10">
        <v>5</v>
      </c>
      <c r="H26" s="10">
        <v>6</v>
      </c>
      <c r="I26" s="10">
        <v>8</v>
      </c>
      <c r="J26" s="10">
        <v>8</v>
      </c>
      <c r="K26" s="10">
        <v>6</v>
      </c>
      <c r="L26" s="10">
        <v>7</v>
      </c>
      <c r="M26" s="10">
        <v>8</v>
      </c>
      <c r="N26" s="10">
        <v>7</v>
      </c>
      <c r="O26" s="10">
        <v>5</v>
      </c>
      <c r="P26" s="10">
        <v>10</v>
      </c>
      <c r="Q26" s="10">
        <v>3</v>
      </c>
      <c r="R26" s="10">
        <v>8</v>
      </c>
      <c r="S26" s="10">
        <v>6</v>
      </c>
      <c r="T26" s="10">
        <v>7</v>
      </c>
      <c r="U26" s="10">
        <v>4</v>
      </c>
      <c r="V26" s="10">
        <v>9</v>
      </c>
      <c r="W26" s="10">
        <v>7</v>
      </c>
      <c r="X26" s="10">
        <v>9</v>
      </c>
      <c r="Y26" s="10">
        <v>8</v>
      </c>
      <c r="Z26" s="10">
        <v>7</v>
      </c>
      <c r="AA26" s="10">
        <v>8</v>
      </c>
      <c r="AB26" s="10">
        <v>6</v>
      </c>
      <c r="AC26" s="10">
        <v>8</v>
      </c>
      <c r="AD26" s="10">
        <v>8</v>
      </c>
      <c r="AE26" s="10">
        <v>9</v>
      </c>
      <c r="AF26" s="10">
        <v>6</v>
      </c>
      <c r="AG26" s="10">
        <v>4</v>
      </c>
      <c r="AH26" s="10">
        <v>8</v>
      </c>
      <c r="AI26" s="10">
        <v>7</v>
      </c>
      <c r="AJ26" s="10">
        <v>8</v>
      </c>
      <c r="AK26" s="10">
        <v>6</v>
      </c>
      <c r="AL26" s="10">
        <v>7</v>
      </c>
      <c r="AM26" s="10">
        <v>6</v>
      </c>
      <c r="AN26" s="10">
        <v>6</v>
      </c>
      <c r="AO26" s="10">
        <v>4</v>
      </c>
      <c r="AP26" s="10">
        <v>8</v>
      </c>
      <c r="AQ26" s="10">
        <v>5</v>
      </c>
      <c r="AR26" s="10">
        <v>9</v>
      </c>
      <c r="AS26" s="10">
        <v>3</v>
      </c>
      <c r="AT26" s="10">
        <v>8</v>
      </c>
      <c r="AU26" s="10">
        <v>6</v>
      </c>
      <c r="AV26" s="10">
        <v>10</v>
      </c>
      <c r="AW26" s="10">
        <v>1</v>
      </c>
      <c r="AX26" s="10">
        <v>9</v>
      </c>
      <c r="AY26" s="10">
        <v>5</v>
      </c>
      <c r="AZ26" s="10">
        <v>7</v>
      </c>
      <c r="BA26" s="10">
        <v>4</v>
      </c>
      <c r="BB26" s="10">
        <v>8</v>
      </c>
      <c r="BC26" s="10">
        <v>7</v>
      </c>
      <c r="BD26" s="10">
        <v>6</v>
      </c>
      <c r="BE26" s="10">
        <v>7</v>
      </c>
      <c r="BF26" s="10">
        <v>8</v>
      </c>
      <c r="BG26" s="10">
        <v>4</v>
      </c>
      <c r="BH26" s="10">
        <v>8</v>
      </c>
      <c r="BI26" s="10">
        <v>3</v>
      </c>
      <c r="BJ26" s="10">
        <v>9</v>
      </c>
      <c r="BK26" s="10">
        <v>6</v>
      </c>
      <c r="BL26" s="10">
        <v>7</v>
      </c>
      <c r="BM26" s="10">
        <v>8</v>
      </c>
    </row>
    <row r="27" spans="1:65" x14ac:dyDescent="0.25">
      <c r="A27" s="3" t="s">
        <v>215</v>
      </c>
      <c r="B27" s="3" t="s">
        <v>202</v>
      </c>
      <c r="C27" s="3" t="s">
        <v>184</v>
      </c>
      <c r="D27" s="3" t="s">
        <v>172</v>
      </c>
      <c r="E27" s="3" t="s">
        <v>173</v>
      </c>
      <c r="F27" s="2">
        <v>8</v>
      </c>
      <c r="G27" s="2">
        <v>5</v>
      </c>
      <c r="H27" s="2">
        <v>7</v>
      </c>
      <c r="I27" s="2">
        <v>6</v>
      </c>
      <c r="J27" s="2">
        <v>7</v>
      </c>
      <c r="K27" s="2">
        <v>5</v>
      </c>
      <c r="L27" s="2">
        <v>8</v>
      </c>
      <c r="M27" s="2">
        <v>7</v>
      </c>
      <c r="N27" s="2">
        <v>8</v>
      </c>
      <c r="O27" s="2">
        <v>8</v>
      </c>
      <c r="P27" s="2">
        <v>9</v>
      </c>
      <c r="Q27" s="2">
        <v>8</v>
      </c>
      <c r="R27" s="2">
        <v>10</v>
      </c>
      <c r="S27" s="2">
        <v>9</v>
      </c>
      <c r="T27" s="2">
        <v>8</v>
      </c>
      <c r="U27" s="2">
        <v>6</v>
      </c>
      <c r="V27" s="2">
        <v>7</v>
      </c>
      <c r="W27" s="2">
        <v>7</v>
      </c>
      <c r="X27" s="2">
        <v>9</v>
      </c>
      <c r="Y27" s="2">
        <v>7</v>
      </c>
      <c r="Z27" s="2">
        <v>6</v>
      </c>
      <c r="AA27" s="2">
        <v>5</v>
      </c>
      <c r="AB27" s="2">
        <v>9</v>
      </c>
      <c r="AC27" s="2">
        <v>7</v>
      </c>
      <c r="AD27" s="2">
        <v>7</v>
      </c>
      <c r="AE27" s="2">
        <v>5</v>
      </c>
      <c r="AF27" s="2">
        <v>8</v>
      </c>
      <c r="AG27" s="2">
        <v>8</v>
      </c>
      <c r="AH27" s="2">
        <v>8</v>
      </c>
      <c r="AI27" s="2">
        <v>7</v>
      </c>
      <c r="AJ27" s="2">
        <v>8</v>
      </c>
      <c r="AK27" s="2">
        <v>6</v>
      </c>
      <c r="AL27" s="2">
        <v>7</v>
      </c>
      <c r="AM27" s="2">
        <v>8</v>
      </c>
      <c r="AN27" s="2">
        <v>10</v>
      </c>
      <c r="AO27" s="2">
        <v>5</v>
      </c>
      <c r="AP27" s="2">
        <v>7</v>
      </c>
      <c r="AQ27" s="2">
        <v>4</v>
      </c>
      <c r="AR27" s="2">
        <v>9</v>
      </c>
      <c r="AS27" s="2">
        <v>6</v>
      </c>
      <c r="AT27" s="2">
        <v>6</v>
      </c>
      <c r="AU27" s="2">
        <v>8</v>
      </c>
      <c r="AV27" s="2">
        <v>5</v>
      </c>
      <c r="AW27" s="2">
        <v>7</v>
      </c>
      <c r="AX27" s="2">
        <v>7</v>
      </c>
      <c r="AY27" s="2">
        <v>5</v>
      </c>
      <c r="AZ27" s="2">
        <v>7</v>
      </c>
      <c r="BA27" s="2">
        <v>4</v>
      </c>
      <c r="BB27" s="2">
        <v>7</v>
      </c>
      <c r="BC27" s="2">
        <v>6</v>
      </c>
      <c r="BD27" s="2">
        <v>6</v>
      </c>
      <c r="BE27" s="2">
        <v>2</v>
      </c>
      <c r="BF27" s="2">
        <v>8</v>
      </c>
      <c r="BG27" s="2">
        <v>6</v>
      </c>
      <c r="BH27" s="2">
        <v>6</v>
      </c>
      <c r="BI27" s="2">
        <v>8</v>
      </c>
      <c r="BJ27" s="2">
        <v>9</v>
      </c>
      <c r="BK27" s="2">
        <v>5</v>
      </c>
      <c r="BL27" s="2">
        <v>10</v>
      </c>
      <c r="BM27" s="2">
        <v>5</v>
      </c>
    </row>
    <row r="28" spans="1:65" x14ac:dyDescent="0.25">
      <c r="A28" s="9" t="s">
        <v>216</v>
      </c>
      <c r="B28" s="9" t="s">
        <v>183</v>
      </c>
      <c r="C28" s="9" t="s">
        <v>175</v>
      </c>
      <c r="D28" s="9" t="s">
        <v>187</v>
      </c>
      <c r="E28" s="9" t="s">
        <v>197</v>
      </c>
      <c r="F28" s="10">
        <v>9</v>
      </c>
      <c r="G28" s="10">
        <v>4</v>
      </c>
      <c r="H28" s="10">
        <v>6</v>
      </c>
      <c r="I28" s="10">
        <v>6</v>
      </c>
      <c r="J28" s="10">
        <v>7</v>
      </c>
      <c r="K28" s="10">
        <v>4</v>
      </c>
      <c r="L28" s="10">
        <v>10</v>
      </c>
      <c r="M28" s="10">
        <v>8</v>
      </c>
      <c r="N28" s="10">
        <v>7</v>
      </c>
      <c r="O28" s="10">
        <v>7</v>
      </c>
      <c r="P28" s="10">
        <v>8</v>
      </c>
      <c r="Q28" s="10">
        <v>5</v>
      </c>
      <c r="R28" s="10">
        <v>7</v>
      </c>
      <c r="S28" s="10">
        <v>9</v>
      </c>
      <c r="T28" s="10">
        <v>8</v>
      </c>
      <c r="U28" s="10">
        <v>6</v>
      </c>
      <c r="V28" s="10">
        <v>8</v>
      </c>
      <c r="W28" s="10">
        <v>5</v>
      </c>
      <c r="X28" s="10">
        <v>10</v>
      </c>
      <c r="Y28" s="10">
        <v>8</v>
      </c>
      <c r="Z28" s="10">
        <v>6</v>
      </c>
      <c r="AA28" s="10">
        <v>8</v>
      </c>
      <c r="AB28" s="10">
        <v>7</v>
      </c>
      <c r="AC28" s="10">
        <v>7</v>
      </c>
      <c r="AD28" s="10">
        <v>6</v>
      </c>
      <c r="AE28" s="10">
        <v>6</v>
      </c>
      <c r="AF28" s="10">
        <v>6</v>
      </c>
      <c r="AG28" s="10">
        <v>6</v>
      </c>
      <c r="AH28" s="10">
        <v>8</v>
      </c>
      <c r="AI28" s="10">
        <v>5</v>
      </c>
      <c r="AJ28" s="10">
        <v>8</v>
      </c>
      <c r="AK28" s="10">
        <v>6</v>
      </c>
      <c r="AL28" s="10">
        <v>6</v>
      </c>
      <c r="AM28" s="10">
        <v>8</v>
      </c>
      <c r="AN28" s="10">
        <v>9</v>
      </c>
      <c r="AO28" s="10">
        <v>5</v>
      </c>
      <c r="AP28" s="10">
        <v>7</v>
      </c>
      <c r="AQ28" s="10">
        <v>6</v>
      </c>
      <c r="AR28" s="10">
        <v>7</v>
      </c>
      <c r="AS28" s="10">
        <v>6</v>
      </c>
      <c r="AT28" s="10">
        <v>7</v>
      </c>
      <c r="AU28" s="10">
        <v>7</v>
      </c>
      <c r="AV28" s="10">
        <v>9</v>
      </c>
      <c r="AW28" s="10">
        <v>8</v>
      </c>
      <c r="AX28" s="10">
        <v>7</v>
      </c>
      <c r="AY28" s="10">
        <v>5</v>
      </c>
      <c r="AZ28" s="10">
        <v>8</v>
      </c>
      <c r="BA28" s="10">
        <v>6</v>
      </c>
      <c r="BB28" s="10">
        <v>4</v>
      </c>
      <c r="BC28" s="10">
        <v>4</v>
      </c>
      <c r="BD28" s="10">
        <v>7</v>
      </c>
      <c r="BE28" s="10">
        <v>6</v>
      </c>
      <c r="BF28" s="10">
        <v>8</v>
      </c>
      <c r="BG28" s="10">
        <v>5</v>
      </c>
      <c r="BH28" s="10">
        <v>8</v>
      </c>
      <c r="BI28" s="10">
        <v>7</v>
      </c>
      <c r="BJ28" s="10">
        <v>8</v>
      </c>
      <c r="BK28" s="10">
        <v>4</v>
      </c>
      <c r="BL28" s="10">
        <v>8</v>
      </c>
      <c r="BM28" s="10">
        <v>4</v>
      </c>
    </row>
    <row r="29" spans="1:65" x14ac:dyDescent="0.25">
      <c r="A29" s="3" t="s">
        <v>217</v>
      </c>
      <c r="B29" s="3" t="s">
        <v>192</v>
      </c>
      <c r="C29" s="3" t="s">
        <v>179</v>
      </c>
      <c r="D29" s="3" t="s">
        <v>187</v>
      </c>
      <c r="E29" s="3" t="s">
        <v>200</v>
      </c>
      <c r="F29" s="2">
        <v>8</v>
      </c>
      <c r="G29" s="2">
        <v>7</v>
      </c>
      <c r="H29" s="2">
        <v>5</v>
      </c>
      <c r="I29" s="2">
        <v>6</v>
      </c>
      <c r="J29" s="2">
        <v>7</v>
      </c>
      <c r="K29" s="2">
        <v>7</v>
      </c>
      <c r="L29" s="2">
        <v>7</v>
      </c>
      <c r="M29" s="2">
        <v>8</v>
      </c>
      <c r="N29" s="2">
        <v>7</v>
      </c>
      <c r="O29" s="2">
        <v>4</v>
      </c>
      <c r="P29" s="2">
        <v>7</v>
      </c>
      <c r="Q29" s="2">
        <v>5</v>
      </c>
      <c r="R29" s="2">
        <v>8</v>
      </c>
      <c r="S29" s="2">
        <v>7</v>
      </c>
      <c r="T29" s="2">
        <v>9</v>
      </c>
      <c r="U29" s="2">
        <v>8</v>
      </c>
      <c r="V29" s="2">
        <v>7</v>
      </c>
      <c r="W29" s="2">
        <v>6</v>
      </c>
      <c r="X29" s="2">
        <v>6</v>
      </c>
      <c r="Y29" s="2">
        <v>6</v>
      </c>
      <c r="Z29" s="2">
        <v>8</v>
      </c>
      <c r="AA29" s="2">
        <v>7</v>
      </c>
      <c r="AB29" s="2">
        <v>8</v>
      </c>
      <c r="AC29" s="2">
        <v>9</v>
      </c>
      <c r="AD29" s="2">
        <v>9</v>
      </c>
      <c r="AE29" s="2">
        <v>4</v>
      </c>
      <c r="AF29" s="2">
        <v>8</v>
      </c>
      <c r="AG29" s="2">
        <v>8</v>
      </c>
      <c r="AH29" s="2">
        <v>7</v>
      </c>
      <c r="AI29" s="2">
        <v>5</v>
      </c>
      <c r="AJ29" s="2">
        <v>8</v>
      </c>
      <c r="AK29" s="2">
        <v>4</v>
      </c>
      <c r="AL29" s="2">
        <v>6</v>
      </c>
      <c r="AM29" s="2">
        <v>4</v>
      </c>
      <c r="AN29" s="2">
        <v>9</v>
      </c>
      <c r="AO29" s="2">
        <v>6</v>
      </c>
      <c r="AP29" s="2">
        <v>8</v>
      </c>
      <c r="AQ29" s="2">
        <v>3</v>
      </c>
      <c r="AR29" s="2">
        <v>7</v>
      </c>
      <c r="AS29" s="2">
        <v>6</v>
      </c>
      <c r="AT29" s="2">
        <v>7</v>
      </c>
      <c r="AU29" s="2">
        <v>7</v>
      </c>
      <c r="AV29" s="2">
        <v>5</v>
      </c>
      <c r="AW29" s="2">
        <v>5</v>
      </c>
      <c r="AX29" s="2">
        <v>7</v>
      </c>
      <c r="AY29" s="2">
        <v>6</v>
      </c>
      <c r="AZ29" s="2">
        <v>7</v>
      </c>
      <c r="BA29" s="2">
        <v>3</v>
      </c>
      <c r="BB29" s="2">
        <v>8</v>
      </c>
      <c r="BC29" s="2">
        <v>5</v>
      </c>
      <c r="BD29" s="2">
        <v>8</v>
      </c>
      <c r="BE29" s="2">
        <v>4</v>
      </c>
      <c r="BF29" s="2">
        <v>9</v>
      </c>
      <c r="BG29" s="2">
        <v>7</v>
      </c>
      <c r="BH29" s="2">
        <v>8</v>
      </c>
      <c r="BI29" s="2">
        <v>2</v>
      </c>
      <c r="BJ29" s="2">
        <v>7</v>
      </c>
      <c r="BK29" s="2">
        <v>4</v>
      </c>
      <c r="BL29" s="2">
        <v>8</v>
      </c>
      <c r="BM29" s="2">
        <v>2</v>
      </c>
    </row>
    <row r="30" spans="1:65" x14ac:dyDescent="0.25">
      <c r="A30" s="9" t="s">
        <v>218</v>
      </c>
      <c r="B30" s="9" t="s">
        <v>192</v>
      </c>
      <c r="C30" s="9" t="s">
        <v>184</v>
      </c>
      <c r="D30" s="9" t="s">
        <v>187</v>
      </c>
      <c r="E30" s="9" t="s">
        <v>209</v>
      </c>
      <c r="F30" s="10">
        <v>7</v>
      </c>
      <c r="G30" s="10">
        <v>8</v>
      </c>
      <c r="H30" s="10">
        <v>8</v>
      </c>
      <c r="I30" s="10">
        <v>9</v>
      </c>
      <c r="J30" s="10">
        <v>8</v>
      </c>
      <c r="K30" s="10">
        <v>6</v>
      </c>
      <c r="L30" s="10">
        <v>8</v>
      </c>
      <c r="M30" s="10">
        <v>3</v>
      </c>
      <c r="N30" s="10">
        <v>8</v>
      </c>
      <c r="O30" s="10">
        <v>6</v>
      </c>
      <c r="P30" s="10">
        <v>8</v>
      </c>
      <c r="Q30" s="10">
        <v>9</v>
      </c>
      <c r="R30" s="10">
        <v>8</v>
      </c>
      <c r="S30" s="10">
        <v>4</v>
      </c>
      <c r="T30" s="10">
        <v>7</v>
      </c>
      <c r="U30" s="10">
        <v>6</v>
      </c>
      <c r="V30" s="10">
        <v>7</v>
      </c>
      <c r="W30" s="10">
        <v>7</v>
      </c>
      <c r="X30" s="10">
        <v>9</v>
      </c>
      <c r="Y30" s="10">
        <v>8</v>
      </c>
      <c r="Z30" s="10">
        <v>9</v>
      </c>
      <c r="AA30" s="10">
        <v>6</v>
      </c>
      <c r="AB30" s="10">
        <v>7</v>
      </c>
      <c r="AC30" s="10">
        <v>7</v>
      </c>
      <c r="AD30" s="10">
        <v>7</v>
      </c>
      <c r="AE30" s="10">
        <v>4</v>
      </c>
      <c r="AF30" s="10">
        <v>7</v>
      </c>
      <c r="AG30" s="10">
        <v>5</v>
      </c>
      <c r="AH30" s="10">
        <v>7</v>
      </c>
      <c r="AI30" s="10">
        <v>6</v>
      </c>
      <c r="AJ30" s="10">
        <v>8</v>
      </c>
      <c r="AK30" s="10">
        <v>7</v>
      </c>
      <c r="AL30" s="10">
        <v>7</v>
      </c>
      <c r="AM30" s="10">
        <v>7</v>
      </c>
      <c r="AN30" s="10">
        <v>7</v>
      </c>
      <c r="AO30" s="10">
        <v>6</v>
      </c>
      <c r="AP30" s="10">
        <v>8</v>
      </c>
      <c r="AQ30" s="10">
        <v>6</v>
      </c>
      <c r="AR30" s="10">
        <v>8</v>
      </c>
      <c r="AS30" s="10">
        <v>6</v>
      </c>
      <c r="AT30" s="10">
        <v>7</v>
      </c>
      <c r="AU30" s="10">
        <v>6</v>
      </c>
      <c r="AV30" s="10">
        <v>8</v>
      </c>
      <c r="AW30" s="10">
        <v>8</v>
      </c>
      <c r="AX30" s="10">
        <v>7</v>
      </c>
      <c r="AY30" s="10">
        <v>5</v>
      </c>
      <c r="AZ30" s="10">
        <v>7</v>
      </c>
      <c r="BA30" s="10">
        <v>8</v>
      </c>
      <c r="BB30" s="10">
        <v>6</v>
      </c>
      <c r="BC30" s="10">
        <v>8</v>
      </c>
      <c r="BD30" s="10">
        <v>7</v>
      </c>
      <c r="BE30" s="10">
        <v>6</v>
      </c>
      <c r="BF30" s="10">
        <v>8</v>
      </c>
      <c r="BG30" s="10">
        <v>8</v>
      </c>
      <c r="BH30" s="10">
        <v>9</v>
      </c>
      <c r="BI30" s="10">
        <v>5</v>
      </c>
      <c r="BJ30" s="10">
        <v>10</v>
      </c>
      <c r="BK30" s="10">
        <v>1</v>
      </c>
      <c r="BL30" s="10">
        <v>9</v>
      </c>
      <c r="BM30" s="10">
        <v>5</v>
      </c>
    </row>
    <row r="31" spans="1:65" x14ac:dyDescent="0.25">
      <c r="A31" s="3" t="s">
        <v>219</v>
      </c>
      <c r="B31" s="3" t="s">
        <v>178</v>
      </c>
      <c r="C31" s="3" t="s">
        <v>179</v>
      </c>
      <c r="D31" s="3" t="s">
        <v>185</v>
      </c>
      <c r="E31" s="3" t="s">
        <v>197</v>
      </c>
      <c r="F31" s="2">
        <v>8</v>
      </c>
      <c r="G31" s="2">
        <v>6</v>
      </c>
      <c r="H31" s="2">
        <v>8</v>
      </c>
      <c r="I31" s="2">
        <v>6</v>
      </c>
      <c r="J31" s="2">
        <v>8</v>
      </c>
      <c r="K31" s="2">
        <v>5</v>
      </c>
      <c r="L31" s="2">
        <v>9</v>
      </c>
      <c r="M31" s="2">
        <v>2</v>
      </c>
      <c r="N31" s="2">
        <v>7</v>
      </c>
      <c r="O31" s="2">
        <v>7</v>
      </c>
      <c r="P31" s="2">
        <v>10</v>
      </c>
      <c r="Q31" s="2">
        <v>5</v>
      </c>
      <c r="R31" s="2">
        <v>9</v>
      </c>
      <c r="S31" s="2">
        <v>10</v>
      </c>
      <c r="T31" s="2">
        <v>9</v>
      </c>
      <c r="U31" s="2">
        <v>8</v>
      </c>
      <c r="V31" s="2">
        <v>6</v>
      </c>
      <c r="W31" s="2">
        <v>8</v>
      </c>
      <c r="X31" s="2">
        <v>8</v>
      </c>
      <c r="Y31" s="2">
        <v>6</v>
      </c>
      <c r="Z31" s="2">
        <v>7</v>
      </c>
      <c r="AA31" s="2">
        <v>5</v>
      </c>
      <c r="AB31" s="2">
        <v>10</v>
      </c>
      <c r="AC31" s="2">
        <v>7</v>
      </c>
      <c r="AD31" s="2">
        <v>8</v>
      </c>
      <c r="AE31" s="2">
        <v>8</v>
      </c>
      <c r="AF31" s="2">
        <v>6</v>
      </c>
      <c r="AG31" s="2">
        <v>8</v>
      </c>
      <c r="AH31" s="2">
        <v>8</v>
      </c>
      <c r="AI31" s="2">
        <v>6</v>
      </c>
      <c r="AJ31" s="2">
        <v>8</v>
      </c>
      <c r="AK31" s="2">
        <v>8</v>
      </c>
      <c r="AL31" s="2">
        <v>8</v>
      </c>
      <c r="AM31" s="2">
        <v>5</v>
      </c>
      <c r="AN31" s="2">
        <v>8</v>
      </c>
      <c r="AO31" s="2">
        <v>7</v>
      </c>
      <c r="AP31" s="2">
        <v>7</v>
      </c>
      <c r="AQ31" s="2">
        <v>7</v>
      </c>
      <c r="AR31" s="2">
        <v>5</v>
      </c>
      <c r="AS31" s="2">
        <v>6</v>
      </c>
      <c r="AT31" s="2">
        <v>7</v>
      </c>
      <c r="AU31" s="2">
        <v>5</v>
      </c>
      <c r="AV31" s="2">
        <v>10</v>
      </c>
      <c r="AW31" s="2">
        <v>4</v>
      </c>
      <c r="AX31" s="2">
        <v>7</v>
      </c>
      <c r="AY31" s="2">
        <v>8</v>
      </c>
      <c r="AZ31" s="2">
        <v>6</v>
      </c>
      <c r="BA31" s="2">
        <v>6</v>
      </c>
      <c r="BB31" s="2">
        <v>7</v>
      </c>
      <c r="BC31" s="2">
        <v>5</v>
      </c>
      <c r="BD31" s="2">
        <v>10</v>
      </c>
      <c r="BE31" s="2">
        <v>7</v>
      </c>
      <c r="BF31" s="2">
        <v>9</v>
      </c>
      <c r="BG31" s="2">
        <v>6</v>
      </c>
      <c r="BH31" s="2">
        <v>8</v>
      </c>
      <c r="BI31" s="2">
        <v>2</v>
      </c>
      <c r="BJ31" s="2">
        <v>8</v>
      </c>
      <c r="BK31" s="2">
        <v>7</v>
      </c>
      <c r="BL31" s="2">
        <v>8</v>
      </c>
      <c r="BM31" s="2">
        <v>6</v>
      </c>
    </row>
    <row r="32" spans="1:65" x14ac:dyDescent="0.25">
      <c r="A32" s="9" t="s">
        <v>220</v>
      </c>
      <c r="B32" s="9" t="s">
        <v>178</v>
      </c>
      <c r="C32" s="9" t="s">
        <v>175</v>
      </c>
      <c r="D32" s="9" t="s">
        <v>172</v>
      </c>
      <c r="E32" s="9" t="s">
        <v>173</v>
      </c>
      <c r="F32" s="10">
        <v>7</v>
      </c>
      <c r="G32" s="10">
        <v>4</v>
      </c>
      <c r="H32" s="10">
        <v>10</v>
      </c>
      <c r="I32" s="10">
        <v>2</v>
      </c>
      <c r="J32" s="10">
        <v>6</v>
      </c>
      <c r="K32" s="10">
        <v>6</v>
      </c>
      <c r="L32" s="10">
        <v>8</v>
      </c>
      <c r="M32" s="10">
        <v>7</v>
      </c>
      <c r="N32" s="10">
        <v>8</v>
      </c>
      <c r="O32" s="10">
        <v>9</v>
      </c>
      <c r="P32" s="10">
        <v>10</v>
      </c>
      <c r="Q32" s="10">
        <v>7</v>
      </c>
      <c r="R32" s="10">
        <v>10</v>
      </c>
      <c r="S32" s="10">
        <v>7</v>
      </c>
      <c r="T32" s="10">
        <v>9</v>
      </c>
      <c r="U32" s="10">
        <v>7</v>
      </c>
      <c r="V32" s="10">
        <v>7</v>
      </c>
      <c r="W32" s="10">
        <v>7</v>
      </c>
      <c r="X32" s="10">
        <v>8</v>
      </c>
      <c r="Y32" s="10">
        <v>7</v>
      </c>
      <c r="Z32" s="10">
        <v>7</v>
      </c>
      <c r="AA32" s="10">
        <v>6</v>
      </c>
      <c r="AB32" s="10">
        <v>10</v>
      </c>
      <c r="AC32" s="10">
        <v>7</v>
      </c>
      <c r="AD32" s="10">
        <v>6</v>
      </c>
      <c r="AE32" s="10">
        <v>7</v>
      </c>
      <c r="AF32" s="10">
        <v>10</v>
      </c>
      <c r="AG32" s="10">
        <v>5</v>
      </c>
      <c r="AH32" s="10">
        <v>9</v>
      </c>
      <c r="AI32" s="10">
        <v>5</v>
      </c>
      <c r="AJ32" s="10">
        <v>8</v>
      </c>
      <c r="AK32" s="10">
        <v>7</v>
      </c>
      <c r="AL32" s="10">
        <v>8</v>
      </c>
      <c r="AM32" s="10">
        <v>6</v>
      </c>
      <c r="AN32" s="10">
        <v>6</v>
      </c>
      <c r="AO32" s="10">
        <v>5</v>
      </c>
      <c r="AP32" s="10">
        <v>9</v>
      </c>
      <c r="AQ32" s="10">
        <v>1</v>
      </c>
      <c r="AR32" s="10">
        <v>9</v>
      </c>
      <c r="AS32" s="10">
        <v>6</v>
      </c>
      <c r="AT32" s="10">
        <v>8</v>
      </c>
      <c r="AU32" s="10">
        <v>4</v>
      </c>
      <c r="AV32" s="10">
        <v>8</v>
      </c>
      <c r="AW32" s="10">
        <v>6</v>
      </c>
      <c r="AX32" s="10">
        <v>7</v>
      </c>
      <c r="AY32" s="10">
        <v>8</v>
      </c>
      <c r="AZ32" s="10">
        <v>6</v>
      </c>
      <c r="BA32" s="10">
        <v>4</v>
      </c>
      <c r="BB32" s="10">
        <v>8</v>
      </c>
      <c r="BC32" s="10">
        <v>9</v>
      </c>
      <c r="BD32" s="10">
        <v>8</v>
      </c>
      <c r="BE32" s="10">
        <v>5</v>
      </c>
      <c r="BF32" s="10">
        <v>8</v>
      </c>
      <c r="BG32" s="10">
        <v>7</v>
      </c>
      <c r="BH32" s="10">
        <v>10</v>
      </c>
      <c r="BI32" s="10">
        <v>3</v>
      </c>
      <c r="BJ32" s="10">
        <v>8</v>
      </c>
      <c r="BK32" s="10">
        <v>4</v>
      </c>
      <c r="BL32" s="10">
        <v>8</v>
      </c>
      <c r="BM32" s="10">
        <v>7</v>
      </c>
    </row>
    <row r="33" spans="1:65" x14ac:dyDescent="0.25">
      <c r="A33" s="3" t="s">
        <v>221</v>
      </c>
      <c r="B33" s="3" t="s">
        <v>183</v>
      </c>
      <c r="C33" s="3" t="s">
        <v>184</v>
      </c>
      <c r="D33" s="3" t="s">
        <v>172</v>
      </c>
      <c r="E33" s="3" t="s">
        <v>203</v>
      </c>
      <c r="F33" s="2">
        <v>10</v>
      </c>
      <c r="G33" s="2">
        <v>5</v>
      </c>
      <c r="H33" s="2">
        <v>7</v>
      </c>
      <c r="I33" s="2">
        <v>5</v>
      </c>
      <c r="J33" s="2">
        <v>8</v>
      </c>
      <c r="K33" s="2">
        <v>7</v>
      </c>
      <c r="L33" s="2">
        <v>8</v>
      </c>
      <c r="M33" s="2">
        <v>6</v>
      </c>
      <c r="N33" s="2">
        <v>5</v>
      </c>
      <c r="O33" s="2">
        <v>8</v>
      </c>
      <c r="P33" s="2">
        <v>8</v>
      </c>
      <c r="Q33" s="2">
        <v>8</v>
      </c>
      <c r="R33" s="2">
        <v>8</v>
      </c>
      <c r="S33" s="2">
        <v>4</v>
      </c>
      <c r="T33" s="2">
        <v>8</v>
      </c>
      <c r="U33" s="2">
        <v>7</v>
      </c>
      <c r="V33" s="2">
        <v>8</v>
      </c>
      <c r="W33" s="2">
        <v>4</v>
      </c>
      <c r="X33" s="2">
        <v>9</v>
      </c>
      <c r="Y33" s="2">
        <v>8</v>
      </c>
      <c r="Z33" s="2">
        <v>4</v>
      </c>
      <c r="AA33" s="2">
        <v>6</v>
      </c>
      <c r="AB33" s="2">
        <v>7</v>
      </c>
      <c r="AC33" s="2">
        <v>8</v>
      </c>
      <c r="AD33" s="2">
        <v>9</v>
      </c>
      <c r="AE33" s="2">
        <v>8</v>
      </c>
      <c r="AF33" s="2">
        <v>7</v>
      </c>
      <c r="AG33" s="2">
        <v>6</v>
      </c>
      <c r="AH33" s="2">
        <v>7</v>
      </c>
      <c r="AI33" s="2">
        <v>7</v>
      </c>
      <c r="AJ33" s="2">
        <v>7</v>
      </c>
      <c r="AK33" s="2">
        <v>7</v>
      </c>
      <c r="AL33" s="2">
        <v>10</v>
      </c>
      <c r="AM33" s="2">
        <v>2</v>
      </c>
      <c r="AN33" s="2">
        <v>7</v>
      </c>
      <c r="AO33" s="2">
        <v>5</v>
      </c>
      <c r="AP33" s="2">
        <v>9</v>
      </c>
      <c r="AQ33" s="2">
        <v>7</v>
      </c>
      <c r="AR33" s="2">
        <v>10</v>
      </c>
      <c r="AS33" s="2">
        <v>7</v>
      </c>
      <c r="AT33" s="2">
        <v>8</v>
      </c>
      <c r="AU33" s="2">
        <v>7</v>
      </c>
      <c r="AV33" s="2">
        <v>8</v>
      </c>
      <c r="AW33" s="2">
        <v>5</v>
      </c>
      <c r="AX33" s="2">
        <v>8</v>
      </c>
      <c r="AY33" s="2">
        <v>5</v>
      </c>
      <c r="AZ33" s="2">
        <v>8</v>
      </c>
      <c r="BA33" s="2">
        <v>8</v>
      </c>
      <c r="BB33" s="2">
        <v>10</v>
      </c>
      <c r="BC33" s="2">
        <v>7</v>
      </c>
      <c r="BD33" s="2">
        <v>10</v>
      </c>
      <c r="BE33" s="2">
        <v>8</v>
      </c>
      <c r="BF33" s="2">
        <v>9</v>
      </c>
      <c r="BG33" s="2">
        <v>4</v>
      </c>
      <c r="BH33" s="2">
        <v>7</v>
      </c>
      <c r="BI33" s="2">
        <v>5</v>
      </c>
      <c r="BJ33" s="2">
        <v>7</v>
      </c>
      <c r="BK33" s="2">
        <v>8</v>
      </c>
      <c r="BL33" s="2">
        <v>7</v>
      </c>
      <c r="BM33" s="2">
        <v>5</v>
      </c>
    </row>
    <row r="34" spans="1:65" x14ac:dyDescent="0.25">
      <c r="A34" s="9" t="s">
        <v>222</v>
      </c>
      <c r="B34" s="9" t="s">
        <v>192</v>
      </c>
      <c r="C34" s="9" t="s">
        <v>179</v>
      </c>
      <c r="D34" s="9" t="s">
        <v>187</v>
      </c>
      <c r="E34" s="9" t="s">
        <v>190</v>
      </c>
      <c r="F34" s="10">
        <v>7</v>
      </c>
      <c r="G34" s="10">
        <v>7</v>
      </c>
      <c r="H34" s="10">
        <v>8</v>
      </c>
      <c r="I34" s="10">
        <v>7</v>
      </c>
      <c r="J34" s="10">
        <v>9</v>
      </c>
      <c r="K34" s="10">
        <v>5</v>
      </c>
      <c r="L34" s="10">
        <v>8</v>
      </c>
      <c r="M34" s="10">
        <v>4</v>
      </c>
      <c r="N34" s="10">
        <v>8</v>
      </c>
      <c r="O34" s="10">
        <v>5</v>
      </c>
      <c r="P34" s="10">
        <v>6</v>
      </c>
      <c r="Q34" s="10">
        <v>7</v>
      </c>
      <c r="R34" s="10">
        <v>8</v>
      </c>
      <c r="S34" s="10">
        <v>7</v>
      </c>
      <c r="T34" s="10">
        <v>9</v>
      </c>
      <c r="U34" s="10">
        <v>10</v>
      </c>
      <c r="V34" s="10">
        <v>10</v>
      </c>
      <c r="W34" s="10">
        <v>8</v>
      </c>
      <c r="X34" s="10">
        <v>9</v>
      </c>
      <c r="Y34" s="10">
        <v>1</v>
      </c>
      <c r="Z34" s="10">
        <v>9</v>
      </c>
      <c r="AA34" s="10">
        <v>8</v>
      </c>
      <c r="AB34" s="10">
        <v>9</v>
      </c>
      <c r="AC34" s="10">
        <v>4</v>
      </c>
      <c r="AD34" s="10">
        <v>8</v>
      </c>
      <c r="AE34" s="10">
        <v>6</v>
      </c>
      <c r="AF34" s="10">
        <v>8</v>
      </c>
      <c r="AG34" s="10">
        <v>5</v>
      </c>
      <c r="AH34" s="10">
        <v>8</v>
      </c>
      <c r="AI34" s="10">
        <v>6</v>
      </c>
      <c r="AJ34" s="10">
        <v>9</v>
      </c>
      <c r="AK34" s="10">
        <v>3</v>
      </c>
      <c r="AL34" s="10">
        <v>10</v>
      </c>
      <c r="AM34" s="10">
        <v>6</v>
      </c>
      <c r="AN34" s="10">
        <v>7</v>
      </c>
      <c r="AO34" s="10">
        <v>5</v>
      </c>
      <c r="AP34" s="10">
        <v>10</v>
      </c>
      <c r="AQ34" s="10">
        <v>5</v>
      </c>
      <c r="AR34" s="10">
        <v>8</v>
      </c>
      <c r="AS34" s="10">
        <v>7</v>
      </c>
      <c r="AT34" s="10">
        <v>8</v>
      </c>
      <c r="AU34" s="10">
        <v>7</v>
      </c>
      <c r="AV34" s="10">
        <v>10</v>
      </c>
      <c r="AW34" s="10">
        <v>6</v>
      </c>
      <c r="AX34" s="10">
        <v>9</v>
      </c>
      <c r="AY34" s="10">
        <v>7</v>
      </c>
      <c r="AZ34" s="10">
        <v>9</v>
      </c>
      <c r="BA34" s="10">
        <v>1</v>
      </c>
      <c r="BB34" s="10">
        <v>9</v>
      </c>
      <c r="BC34" s="10">
        <v>3</v>
      </c>
      <c r="BD34" s="10">
        <v>6</v>
      </c>
      <c r="BE34" s="10">
        <v>8</v>
      </c>
      <c r="BF34" s="10">
        <v>9</v>
      </c>
      <c r="BG34" s="10">
        <v>6</v>
      </c>
      <c r="BH34" s="10">
        <v>9</v>
      </c>
      <c r="BI34" s="10">
        <v>9</v>
      </c>
      <c r="BJ34" s="10">
        <v>10</v>
      </c>
      <c r="BK34" s="10">
        <v>4</v>
      </c>
      <c r="BL34" s="10">
        <v>10</v>
      </c>
      <c r="BM34" s="10">
        <v>4</v>
      </c>
    </row>
    <row r="35" spans="1:65" x14ac:dyDescent="0.25">
      <c r="A35" s="3" t="s">
        <v>223</v>
      </c>
      <c r="B35" s="3" t="s">
        <v>206</v>
      </c>
      <c r="C35" s="3" t="s">
        <v>179</v>
      </c>
      <c r="D35" s="3" t="s">
        <v>180</v>
      </c>
      <c r="E35" s="3" t="s">
        <v>176</v>
      </c>
      <c r="F35" s="2">
        <v>7</v>
      </c>
      <c r="G35" s="2">
        <v>8</v>
      </c>
      <c r="H35" s="2">
        <v>7</v>
      </c>
      <c r="I35" s="2">
        <v>3</v>
      </c>
      <c r="J35" s="2">
        <v>5</v>
      </c>
      <c r="K35" s="2">
        <v>9</v>
      </c>
      <c r="L35" s="2">
        <v>9</v>
      </c>
      <c r="M35" s="2">
        <v>7</v>
      </c>
      <c r="N35" s="2">
        <v>9</v>
      </c>
      <c r="O35" s="2">
        <v>6</v>
      </c>
      <c r="P35" s="2">
        <v>9</v>
      </c>
      <c r="Q35" s="2">
        <v>6</v>
      </c>
      <c r="R35" s="2">
        <v>8</v>
      </c>
      <c r="S35" s="2">
        <v>10</v>
      </c>
      <c r="T35" s="2">
        <v>9</v>
      </c>
      <c r="U35" s="2">
        <v>6</v>
      </c>
      <c r="V35" s="2">
        <v>7</v>
      </c>
      <c r="W35" s="2">
        <v>4</v>
      </c>
      <c r="X35" s="2">
        <v>8</v>
      </c>
      <c r="Y35" s="2">
        <v>8</v>
      </c>
      <c r="Z35" s="2">
        <v>10</v>
      </c>
      <c r="AA35" s="2">
        <v>2</v>
      </c>
      <c r="AB35" s="2">
        <v>7</v>
      </c>
      <c r="AC35" s="2">
        <v>3</v>
      </c>
      <c r="AD35" s="2">
        <v>6</v>
      </c>
      <c r="AE35" s="2">
        <v>7</v>
      </c>
      <c r="AF35" s="2">
        <v>9</v>
      </c>
      <c r="AG35" s="2">
        <v>7</v>
      </c>
      <c r="AH35" s="2">
        <v>6</v>
      </c>
      <c r="AI35" s="2">
        <v>5</v>
      </c>
      <c r="AJ35" s="2">
        <v>10</v>
      </c>
      <c r="AK35" s="2">
        <v>7</v>
      </c>
      <c r="AL35" s="2">
        <v>7</v>
      </c>
      <c r="AM35" s="2">
        <v>9</v>
      </c>
      <c r="AN35" s="2">
        <v>8</v>
      </c>
      <c r="AO35" s="2">
        <v>7</v>
      </c>
      <c r="AP35" s="2">
        <v>6</v>
      </c>
      <c r="AQ35" s="2">
        <v>4</v>
      </c>
      <c r="AR35" s="2">
        <v>7</v>
      </c>
      <c r="AS35" s="2">
        <v>4</v>
      </c>
      <c r="AT35" s="2">
        <v>10</v>
      </c>
      <c r="AU35" s="2">
        <v>6</v>
      </c>
      <c r="AV35" s="2">
        <v>8</v>
      </c>
      <c r="AW35" s="2">
        <v>5</v>
      </c>
      <c r="AX35" s="2">
        <v>8</v>
      </c>
      <c r="AY35" s="2">
        <v>6</v>
      </c>
      <c r="AZ35" s="2">
        <v>7</v>
      </c>
      <c r="BA35" s="2">
        <v>3</v>
      </c>
      <c r="BB35" s="2">
        <v>10</v>
      </c>
      <c r="BC35" s="2">
        <v>1</v>
      </c>
      <c r="BD35" s="2">
        <v>8</v>
      </c>
      <c r="BE35" s="2">
        <v>5</v>
      </c>
      <c r="BF35" s="2">
        <v>9</v>
      </c>
      <c r="BG35" s="2">
        <v>3</v>
      </c>
      <c r="BH35" s="2">
        <v>9</v>
      </c>
      <c r="BI35" s="2">
        <v>6</v>
      </c>
      <c r="BJ35" s="2">
        <v>9</v>
      </c>
      <c r="BK35" s="2">
        <v>5</v>
      </c>
      <c r="BL35" s="2">
        <v>8</v>
      </c>
      <c r="BM35" s="2">
        <v>3</v>
      </c>
    </row>
    <row r="36" spans="1:65" x14ac:dyDescent="0.25">
      <c r="A36" s="9" t="s">
        <v>224</v>
      </c>
      <c r="B36" s="9" t="s">
        <v>206</v>
      </c>
      <c r="C36" s="9" t="s">
        <v>171</v>
      </c>
      <c r="D36" s="9" t="s">
        <v>185</v>
      </c>
      <c r="E36" s="9" t="s">
        <v>209</v>
      </c>
      <c r="F36" s="10">
        <v>7</v>
      </c>
      <c r="G36" s="10">
        <v>7</v>
      </c>
      <c r="H36" s="10">
        <v>9</v>
      </c>
      <c r="I36" s="10">
        <v>7</v>
      </c>
      <c r="J36" s="10">
        <v>9</v>
      </c>
      <c r="K36" s="10">
        <v>5</v>
      </c>
      <c r="L36" s="10">
        <v>8</v>
      </c>
      <c r="M36" s="10">
        <v>6</v>
      </c>
      <c r="N36" s="10">
        <v>8</v>
      </c>
      <c r="O36" s="10">
        <v>5</v>
      </c>
      <c r="P36" s="10">
        <v>8</v>
      </c>
      <c r="Q36" s="10">
        <v>7</v>
      </c>
      <c r="R36" s="10">
        <v>5</v>
      </c>
      <c r="S36" s="10">
        <v>6</v>
      </c>
      <c r="T36" s="10">
        <v>10</v>
      </c>
      <c r="U36" s="10">
        <v>6</v>
      </c>
      <c r="V36" s="10">
        <v>8</v>
      </c>
      <c r="W36" s="10">
        <v>8</v>
      </c>
      <c r="X36" s="10">
        <v>10</v>
      </c>
      <c r="Y36" s="10">
        <v>7</v>
      </c>
      <c r="Z36" s="10">
        <v>4</v>
      </c>
      <c r="AA36" s="10">
        <v>5</v>
      </c>
      <c r="AB36" s="10">
        <v>9</v>
      </c>
      <c r="AC36" s="10">
        <v>6</v>
      </c>
      <c r="AD36" s="10">
        <v>8</v>
      </c>
      <c r="AE36" s="10">
        <v>7</v>
      </c>
      <c r="AF36" s="10">
        <v>8</v>
      </c>
      <c r="AG36" s="10">
        <v>7</v>
      </c>
      <c r="AH36" s="10">
        <v>8</v>
      </c>
      <c r="AI36" s="10">
        <v>9</v>
      </c>
      <c r="AJ36" s="10">
        <v>7</v>
      </c>
      <c r="AK36" s="10">
        <v>5</v>
      </c>
      <c r="AL36" s="10">
        <v>8</v>
      </c>
      <c r="AM36" s="10">
        <v>5</v>
      </c>
      <c r="AN36" s="10">
        <v>6</v>
      </c>
      <c r="AO36" s="10">
        <v>4</v>
      </c>
      <c r="AP36" s="10">
        <v>8</v>
      </c>
      <c r="AQ36" s="10">
        <v>5</v>
      </c>
      <c r="AR36" s="10">
        <v>7</v>
      </c>
      <c r="AS36" s="10">
        <v>4</v>
      </c>
      <c r="AT36" s="10">
        <v>8</v>
      </c>
      <c r="AU36" s="10">
        <v>7</v>
      </c>
      <c r="AV36" s="10">
        <v>8</v>
      </c>
      <c r="AW36" s="10">
        <v>5</v>
      </c>
      <c r="AX36" s="10">
        <v>8</v>
      </c>
      <c r="AY36" s="10">
        <v>3</v>
      </c>
      <c r="AZ36" s="10">
        <v>9</v>
      </c>
      <c r="BA36" s="10">
        <v>3</v>
      </c>
      <c r="BB36" s="10">
        <v>7</v>
      </c>
      <c r="BC36" s="10">
        <v>4</v>
      </c>
      <c r="BD36" s="10">
        <v>9</v>
      </c>
      <c r="BE36" s="10">
        <v>7</v>
      </c>
      <c r="BF36" s="10">
        <v>8</v>
      </c>
      <c r="BG36" s="10">
        <v>3</v>
      </c>
      <c r="BH36" s="10">
        <v>10</v>
      </c>
      <c r="BI36" s="10">
        <v>2</v>
      </c>
      <c r="BJ36" s="10">
        <v>8</v>
      </c>
      <c r="BK36" s="10">
        <v>5</v>
      </c>
      <c r="BL36" s="10">
        <v>8</v>
      </c>
      <c r="BM36" s="10">
        <v>6</v>
      </c>
    </row>
    <row r="37" spans="1:65" x14ac:dyDescent="0.25">
      <c r="A37" s="3" t="s">
        <v>225</v>
      </c>
      <c r="B37" s="3" t="s">
        <v>170</v>
      </c>
      <c r="C37" s="3" t="s">
        <v>171</v>
      </c>
      <c r="D37" s="3" t="s">
        <v>180</v>
      </c>
      <c r="E37" s="3" t="s">
        <v>209</v>
      </c>
      <c r="F37" s="2">
        <v>7</v>
      </c>
      <c r="G37" s="2">
        <v>9</v>
      </c>
      <c r="H37" s="2">
        <v>7</v>
      </c>
      <c r="I37" s="2">
        <v>8</v>
      </c>
      <c r="J37" s="2">
        <v>9</v>
      </c>
      <c r="K37" s="2">
        <v>7</v>
      </c>
      <c r="L37" s="2">
        <v>7</v>
      </c>
      <c r="M37" s="2">
        <v>7</v>
      </c>
      <c r="N37" s="2">
        <v>8</v>
      </c>
      <c r="O37" s="2">
        <v>7</v>
      </c>
      <c r="P37" s="2">
        <v>10</v>
      </c>
      <c r="Q37" s="2">
        <v>8</v>
      </c>
      <c r="R37" s="2">
        <v>8</v>
      </c>
      <c r="S37" s="2">
        <v>5</v>
      </c>
      <c r="T37" s="2">
        <v>9</v>
      </c>
      <c r="U37" s="2">
        <v>9</v>
      </c>
      <c r="V37" s="2">
        <v>8</v>
      </c>
      <c r="W37" s="2">
        <v>7</v>
      </c>
      <c r="X37" s="2">
        <v>8</v>
      </c>
      <c r="Y37" s="2">
        <v>7</v>
      </c>
      <c r="Z37" s="2">
        <v>6</v>
      </c>
      <c r="AA37" s="2">
        <v>7</v>
      </c>
      <c r="AB37" s="2">
        <v>7</v>
      </c>
      <c r="AC37" s="2">
        <v>6</v>
      </c>
      <c r="AD37" s="2">
        <v>5</v>
      </c>
      <c r="AE37" s="2">
        <v>8</v>
      </c>
      <c r="AF37" s="2">
        <v>6</v>
      </c>
      <c r="AG37" s="2">
        <v>6</v>
      </c>
      <c r="AH37" s="2">
        <v>7</v>
      </c>
      <c r="AI37" s="2">
        <v>9</v>
      </c>
      <c r="AJ37" s="2">
        <v>8</v>
      </c>
      <c r="AK37" s="2">
        <v>6</v>
      </c>
      <c r="AL37" s="2">
        <v>8</v>
      </c>
      <c r="AM37" s="2">
        <v>4</v>
      </c>
      <c r="AN37" s="2">
        <v>8</v>
      </c>
      <c r="AO37" s="2">
        <v>7</v>
      </c>
      <c r="AP37" s="2">
        <v>6</v>
      </c>
      <c r="AQ37" s="2">
        <v>5</v>
      </c>
      <c r="AR37" s="2">
        <v>8</v>
      </c>
      <c r="AS37" s="2">
        <v>4</v>
      </c>
      <c r="AT37" s="2">
        <v>9</v>
      </c>
      <c r="AU37" s="2">
        <v>8</v>
      </c>
      <c r="AV37" s="2">
        <v>5</v>
      </c>
      <c r="AW37" s="2">
        <v>3</v>
      </c>
      <c r="AX37" s="2">
        <v>7</v>
      </c>
      <c r="AY37" s="2">
        <v>4</v>
      </c>
      <c r="AZ37" s="2">
        <v>8</v>
      </c>
      <c r="BA37" s="2">
        <v>4</v>
      </c>
      <c r="BB37" s="2">
        <v>7</v>
      </c>
      <c r="BC37" s="2">
        <v>7</v>
      </c>
      <c r="BD37" s="2">
        <v>8</v>
      </c>
      <c r="BE37" s="2">
        <v>5</v>
      </c>
      <c r="BF37" s="2">
        <v>10</v>
      </c>
      <c r="BG37" s="2">
        <v>4</v>
      </c>
      <c r="BH37" s="2">
        <v>7</v>
      </c>
      <c r="BI37" s="2">
        <v>4</v>
      </c>
      <c r="BJ37" s="2">
        <v>7</v>
      </c>
      <c r="BK37" s="2">
        <v>5</v>
      </c>
      <c r="BL37" s="2">
        <v>8</v>
      </c>
      <c r="BM37" s="2">
        <v>6</v>
      </c>
    </row>
    <row r="38" spans="1:65" x14ac:dyDescent="0.25">
      <c r="A38" s="9" t="s">
        <v>226</v>
      </c>
      <c r="B38" s="9" t="s">
        <v>170</v>
      </c>
      <c r="C38" s="9" t="s">
        <v>184</v>
      </c>
      <c r="D38" s="9" t="s">
        <v>180</v>
      </c>
      <c r="E38" s="9" t="s">
        <v>209</v>
      </c>
      <c r="F38" s="10">
        <v>7</v>
      </c>
      <c r="G38" s="10">
        <v>6</v>
      </c>
      <c r="H38" s="10">
        <v>9</v>
      </c>
      <c r="I38" s="10">
        <v>4</v>
      </c>
      <c r="J38" s="10">
        <v>10</v>
      </c>
      <c r="K38" s="10">
        <v>2</v>
      </c>
      <c r="L38" s="10">
        <v>8</v>
      </c>
      <c r="M38" s="10">
        <v>8</v>
      </c>
      <c r="N38" s="10">
        <v>10</v>
      </c>
      <c r="O38" s="10">
        <v>7</v>
      </c>
      <c r="P38" s="10">
        <v>9</v>
      </c>
      <c r="Q38" s="10">
        <v>9</v>
      </c>
      <c r="R38" s="10">
        <v>6</v>
      </c>
      <c r="S38" s="10">
        <v>6</v>
      </c>
      <c r="T38" s="10">
        <v>8</v>
      </c>
      <c r="U38" s="10">
        <v>5</v>
      </c>
      <c r="V38" s="10">
        <v>9</v>
      </c>
      <c r="W38" s="10">
        <v>4</v>
      </c>
      <c r="X38" s="10">
        <v>9</v>
      </c>
      <c r="Y38" s="10">
        <v>7</v>
      </c>
      <c r="Z38" s="10">
        <v>8</v>
      </c>
      <c r="AA38" s="10">
        <v>4</v>
      </c>
      <c r="AB38" s="10">
        <v>7</v>
      </c>
      <c r="AC38" s="10">
        <v>5</v>
      </c>
      <c r="AD38" s="10">
        <v>6</v>
      </c>
      <c r="AE38" s="10">
        <v>8</v>
      </c>
      <c r="AF38" s="10">
        <v>8</v>
      </c>
      <c r="AG38" s="10">
        <v>5</v>
      </c>
      <c r="AH38" s="10">
        <v>7</v>
      </c>
      <c r="AI38" s="10">
        <v>9</v>
      </c>
      <c r="AJ38" s="10">
        <v>9</v>
      </c>
      <c r="AK38" s="10">
        <v>4</v>
      </c>
      <c r="AL38" s="10">
        <v>10</v>
      </c>
      <c r="AM38" s="10">
        <v>7</v>
      </c>
      <c r="AN38" s="10">
        <v>9</v>
      </c>
      <c r="AO38" s="10">
        <v>4</v>
      </c>
      <c r="AP38" s="10">
        <v>10</v>
      </c>
      <c r="AQ38" s="10">
        <v>7</v>
      </c>
      <c r="AR38" s="10">
        <v>8</v>
      </c>
      <c r="AS38" s="10">
        <v>7</v>
      </c>
      <c r="AT38" s="10">
        <v>9</v>
      </c>
      <c r="AU38" s="10">
        <v>5</v>
      </c>
      <c r="AV38" s="10">
        <v>7</v>
      </c>
      <c r="AW38" s="10">
        <v>3</v>
      </c>
      <c r="AX38" s="10">
        <v>7</v>
      </c>
      <c r="AY38" s="10">
        <v>5</v>
      </c>
      <c r="AZ38" s="10">
        <v>9</v>
      </c>
      <c r="BA38" s="10">
        <v>6</v>
      </c>
      <c r="BB38" s="10">
        <v>9</v>
      </c>
      <c r="BC38" s="10">
        <v>8</v>
      </c>
      <c r="BD38" s="10">
        <v>8</v>
      </c>
      <c r="BE38" s="10">
        <v>4</v>
      </c>
      <c r="BF38" s="10">
        <v>7</v>
      </c>
      <c r="BG38" s="10">
        <v>4</v>
      </c>
      <c r="BH38" s="10">
        <v>8</v>
      </c>
      <c r="BI38" s="10">
        <v>5</v>
      </c>
      <c r="BJ38" s="10">
        <v>8</v>
      </c>
      <c r="BK38" s="10">
        <v>5</v>
      </c>
      <c r="BL38" s="10">
        <v>8</v>
      </c>
      <c r="BM38" s="10">
        <v>4</v>
      </c>
    </row>
    <row r="39" spans="1:65" x14ac:dyDescent="0.25">
      <c r="A39" s="3" t="s">
        <v>227</v>
      </c>
      <c r="B39" s="3" t="s">
        <v>170</v>
      </c>
      <c r="C39" s="3" t="s">
        <v>179</v>
      </c>
      <c r="D39" s="3" t="s">
        <v>180</v>
      </c>
      <c r="E39" s="3" t="s">
        <v>200</v>
      </c>
      <c r="F39" s="2">
        <v>8</v>
      </c>
      <c r="G39" s="2">
        <v>7</v>
      </c>
      <c r="H39" s="2">
        <v>10</v>
      </c>
      <c r="I39" s="2">
        <v>2</v>
      </c>
      <c r="J39" s="2">
        <v>8</v>
      </c>
      <c r="K39" s="2">
        <v>4</v>
      </c>
      <c r="L39" s="2">
        <v>10</v>
      </c>
      <c r="M39" s="2">
        <v>3</v>
      </c>
      <c r="N39" s="2">
        <v>9</v>
      </c>
      <c r="O39" s="2">
        <v>5</v>
      </c>
      <c r="P39" s="2">
        <v>10</v>
      </c>
      <c r="Q39" s="2">
        <v>5</v>
      </c>
      <c r="R39" s="2">
        <v>8</v>
      </c>
      <c r="S39" s="2">
        <v>9</v>
      </c>
      <c r="T39" s="2">
        <v>8</v>
      </c>
      <c r="U39" s="2">
        <v>4</v>
      </c>
      <c r="V39" s="2">
        <v>10</v>
      </c>
      <c r="W39" s="2">
        <v>3</v>
      </c>
      <c r="X39" s="2">
        <v>9</v>
      </c>
      <c r="Y39" s="2">
        <v>3</v>
      </c>
      <c r="Z39" s="2">
        <v>8</v>
      </c>
      <c r="AA39" s="2">
        <v>6</v>
      </c>
      <c r="AB39" s="2">
        <v>7</v>
      </c>
      <c r="AC39" s="2">
        <v>7</v>
      </c>
      <c r="AD39" s="2">
        <v>7</v>
      </c>
      <c r="AE39" s="2">
        <v>6</v>
      </c>
      <c r="AF39" s="2">
        <v>9</v>
      </c>
      <c r="AG39" s="2">
        <v>7</v>
      </c>
      <c r="AH39" s="2">
        <v>6</v>
      </c>
      <c r="AI39" s="2">
        <v>6</v>
      </c>
      <c r="AJ39" s="2">
        <v>6</v>
      </c>
      <c r="AK39" s="2">
        <v>7</v>
      </c>
      <c r="AL39" s="2">
        <v>7</v>
      </c>
      <c r="AM39" s="2">
        <v>5</v>
      </c>
      <c r="AN39" s="2">
        <v>7</v>
      </c>
      <c r="AO39" s="2">
        <v>6</v>
      </c>
      <c r="AP39" s="2">
        <v>9</v>
      </c>
      <c r="AQ39" s="2">
        <v>2</v>
      </c>
      <c r="AR39" s="2">
        <v>8</v>
      </c>
      <c r="AS39" s="2">
        <v>6</v>
      </c>
      <c r="AT39" s="2">
        <v>9</v>
      </c>
      <c r="AU39" s="2">
        <v>4</v>
      </c>
      <c r="AV39" s="2">
        <v>8</v>
      </c>
      <c r="AW39" s="2">
        <v>6</v>
      </c>
      <c r="AX39" s="2">
        <v>9</v>
      </c>
      <c r="AY39" s="2">
        <v>7</v>
      </c>
      <c r="AZ39" s="2">
        <v>10</v>
      </c>
      <c r="BA39" s="2">
        <v>5</v>
      </c>
      <c r="BB39" s="2">
        <v>7</v>
      </c>
      <c r="BC39" s="2">
        <v>2</v>
      </c>
      <c r="BD39" s="2">
        <v>5</v>
      </c>
      <c r="BE39" s="2">
        <v>6</v>
      </c>
      <c r="BF39" s="2">
        <v>10</v>
      </c>
      <c r="BG39" s="2">
        <v>6</v>
      </c>
      <c r="BH39" s="2">
        <v>9</v>
      </c>
      <c r="BI39" s="2">
        <v>4</v>
      </c>
      <c r="BJ39" s="2">
        <v>8</v>
      </c>
      <c r="BK39" s="2">
        <v>5</v>
      </c>
      <c r="BL39" s="2">
        <v>8</v>
      </c>
      <c r="BM39" s="2">
        <v>5</v>
      </c>
    </row>
    <row r="40" spans="1:65" x14ac:dyDescent="0.25">
      <c r="A40" s="9" t="s">
        <v>228</v>
      </c>
      <c r="B40" s="9" t="s">
        <v>170</v>
      </c>
      <c r="C40" s="9" t="s">
        <v>179</v>
      </c>
      <c r="D40" s="9" t="s">
        <v>187</v>
      </c>
      <c r="E40" s="9" t="s">
        <v>200</v>
      </c>
      <c r="F40" s="10">
        <v>10</v>
      </c>
      <c r="G40" s="10">
        <v>4</v>
      </c>
      <c r="H40" s="10">
        <v>8</v>
      </c>
      <c r="I40" s="10">
        <v>5</v>
      </c>
      <c r="J40" s="10">
        <v>9</v>
      </c>
      <c r="K40" s="10">
        <v>7</v>
      </c>
      <c r="L40" s="10">
        <v>9</v>
      </c>
      <c r="M40" s="10">
        <v>4</v>
      </c>
      <c r="N40" s="10">
        <v>6</v>
      </c>
      <c r="O40" s="10">
        <v>8</v>
      </c>
      <c r="P40" s="10">
        <v>9</v>
      </c>
      <c r="Q40" s="10">
        <v>8</v>
      </c>
      <c r="R40" s="10">
        <v>8</v>
      </c>
      <c r="S40" s="10">
        <v>6</v>
      </c>
      <c r="T40" s="10">
        <v>7</v>
      </c>
      <c r="U40" s="10">
        <v>7</v>
      </c>
      <c r="V40" s="10">
        <v>7</v>
      </c>
      <c r="W40" s="10">
        <v>5</v>
      </c>
      <c r="X40" s="10">
        <v>10</v>
      </c>
      <c r="Y40" s="10">
        <v>4</v>
      </c>
      <c r="Z40" s="10">
        <v>9</v>
      </c>
      <c r="AA40" s="10">
        <v>5</v>
      </c>
      <c r="AB40" s="10">
        <v>8</v>
      </c>
      <c r="AC40" s="10">
        <v>6</v>
      </c>
      <c r="AD40" s="10">
        <v>7</v>
      </c>
      <c r="AE40" s="10">
        <v>6</v>
      </c>
      <c r="AF40" s="10">
        <v>6</v>
      </c>
      <c r="AG40" s="10">
        <v>6</v>
      </c>
      <c r="AH40" s="10">
        <v>8</v>
      </c>
      <c r="AI40" s="10">
        <v>10</v>
      </c>
      <c r="AJ40" s="10">
        <v>6</v>
      </c>
      <c r="AK40" s="10">
        <v>5</v>
      </c>
      <c r="AL40" s="10">
        <v>7</v>
      </c>
      <c r="AM40" s="10">
        <v>7</v>
      </c>
      <c r="AN40" s="10">
        <v>7</v>
      </c>
      <c r="AO40" s="10">
        <v>3</v>
      </c>
      <c r="AP40" s="10">
        <v>9</v>
      </c>
      <c r="AQ40" s="10">
        <v>2</v>
      </c>
      <c r="AR40" s="10">
        <v>10</v>
      </c>
      <c r="AS40" s="10">
        <v>6</v>
      </c>
      <c r="AT40" s="10">
        <v>6</v>
      </c>
      <c r="AU40" s="10">
        <v>6</v>
      </c>
      <c r="AV40" s="10">
        <v>8</v>
      </c>
      <c r="AW40" s="10">
        <v>4</v>
      </c>
      <c r="AX40" s="10">
        <v>7</v>
      </c>
      <c r="AY40" s="10">
        <v>7</v>
      </c>
      <c r="AZ40" s="10">
        <v>6</v>
      </c>
      <c r="BA40" s="10">
        <v>8</v>
      </c>
      <c r="BB40" s="10">
        <v>6</v>
      </c>
      <c r="BC40" s="10">
        <v>6</v>
      </c>
      <c r="BD40" s="10">
        <v>7</v>
      </c>
      <c r="BE40" s="10">
        <v>5</v>
      </c>
      <c r="BF40" s="10">
        <v>8</v>
      </c>
      <c r="BG40" s="10">
        <v>5</v>
      </c>
      <c r="BH40" s="10">
        <v>9</v>
      </c>
      <c r="BI40" s="10">
        <v>6</v>
      </c>
      <c r="BJ40" s="10">
        <v>9</v>
      </c>
      <c r="BK40" s="10">
        <v>1</v>
      </c>
      <c r="BL40" s="10">
        <v>9</v>
      </c>
      <c r="BM40" s="10">
        <v>4</v>
      </c>
    </row>
    <row r="41" spans="1:65" x14ac:dyDescent="0.25">
      <c r="A41" s="3" t="s">
        <v>229</v>
      </c>
      <c r="B41" s="3" t="s">
        <v>202</v>
      </c>
      <c r="C41" s="3" t="s">
        <v>184</v>
      </c>
      <c r="D41" s="3" t="s">
        <v>187</v>
      </c>
      <c r="E41" s="3" t="s">
        <v>203</v>
      </c>
      <c r="F41" s="2">
        <v>9</v>
      </c>
      <c r="G41" s="2">
        <v>4</v>
      </c>
      <c r="H41" s="2">
        <v>8</v>
      </c>
      <c r="I41" s="2">
        <v>4</v>
      </c>
      <c r="J41" s="2">
        <v>7</v>
      </c>
      <c r="K41" s="2">
        <v>7</v>
      </c>
      <c r="L41" s="2">
        <v>8</v>
      </c>
      <c r="M41" s="2">
        <v>6</v>
      </c>
      <c r="N41" s="2">
        <v>6</v>
      </c>
      <c r="O41" s="2">
        <v>4</v>
      </c>
      <c r="P41" s="2">
        <v>8</v>
      </c>
      <c r="Q41" s="2">
        <v>7</v>
      </c>
      <c r="R41" s="2">
        <v>6</v>
      </c>
      <c r="S41" s="2">
        <v>7</v>
      </c>
      <c r="T41" s="2">
        <v>7</v>
      </c>
      <c r="U41" s="2">
        <v>7</v>
      </c>
      <c r="V41" s="2">
        <v>10</v>
      </c>
      <c r="W41" s="2">
        <v>9</v>
      </c>
      <c r="X41" s="2">
        <v>9</v>
      </c>
      <c r="Y41" s="2">
        <v>6</v>
      </c>
      <c r="Z41" s="2">
        <v>8</v>
      </c>
      <c r="AA41" s="2">
        <v>6</v>
      </c>
      <c r="AB41" s="2">
        <v>7</v>
      </c>
      <c r="AC41" s="2">
        <v>6</v>
      </c>
      <c r="AD41" s="2">
        <v>6</v>
      </c>
      <c r="AE41" s="2">
        <v>7</v>
      </c>
      <c r="AF41" s="2">
        <v>8</v>
      </c>
      <c r="AG41" s="2">
        <v>6</v>
      </c>
      <c r="AH41" s="2">
        <v>6</v>
      </c>
      <c r="AI41" s="2">
        <v>6</v>
      </c>
      <c r="AJ41" s="2">
        <v>10</v>
      </c>
      <c r="AK41" s="2">
        <v>4</v>
      </c>
      <c r="AL41" s="2">
        <v>8</v>
      </c>
      <c r="AM41" s="2">
        <v>5</v>
      </c>
      <c r="AN41" s="2">
        <v>9</v>
      </c>
      <c r="AO41" s="2">
        <v>7</v>
      </c>
      <c r="AP41" s="2">
        <v>7</v>
      </c>
      <c r="AQ41" s="2">
        <v>9</v>
      </c>
      <c r="AR41" s="2">
        <v>7</v>
      </c>
      <c r="AS41" s="2">
        <v>4</v>
      </c>
      <c r="AT41" s="2">
        <v>7</v>
      </c>
      <c r="AU41" s="2">
        <v>6</v>
      </c>
      <c r="AV41" s="2">
        <v>8</v>
      </c>
      <c r="AW41" s="2">
        <v>5</v>
      </c>
      <c r="AX41" s="2">
        <v>9</v>
      </c>
      <c r="AY41" s="2">
        <v>4</v>
      </c>
      <c r="AZ41" s="2">
        <v>6</v>
      </c>
      <c r="BA41" s="2">
        <v>5</v>
      </c>
      <c r="BB41" s="2">
        <v>7</v>
      </c>
      <c r="BC41" s="2">
        <v>5</v>
      </c>
      <c r="BD41" s="2">
        <v>8</v>
      </c>
      <c r="BE41" s="2">
        <v>2</v>
      </c>
      <c r="BF41" s="2">
        <v>9</v>
      </c>
      <c r="BG41" s="2">
        <v>7</v>
      </c>
      <c r="BH41" s="2">
        <v>9</v>
      </c>
      <c r="BI41" s="2">
        <v>7</v>
      </c>
      <c r="BJ41" s="2">
        <v>8</v>
      </c>
      <c r="BK41" s="2">
        <v>2</v>
      </c>
      <c r="BL41" s="2">
        <v>6</v>
      </c>
      <c r="BM41" s="2">
        <v>3</v>
      </c>
    </row>
    <row r="42" spans="1:65" x14ac:dyDescent="0.25">
      <c r="A42" s="9" t="s">
        <v>230</v>
      </c>
      <c r="B42" s="9" t="s">
        <v>170</v>
      </c>
      <c r="C42" s="9" t="s">
        <v>194</v>
      </c>
      <c r="D42" s="9" t="s">
        <v>187</v>
      </c>
      <c r="E42" s="9" t="s">
        <v>176</v>
      </c>
      <c r="F42" s="10">
        <v>9</v>
      </c>
      <c r="G42" s="10">
        <v>1</v>
      </c>
      <c r="H42" s="10">
        <v>7</v>
      </c>
      <c r="I42" s="10">
        <v>5</v>
      </c>
      <c r="J42" s="10">
        <v>8</v>
      </c>
      <c r="K42" s="10">
        <v>7</v>
      </c>
      <c r="L42" s="10">
        <v>9</v>
      </c>
      <c r="M42" s="10">
        <v>4</v>
      </c>
      <c r="N42" s="10">
        <v>8</v>
      </c>
      <c r="O42" s="10">
        <v>6</v>
      </c>
      <c r="P42" s="10">
        <v>10</v>
      </c>
      <c r="Q42" s="10">
        <v>8</v>
      </c>
      <c r="R42" s="10">
        <v>9</v>
      </c>
      <c r="S42" s="10">
        <v>5</v>
      </c>
      <c r="T42" s="10">
        <v>8</v>
      </c>
      <c r="U42" s="10">
        <v>9</v>
      </c>
      <c r="V42" s="10">
        <v>8</v>
      </c>
      <c r="W42" s="10">
        <v>9</v>
      </c>
      <c r="X42" s="10">
        <v>6</v>
      </c>
      <c r="Y42" s="10">
        <v>9</v>
      </c>
      <c r="Z42" s="10">
        <v>10</v>
      </c>
      <c r="AA42" s="10">
        <v>1</v>
      </c>
      <c r="AB42" s="10">
        <v>6</v>
      </c>
      <c r="AC42" s="10">
        <v>5</v>
      </c>
      <c r="AD42" s="10">
        <v>9</v>
      </c>
      <c r="AE42" s="10">
        <v>4</v>
      </c>
      <c r="AF42" s="10">
        <v>6</v>
      </c>
      <c r="AG42" s="10">
        <v>5</v>
      </c>
      <c r="AH42" s="10">
        <v>6</v>
      </c>
      <c r="AI42" s="10">
        <v>5</v>
      </c>
      <c r="AJ42" s="10">
        <v>8</v>
      </c>
      <c r="AK42" s="10">
        <v>7</v>
      </c>
      <c r="AL42" s="10">
        <v>8</v>
      </c>
      <c r="AM42" s="10">
        <v>6</v>
      </c>
      <c r="AN42" s="10">
        <v>7</v>
      </c>
      <c r="AO42" s="10">
        <v>7</v>
      </c>
      <c r="AP42" s="10">
        <v>9</v>
      </c>
      <c r="AQ42" s="10">
        <v>7</v>
      </c>
      <c r="AR42" s="10">
        <v>7</v>
      </c>
      <c r="AS42" s="10">
        <v>8</v>
      </c>
      <c r="AT42" s="10">
        <v>8</v>
      </c>
      <c r="AU42" s="10">
        <v>7</v>
      </c>
      <c r="AV42" s="10">
        <v>9</v>
      </c>
      <c r="AW42" s="10">
        <v>5</v>
      </c>
      <c r="AX42" s="10">
        <v>6</v>
      </c>
      <c r="AY42" s="10">
        <v>6</v>
      </c>
      <c r="AZ42" s="10">
        <v>8</v>
      </c>
      <c r="BA42" s="10">
        <v>4</v>
      </c>
      <c r="BB42" s="10">
        <v>8</v>
      </c>
      <c r="BC42" s="10">
        <v>6</v>
      </c>
      <c r="BD42" s="10">
        <v>7</v>
      </c>
      <c r="BE42" s="10">
        <v>6</v>
      </c>
      <c r="BF42" s="10">
        <v>8</v>
      </c>
      <c r="BG42" s="10">
        <v>6</v>
      </c>
      <c r="BH42" s="10">
        <v>8</v>
      </c>
      <c r="BI42" s="10">
        <v>6</v>
      </c>
      <c r="BJ42" s="10">
        <v>4</v>
      </c>
      <c r="BK42" s="10">
        <v>4</v>
      </c>
      <c r="BL42" s="10">
        <v>8</v>
      </c>
      <c r="BM42" s="10">
        <v>5</v>
      </c>
    </row>
    <row r="43" spans="1:65" x14ac:dyDescent="0.25">
      <c r="A43" s="3" t="s">
        <v>231</v>
      </c>
      <c r="B43" s="3" t="s">
        <v>202</v>
      </c>
      <c r="C43" s="3" t="s">
        <v>179</v>
      </c>
      <c r="D43" s="3" t="s">
        <v>180</v>
      </c>
      <c r="E43" s="3" t="s">
        <v>203</v>
      </c>
      <c r="F43" s="2">
        <v>7</v>
      </c>
      <c r="G43" s="2">
        <v>5</v>
      </c>
      <c r="H43" s="2">
        <v>9</v>
      </c>
      <c r="I43" s="2">
        <v>6</v>
      </c>
      <c r="J43" s="2">
        <v>7</v>
      </c>
      <c r="K43" s="2">
        <v>9</v>
      </c>
      <c r="L43" s="2">
        <v>6</v>
      </c>
      <c r="M43" s="2">
        <v>8</v>
      </c>
      <c r="N43" s="2">
        <v>10</v>
      </c>
      <c r="O43" s="2">
        <v>7</v>
      </c>
      <c r="P43" s="2">
        <v>6</v>
      </c>
      <c r="Q43" s="2">
        <v>6</v>
      </c>
      <c r="R43" s="2">
        <v>9</v>
      </c>
      <c r="S43" s="2">
        <v>1</v>
      </c>
      <c r="T43" s="2">
        <v>7</v>
      </c>
      <c r="U43" s="2">
        <v>4</v>
      </c>
      <c r="V43" s="2">
        <v>8</v>
      </c>
      <c r="W43" s="2">
        <v>7</v>
      </c>
      <c r="X43" s="2">
        <v>7</v>
      </c>
      <c r="Y43" s="2">
        <v>2</v>
      </c>
      <c r="Z43" s="2">
        <v>6</v>
      </c>
      <c r="AA43" s="2">
        <v>4</v>
      </c>
      <c r="AB43" s="2">
        <v>8</v>
      </c>
      <c r="AC43" s="2">
        <v>8</v>
      </c>
      <c r="AD43" s="2">
        <v>8</v>
      </c>
      <c r="AE43" s="2">
        <v>7</v>
      </c>
      <c r="AF43" s="2">
        <v>6</v>
      </c>
      <c r="AG43" s="2">
        <v>6</v>
      </c>
      <c r="AH43" s="2">
        <v>7</v>
      </c>
      <c r="AI43" s="2">
        <v>8</v>
      </c>
      <c r="AJ43" s="2">
        <v>8</v>
      </c>
      <c r="AK43" s="2">
        <v>6</v>
      </c>
      <c r="AL43" s="2">
        <v>7</v>
      </c>
      <c r="AM43" s="2">
        <v>5</v>
      </c>
      <c r="AN43" s="2">
        <v>8</v>
      </c>
      <c r="AO43" s="2">
        <v>3</v>
      </c>
      <c r="AP43" s="2">
        <v>10</v>
      </c>
      <c r="AQ43" s="2">
        <v>7</v>
      </c>
      <c r="AR43" s="2">
        <v>8</v>
      </c>
      <c r="AS43" s="2">
        <v>4</v>
      </c>
      <c r="AT43" s="2">
        <v>8</v>
      </c>
      <c r="AU43" s="2">
        <v>4</v>
      </c>
      <c r="AV43" s="2">
        <v>7</v>
      </c>
      <c r="AW43" s="2">
        <v>4</v>
      </c>
      <c r="AX43" s="2">
        <v>8</v>
      </c>
      <c r="AY43" s="2">
        <v>7</v>
      </c>
      <c r="AZ43" s="2">
        <v>4</v>
      </c>
      <c r="BA43" s="2">
        <v>4</v>
      </c>
      <c r="BB43" s="2">
        <v>6</v>
      </c>
      <c r="BC43" s="2">
        <v>2</v>
      </c>
      <c r="BD43" s="2">
        <v>8</v>
      </c>
      <c r="BE43" s="2">
        <v>3</v>
      </c>
      <c r="BF43" s="2">
        <v>7</v>
      </c>
      <c r="BG43" s="2">
        <v>4</v>
      </c>
      <c r="BH43" s="2">
        <v>9</v>
      </c>
      <c r="BI43" s="2">
        <v>5</v>
      </c>
      <c r="BJ43" s="2">
        <v>9</v>
      </c>
      <c r="BK43" s="2">
        <v>4</v>
      </c>
      <c r="BL43" s="2">
        <v>9</v>
      </c>
      <c r="BM43" s="2">
        <v>4</v>
      </c>
    </row>
    <row r="44" spans="1:65" x14ac:dyDescent="0.25">
      <c r="A44" s="9" t="s">
        <v>232</v>
      </c>
      <c r="B44" s="9" t="s">
        <v>170</v>
      </c>
      <c r="C44" s="9" t="s">
        <v>194</v>
      </c>
      <c r="D44" s="9" t="s">
        <v>180</v>
      </c>
      <c r="E44" s="9" t="s">
        <v>209</v>
      </c>
      <c r="F44" s="10">
        <v>8</v>
      </c>
      <c r="G44" s="10">
        <v>8</v>
      </c>
      <c r="H44" s="10">
        <v>9</v>
      </c>
      <c r="I44" s="10">
        <v>8</v>
      </c>
      <c r="J44" s="10">
        <v>10</v>
      </c>
      <c r="K44" s="10">
        <v>7</v>
      </c>
      <c r="L44" s="10">
        <v>6</v>
      </c>
      <c r="M44" s="10">
        <v>6</v>
      </c>
      <c r="N44" s="10">
        <v>7</v>
      </c>
      <c r="O44" s="10">
        <v>5</v>
      </c>
      <c r="P44" s="10">
        <v>6</v>
      </c>
      <c r="Q44" s="10">
        <v>5</v>
      </c>
      <c r="R44" s="10">
        <v>8</v>
      </c>
      <c r="S44" s="10">
        <v>5</v>
      </c>
      <c r="T44" s="10">
        <v>9</v>
      </c>
      <c r="U44" s="10">
        <v>7</v>
      </c>
      <c r="V44" s="10">
        <v>7</v>
      </c>
      <c r="W44" s="10">
        <v>9</v>
      </c>
      <c r="X44" s="10">
        <v>9</v>
      </c>
      <c r="Y44" s="10">
        <v>8</v>
      </c>
      <c r="Z44" s="10">
        <v>8</v>
      </c>
      <c r="AA44" s="10">
        <v>6</v>
      </c>
      <c r="AB44" s="10">
        <v>8</v>
      </c>
      <c r="AC44" s="10">
        <v>4</v>
      </c>
      <c r="AD44" s="10">
        <v>7</v>
      </c>
      <c r="AE44" s="10">
        <v>8</v>
      </c>
      <c r="AF44" s="10">
        <v>7</v>
      </c>
      <c r="AG44" s="10">
        <v>8</v>
      </c>
      <c r="AH44" s="10">
        <v>8</v>
      </c>
      <c r="AI44" s="10">
        <v>5</v>
      </c>
      <c r="AJ44" s="10">
        <v>8</v>
      </c>
      <c r="AK44" s="10">
        <v>5</v>
      </c>
      <c r="AL44" s="10">
        <v>9</v>
      </c>
      <c r="AM44" s="10">
        <v>2</v>
      </c>
      <c r="AN44" s="10">
        <v>8</v>
      </c>
      <c r="AO44" s="10">
        <v>3</v>
      </c>
      <c r="AP44" s="10">
        <v>10</v>
      </c>
      <c r="AQ44" s="10">
        <v>3</v>
      </c>
      <c r="AR44" s="10">
        <v>9</v>
      </c>
      <c r="AS44" s="10">
        <v>3</v>
      </c>
      <c r="AT44" s="10">
        <v>8</v>
      </c>
      <c r="AU44" s="10">
        <v>6</v>
      </c>
      <c r="AV44" s="10">
        <v>9</v>
      </c>
      <c r="AW44" s="10">
        <v>4</v>
      </c>
      <c r="AX44" s="10">
        <v>8</v>
      </c>
      <c r="AY44" s="10">
        <v>7</v>
      </c>
      <c r="AZ44" s="10">
        <v>5</v>
      </c>
      <c r="BA44" s="10">
        <v>4</v>
      </c>
      <c r="BB44" s="10">
        <v>7</v>
      </c>
      <c r="BC44" s="10">
        <v>5</v>
      </c>
      <c r="BD44" s="10">
        <v>9</v>
      </c>
      <c r="BE44" s="10">
        <v>5</v>
      </c>
      <c r="BF44" s="10">
        <v>10</v>
      </c>
      <c r="BG44" s="10">
        <v>5</v>
      </c>
      <c r="BH44" s="10">
        <v>8</v>
      </c>
      <c r="BI44" s="10">
        <v>6</v>
      </c>
      <c r="BJ44" s="10">
        <v>6</v>
      </c>
      <c r="BK44" s="10">
        <v>4</v>
      </c>
      <c r="BL44" s="10">
        <v>10</v>
      </c>
      <c r="BM44" s="10">
        <v>1</v>
      </c>
    </row>
    <row r="45" spans="1:65" x14ac:dyDescent="0.25">
      <c r="A45" s="3" t="s">
        <v>233</v>
      </c>
      <c r="B45" s="3" t="s">
        <v>178</v>
      </c>
      <c r="C45" s="3" t="s">
        <v>184</v>
      </c>
      <c r="D45" s="3" t="s">
        <v>187</v>
      </c>
      <c r="E45" s="3" t="s">
        <v>181</v>
      </c>
      <c r="F45" s="2">
        <v>9</v>
      </c>
      <c r="G45" s="2">
        <v>6</v>
      </c>
      <c r="H45" s="2">
        <v>7</v>
      </c>
      <c r="I45" s="2">
        <v>7</v>
      </c>
      <c r="J45" s="2">
        <v>10</v>
      </c>
      <c r="K45" s="2">
        <v>7</v>
      </c>
      <c r="L45" s="2">
        <v>7</v>
      </c>
      <c r="M45" s="2">
        <v>4</v>
      </c>
      <c r="N45" s="2">
        <v>8</v>
      </c>
      <c r="O45" s="2">
        <v>5</v>
      </c>
      <c r="P45" s="2">
        <v>9</v>
      </c>
      <c r="Q45" s="2">
        <v>9</v>
      </c>
      <c r="R45" s="2">
        <v>7</v>
      </c>
      <c r="S45" s="2">
        <v>4</v>
      </c>
      <c r="T45" s="2">
        <v>6</v>
      </c>
      <c r="U45" s="2">
        <v>9</v>
      </c>
      <c r="V45" s="2">
        <v>7</v>
      </c>
      <c r="W45" s="2">
        <v>9</v>
      </c>
      <c r="X45" s="2">
        <v>7</v>
      </c>
      <c r="Y45" s="2">
        <v>7</v>
      </c>
      <c r="Z45" s="2">
        <v>8</v>
      </c>
      <c r="AA45" s="2">
        <v>7</v>
      </c>
      <c r="AB45" s="2">
        <v>7</v>
      </c>
      <c r="AC45" s="2">
        <v>6</v>
      </c>
      <c r="AD45" s="2">
        <v>6</v>
      </c>
      <c r="AE45" s="2">
        <v>8</v>
      </c>
      <c r="AF45" s="2">
        <v>8</v>
      </c>
      <c r="AG45" s="2">
        <v>9</v>
      </c>
      <c r="AH45" s="2">
        <v>6</v>
      </c>
      <c r="AI45" s="2">
        <v>7</v>
      </c>
      <c r="AJ45" s="2">
        <v>9</v>
      </c>
      <c r="AK45" s="2">
        <v>1</v>
      </c>
      <c r="AL45" s="2">
        <v>7</v>
      </c>
      <c r="AM45" s="2">
        <v>5</v>
      </c>
      <c r="AN45" s="2">
        <v>9</v>
      </c>
      <c r="AO45" s="2">
        <v>6</v>
      </c>
      <c r="AP45" s="2">
        <v>8</v>
      </c>
      <c r="AQ45" s="2">
        <v>7</v>
      </c>
      <c r="AR45" s="2">
        <v>10</v>
      </c>
      <c r="AS45" s="2">
        <v>1</v>
      </c>
      <c r="AT45" s="2">
        <v>8</v>
      </c>
      <c r="AU45" s="2">
        <v>8</v>
      </c>
      <c r="AV45" s="2">
        <v>7</v>
      </c>
      <c r="AW45" s="2">
        <v>6</v>
      </c>
      <c r="AX45" s="2">
        <v>9</v>
      </c>
      <c r="AY45" s="2">
        <v>7</v>
      </c>
      <c r="AZ45" s="2">
        <v>6</v>
      </c>
      <c r="BA45" s="2">
        <v>4</v>
      </c>
      <c r="BB45" s="2">
        <v>6</v>
      </c>
      <c r="BC45" s="2">
        <v>2</v>
      </c>
      <c r="BD45" s="2">
        <v>9</v>
      </c>
      <c r="BE45" s="2">
        <v>6</v>
      </c>
      <c r="BF45" s="2">
        <v>9</v>
      </c>
      <c r="BG45" s="2">
        <v>5</v>
      </c>
      <c r="BH45" s="2">
        <v>7</v>
      </c>
      <c r="BI45" s="2">
        <v>2</v>
      </c>
      <c r="BJ45" s="2">
        <v>9</v>
      </c>
      <c r="BK45" s="2">
        <v>8</v>
      </c>
      <c r="BL45" s="2">
        <v>9</v>
      </c>
      <c r="BM45" s="2">
        <v>3</v>
      </c>
    </row>
    <row r="46" spans="1:65" x14ac:dyDescent="0.25">
      <c r="A46" s="9" t="s">
        <v>234</v>
      </c>
      <c r="B46" s="9" t="s">
        <v>178</v>
      </c>
      <c r="C46" s="9" t="s">
        <v>175</v>
      </c>
      <c r="D46" s="9" t="s">
        <v>180</v>
      </c>
      <c r="E46" s="9" t="s">
        <v>203</v>
      </c>
      <c r="F46" s="10">
        <v>9</v>
      </c>
      <c r="G46" s="10">
        <v>5</v>
      </c>
      <c r="H46" s="10">
        <v>10</v>
      </c>
      <c r="I46" s="10">
        <v>1</v>
      </c>
      <c r="J46" s="10">
        <v>9</v>
      </c>
      <c r="K46" s="10">
        <v>6</v>
      </c>
      <c r="L46" s="10">
        <v>7</v>
      </c>
      <c r="M46" s="10">
        <v>8</v>
      </c>
      <c r="N46" s="10">
        <v>9</v>
      </c>
      <c r="O46" s="10">
        <v>5</v>
      </c>
      <c r="P46" s="10">
        <v>8</v>
      </c>
      <c r="Q46" s="10">
        <v>9</v>
      </c>
      <c r="R46" s="10">
        <v>9</v>
      </c>
      <c r="S46" s="10">
        <v>8</v>
      </c>
      <c r="T46" s="10">
        <v>8</v>
      </c>
      <c r="U46" s="10">
        <v>7</v>
      </c>
      <c r="V46" s="10">
        <v>10</v>
      </c>
      <c r="W46" s="10">
        <v>7</v>
      </c>
      <c r="X46" s="10">
        <v>8</v>
      </c>
      <c r="Y46" s="10">
        <v>7</v>
      </c>
      <c r="Z46" s="10">
        <v>7</v>
      </c>
      <c r="AA46" s="10">
        <v>7</v>
      </c>
      <c r="AB46" s="10">
        <v>7</v>
      </c>
      <c r="AC46" s="10">
        <v>6</v>
      </c>
      <c r="AD46" s="10">
        <v>6</v>
      </c>
      <c r="AE46" s="10">
        <v>6</v>
      </c>
      <c r="AF46" s="10">
        <v>7</v>
      </c>
      <c r="AG46" s="10">
        <v>7</v>
      </c>
      <c r="AH46" s="10">
        <v>7</v>
      </c>
      <c r="AI46" s="10">
        <v>6</v>
      </c>
      <c r="AJ46" s="10">
        <v>5</v>
      </c>
      <c r="AK46" s="10">
        <v>6</v>
      </c>
      <c r="AL46" s="10">
        <v>8</v>
      </c>
      <c r="AM46" s="10">
        <v>4</v>
      </c>
      <c r="AN46" s="10">
        <v>8</v>
      </c>
      <c r="AO46" s="10">
        <v>5</v>
      </c>
      <c r="AP46" s="10">
        <v>9</v>
      </c>
      <c r="AQ46" s="10">
        <v>1</v>
      </c>
      <c r="AR46" s="10">
        <v>6</v>
      </c>
      <c r="AS46" s="10">
        <v>5</v>
      </c>
      <c r="AT46" s="10">
        <v>6</v>
      </c>
      <c r="AU46" s="10">
        <v>4</v>
      </c>
      <c r="AV46" s="10">
        <v>6</v>
      </c>
      <c r="AW46" s="10">
        <v>7</v>
      </c>
      <c r="AX46" s="10">
        <v>8</v>
      </c>
      <c r="AY46" s="10">
        <v>4</v>
      </c>
      <c r="AZ46" s="10">
        <v>8</v>
      </c>
      <c r="BA46" s="10">
        <v>6</v>
      </c>
      <c r="BB46" s="10">
        <v>6</v>
      </c>
      <c r="BC46" s="10">
        <v>4</v>
      </c>
      <c r="BD46" s="10">
        <v>7</v>
      </c>
      <c r="BE46" s="10">
        <v>7</v>
      </c>
      <c r="BF46" s="10">
        <v>8</v>
      </c>
      <c r="BG46" s="10">
        <v>5</v>
      </c>
      <c r="BH46" s="10">
        <v>10</v>
      </c>
      <c r="BI46" s="10">
        <v>1</v>
      </c>
      <c r="BJ46" s="10">
        <v>9</v>
      </c>
      <c r="BK46" s="10">
        <v>6</v>
      </c>
      <c r="BL46" s="10">
        <v>9</v>
      </c>
      <c r="BM46" s="10">
        <v>3</v>
      </c>
    </row>
    <row r="47" spans="1:65" x14ac:dyDescent="0.25">
      <c r="A47" s="3" t="s">
        <v>235</v>
      </c>
      <c r="B47" s="3" t="s">
        <v>178</v>
      </c>
      <c r="C47" s="3" t="s">
        <v>179</v>
      </c>
      <c r="D47" s="3" t="s">
        <v>172</v>
      </c>
      <c r="E47" s="3" t="s">
        <v>173</v>
      </c>
      <c r="F47" s="2">
        <v>8</v>
      </c>
      <c r="G47" s="2">
        <v>5</v>
      </c>
      <c r="H47" s="2">
        <v>7</v>
      </c>
      <c r="I47" s="2">
        <v>5</v>
      </c>
      <c r="J47" s="2">
        <v>8</v>
      </c>
      <c r="K47" s="2">
        <v>6</v>
      </c>
      <c r="L47" s="2">
        <v>9</v>
      </c>
      <c r="M47" s="2">
        <v>3</v>
      </c>
      <c r="N47" s="2">
        <v>9</v>
      </c>
      <c r="O47" s="2">
        <v>6</v>
      </c>
      <c r="P47" s="2">
        <v>9</v>
      </c>
      <c r="Q47" s="2">
        <v>10</v>
      </c>
      <c r="R47" s="2">
        <v>8</v>
      </c>
      <c r="S47" s="2">
        <v>8</v>
      </c>
      <c r="T47" s="2">
        <v>9</v>
      </c>
      <c r="U47" s="2">
        <v>7</v>
      </c>
      <c r="V47" s="2">
        <v>9</v>
      </c>
      <c r="W47" s="2">
        <v>3</v>
      </c>
      <c r="X47" s="2">
        <v>9</v>
      </c>
      <c r="Y47" s="2">
        <v>5</v>
      </c>
      <c r="Z47" s="2">
        <v>9</v>
      </c>
      <c r="AA47" s="2">
        <v>6</v>
      </c>
      <c r="AB47" s="2">
        <v>8</v>
      </c>
      <c r="AC47" s="2">
        <v>3</v>
      </c>
      <c r="AD47" s="2">
        <v>9</v>
      </c>
      <c r="AE47" s="2">
        <v>2</v>
      </c>
      <c r="AF47" s="2">
        <v>9</v>
      </c>
      <c r="AG47" s="2">
        <v>7</v>
      </c>
      <c r="AH47" s="2">
        <v>7</v>
      </c>
      <c r="AI47" s="2">
        <v>6</v>
      </c>
      <c r="AJ47" s="2">
        <v>10</v>
      </c>
      <c r="AK47" s="2">
        <v>1</v>
      </c>
      <c r="AL47" s="2">
        <v>8</v>
      </c>
      <c r="AM47" s="2">
        <v>7</v>
      </c>
      <c r="AN47" s="2">
        <v>7</v>
      </c>
      <c r="AO47" s="2">
        <v>7</v>
      </c>
      <c r="AP47" s="2">
        <v>8</v>
      </c>
      <c r="AQ47" s="2">
        <v>7</v>
      </c>
      <c r="AR47" s="2">
        <v>9</v>
      </c>
      <c r="AS47" s="2">
        <v>8</v>
      </c>
      <c r="AT47" s="2">
        <v>8</v>
      </c>
      <c r="AU47" s="2">
        <v>8</v>
      </c>
      <c r="AV47" s="2">
        <v>8</v>
      </c>
      <c r="AW47" s="2">
        <v>7</v>
      </c>
      <c r="AX47" s="2">
        <v>9</v>
      </c>
      <c r="AY47" s="2">
        <v>3</v>
      </c>
      <c r="AZ47" s="2">
        <v>8</v>
      </c>
      <c r="BA47" s="2">
        <v>5</v>
      </c>
      <c r="BB47" s="2">
        <v>9</v>
      </c>
      <c r="BC47" s="2">
        <v>2</v>
      </c>
      <c r="BD47" s="2">
        <v>7</v>
      </c>
      <c r="BE47" s="2">
        <v>6</v>
      </c>
      <c r="BF47" s="2">
        <v>9</v>
      </c>
      <c r="BG47" s="2">
        <v>3</v>
      </c>
      <c r="BH47" s="2">
        <v>9</v>
      </c>
      <c r="BI47" s="2">
        <v>8</v>
      </c>
      <c r="BJ47" s="2">
        <v>7</v>
      </c>
      <c r="BK47" s="2">
        <v>7</v>
      </c>
      <c r="BL47" s="2">
        <v>7</v>
      </c>
      <c r="BM47" s="2">
        <v>5</v>
      </c>
    </row>
    <row r="48" spans="1:65" x14ac:dyDescent="0.25">
      <c r="A48" s="9" t="s">
        <v>236</v>
      </c>
      <c r="B48" s="9" t="s">
        <v>178</v>
      </c>
      <c r="C48" s="9" t="s">
        <v>194</v>
      </c>
      <c r="D48" s="9" t="s">
        <v>187</v>
      </c>
      <c r="E48" s="9" t="s">
        <v>176</v>
      </c>
      <c r="F48" s="10">
        <v>9</v>
      </c>
      <c r="G48" s="10">
        <v>4</v>
      </c>
      <c r="H48" s="10">
        <v>9</v>
      </c>
      <c r="I48" s="10">
        <v>7</v>
      </c>
      <c r="J48" s="10">
        <v>10</v>
      </c>
      <c r="K48" s="10">
        <v>6</v>
      </c>
      <c r="L48" s="10">
        <v>9</v>
      </c>
      <c r="M48" s="10">
        <v>7</v>
      </c>
      <c r="N48" s="10">
        <v>8</v>
      </c>
      <c r="O48" s="10">
        <v>7</v>
      </c>
      <c r="P48" s="10">
        <v>9</v>
      </c>
      <c r="Q48" s="10">
        <v>6</v>
      </c>
      <c r="R48" s="10">
        <v>7</v>
      </c>
      <c r="S48" s="10">
        <v>7</v>
      </c>
      <c r="T48" s="10">
        <v>7</v>
      </c>
      <c r="U48" s="10">
        <v>8</v>
      </c>
      <c r="V48" s="10">
        <v>5</v>
      </c>
      <c r="W48" s="10">
        <v>5</v>
      </c>
      <c r="X48" s="10">
        <v>9</v>
      </c>
      <c r="Y48" s="10">
        <v>4</v>
      </c>
      <c r="Z48" s="10">
        <v>5</v>
      </c>
      <c r="AA48" s="10">
        <v>6</v>
      </c>
      <c r="AB48" s="10">
        <v>8</v>
      </c>
      <c r="AC48" s="10">
        <v>4</v>
      </c>
      <c r="AD48" s="10">
        <v>9</v>
      </c>
      <c r="AE48" s="10">
        <v>7</v>
      </c>
      <c r="AF48" s="10">
        <v>9</v>
      </c>
      <c r="AG48" s="10">
        <v>5</v>
      </c>
      <c r="AH48" s="10">
        <v>7</v>
      </c>
      <c r="AI48" s="10">
        <v>8</v>
      </c>
      <c r="AJ48" s="10">
        <v>8</v>
      </c>
      <c r="AK48" s="10">
        <v>5</v>
      </c>
      <c r="AL48" s="10">
        <v>8</v>
      </c>
      <c r="AM48" s="10">
        <v>7</v>
      </c>
      <c r="AN48" s="10">
        <v>8</v>
      </c>
      <c r="AO48" s="10">
        <v>5</v>
      </c>
      <c r="AP48" s="10">
        <v>8</v>
      </c>
      <c r="AQ48" s="10">
        <v>7</v>
      </c>
      <c r="AR48" s="10">
        <v>8</v>
      </c>
      <c r="AS48" s="10">
        <v>4</v>
      </c>
      <c r="AT48" s="10">
        <v>6</v>
      </c>
      <c r="AU48" s="10">
        <v>7</v>
      </c>
      <c r="AV48" s="10">
        <v>6</v>
      </c>
      <c r="AW48" s="10">
        <v>4</v>
      </c>
      <c r="AX48" s="10">
        <v>9</v>
      </c>
      <c r="AY48" s="10">
        <v>5</v>
      </c>
      <c r="AZ48" s="10">
        <v>5</v>
      </c>
      <c r="BA48" s="10">
        <v>5</v>
      </c>
      <c r="BB48" s="10">
        <v>9</v>
      </c>
      <c r="BC48" s="10">
        <v>7</v>
      </c>
      <c r="BD48" s="10">
        <v>10</v>
      </c>
      <c r="BE48" s="10">
        <v>4</v>
      </c>
      <c r="BF48" s="10">
        <v>9</v>
      </c>
      <c r="BG48" s="10">
        <v>4</v>
      </c>
      <c r="BH48" s="10">
        <v>6</v>
      </c>
      <c r="BI48" s="10">
        <v>7</v>
      </c>
      <c r="BJ48" s="10">
        <v>7</v>
      </c>
      <c r="BK48" s="10">
        <v>6</v>
      </c>
      <c r="BL48" s="10">
        <v>8</v>
      </c>
      <c r="BM48" s="10">
        <v>3</v>
      </c>
    </row>
    <row r="49" spans="1:65" x14ac:dyDescent="0.25">
      <c r="A49" s="3" t="s">
        <v>237</v>
      </c>
      <c r="B49" s="3" t="s">
        <v>202</v>
      </c>
      <c r="C49" s="3" t="s">
        <v>184</v>
      </c>
      <c r="D49" s="3" t="s">
        <v>185</v>
      </c>
      <c r="E49" s="3" t="s">
        <v>176</v>
      </c>
      <c r="F49" s="2">
        <v>9</v>
      </c>
      <c r="G49" s="2">
        <v>9</v>
      </c>
      <c r="H49" s="2">
        <v>8</v>
      </c>
      <c r="I49" s="2">
        <v>7</v>
      </c>
      <c r="J49" s="2">
        <v>8</v>
      </c>
      <c r="K49" s="2">
        <v>5</v>
      </c>
      <c r="L49" s="2">
        <v>10</v>
      </c>
      <c r="M49" s="2">
        <v>8</v>
      </c>
      <c r="N49" s="2">
        <v>10</v>
      </c>
      <c r="O49" s="2">
        <v>7</v>
      </c>
      <c r="P49" s="2">
        <v>9</v>
      </c>
      <c r="Q49" s="2">
        <v>6</v>
      </c>
      <c r="R49" s="2">
        <v>10</v>
      </c>
      <c r="S49" s="2">
        <v>8</v>
      </c>
      <c r="T49" s="2">
        <v>8</v>
      </c>
      <c r="U49" s="2">
        <v>9</v>
      </c>
      <c r="V49" s="2">
        <v>9</v>
      </c>
      <c r="W49" s="2">
        <v>8</v>
      </c>
      <c r="X49" s="2">
        <v>9</v>
      </c>
      <c r="Y49" s="2">
        <v>7</v>
      </c>
      <c r="Z49" s="2">
        <v>8</v>
      </c>
      <c r="AA49" s="2">
        <v>5</v>
      </c>
      <c r="AB49" s="2">
        <v>9</v>
      </c>
      <c r="AC49" s="2">
        <v>6</v>
      </c>
      <c r="AD49" s="2">
        <v>9</v>
      </c>
      <c r="AE49" s="2">
        <v>6</v>
      </c>
      <c r="AF49" s="2">
        <v>6</v>
      </c>
      <c r="AG49" s="2">
        <v>7</v>
      </c>
      <c r="AH49" s="2">
        <v>6</v>
      </c>
      <c r="AI49" s="2">
        <v>7</v>
      </c>
      <c r="AJ49" s="2">
        <v>9</v>
      </c>
      <c r="AK49" s="2">
        <v>4</v>
      </c>
      <c r="AL49" s="2">
        <v>9</v>
      </c>
      <c r="AM49" s="2">
        <v>6</v>
      </c>
      <c r="AN49" s="2">
        <v>8</v>
      </c>
      <c r="AO49" s="2">
        <v>6</v>
      </c>
      <c r="AP49" s="2">
        <v>8</v>
      </c>
      <c r="AQ49" s="2">
        <v>5</v>
      </c>
      <c r="AR49" s="2">
        <v>7</v>
      </c>
      <c r="AS49" s="2">
        <v>5</v>
      </c>
      <c r="AT49" s="2">
        <v>8</v>
      </c>
      <c r="AU49" s="2">
        <v>4</v>
      </c>
      <c r="AV49" s="2">
        <v>8</v>
      </c>
      <c r="AW49" s="2">
        <v>3</v>
      </c>
      <c r="AX49" s="2">
        <v>7</v>
      </c>
      <c r="AY49" s="2">
        <v>5</v>
      </c>
      <c r="AZ49" s="2">
        <v>7</v>
      </c>
      <c r="BA49" s="2">
        <v>6</v>
      </c>
      <c r="BB49" s="2">
        <v>6</v>
      </c>
      <c r="BC49" s="2">
        <v>3</v>
      </c>
      <c r="BD49" s="2">
        <v>9</v>
      </c>
      <c r="BE49" s="2">
        <v>6</v>
      </c>
      <c r="BF49" s="2">
        <v>8</v>
      </c>
      <c r="BG49" s="2">
        <v>3</v>
      </c>
      <c r="BH49" s="2">
        <v>8</v>
      </c>
      <c r="BI49" s="2">
        <v>8</v>
      </c>
      <c r="BJ49" s="2">
        <v>8</v>
      </c>
      <c r="BK49" s="2">
        <v>6</v>
      </c>
      <c r="BL49" s="2">
        <v>8</v>
      </c>
      <c r="BM49" s="2">
        <v>6</v>
      </c>
    </row>
    <row r="50" spans="1:65" x14ac:dyDescent="0.25">
      <c r="A50" s="9" t="s">
        <v>238</v>
      </c>
      <c r="B50" s="9" t="s">
        <v>202</v>
      </c>
      <c r="C50" s="9" t="s">
        <v>184</v>
      </c>
      <c r="D50" s="9" t="s">
        <v>185</v>
      </c>
      <c r="E50" s="9" t="s">
        <v>181</v>
      </c>
      <c r="F50" s="10">
        <v>8</v>
      </c>
      <c r="G50" s="10">
        <v>7</v>
      </c>
      <c r="H50" s="10">
        <v>10</v>
      </c>
      <c r="I50" s="10">
        <v>7</v>
      </c>
      <c r="J50" s="10">
        <v>9</v>
      </c>
      <c r="K50" s="10">
        <v>1</v>
      </c>
      <c r="L50" s="10">
        <v>9</v>
      </c>
      <c r="M50" s="10">
        <v>6</v>
      </c>
      <c r="N50" s="10">
        <v>8</v>
      </c>
      <c r="O50" s="10">
        <v>4</v>
      </c>
      <c r="P50" s="10">
        <v>8</v>
      </c>
      <c r="Q50" s="10">
        <v>6</v>
      </c>
      <c r="R50" s="10">
        <v>8</v>
      </c>
      <c r="S50" s="10">
        <v>6</v>
      </c>
      <c r="T50" s="10">
        <v>7</v>
      </c>
      <c r="U50" s="10">
        <v>8</v>
      </c>
      <c r="V50" s="10">
        <v>9</v>
      </c>
      <c r="W50" s="10">
        <v>6</v>
      </c>
      <c r="X50" s="10">
        <v>10</v>
      </c>
      <c r="Y50" s="10">
        <v>7</v>
      </c>
      <c r="Z50" s="10">
        <v>5</v>
      </c>
      <c r="AA50" s="10">
        <v>9</v>
      </c>
      <c r="AB50" s="10">
        <v>8</v>
      </c>
      <c r="AC50" s="10">
        <v>6</v>
      </c>
      <c r="AD50" s="10">
        <v>9</v>
      </c>
      <c r="AE50" s="10">
        <v>8</v>
      </c>
      <c r="AF50" s="10">
        <v>5</v>
      </c>
      <c r="AG50" s="10">
        <v>9</v>
      </c>
      <c r="AH50" s="10">
        <v>9</v>
      </c>
      <c r="AI50" s="10">
        <v>8</v>
      </c>
      <c r="AJ50" s="10">
        <v>8</v>
      </c>
      <c r="AK50" s="10">
        <v>5</v>
      </c>
      <c r="AL50" s="10">
        <v>8</v>
      </c>
      <c r="AM50" s="10">
        <v>7</v>
      </c>
      <c r="AN50" s="10">
        <v>7</v>
      </c>
      <c r="AO50" s="10">
        <v>2</v>
      </c>
      <c r="AP50" s="10">
        <v>8</v>
      </c>
      <c r="AQ50" s="10">
        <v>6</v>
      </c>
      <c r="AR50" s="10">
        <v>7</v>
      </c>
      <c r="AS50" s="10">
        <v>5</v>
      </c>
      <c r="AT50" s="10">
        <v>9</v>
      </c>
      <c r="AU50" s="10">
        <v>5</v>
      </c>
      <c r="AV50" s="10">
        <v>7</v>
      </c>
      <c r="AW50" s="10">
        <v>5</v>
      </c>
      <c r="AX50" s="10">
        <v>8</v>
      </c>
      <c r="AY50" s="10">
        <v>7</v>
      </c>
      <c r="AZ50" s="10">
        <v>6</v>
      </c>
      <c r="BA50" s="10">
        <v>9</v>
      </c>
      <c r="BB50" s="10">
        <v>9</v>
      </c>
      <c r="BC50" s="10">
        <v>6</v>
      </c>
      <c r="BD50" s="10">
        <v>7</v>
      </c>
      <c r="BE50" s="10">
        <v>5</v>
      </c>
      <c r="BF50" s="10">
        <v>7</v>
      </c>
      <c r="BG50" s="10">
        <v>7</v>
      </c>
      <c r="BH50" s="10">
        <v>7</v>
      </c>
      <c r="BI50" s="10">
        <v>8</v>
      </c>
      <c r="BJ50" s="10">
        <v>9</v>
      </c>
      <c r="BK50" s="10">
        <v>5</v>
      </c>
      <c r="BL50" s="10">
        <v>8</v>
      </c>
      <c r="BM50" s="10">
        <v>6</v>
      </c>
    </row>
    <row r="51" spans="1:65" x14ac:dyDescent="0.25">
      <c r="A51" s="3" t="s">
        <v>239</v>
      </c>
      <c r="B51" s="3" t="s">
        <v>192</v>
      </c>
      <c r="C51" s="3" t="s">
        <v>184</v>
      </c>
      <c r="D51" s="3" t="s">
        <v>185</v>
      </c>
      <c r="E51" s="3" t="s">
        <v>181</v>
      </c>
      <c r="F51" s="2">
        <v>6</v>
      </c>
      <c r="G51" s="2">
        <v>5</v>
      </c>
      <c r="H51" s="2">
        <v>5</v>
      </c>
      <c r="I51" s="2">
        <v>7</v>
      </c>
      <c r="J51" s="2">
        <v>8</v>
      </c>
      <c r="K51" s="2">
        <v>6</v>
      </c>
      <c r="L51" s="2">
        <v>6</v>
      </c>
      <c r="M51" s="2">
        <v>7</v>
      </c>
      <c r="N51" s="2">
        <v>6</v>
      </c>
      <c r="O51" s="2">
        <v>7</v>
      </c>
      <c r="P51" s="2">
        <v>8</v>
      </c>
      <c r="Q51" s="2">
        <v>3</v>
      </c>
      <c r="R51" s="2">
        <v>7</v>
      </c>
      <c r="S51" s="2">
        <v>8</v>
      </c>
      <c r="T51" s="2">
        <v>10</v>
      </c>
      <c r="U51" s="2">
        <v>8</v>
      </c>
      <c r="V51" s="2">
        <v>9</v>
      </c>
      <c r="W51" s="2">
        <v>9</v>
      </c>
      <c r="X51" s="2">
        <v>9</v>
      </c>
      <c r="Y51" s="2">
        <v>8</v>
      </c>
      <c r="Z51" s="2">
        <v>7</v>
      </c>
      <c r="AA51" s="2">
        <v>7</v>
      </c>
      <c r="AB51" s="2">
        <v>10</v>
      </c>
      <c r="AC51" s="2">
        <v>7</v>
      </c>
      <c r="AD51" s="2">
        <v>8</v>
      </c>
      <c r="AE51" s="2">
        <v>7</v>
      </c>
      <c r="AF51" s="2">
        <v>9</v>
      </c>
      <c r="AG51" s="2">
        <v>7</v>
      </c>
      <c r="AH51" s="2">
        <v>6</v>
      </c>
      <c r="AI51" s="2">
        <v>7</v>
      </c>
      <c r="AJ51" s="2">
        <v>9</v>
      </c>
      <c r="AK51" s="2">
        <v>6</v>
      </c>
      <c r="AL51" s="2">
        <v>10</v>
      </c>
      <c r="AM51" s="2">
        <v>6</v>
      </c>
      <c r="AN51" s="2">
        <v>10</v>
      </c>
      <c r="AO51" s="2">
        <v>4</v>
      </c>
      <c r="AP51" s="2">
        <v>7</v>
      </c>
      <c r="AQ51" s="2">
        <v>4</v>
      </c>
      <c r="AR51" s="2">
        <v>9</v>
      </c>
      <c r="AS51" s="2">
        <v>3</v>
      </c>
      <c r="AT51" s="2">
        <v>9</v>
      </c>
      <c r="AU51" s="2">
        <v>6</v>
      </c>
      <c r="AV51" s="2">
        <v>7</v>
      </c>
      <c r="AW51" s="2">
        <v>2</v>
      </c>
      <c r="AX51" s="2">
        <v>8</v>
      </c>
      <c r="AY51" s="2">
        <v>7</v>
      </c>
      <c r="AZ51" s="2">
        <v>8</v>
      </c>
      <c r="BA51" s="2">
        <v>7</v>
      </c>
      <c r="BB51" s="2">
        <v>7</v>
      </c>
      <c r="BC51" s="2">
        <v>4</v>
      </c>
      <c r="BD51" s="2">
        <v>7</v>
      </c>
      <c r="BE51" s="2">
        <v>4</v>
      </c>
      <c r="BF51" s="2">
        <v>8</v>
      </c>
      <c r="BG51" s="2">
        <v>3</v>
      </c>
      <c r="BH51" s="2">
        <v>8</v>
      </c>
      <c r="BI51" s="2">
        <v>3</v>
      </c>
      <c r="BJ51" s="2">
        <v>8</v>
      </c>
      <c r="BK51" s="2">
        <v>3</v>
      </c>
      <c r="BL51" s="2">
        <v>7</v>
      </c>
      <c r="BM51" s="2">
        <v>3</v>
      </c>
    </row>
    <row r="52" spans="1:65" x14ac:dyDescent="0.25">
      <c r="A52" s="9" t="s">
        <v>240</v>
      </c>
      <c r="B52" s="9" t="s">
        <v>206</v>
      </c>
      <c r="C52" s="9" t="s">
        <v>184</v>
      </c>
      <c r="D52" s="9" t="s">
        <v>187</v>
      </c>
      <c r="E52" s="9" t="s">
        <v>200</v>
      </c>
      <c r="F52" s="10">
        <v>6</v>
      </c>
      <c r="G52" s="10">
        <v>7</v>
      </c>
      <c r="H52" s="10">
        <v>7</v>
      </c>
      <c r="I52" s="10">
        <v>7</v>
      </c>
      <c r="J52" s="10">
        <v>7</v>
      </c>
      <c r="K52" s="10">
        <v>8</v>
      </c>
      <c r="L52" s="10">
        <v>7</v>
      </c>
      <c r="M52" s="10">
        <v>7</v>
      </c>
      <c r="N52" s="10">
        <v>8</v>
      </c>
      <c r="O52" s="10">
        <v>6</v>
      </c>
      <c r="P52" s="10">
        <v>9</v>
      </c>
      <c r="Q52" s="10">
        <v>7</v>
      </c>
      <c r="R52" s="10">
        <v>10</v>
      </c>
      <c r="S52" s="10">
        <v>7</v>
      </c>
      <c r="T52" s="10">
        <v>7</v>
      </c>
      <c r="U52" s="10">
        <v>9</v>
      </c>
      <c r="V52" s="10">
        <v>9</v>
      </c>
      <c r="W52" s="10">
        <v>3</v>
      </c>
      <c r="X52" s="10">
        <v>7</v>
      </c>
      <c r="Y52" s="10">
        <v>6</v>
      </c>
      <c r="Z52" s="10">
        <v>7</v>
      </c>
      <c r="AA52" s="10">
        <v>7</v>
      </c>
      <c r="AB52" s="10">
        <v>8</v>
      </c>
      <c r="AC52" s="10">
        <v>6</v>
      </c>
      <c r="AD52" s="10">
        <v>7</v>
      </c>
      <c r="AE52" s="10">
        <v>8</v>
      </c>
      <c r="AF52" s="10">
        <v>8</v>
      </c>
      <c r="AG52" s="10">
        <v>7</v>
      </c>
      <c r="AH52" s="10">
        <v>6</v>
      </c>
      <c r="AI52" s="10">
        <v>7</v>
      </c>
      <c r="AJ52" s="10">
        <v>7</v>
      </c>
      <c r="AK52" s="10">
        <v>2</v>
      </c>
      <c r="AL52" s="10">
        <v>8</v>
      </c>
      <c r="AM52" s="10">
        <v>5</v>
      </c>
      <c r="AN52" s="10">
        <v>7</v>
      </c>
      <c r="AO52" s="10">
        <v>8</v>
      </c>
      <c r="AP52" s="10">
        <v>7</v>
      </c>
      <c r="AQ52" s="10">
        <v>9</v>
      </c>
      <c r="AR52" s="10">
        <v>8</v>
      </c>
      <c r="AS52" s="10">
        <v>5</v>
      </c>
      <c r="AT52" s="10">
        <v>7</v>
      </c>
      <c r="AU52" s="10">
        <v>2</v>
      </c>
      <c r="AV52" s="10">
        <v>6</v>
      </c>
      <c r="AW52" s="10">
        <v>4</v>
      </c>
      <c r="AX52" s="10">
        <v>6</v>
      </c>
      <c r="AY52" s="10">
        <v>5</v>
      </c>
      <c r="AZ52" s="10">
        <v>7</v>
      </c>
      <c r="BA52" s="10">
        <v>8</v>
      </c>
      <c r="BB52" s="10">
        <v>5</v>
      </c>
      <c r="BC52" s="10">
        <v>1</v>
      </c>
      <c r="BD52" s="10">
        <v>8</v>
      </c>
      <c r="BE52" s="10">
        <v>3</v>
      </c>
      <c r="BF52" s="10">
        <v>6</v>
      </c>
      <c r="BG52" s="10">
        <v>6</v>
      </c>
      <c r="BH52" s="10">
        <v>7</v>
      </c>
      <c r="BI52" s="10">
        <v>7</v>
      </c>
      <c r="BJ52" s="10">
        <v>7</v>
      </c>
      <c r="BK52" s="10">
        <v>5</v>
      </c>
      <c r="BL52" s="10">
        <v>6</v>
      </c>
      <c r="BM52" s="10">
        <v>6</v>
      </c>
    </row>
    <row r="53" spans="1:65" x14ac:dyDescent="0.25">
      <c r="A53" s="3" t="s">
        <v>241</v>
      </c>
      <c r="B53" s="3" t="s">
        <v>202</v>
      </c>
      <c r="C53" s="3" t="s">
        <v>194</v>
      </c>
      <c r="D53" s="3" t="s">
        <v>180</v>
      </c>
      <c r="E53" s="3" t="s">
        <v>190</v>
      </c>
      <c r="F53" s="2">
        <v>7</v>
      </c>
      <c r="G53" s="2">
        <v>7</v>
      </c>
      <c r="H53" s="2">
        <v>9</v>
      </c>
      <c r="I53" s="2">
        <v>6</v>
      </c>
      <c r="J53" s="2">
        <v>8</v>
      </c>
      <c r="K53" s="2">
        <v>8</v>
      </c>
      <c r="L53" s="2">
        <v>7</v>
      </c>
      <c r="M53" s="2">
        <v>6</v>
      </c>
      <c r="N53" s="2">
        <v>7</v>
      </c>
      <c r="O53" s="2">
        <v>7</v>
      </c>
      <c r="P53" s="2">
        <v>7</v>
      </c>
      <c r="Q53" s="2">
        <v>4</v>
      </c>
      <c r="R53" s="2">
        <v>7</v>
      </c>
      <c r="S53" s="2">
        <v>9</v>
      </c>
      <c r="T53" s="2">
        <v>7</v>
      </c>
      <c r="U53" s="2">
        <v>5</v>
      </c>
      <c r="V53" s="2">
        <v>8</v>
      </c>
      <c r="W53" s="2">
        <v>9</v>
      </c>
      <c r="X53" s="2">
        <v>8</v>
      </c>
      <c r="Y53" s="2">
        <v>6</v>
      </c>
      <c r="Z53" s="2">
        <v>8</v>
      </c>
      <c r="AA53" s="2">
        <v>8</v>
      </c>
      <c r="AB53" s="2">
        <v>8</v>
      </c>
      <c r="AC53" s="2">
        <v>5</v>
      </c>
      <c r="AD53" s="2">
        <v>8</v>
      </c>
      <c r="AE53" s="2">
        <v>5</v>
      </c>
      <c r="AF53" s="2">
        <v>7</v>
      </c>
      <c r="AG53" s="2">
        <v>9</v>
      </c>
      <c r="AH53" s="2">
        <v>6</v>
      </c>
      <c r="AI53" s="2">
        <v>6</v>
      </c>
      <c r="AJ53" s="2">
        <v>6</v>
      </c>
      <c r="AK53" s="2">
        <v>2</v>
      </c>
      <c r="AL53" s="2">
        <v>8</v>
      </c>
      <c r="AM53" s="2">
        <v>4</v>
      </c>
      <c r="AN53" s="2">
        <v>7</v>
      </c>
      <c r="AO53" s="2">
        <v>5</v>
      </c>
      <c r="AP53" s="2">
        <v>8</v>
      </c>
      <c r="AQ53" s="2">
        <v>8</v>
      </c>
      <c r="AR53" s="2">
        <v>6</v>
      </c>
      <c r="AS53" s="2">
        <v>6</v>
      </c>
      <c r="AT53" s="2">
        <v>6</v>
      </c>
      <c r="AU53" s="2">
        <v>4</v>
      </c>
      <c r="AV53" s="2">
        <v>7</v>
      </c>
      <c r="AW53" s="2">
        <v>6</v>
      </c>
      <c r="AX53" s="2">
        <v>8</v>
      </c>
      <c r="AY53" s="2">
        <v>4</v>
      </c>
      <c r="AZ53" s="2">
        <v>5</v>
      </c>
      <c r="BA53" s="2">
        <v>5</v>
      </c>
      <c r="BB53" s="2">
        <v>6</v>
      </c>
      <c r="BC53" s="2">
        <v>6</v>
      </c>
      <c r="BD53" s="2">
        <v>9</v>
      </c>
      <c r="BE53" s="2">
        <v>9</v>
      </c>
      <c r="BF53" s="2">
        <v>8</v>
      </c>
      <c r="BG53" s="2">
        <v>5</v>
      </c>
      <c r="BH53" s="2">
        <v>8</v>
      </c>
      <c r="BI53" s="2">
        <v>7</v>
      </c>
      <c r="BJ53" s="2">
        <v>10</v>
      </c>
      <c r="BK53" s="2">
        <v>5</v>
      </c>
      <c r="BL53" s="2">
        <v>7</v>
      </c>
      <c r="BM53" s="2">
        <v>10</v>
      </c>
    </row>
  </sheetData>
  <mergeCells count="1">
    <mergeCell ref="A1:BM1"/>
  </mergeCells>
  <dataValidations count="1">
    <dataValidation type="whole" errorTitle="Invalid Score" error="Score must be between 1 and 10" sqref="F4:F53 G4:G53 H4:H53 I4:I53 J4:J53 K4:K53 L4:L53 M4:M53 N4:N53 O4:O53 P4:P53 Q4:Q53 R4:R53 S4:S53 T4:T53 U4:U53 V4:V53 W4:W53 X4:X53 Y4:Y53 Z4:Z53 AA4:AA53 AB4:AB53 AC4:AC53 AD4:AD53 AE4:AE53 AF4:AF53 AG4:AG53 AH4:AH53 AI4:AI53 AJ4:AJ53 AK4:AK53 AL4:AL53 AM4:AM53 AN4:AN53 AO4:AO53 AP4:AP53 AQ4:AQ53 AR4:AR53 AS4:AS53 AT4:AT53 AU4:AU53 AV4:AV53 AW4:AW53 AX4:AX53 AY4:AY53 AZ4:AZ53 BA4:BA53 BB4:BB53 BC4:BC53 BD4:BD53 BE4:BE53 BF4:BF53 BG4:BG53 BH4:BH53 BI4:BI53 BJ4:BJ53 BK4:BK53 BL4:BL53 BM4:BM53" xr:uid="{00000000-0002-0000-0100-000000000000}">
      <formula1>1</formula1>
      <formula2>10</formula2>
    </dataValidation>
  </dataValidations>
  <pageMargins left="0.75" right="0.75" top="1" bottom="1" header="0.5" footer="0.5"/>
  <pageSetup paperSize="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B516"/>
  <sheetViews>
    <sheetView showGridLines="0" workbookViewId="0">
      <pane xSplit="5" ySplit="16" topLeftCell="F17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0" customWidth="1"/>
    <col min="2" max="2" width="18" customWidth="1"/>
    <col min="3" max="3" width="14" customWidth="1"/>
    <col min="4" max="4" width="18" customWidth="1"/>
    <col min="5" max="5" width="16" customWidth="1"/>
    <col min="6" max="28" width="11" customWidth="1"/>
  </cols>
  <sheetData>
    <row r="1" spans="1:28" ht="27.95" customHeight="1" x14ac:dyDescent="0.3">
      <c r="A1" s="46" t="s">
        <v>242</v>
      </c>
      <c r="B1" s="43"/>
      <c r="C1" s="43"/>
      <c r="D1" s="43"/>
      <c r="E1" s="43"/>
      <c r="F1" s="43"/>
      <c r="G1" s="43"/>
      <c r="H1" s="43"/>
    </row>
    <row r="2" spans="1:28" x14ac:dyDescent="0.25">
      <c r="A2" s="42" t="s">
        <v>243</v>
      </c>
      <c r="B2" s="43"/>
      <c r="C2" s="43"/>
      <c r="D2" s="43"/>
      <c r="E2" s="43"/>
      <c r="F2" s="43"/>
      <c r="G2" s="43"/>
      <c r="H2" s="43"/>
    </row>
    <row r="4" spans="1:28" ht="25.5" x14ac:dyDescent="0.25">
      <c r="A4" s="1" t="s">
        <v>2</v>
      </c>
      <c r="B4" s="1" t="s">
        <v>244</v>
      </c>
      <c r="C4" s="1" t="s">
        <v>245</v>
      </c>
      <c r="D4" s="1" t="s">
        <v>246</v>
      </c>
      <c r="E4" s="1" t="s">
        <v>247</v>
      </c>
      <c r="F4" s="1" t="s">
        <v>248</v>
      </c>
      <c r="G4" s="1" t="s">
        <v>7</v>
      </c>
    </row>
    <row r="5" spans="1:28" x14ac:dyDescent="0.25">
      <c r="A5" s="2" t="s">
        <v>8</v>
      </c>
      <c r="B5" s="11">
        <f>AVERAGE('Raw Data'!F4:F53,'Raw Data'!H4:H53,'Raw Data'!J4:J53,'Raw Data'!L4:L53,'Raw Data'!N4:N53)</f>
        <v>7.9240000000000004</v>
      </c>
      <c r="C5" s="11">
        <f>AVERAGE('Raw Data'!G4:G53,'Raw Data'!I4:I53,'Raw Data'!K4:K53,'Raw Data'!M4:M53,'Raw Data'!O4:O53)</f>
        <v>5.8</v>
      </c>
      <c r="D5" s="11">
        <f t="shared" ref="D5:D10" si="0">B5-C5</f>
        <v>2.1240000000000006</v>
      </c>
      <c r="E5" s="12">
        <f t="shared" ref="E5:E10" si="1">MAX(0,MIN(100,100-D5*20))</f>
        <v>57.519999999999989</v>
      </c>
      <c r="F5" s="2" t="str">
        <f t="shared" ref="F5:F10" si="2">IF(D5&lt;=1,"Healthy",IF(D5&lt;=2,"Watch",IF(D5&lt;=3,"Concern","High Risk")))</f>
        <v>Concern</v>
      </c>
      <c r="G5" s="13">
        <v>0.2</v>
      </c>
    </row>
    <row r="6" spans="1:28" ht="38.25" x14ac:dyDescent="0.25">
      <c r="A6" s="10" t="s">
        <v>24</v>
      </c>
      <c r="B6" s="14">
        <f>AVERAGE('Raw Data'!P4:P53,'Raw Data'!R4:R53,'Raw Data'!T4:T53,'Raw Data'!V4:V53,'Raw Data'!X4:X53)</f>
        <v>8.1760000000000002</v>
      </c>
      <c r="C6" s="14">
        <f>AVERAGE('Raw Data'!Q4:Q53,'Raw Data'!S4:S53,'Raw Data'!U4:U53,'Raw Data'!W4:W53,'Raw Data'!Y4:Y53)</f>
        <v>6.7320000000000002</v>
      </c>
      <c r="D6" s="14">
        <f t="shared" si="0"/>
        <v>1.444</v>
      </c>
      <c r="E6" s="15">
        <f t="shared" si="1"/>
        <v>71.12</v>
      </c>
      <c r="F6" s="10" t="str">
        <f t="shared" si="2"/>
        <v>Watch</v>
      </c>
      <c r="G6" s="16">
        <v>0.2</v>
      </c>
    </row>
    <row r="7" spans="1:28" ht="38.25" x14ac:dyDescent="0.25">
      <c r="A7" s="2" t="s">
        <v>40</v>
      </c>
      <c r="B7" s="11">
        <f>AVERAGE('Raw Data'!Z4:Z53,'Raw Data'!AB4:AB53,'Raw Data'!AD4:AD53,'Raw Data'!AF4:AF53,'Raw Data'!AH4:AH53)</f>
        <v>7.4320000000000004</v>
      </c>
      <c r="C7" s="11">
        <f>AVERAGE('Raw Data'!AA4:AA53,'Raw Data'!AC4:AC53,'Raw Data'!AE4:AE53,'Raw Data'!AG4:AG53,'Raw Data'!AI4:AI53)</f>
        <v>6.3959999999999999</v>
      </c>
      <c r="D7" s="11">
        <f t="shared" si="0"/>
        <v>1.0360000000000005</v>
      </c>
      <c r="E7" s="12">
        <f t="shared" si="1"/>
        <v>79.279999999999987</v>
      </c>
      <c r="F7" s="2" t="str">
        <f t="shared" si="2"/>
        <v>Watch</v>
      </c>
      <c r="G7" s="13">
        <v>0.15</v>
      </c>
    </row>
    <row r="8" spans="1:28" ht="25.5" x14ac:dyDescent="0.25">
      <c r="A8" s="10" t="s">
        <v>56</v>
      </c>
      <c r="B8" s="14">
        <f>AVERAGE('Raw Data'!AJ4:AJ53,'Raw Data'!AL4:AL53,'Raw Data'!AN4:AN53,'Raw Data'!AP4:AP53,'Raw Data'!AR4:AR53)</f>
        <v>8</v>
      </c>
      <c r="C8" s="14">
        <f>AVERAGE('Raw Data'!AK4:AK53,'Raw Data'!AM4:AM53,'Raw Data'!AO4:AO53,'Raw Data'!AQ4:AQ53,'Raw Data'!AS4:AS53)</f>
        <v>5.2839999999999998</v>
      </c>
      <c r="D8" s="14">
        <f t="shared" si="0"/>
        <v>2.7160000000000002</v>
      </c>
      <c r="E8" s="15">
        <f t="shared" si="1"/>
        <v>45.679999999999993</v>
      </c>
      <c r="F8" s="10" t="str">
        <f t="shared" si="2"/>
        <v>Concern</v>
      </c>
      <c r="G8" s="16">
        <v>0.15</v>
      </c>
    </row>
    <row r="9" spans="1:28" ht="51" x14ac:dyDescent="0.25">
      <c r="A9" s="2" t="s">
        <v>72</v>
      </c>
      <c r="B9" s="11">
        <f>AVERAGE('Raw Data'!AT4:AT53,'Raw Data'!AV4:AV53,'Raw Data'!AX4:AX53,'Raw Data'!AZ4:AZ53,'Raw Data'!BB4:BB53)</f>
        <v>7.6280000000000001</v>
      </c>
      <c r="C9" s="11">
        <f>AVERAGE('Raw Data'!AU4:AU53,'Raw Data'!AW4:AW53,'Raw Data'!AY4:AY53,'Raw Data'!BA4:BA53,'Raw Data'!BC4:BC53)</f>
        <v>5.3440000000000003</v>
      </c>
      <c r="D9" s="11">
        <f t="shared" si="0"/>
        <v>2.2839999999999998</v>
      </c>
      <c r="E9" s="12">
        <f t="shared" si="1"/>
        <v>54.320000000000007</v>
      </c>
      <c r="F9" s="2" t="str">
        <f t="shared" si="2"/>
        <v>Concern</v>
      </c>
      <c r="G9" s="13">
        <v>0.15</v>
      </c>
    </row>
    <row r="10" spans="1:28" ht="25.5" x14ac:dyDescent="0.25">
      <c r="A10" s="10" t="s">
        <v>88</v>
      </c>
      <c r="B10" s="14">
        <f>AVERAGE('Raw Data'!BD4:BD53,'Raw Data'!BF4:BF53,'Raw Data'!BH4:BH53,'Raw Data'!BJ4:BJ53,'Raw Data'!BL4:BL53)</f>
        <v>8.0239999999999991</v>
      </c>
      <c r="C10" s="14">
        <f>AVERAGE('Raw Data'!BE4:BE53,'Raw Data'!BG4:BG53,'Raw Data'!BI4:BI53,'Raw Data'!BK4:BK53,'Raw Data'!BM4:BM53)</f>
        <v>4.9880000000000004</v>
      </c>
      <c r="D10" s="14">
        <f t="shared" si="0"/>
        <v>3.0359999999999987</v>
      </c>
      <c r="E10" s="15">
        <f t="shared" si="1"/>
        <v>39.28000000000003</v>
      </c>
      <c r="F10" s="10" t="str">
        <f t="shared" si="2"/>
        <v>High Risk</v>
      </c>
      <c r="G10" s="16">
        <v>0.15</v>
      </c>
    </row>
    <row r="11" spans="1:28" ht="18.75" x14ac:dyDescent="0.25">
      <c r="A11" s="17" t="s">
        <v>249</v>
      </c>
      <c r="B11" s="18">
        <f>SUMPRODUCT(E5:E10,G5:G10)/SUM(G5:G10)</f>
        <v>58.512</v>
      </c>
      <c r="C11" s="19"/>
      <c r="D11" s="19"/>
      <c r="E11" s="19"/>
      <c r="F11" s="19"/>
      <c r="G11" s="19"/>
    </row>
    <row r="12" spans="1:28" ht="18.75" x14ac:dyDescent="0.25">
      <c r="A12" s="20" t="s">
        <v>250</v>
      </c>
      <c r="B12" s="21">
        <f>(D6*0.25)+(D8*0.2)+(D10*0.2)+(D5*0.15)+(D7*0.1)+(D9*0.1)</f>
        <v>2.1619999999999999</v>
      </c>
      <c r="C12" s="22"/>
      <c r="D12" s="22"/>
      <c r="E12" s="22"/>
      <c r="F12" s="22"/>
      <c r="G12" s="22"/>
    </row>
    <row r="13" spans="1:28" x14ac:dyDescent="0.25">
      <c r="A13" s="20" t="s">
        <v>251</v>
      </c>
      <c r="B13" s="23" t="str">
        <f>IF(B12&lt;=20,"Very Low Risk",IF(B12&lt;=40,"Low Risk",IF(B12&lt;=60,"Moderate Risk",IF(B12&lt;=80,"High Risk","Critical Risk"))))</f>
        <v>Very Low Risk</v>
      </c>
      <c r="C13" s="22"/>
      <c r="D13" s="22"/>
      <c r="E13" s="22"/>
      <c r="F13" s="22"/>
      <c r="G13" s="22"/>
    </row>
    <row r="15" spans="1:28" ht="21.95" customHeight="1" x14ac:dyDescent="0.25">
      <c r="A15" s="47" t="s">
        <v>252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</row>
    <row r="16" spans="1:28" ht="25.5" x14ac:dyDescent="0.25">
      <c r="A16" s="1" t="s">
        <v>104</v>
      </c>
      <c r="B16" s="1" t="s">
        <v>105</v>
      </c>
      <c r="C16" s="1" t="s">
        <v>106</v>
      </c>
      <c r="D16" s="1" t="s">
        <v>107</v>
      </c>
      <c r="E16" s="1" t="s">
        <v>108</v>
      </c>
      <c r="F16" s="1" t="s">
        <v>253</v>
      </c>
      <c r="G16" s="1" t="s">
        <v>254</v>
      </c>
      <c r="H16" s="1" t="s">
        <v>255</v>
      </c>
      <c r="I16" s="1" t="s">
        <v>256</v>
      </c>
      <c r="J16" s="1" t="s">
        <v>257</v>
      </c>
      <c r="K16" s="1" t="s">
        <v>258</v>
      </c>
      <c r="L16" s="1" t="s">
        <v>259</v>
      </c>
      <c r="M16" s="1" t="s">
        <v>260</v>
      </c>
      <c r="N16" s="1" t="s">
        <v>261</v>
      </c>
      <c r="O16" s="1" t="s">
        <v>262</v>
      </c>
      <c r="P16" s="1" t="s">
        <v>263</v>
      </c>
      <c r="Q16" s="1" t="s">
        <v>264</v>
      </c>
      <c r="R16" s="1" t="s">
        <v>265</v>
      </c>
      <c r="S16" s="1" t="s">
        <v>266</v>
      </c>
      <c r="T16" s="1" t="s">
        <v>267</v>
      </c>
      <c r="U16" s="1" t="s">
        <v>268</v>
      </c>
      <c r="V16" s="1" t="s">
        <v>269</v>
      </c>
      <c r="W16" s="1" t="s">
        <v>270</v>
      </c>
      <c r="X16" s="1" t="s">
        <v>271</v>
      </c>
      <c r="Y16" s="1" t="s">
        <v>272</v>
      </c>
      <c r="Z16" s="1" t="s">
        <v>273</v>
      </c>
      <c r="AA16" s="1" t="s">
        <v>274</v>
      </c>
      <c r="AB16" s="1" t="s">
        <v>275</v>
      </c>
    </row>
    <row r="17" spans="1:28" x14ac:dyDescent="0.25">
      <c r="A17" s="2" t="str">
        <f>IF('Raw Data'!A4&lt;&gt;"",'Raw Data'!A4,"")</f>
        <v>R001</v>
      </c>
      <c r="B17" s="2" t="str">
        <f>IF('Raw Data'!B4&lt;&gt;"",'Raw Data'!B4,"")</f>
        <v>Operations</v>
      </c>
      <c r="C17" s="2" t="str">
        <f>IF('Raw Data'!C4&lt;&gt;"",'Raw Data'!C4,"")</f>
        <v>New York</v>
      </c>
      <c r="D17" s="2" t="str">
        <f>IF('Raw Data'!D4&lt;&gt;"",'Raw Data'!D4,"")</f>
        <v>Core Product</v>
      </c>
      <c r="E17" s="2" t="str">
        <f>IF('Raw Data'!E4&lt;&gt;"",'Raw Data'!E4,"")</f>
        <v>R. Kim</v>
      </c>
      <c r="F17" s="11">
        <f>IF('Raw Data'!A4&lt;&gt;"",AVERAGE('Raw Data'!F4,'Raw Data'!H4,'Raw Data'!J4,'Raw Data'!L4,'Raw Data'!N4),"")</f>
        <v>7.6</v>
      </c>
      <c r="G17" s="11">
        <f>IF('Raw Data'!A4&lt;&gt;"",AVERAGE('Raw Data'!G4,'Raw Data'!I4,'Raw Data'!K4,'Raw Data'!M4,'Raw Data'!O4),"")</f>
        <v>5.4</v>
      </c>
      <c r="H17" s="11">
        <f t="shared" ref="H17:H80" si="3">IF(F17&lt;&gt;"",F17-G17,"")</f>
        <v>2.1999999999999993</v>
      </c>
      <c r="I17" s="11">
        <f>IF('Raw Data'!A4&lt;&gt;"",AVERAGE('Raw Data'!P4,'Raw Data'!R4,'Raw Data'!T4,'Raw Data'!V4,'Raw Data'!X4),"")</f>
        <v>8.1999999999999993</v>
      </c>
      <c r="J17" s="11">
        <f>IF('Raw Data'!A4&lt;&gt;"",AVERAGE('Raw Data'!Q4,'Raw Data'!S4,'Raw Data'!U4,'Raw Data'!W4,'Raw Data'!Y4),"")</f>
        <v>8.4</v>
      </c>
      <c r="K17" s="11">
        <f t="shared" ref="K17:K80" si="4">IF(I17&lt;&gt;"",I17-J17,"")</f>
        <v>-0.20000000000000107</v>
      </c>
      <c r="L17" s="11">
        <f>IF('Raw Data'!A4&lt;&gt;"",AVERAGE('Raw Data'!Z4,'Raw Data'!AB4,'Raw Data'!AD4,'Raw Data'!AF4,'Raw Data'!AH4),"")</f>
        <v>7.6</v>
      </c>
      <c r="M17" s="11">
        <f>IF('Raw Data'!A4&lt;&gt;"",AVERAGE('Raw Data'!AA4,'Raw Data'!AC4,'Raw Data'!AE4,'Raw Data'!AG4,'Raw Data'!AI4),"")</f>
        <v>6.4</v>
      </c>
      <c r="N17" s="11">
        <f t="shared" ref="N17:N80" si="5">IF(L17&lt;&gt;"",L17-M17,"")</f>
        <v>1.1999999999999993</v>
      </c>
      <c r="O17" s="11">
        <f>IF('Raw Data'!A4&lt;&gt;"",AVERAGE('Raw Data'!AJ4,'Raw Data'!AL4,'Raw Data'!AN4,'Raw Data'!AP4,'Raw Data'!AR4),"")</f>
        <v>7.2</v>
      </c>
      <c r="P17" s="11">
        <f>IF('Raw Data'!A4&lt;&gt;"",AVERAGE('Raw Data'!AK4,'Raw Data'!AM4,'Raw Data'!AO4,'Raw Data'!AQ4,'Raw Data'!AS4),"")</f>
        <v>6.4</v>
      </c>
      <c r="Q17" s="11">
        <f t="shared" ref="Q17:Q80" si="6">IF(O17&lt;&gt;"",O17-P17,"")</f>
        <v>0.79999999999999982</v>
      </c>
      <c r="R17" s="11">
        <f>IF('Raw Data'!A4&lt;&gt;"",AVERAGE('Raw Data'!AT4,'Raw Data'!AV4,'Raw Data'!AX4,'Raw Data'!AZ4,'Raw Data'!BB4),"")</f>
        <v>7.2</v>
      </c>
      <c r="S17" s="11">
        <f>IF('Raw Data'!A4&lt;&gt;"",AVERAGE('Raw Data'!AU4,'Raw Data'!AW4,'Raw Data'!AY4,'Raw Data'!BA4,'Raw Data'!BC4),"")</f>
        <v>6</v>
      </c>
      <c r="T17" s="11">
        <f t="shared" ref="T17:T80" si="7">IF(R17&lt;&gt;"",R17-S17,"")</f>
        <v>1.2000000000000002</v>
      </c>
      <c r="U17" s="11">
        <f>IF('Raw Data'!A4&lt;&gt;"",AVERAGE('Raw Data'!BD4,'Raw Data'!BF4,'Raw Data'!BH4,'Raw Data'!BJ4,'Raw Data'!BL4),"")</f>
        <v>7.6</v>
      </c>
      <c r="V17" s="11">
        <f>IF('Raw Data'!A4&lt;&gt;"",AVERAGE('Raw Data'!BE4,'Raw Data'!BG4,'Raw Data'!BI4,'Raw Data'!BK4,'Raw Data'!BM4),"")</f>
        <v>5</v>
      </c>
      <c r="W17" s="11">
        <f t="shared" ref="W17:W80" si="8">IF(U17&lt;&gt;"",U17-V17,"")</f>
        <v>2.5999999999999996</v>
      </c>
      <c r="X17" s="11">
        <f t="shared" ref="X17:X80" si="9">IF(A17&lt;&gt;"",AVERAGE(F17,I17,L17,O17,R17,U17),"")</f>
        <v>7.5666666666666664</v>
      </c>
      <c r="Y17" s="11">
        <f t="shared" ref="Y17:Y80" si="10">IF(A17&lt;&gt;"",AVERAGE(G17,J17,M17,P17,S17,V17),"")</f>
        <v>6.2666666666666666</v>
      </c>
      <c r="Z17" s="11">
        <f t="shared" ref="Z17:Z80" si="11">IF(A17&lt;&gt;"",X17-Y17,"")</f>
        <v>1.2999999999999998</v>
      </c>
      <c r="AA17" s="11">
        <f t="shared" ref="AA17:AA80" si="12">IF(A17&lt;&gt;"",(K17*0.25)+(Q17*0.2)+(W17*0.2)+(H17*0.15)+(N17*0.1)+(T17*0.1),"")</f>
        <v>1.1999999999999995</v>
      </c>
      <c r="AB17" s="24">
        <f t="shared" ref="AB17:AB80" si="13">IF(A17&lt;&gt;"",(AA17*0.5)+(0.3*K17)+(0.2*Q17),"")</f>
        <v>0.69999999999999951</v>
      </c>
    </row>
    <row r="18" spans="1:28" x14ac:dyDescent="0.25">
      <c r="A18" s="10" t="str">
        <f>IF('Raw Data'!A5&lt;&gt;"",'Raw Data'!A5,"")</f>
        <v>R002</v>
      </c>
      <c r="B18" s="10" t="str">
        <f>IF('Raw Data'!B5&lt;&gt;"",'Raw Data'!B5,"")</f>
        <v>Operations</v>
      </c>
      <c r="C18" s="10" t="str">
        <f>IF('Raw Data'!C5&lt;&gt;"",'Raw Data'!C5,"")</f>
        <v>Sydney</v>
      </c>
      <c r="D18" s="10" t="str">
        <f>IF('Raw Data'!D5&lt;&gt;"",'Raw Data'!D5,"")</f>
        <v>Core Product</v>
      </c>
      <c r="E18" s="10" t="str">
        <f>IF('Raw Data'!E5&lt;&gt;"",'Raw Data'!E5,"")</f>
        <v>J. Brown</v>
      </c>
      <c r="F18" s="14">
        <f>IF('Raw Data'!A5&lt;&gt;"",AVERAGE('Raw Data'!F5,'Raw Data'!H5,'Raw Data'!J5,'Raw Data'!L5,'Raw Data'!N5),"")</f>
        <v>8</v>
      </c>
      <c r="G18" s="14">
        <f>IF('Raw Data'!A5&lt;&gt;"",AVERAGE('Raw Data'!G5,'Raw Data'!I5,'Raw Data'!K5,'Raw Data'!M5,'Raw Data'!O5),"")</f>
        <v>6.2</v>
      </c>
      <c r="H18" s="14">
        <f t="shared" si="3"/>
        <v>1.7999999999999998</v>
      </c>
      <c r="I18" s="14">
        <f>IF('Raw Data'!A5&lt;&gt;"",AVERAGE('Raw Data'!P5,'Raw Data'!R5,'Raw Data'!T5,'Raw Data'!V5,'Raw Data'!X5),"")</f>
        <v>9</v>
      </c>
      <c r="J18" s="14">
        <f>IF('Raw Data'!A5&lt;&gt;"",AVERAGE('Raw Data'!Q5,'Raw Data'!S5,'Raw Data'!U5,'Raw Data'!W5,'Raw Data'!Y5),"")</f>
        <v>7</v>
      </c>
      <c r="K18" s="14">
        <f t="shared" si="4"/>
        <v>2</v>
      </c>
      <c r="L18" s="14">
        <f>IF('Raw Data'!A5&lt;&gt;"",AVERAGE('Raw Data'!Z5,'Raw Data'!AB5,'Raw Data'!AD5,'Raw Data'!AF5,'Raw Data'!AH5),"")</f>
        <v>8.1999999999999993</v>
      </c>
      <c r="M18" s="14">
        <f>IF('Raw Data'!A5&lt;&gt;"",AVERAGE('Raw Data'!AA5,'Raw Data'!AC5,'Raw Data'!AE5,'Raw Data'!AG5,'Raw Data'!AI5),"")</f>
        <v>6</v>
      </c>
      <c r="N18" s="14">
        <f t="shared" si="5"/>
        <v>2.1999999999999993</v>
      </c>
      <c r="O18" s="14">
        <f>IF('Raw Data'!A5&lt;&gt;"",AVERAGE('Raw Data'!AJ5,'Raw Data'!AL5,'Raw Data'!AN5,'Raw Data'!AP5,'Raw Data'!AR5),"")</f>
        <v>8.1999999999999993</v>
      </c>
      <c r="P18" s="14">
        <f>IF('Raw Data'!A5&lt;&gt;"",AVERAGE('Raw Data'!AK5,'Raw Data'!AM5,'Raw Data'!AO5,'Raw Data'!AQ5,'Raw Data'!AS5),"")</f>
        <v>5</v>
      </c>
      <c r="Q18" s="14">
        <f t="shared" si="6"/>
        <v>3.1999999999999993</v>
      </c>
      <c r="R18" s="14">
        <f>IF('Raw Data'!A5&lt;&gt;"",AVERAGE('Raw Data'!AT5,'Raw Data'!AV5,'Raw Data'!AX5,'Raw Data'!AZ5,'Raw Data'!BB5),"")</f>
        <v>7.6</v>
      </c>
      <c r="S18" s="14">
        <f>IF('Raw Data'!A5&lt;&gt;"",AVERAGE('Raw Data'!AU5,'Raw Data'!AW5,'Raw Data'!AY5,'Raw Data'!BA5,'Raw Data'!BC5),"")</f>
        <v>5.6</v>
      </c>
      <c r="T18" s="14">
        <f t="shared" si="7"/>
        <v>2</v>
      </c>
      <c r="U18" s="14">
        <f>IF('Raw Data'!A5&lt;&gt;"",AVERAGE('Raw Data'!BD5,'Raw Data'!BF5,'Raw Data'!BH5,'Raw Data'!BJ5,'Raw Data'!BL5),"")</f>
        <v>8.4</v>
      </c>
      <c r="V18" s="14">
        <f>IF('Raw Data'!A5&lt;&gt;"",AVERAGE('Raw Data'!BE5,'Raw Data'!BG5,'Raw Data'!BI5,'Raw Data'!BK5,'Raw Data'!BM5),"")</f>
        <v>5.4</v>
      </c>
      <c r="W18" s="14">
        <f t="shared" si="8"/>
        <v>3</v>
      </c>
      <c r="X18" s="14">
        <f t="shared" si="9"/>
        <v>8.2333333333333325</v>
      </c>
      <c r="Y18" s="14">
        <f t="shared" si="10"/>
        <v>5.8666666666666663</v>
      </c>
      <c r="Z18" s="14">
        <f t="shared" si="11"/>
        <v>2.3666666666666663</v>
      </c>
      <c r="AA18" s="14">
        <f t="shared" si="12"/>
        <v>2.4299999999999997</v>
      </c>
      <c r="AB18" s="25">
        <f t="shared" si="13"/>
        <v>2.4550000000000001</v>
      </c>
    </row>
    <row r="19" spans="1:28" x14ac:dyDescent="0.25">
      <c r="A19" s="2" t="str">
        <f>IF('Raw Data'!A6&lt;&gt;"",'Raw Data'!A6,"")</f>
        <v>R003</v>
      </c>
      <c r="B19" s="2" t="str">
        <f>IF('Raw Data'!B6&lt;&gt;"",'Raw Data'!B6,"")</f>
        <v>Engineering</v>
      </c>
      <c r="C19" s="2" t="str">
        <f>IF('Raw Data'!C6&lt;&gt;"",'Raw Data'!C6,"")</f>
        <v>London</v>
      </c>
      <c r="D19" s="2" t="str">
        <f>IF('Raw Data'!D6&lt;&gt;"",'Raw Data'!D6,"")</f>
        <v>Growth</v>
      </c>
      <c r="E19" s="2" t="str">
        <f>IF('Raw Data'!E6&lt;&gt;"",'Raw Data'!E6,"")</f>
        <v>L. Williams</v>
      </c>
      <c r="F19" s="11">
        <f>IF('Raw Data'!A6&lt;&gt;"",AVERAGE('Raw Data'!F6,'Raw Data'!H6,'Raw Data'!J6,'Raw Data'!L6,'Raw Data'!N6),"")</f>
        <v>7.6</v>
      </c>
      <c r="G19" s="11">
        <f>IF('Raw Data'!A6&lt;&gt;"",AVERAGE('Raw Data'!G6,'Raw Data'!I6,'Raw Data'!K6,'Raw Data'!M6,'Raw Data'!O6),"")</f>
        <v>5</v>
      </c>
      <c r="H19" s="11">
        <f t="shared" si="3"/>
        <v>2.5999999999999996</v>
      </c>
      <c r="I19" s="11">
        <f>IF('Raw Data'!A6&lt;&gt;"",AVERAGE('Raw Data'!P6,'Raw Data'!R6,'Raw Data'!T6,'Raw Data'!V6,'Raw Data'!X6),"")</f>
        <v>8.6</v>
      </c>
      <c r="J19" s="11">
        <f>IF('Raw Data'!A6&lt;&gt;"",AVERAGE('Raw Data'!Q6,'Raw Data'!S6,'Raw Data'!U6,'Raw Data'!W6,'Raw Data'!Y6),"")</f>
        <v>6.8</v>
      </c>
      <c r="K19" s="11">
        <f t="shared" si="4"/>
        <v>1.7999999999999998</v>
      </c>
      <c r="L19" s="11">
        <f>IF('Raw Data'!A6&lt;&gt;"",AVERAGE('Raw Data'!Z6,'Raw Data'!AB6,'Raw Data'!AD6,'Raw Data'!AF6,'Raw Data'!AH6),"")</f>
        <v>7.6</v>
      </c>
      <c r="M19" s="11">
        <f>IF('Raw Data'!A6&lt;&gt;"",AVERAGE('Raw Data'!AA6,'Raw Data'!AC6,'Raw Data'!AE6,'Raw Data'!AG6,'Raw Data'!AI6),"")</f>
        <v>6.4</v>
      </c>
      <c r="N19" s="11">
        <f t="shared" si="5"/>
        <v>1.1999999999999993</v>
      </c>
      <c r="O19" s="11">
        <f>IF('Raw Data'!A6&lt;&gt;"",AVERAGE('Raw Data'!AJ6,'Raw Data'!AL6,'Raw Data'!AN6,'Raw Data'!AP6,'Raw Data'!AR6),"")</f>
        <v>7.6</v>
      </c>
      <c r="P19" s="11">
        <f>IF('Raw Data'!A6&lt;&gt;"",AVERAGE('Raw Data'!AK6,'Raw Data'!AM6,'Raw Data'!AO6,'Raw Data'!AQ6,'Raw Data'!AS6),"")</f>
        <v>4.4000000000000004</v>
      </c>
      <c r="Q19" s="11">
        <f t="shared" si="6"/>
        <v>3.1999999999999993</v>
      </c>
      <c r="R19" s="11">
        <f>IF('Raw Data'!A6&lt;&gt;"",AVERAGE('Raw Data'!AT6,'Raw Data'!AV6,'Raw Data'!AX6,'Raw Data'!AZ6,'Raw Data'!BB6),"")</f>
        <v>8.8000000000000007</v>
      </c>
      <c r="S19" s="11">
        <f>IF('Raw Data'!A6&lt;&gt;"",AVERAGE('Raw Data'!AU6,'Raw Data'!AW6,'Raw Data'!AY6,'Raw Data'!BA6,'Raw Data'!BC6),"")</f>
        <v>5.6</v>
      </c>
      <c r="T19" s="11">
        <f t="shared" si="7"/>
        <v>3.2000000000000011</v>
      </c>
      <c r="U19" s="11">
        <f>IF('Raw Data'!A6&lt;&gt;"",AVERAGE('Raw Data'!BD6,'Raw Data'!BF6,'Raw Data'!BH6,'Raw Data'!BJ6,'Raw Data'!BL6),"")</f>
        <v>7.8</v>
      </c>
      <c r="V19" s="11">
        <f>IF('Raw Data'!A6&lt;&gt;"",AVERAGE('Raw Data'!BE6,'Raw Data'!BG6,'Raw Data'!BI6,'Raw Data'!BK6,'Raw Data'!BM6),"")</f>
        <v>4.2</v>
      </c>
      <c r="W19" s="11">
        <f t="shared" si="8"/>
        <v>3.5999999999999996</v>
      </c>
      <c r="X19" s="11">
        <f t="shared" si="9"/>
        <v>8</v>
      </c>
      <c r="Y19" s="11">
        <f t="shared" si="10"/>
        <v>5.4000000000000012</v>
      </c>
      <c r="Z19" s="11">
        <f t="shared" si="11"/>
        <v>2.5999999999999988</v>
      </c>
      <c r="AA19" s="11">
        <f t="shared" si="12"/>
        <v>2.64</v>
      </c>
      <c r="AB19" s="24">
        <f t="shared" si="13"/>
        <v>2.5</v>
      </c>
    </row>
    <row r="20" spans="1:28" x14ac:dyDescent="0.25">
      <c r="A20" s="10" t="str">
        <f>IF('Raw Data'!A7&lt;&gt;"",'Raw Data'!A7,"")</f>
        <v>R004</v>
      </c>
      <c r="B20" s="10" t="str">
        <f>IF('Raw Data'!B7&lt;&gt;"",'Raw Data'!B7,"")</f>
        <v>Marketing</v>
      </c>
      <c r="C20" s="10" t="str">
        <f>IF('Raw Data'!C7&lt;&gt;"",'Raw Data'!C7,"")</f>
        <v>Tokyo</v>
      </c>
      <c r="D20" s="10" t="str">
        <f>IF('Raw Data'!D7&lt;&gt;"",'Raw Data'!D7,"")</f>
        <v>Corporate</v>
      </c>
      <c r="E20" s="10" t="str">
        <f>IF('Raw Data'!E7&lt;&gt;"",'Raw Data'!E7,"")</f>
        <v>R. Kim</v>
      </c>
      <c r="F20" s="14">
        <f>IF('Raw Data'!A7&lt;&gt;"",AVERAGE('Raw Data'!F7,'Raw Data'!H7,'Raw Data'!J7,'Raw Data'!L7,'Raw Data'!N7),"")</f>
        <v>9</v>
      </c>
      <c r="G20" s="14">
        <f>IF('Raw Data'!A7&lt;&gt;"",AVERAGE('Raw Data'!G7,'Raw Data'!I7,'Raw Data'!K7,'Raw Data'!M7,'Raw Data'!O7),"")</f>
        <v>4.5999999999999996</v>
      </c>
      <c r="H20" s="14">
        <f t="shared" si="3"/>
        <v>4.4000000000000004</v>
      </c>
      <c r="I20" s="14">
        <f>IF('Raw Data'!A7&lt;&gt;"",AVERAGE('Raw Data'!P7,'Raw Data'!R7,'Raw Data'!T7,'Raw Data'!V7,'Raw Data'!X7),"")</f>
        <v>8.1999999999999993</v>
      </c>
      <c r="J20" s="14">
        <f>IF('Raw Data'!A7&lt;&gt;"",AVERAGE('Raw Data'!Q7,'Raw Data'!S7,'Raw Data'!U7,'Raw Data'!W7,'Raw Data'!Y7),"")</f>
        <v>4.8</v>
      </c>
      <c r="K20" s="14">
        <f t="shared" si="4"/>
        <v>3.3999999999999995</v>
      </c>
      <c r="L20" s="14">
        <f>IF('Raw Data'!A7&lt;&gt;"",AVERAGE('Raw Data'!Z7,'Raw Data'!AB7,'Raw Data'!AD7,'Raw Data'!AF7,'Raw Data'!AH7),"")</f>
        <v>7.6</v>
      </c>
      <c r="M20" s="14">
        <f>IF('Raw Data'!A7&lt;&gt;"",AVERAGE('Raw Data'!AA7,'Raw Data'!AC7,'Raw Data'!AE7,'Raw Data'!AG7,'Raw Data'!AI7),"")</f>
        <v>5.8</v>
      </c>
      <c r="N20" s="14">
        <f t="shared" si="5"/>
        <v>1.7999999999999998</v>
      </c>
      <c r="O20" s="14">
        <f>IF('Raw Data'!A7&lt;&gt;"",AVERAGE('Raw Data'!AJ7,'Raw Data'!AL7,'Raw Data'!AN7,'Raw Data'!AP7,'Raw Data'!AR7),"")</f>
        <v>9</v>
      </c>
      <c r="P20" s="14">
        <f>IF('Raw Data'!A7&lt;&gt;"",AVERAGE('Raw Data'!AK7,'Raw Data'!AM7,'Raw Data'!AO7,'Raw Data'!AQ7,'Raw Data'!AS7),"")</f>
        <v>4.5999999999999996</v>
      </c>
      <c r="Q20" s="14">
        <f t="shared" si="6"/>
        <v>4.4000000000000004</v>
      </c>
      <c r="R20" s="14">
        <f>IF('Raw Data'!A7&lt;&gt;"",AVERAGE('Raw Data'!AT7,'Raw Data'!AV7,'Raw Data'!AX7,'Raw Data'!AZ7,'Raw Data'!BB7),"")</f>
        <v>7.4</v>
      </c>
      <c r="S20" s="14">
        <f>IF('Raw Data'!A7&lt;&gt;"",AVERAGE('Raw Data'!AU7,'Raw Data'!AW7,'Raw Data'!AY7,'Raw Data'!BA7,'Raw Data'!BC7),"")</f>
        <v>5.8</v>
      </c>
      <c r="T20" s="14">
        <f t="shared" si="7"/>
        <v>1.6000000000000005</v>
      </c>
      <c r="U20" s="14">
        <f>IF('Raw Data'!A7&lt;&gt;"",AVERAGE('Raw Data'!BD7,'Raw Data'!BF7,'Raw Data'!BH7,'Raw Data'!BJ7,'Raw Data'!BL7),"")</f>
        <v>9.1999999999999993</v>
      </c>
      <c r="V20" s="14">
        <f>IF('Raw Data'!A7&lt;&gt;"",AVERAGE('Raw Data'!BE7,'Raw Data'!BG7,'Raw Data'!BI7,'Raw Data'!BK7,'Raw Data'!BM7),"")</f>
        <v>4.8</v>
      </c>
      <c r="W20" s="14">
        <f t="shared" si="8"/>
        <v>4.3999999999999995</v>
      </c>
      <c r="X20" s="14">
        <f t="shared" si="9"/>
        <v>8.3999999999999986</v>
      </c>
      <c r="Y20" s="14">
        <f t="shared" si="10"/>
        <v>5.0666666666666664</v>
      </c>
      <c r="Z20" s="14">
        <f t="shared" si="11"/>
        <v>3.3333333333333321</v>
      </c>
      <c r="AA20" s="14">
        <f t="shared" si="12"/>
        <v>3.6100000000000003</v>
      </c>
      <c r="AB20" s="25">
        <f t="shared" si="13"/>
        <v>3.7050000000000001</v>
      </c>
    </row>
    <row r="21" spans="1:28" x14ac:dyDescent="0.25">
      <c r="A21" s="2" t="str">
        <f>IF('Raw Data'!A8&lt;&gt;"",'Raw Data'!A8,"")</f>
        <v>R005</v>
      </c>
      <c r="B21" s="2" t="str">
        <f>IF('Raw Data'!B8&lt;&gt;"",'Raw Data'!B8,"")</f>
        <v>Operations</v>
      </c>
      <c r="C21" s="2" t="str">
        <f>IF('Raw Data'!C8&lt;&gt;"",'Raw Data'!C8,"")</f>
        <v>New York</v>
      </c>
      <c r="D21" s="2" t="str">
        <f>IF('Raw Data'!D8&lt;&gt;"",'Raw Data'!D8,"")</f>
        <v>Enterprise</v>
      </c>
      <c r="E21" s="2" t="str">
        <f>IF('Raw Data'!E8&lt;&gt;"",'Raw Data'!E8,"")</f>
        <v>R. Kim</v>
      </c>
      <c r="F21" s="11">
        <f>IF('Raw Data'!A8&lt;&gt;"",AVERAGE('Raw Data'!F8,'Raw Data'!H8,'Raw Data'!J8,'Raw Data'!L8,'Raw Data'!N8),"")</f>
        <v>7</v>
      </c>
      <c r="G21" s="11">
        <f>IF('Raw Data'!A8&lt;&gt;"",AVERAGE('Raw Data'!G8,'Raw Data'!I8,'Raw Data'!K8,'Raw Data'!M8,'Raw Data'!O8),"")</f>
        <v>6.4</v>
      </c>
      <c r="H21" s="11">
        <f t="shared" si="3"/>
        <v>0.59999999999999964</v>
      </c>
      <c r="I21" s="11">
        <f>IF('Raw Data'!A8&lt;&gt;"",AVERAGE('Raw Data'!P8,'Raw Data'!R8,'Raw Data'!T8,'Raw Data'!V8,'Raw Data'!X8),"")</f>
        <v>8.6</v>
      </c>
      <c r="J21" s="11">
        <f>IF('Raw Data'!A8&lt;&gt;"",AVERAGE('Raw Data'!Q8,'Raw Data'!S8,'Raw Data'!U8,'Raw Data'!W8,'Raw Data'!Y8),"")</f>
        <v>7</v>
      </c>
      <c r="K21" s="11">
        <f t="shared" si="4"/>
        <v>1.5999999999999996</v>
      </c>
      <c r="L21" s="11">
        <f>IF('Raw Data'!A8&lt;&gt;"",AVERAGE('Raw Data'!Z8,'Raw Data'!AB8,'Raw Data'!AD8,'Raw Data'!AF8,'Raw Data'!AH8),"")</f>
        <v>7.6</v>
      </c>
      <c r="M21" s="11">
        <f>IF('Raw Data'!A8&lt;&gt;"",AVERAGE('Raw Data'!AA8,'Raw Data'!AC8,'Raw Data'!AE8,'Raw Data'!AG8,'Raw Data'!AI8),"")</f>
        <v>6.8</v>
      </c>
      <c r="N21" s="11">
        <f t="shared" si="5"/>
        <v>0.79999999999999982</v>
      </c>
      <c r="O21" s="11">
        <f>IF('Raw Data'!A8&lt;&gt;"",AVERAGE('Raw Data'!AJ8,'Raw Data'!AL8,'Raw Data'!AN8,'Raw Data'!AP8,'Raw Data'!AR8),"")</f>
        <v>8.1999999999999993</v>
      </c>
      <c r="P21" s="11">
        <f>IF('Raw Data'!A8&lt;&gt;"",AVERAGE('Raw Data'!AK8,'Raw Data'!AM8,'Raw Data'!AO8,'Raw Data'!AQ8,'Raw Data'!AS8),"")</f>
        <v>4.4000000000000004</v>
      </c>
      <c r="Q21" s="11">
        <f t="shared" si="6"/>
        <v>3.7999999999999989</v>
      </c>
      <c r="R21" s="11">
        <f>IF('Raw Data'!A8&lt;&gt;"",AVERAGE('Raw Data'!AT8,'Raw Data'!AV8,'Raw Data'!AX8,'Raw Data'!AZ8,'Raw Data'!BB8),"")</f>
        <v>8.1999999999999993</v>
      </c>
      <c r="S21" s="11">
        <f>IF('Raw Data'!A8&lt;&gt;"",AVERAGE('Raw Data'!AU8,'Raw Data'!AW8,'Raw Data'!AY8,'Raw Data'!BA8,'Raw Data'!BC8),"")</f>
        <v>4.5999999999999996</v>
      </c>
      <c r="T21" s="11">
        <f t="shared" si="7"/>
        <v>3.5999999999999996</v>
      </c>
      <c r="U21" s="11">
        <f>IF('Raw Data'!A8&lt;&gt;"",AVERAGE('Raw Data'!BD8,'Raw Data'!BF8,'Raw Data'!BH8,'Raw Data'!BJ8,'Raw Data'!BL8),"")</f>
        <v>7.6</v>
      </c>
      <c r="V21" s="11">
        <f>IF('Raw Data'!A8&lt;&gt;"",AVERAGE('Raw Data'!BE8,'Raw Data'!BG8,'Raw Data'!BI8,'Raw Data'!BK8,'Raw Data'!BM8),"")</f>
        <v>5.2</v>
      </c>
      <c r="W21" s="11">
        <f t="shared" si="8"/>
        <v>2.3999999999999995</v>
      </c>
      <c r="X21" s="11">
        <f t="shared" si="9"/>
        <v>7.8666666666666663</v>
      </c>
      <c r="Y21" s="11">
        <f t="shared" si="10"/>
        <v>5.7333333333333343</v>
      </c>
      <c r="Z21" s="11">
        <f t="shared" si="11"/>
        <v>2.133333333333332</v>
      </c>
      <c r="AA21" s="11">
        <f t="shared" si="12"/>
        <v>2.1699999999999995</v>
      </c>
      <c r="AB21" s="24">
        <f t="shared" si="13"/>
        <v>2.3249999999999993</v>
      </c>
    </row>
    <row r="22" spans="1:28" x14ac:dyDescent="0.25">
      <c r="A22" s="10" t="str">
        <f>IF('Raw Data'!A9&lt;&gt;"",'Raw Data'!A9,"")</f>
        <v>R006</v>
      </c>
      <c r="B22" s="10" t="str">
        <f>IF('Raw Data'!B9&lt;&gt;"",'Raw Data'!B9,"")</f>
        <v>Engineering</v>
      </c>
      <c r="C22" s="10" t="str">
        <f>IF('Raw Data'!C9&lt;&gt;"",'Raw Data'!C9,"")</f>
        <v>London</v>
      </c>
      <c r="D22" s="10" t="str">
        <f>IF('Raw Data'!D9&lt;&gt;"",'Raw Data'!D9,"")</f>
        <v>Corporate</v>
      </c>
      <c r="E22" s="10" t="str">
        <f>IF('Raw Data'!E9&lt;&gt;"",'Raw Data'!E9,"")</f>
        <v>J. Brown</v>
      </c>
      <c r="F22" s="14">
        <f>IF('Raw Data'!A9&lt;&gt;"",AVERAGE('Raw Data'!F9,'Raw Data'!H9,'Raw Data'!J9,'Raw Data'!L9,'Raw Data'!N9),"")</f>
        <v>9</v>
      </c>
      <c r="G22" s="14">
        <f>IF('Raw Data'!A9&lt;&gt;"",AVERAGE('Raw Data'!G9,'Raw Data'!I9,'Raw Data'!K9,'Raw Data'!M9,'Raw Data'!O9),"")</f>
        <v>4.4000000000000004</v>
      </c>
      <c r="H22" s="14">
        <f t="shared" si="3"/>
        <v>4.5999999999999996</v>
      </c>
      <c r="I22" s="14">
        <f>IF('Raw Data'!A9&lt;&gt;"",AVERAGE('Raw Data'!P9,'Raw Data'!R9,'Raw Data'!T9,'Raw Data'!V9,'Raw Data'!X9),"")</f>
        <v>8.6</v>
      </c>
      <c r="J22" s="14">
        <f>IF('Raw Data'!A9&lt;&gt;"",AVERAGE('Raw Data'!Q9,'Raw Data'!S9,'Raw Data'!U9,'Raw Data'!W9,'Raw Data'!Y9),"")</f>
        <v>6.2</v>
      </c>
      <c r="K22" s="14">
        <f t="shared" si="4"/>
        <v>2.3999999999999995</v>
      </c>
      <c r="L22" s="14">
        <f>IF('Raw Data'!A9&lt;&gt;"",AVERAGE('Raw Data'!Z9,'Raw Data'!AB9,'Raw Data'!AD9,'Raw Data'!AF9,'Raw Data'!AH9),"")</f>
        <v>8</v>
      </c>
      <c r="M22" s="14">
        <f>IF('Raw Data'!A9&lt;&gt;"",AVERAGE('Raw Data'!AA9,'Raw Data'!AC9,'Raw Data'!AE9,'Raw Data'!AG9,'Raw Data'!AI9),"")</f>
        <v>6.6</v>
      </c>
      <c r="N22" s="14">
        <f t="shared" si="5"/>
        <v>1.4000000000000004</v>
      </c>
      <c r="O22" s="14">
        <f>IF('Raw Data'!A9&lt;&gt;"",AVERAGE('Raw Data'!AJ9,'Raw Data'!AL9,'Raw Data'!AN9,'Raw Data'!AP9,'Raw Data'!AR9),"")</f>
        <v>7.8</v>
      </c>
      <c r="P22" s="14">
        <f>IF('Raw Data'!A9&lt;&gt;"",AVERAGE('Raw Data'!AK9,'Raw Data'!AM9,'Raw Data'!AO9,'Raw Data'!AQ9,'Raw Data'!AS9),"")</f>
        <v>6.2</v>
      </c>
      <c r="Q22" s="14">
        <f t="shared" si="6"/>
        <v>1.5999999999999996</v>
      </c>
      <c r="R22" s="14">
        <f>IF('Raw Data'!A9&lt;&gt;"",AVERAGE('Raw Data'!AT9,'Raw Data'!AV9,'Raw Data'!AX9,'Raw Data'!AZ9,'Raw Data'!BB9),"")</f>
        <v>7.6</v>
      </c>
      <c r="S22" s="14">
        <f>IF('Raw Data'!A9&lt;&gt;"",AVERAGE('Raw Data'!AU9,'Raw Data'!AW9,'Raw Data'!AY9,'Raw Data'!BA9,'Raw Data'!BC9),"")</f>
        <v>5.4</v>
      </c>
      <c r="T22" s="14">
        <f t="shared" si="7"/>
        <v>2.1999999999999993</v>
      </c>
      <c r="U22" s="14">
        <f>IF('Raw Data'!A9&lt;&gt;"",AVERAGE('Raw Data'!BD9,'Raw Data'!BF9,'Raw Data'!BH9,'Raw Data'!BJ9,'Raw Data'!BL9),"")</f>
        <v>8.1999999999999993</v>
      </c>
      <c r="V22" s="14">
        <f>IF('Raw Data'!A9&lt;&gt;"",AVERAGE('Raw Data'!BE9,'Raw Data'!BG9,'Raw Data'!BI9,'Raw Data'!BK9,'Raw Data'!BM9),"")</f>
        <v>5.2</v>
      </c>
      <c r="W22" s="14">
        <f t="shared" si="8"/>
        <v>2.9999999999999991</v>
      </c>
      <c r="X22" s="14">
        <f t="shared" si="9"/>
        <v>8.2000000000000011</v>
      </c>
      <c r="Y22" s="14">
        <f t="shared" si="10"/>
        <v>5.6666666666666679</v>
      </c>
      <c r="Z22" s="14">
        <f t="shared" si="11"/>
        <v>2.5333333333333332</v>
      </c>
      <c r="AA22" s="14">
        <f t="shared" si="12"/>
        <v>2.5699999999999994</v>
      </c>
      <c r="AB22" s="25">
        <f t="shared" si="13"/>
        <v>2.3249999999999993</v>
      </c>
    </row>
    <row r="23" spans="1:28" x14ac:dyDescent="0.25">
      <c r="A23" s="2" t="str">
        <f>IF('Raw Data'!A10&lt;&gt;"",'Raw Data'!A10,"")</f>
        <v>R007</v>
      </c>
      <c r="B23" s="2" t="str">
        <f>IF('Raw Data'!B10&lt;&gt;"",'Raw Data'!B10,"")</f>
        <v>Engineering</v>
      </c>
      <c r="C23" s="2" t="str">
        <f>IF('Raw Data'!C10&lt;&gt;"",'Raw Data'!C10,"")</f>
        <v>Sydney</v>
      </c>
      <c r="D23" s="2" t="str">
        <f>IF('Raw Data'!D10&lt;&gt;"",'Raw Data'!D10,"")</f>
        <v>Enterprise</v>
      </c>
      <c r="E23" s="2" t="str">
        <f>IF('Raw Data'!E10&lt;&gt;"",'Raw Data'!E10,"")</f>
        <v>K. Taylor</v>
      </c>
      <c r="F23" s="11">
        <f>IF('Raw Data'!A10&lt;&gt;"",AVERAGE('Raw Data'!F10,'Raw Data'!H10,'Raw Data'!J10,'Raw Data'!L10,'Raw Data'!N10),"")</f>
        <v>7.6</v>
      </c>
      <c r="G23" s="11">
        <f>IF('Raw Data'!A10&lt;&gt;"",AVERAGE('Raw Data'!G10,'Raw Data'!I10,'Raw Data'!K10,'Raw Data'!M10,'Raw Data'!O10),"")</f>
        <v>5.6</v>
      </c>
      <c r="H23" s="11">
        <f t="shared" si="3"/>
        <v>2</v>
      </c>
      <c r="I23" s="11">
        <f>IF('Raw Data'!A10&lt;&gt;"",AVERAGE('Raw Data'!P10,'Raw Data'!R10,'Raw Data'!T10,'Raw Data'!V10,'Raw Data'!X10),"")</f>
        <v>8</v>
      </c>
      <c r="J23" s="11">
        <f>IF('Raw Data'!A10&lt;&gt;"",AVERAGE('Raw Data'!Q10,'Raw Data'!S10,'Raw Data'!U10,'Raw Data'!W10,'Raw Data'!Y10),"")</f>
        <v>7.8</v>
      </c>
      <c r="K23" s="11">
        <f t="shared" si="4"/>
        <v>0.20000000000000018</v>
      </c>
      <c r="L23" s="11">
        <f>IF('Raw Data'!A10&lt;&gt;"",AVERAGE('Raw Data'!Z10,'Raw Data'!AB10,'Raw Data'!AD10,'Raw Data'!AF10,'Raw Data'!AH10),"")</f>
        <v>7.2</v>
      </c>
      <c r="M23" s="11">
        <f>IF('Raw Data'!A10&lt;&gt;"",AVERAGE('Raw Data'!AA10,'Raw Data'!AC10,'Raw Data'!AE10,'Raw Data'!AG10,'Raw Data'!AI10),"")</f>
        <v>6.8</v>
      </c>
      <c r="N23" s="11">
        <f t="shared" si="5"/>
        <v>0.40000000000000036</v>
      </c>
      <c r="O23" s="11">
        <f>IF('Raw Data'!A10&lt;&gt;"",AVERAGE('Raw Data'!AJ10,'Raw Data'!AL10,'Raw Data'!AN10,'Raw Data'!AP10,'Raw Data'!AR10),"")</f>
        <v>7.4</v>
      </c>
      <c r="P23" s="11">
        <f>IF('Raw Data'!A10&lt;&gt;"",AVERAGE('Raw Data'!AK10,'Raw Data'!AM10,'Raw Data'!AO10,'Raw Data'!AQ10,'Raw Data'!AS10),"")</f>
        <v>5.8</v>
      </c>
      <c r="Q23" s="11">
        <f t="shared" si="6"/>
        <v>1.6000000000000005</v>
      </c>
      <c r="R23" s="11">
        <f>IF('Raw Data'!A10&lt;&gt;"",AVERAGE('Raw Data'!AT10,'Raw Data'!AV10,'Raw Data'!AX10,'Raw Data'!AZ10,'Raw Data'!BB10),"")</f>
        <v>7.8</v>
      </c>
      <c r="S23" s="11">
        <f>IF('Raw Data'!A10&lt;&gt;"",AVERAGE('Raw Data'!AU10,'Raw Data'!AW10,'Raw Data'!AY10,'Raw Data'!BA10,'Raw Data'!BC10),"")</f>
        <v>6.4</v>
      </c>
      <c r="T23" s="11">
        <f t="shared" si="7"/>
        <v>1.3999999999999995</v>
      </c>
      <c r="U23" s="11">
        <f>IF('Raw Data'!A10&lt;&gt;"",AVERAGE('Raw Data'!BD10,'Raw Data'!BF10,'Raw Data'!BH10,'Raw Data'!BJ10,'Raw Data'!BL10),"")</f>
        <v>7.8</v>
      </c>
      <c r="V23" s="11">
        <f>IF('Raw Data'!A10&lt;&gt;"",AVERAGE('Raw Data'!BE10,'Raw Data'!BG10,'Raw Data'!BI10,'Raw Data'!BK10,'Raw Data'!BM10),"")</f>
        <v>4.8</v>
      </c>
      <c r="W23" s="11">
        <f t="shared" si="8"/>
        <v>3</v>
      </c>
      <c r="X23" s="11">
        <f t="shared" si="9"/>
        <v>7.6333333333333329</v>
      </c>
      <c r="Y23" s="11">
        <f t="shared" si="10"/>
        <v>6.1999999999999993</v>
      </c>
      <c r="Z23" s="11">
        <f t="shared" si="11"/>
        <v>1.4333333333333336</v>
      </c>
      <c r="AA23" s="11">
        <f t="shared" si="12"/>
        <v>1.4500000000000002</v>
      </c>
      <c r="AB23" s="24">
        <f t="shared" si="13"/>
        <v>1.1050000000000002</v>
      </c>
    </row>
    <row r="24" spans="1:28" x14ac:dyDescent="0.25">
      <c r="A24" s="10" t="str">
        <f>IF('Raw Data'!A11&lt;&gt;"",'Raw Data'!A11,"")</f>
        <v>R008</v>
      </c>
      <c r="B24" s="10" t="str">
        <f>IF('Raw Data'!B11&lt;&gt;"",'Raw Data'!B11,"")</f>
        <v>Finance</v>
      </c>
      <c r="C24" s="10" t="str">
        <f>IF('Raw Data'!C11&lt;&gt;"",'Raw Data'!C11,"")</f>
        <v>Tokyo</v>
      </c>
      <c r="D24" s="10" t="str">
        <f>IF('Raw Data'!D11&lt;&gt;"",'Raw Data'!D11,"")</f>
        <v>Core Product</v>
      </c>
      <c r="E24" s="10" t="str">
        <f>IF('Raw Data'!E11&lt;&gt;"",'Raw Data'!E11,"")</f>
        <v>L. Williams</v>
      </c>
      <c r="F24" s="14">
        <f>IF('Raw Data'!A11&lt;&gt;"",AVERAGE('Raw Data'!F11,'Raw Data'!H11,'Raw Data'!J11,'Raw Data'!L11,'Raw Data'!N11),"")</f>
        <v>7.8</v>
      </c>
      <c r="G24" s="14">
        <f>IF('Raw Data'!A11&lt;&gt;"",AVERAGE('Raw Data'!G11,'Raw Data'!I11,'Raw Data'!K11,'Raw Data'!M11,'Raw Data'!O11),"")</f>
        <v>6.2</v>
      </c>
      <c r="H24" s="14">
        <f t="shared" si="3"/>
        <v>1.5999999999999996</v>
      </c>
      <c r="I24" s="14">
        <f>IF('Raw Data'!A11&lt;&gt;"",AVERAGE('Raw Data'!P11,'Raw Data'!R11,'Raw Data'!T11,'Raw Data'!V11,'Raw Data'!X11),"")</f>
        <v>8.4</v>
      </c>
      <c r="J24" s="14">
        <f>IF('Raw Data'!A11&lt;&gt;"",AVERAGE('Raw Data'!Q11,'Raw Data'!S11,'Raw Data'!U11,'Raw Data'!W11,'Raw Data'!Y11),"")</f>
        <v>7</v>
      </c>
      <c r="K24" s="14">
        <f t="shared" si="4"/>
        <v>1.4000000000000004</v>
      </c>
      <c r="L24" s="14">
        <f>IF('Raw Data'!A11&lt;&gt;"",AVERAGE('Raw Data'!Z11,'Raw Data'!AB11,'Raw Data'!AD11,'Raw Data'!AF11,'Raw Data'!AH11),"")</f>
        <v>7.2</v>
      </c>
      <c r="M24" s="14">
        <f>IF('Raw Data'!A11&lt;&gt;"",AVERAGE('Raw Data'!AA11,'Raw Data'!AC11,'Raw Data'!AE11,'Raw Data'!AG11,'Raw Data'!AI11),"")</f>
        <v>6</v>
      </c>
      <c r="N24" s="14">
        <f t="shared" si="5"/>
        <v>1.2000000000000002</v>
      </c>
      <c r="O24" s="14">
        <f>IF('Raw Data'!A11&lt;&gt;"",AVERAGE('Raw Data'!AJ11,'Raw Data'!AL11,'Raw Data'!AN11,'Raw Data'!AP11,'Raw Data'!AR11),"")</f>
        <v>8.6</v>
      </c>
      <c r="P24" s="14">
        <f>IF('Raw Data'!A11&lt;&gt;"",AVERAGE('Raw Data'!AK11,'Raw Data'!AM11,'Raw Data'!AO11,'Raw Data'!AQ11,'Raw Data'!AS11),"")</f>
        <v>4.5999999999999996</v>
      </c>
      <c r="Q24" s="14">
        <f t="shared" si="6"/>
        <v>4</v>
      </c>
      <c r="R24" s="14">
        <f>IF('Raw Data'!A11&lt;&gt;"",AVERAGE('Raw Data'!AT11,'Raw Data'!AV11,'Raw Data'!AX11,'Raw Data'!AZ11,'Raw Data'!BB11),"")</f>
        <v>7.6</v>
      </c>
      <c r="S24" s="14">
        <f>IF('Raw Data'!A11&lt;&gt;"",AVERAGE('Raw Data'!AU11,'Raw Data'!AW11,'Raw Data'!AY11,'Raw Data'!BA11,'Raw Data'!BC11),"")</f>
        <v>5.8</v>
      </c>
      <c r="T24" s="14">
        <f t="shared" si="7"/>
        <v>1.7999999999999998</v>
      </c>
      <c r="U24" s="14">
        <f>IF('Raw Data'!A11&lt;&gt;"",AVERAGE('Raw Data'!BD11,'Raw Data'!BF11,'Raw Data'!BH11,'Raw Data'!BJ11,'Raw Data'!BL11),"")</f>
        <v>8</v>
      </c>
      <c r="V24" s="14">
        <f>IF('Raw Data'!A11&lt;&gt;"",AVERAGE('Raw Data'!BE11,'Raw Data'!BG11,'Raw Data'!BI11,'Raw Data'!BK11,'Raw Data'!BM11),"")</f>
        <v>5.6</v>
      </c>
      <c r="W24" s="14">
        <f t="shared" si="8"/>
        <v>2.4000000000000004</v>
      </c>
      <c r="X24" s="14">
        <f t="shared" si="9"/>
        <v>7.9333333333333336</v>
      </c>
      <c r="Y24" s="14">
        <f t="shared" si="10"/>
        <v>5.8666666666666663</v>
      </c>
      <c r="Z24" s="14">
        <f t="shared" si="11"/>
        <v>2.0666666666666673</v>
      </c>
      <c r="AA24" s="14">
        <f t="shared" si="12"/>
        <v>2.1700000000000004</v>
      </c>
      <c r="AB24" s="25">
        <f t="shared" si="13"/>
        <v>2.3050000000000006</v>
      </c>
    </row>
    <row r="25" spans="1:28" x14ac:dyDescent="0.25">
      <c r="A25" s="2" t="str">
        <f>IF('Raw Data'!A12&lt;&gt;"",'Raw Data'!A12,"")</f>
        <v>R009</v>
      </c>
      <c r="B25" s="2" t="str">
        <f>IF('Raw Data'!B12&lt;&gt;"",'Raw Data'!B12,"")</f>
        <v>Engineering</v>
      </c>
      <c r="C25" s="2" t="str">
        <f>IF('Raw Data'!C12&lt;&gt;"",'Raw Data'!C12,"")</f>
        <v>Berlin</v>
      </c>
      <c r="D25" s="2" t="str">
        <f>IF('Raw Data'!D12&lt;&gt;"",'Raw Data'!D12,"")</f>
        <v>Corporate</v>
      </c>
      <c r="E25" s="2" t="str">
        <f>IF('Raw Data'!E12&lt;&gt;"",'Raw Data'!E12,"")</f>
        <v>J. Brown</v>
      </c>
      <c r="F25" s="11">
        <f>IF('Raw Data'!A12&lt;&gt;"",AVERAGE('Raw Data'!F12,'Raw Data'!H12,'Raw Data'!J12,'Raw Data'!L12,'Raw Data'!N12),"")</f>
        <v>8.4</v>
      </c>
      <c r="G25" s="11">
        <f>IF('Raw Data'!A12&lt;&gt;"",AVERAGE('Raw Data'!G12,'Raw Data'!I12,'Raw Data'!K12,'Raw Data'!M12,'Raw Data'!O12),"")</f>
        <v>6.2</v>
      </c>
      <c r="H25" s="11">
        <f t="shared" si="3"/>
        <v>2.2000000000000002</v>
      </c>
      <c r="I25" s="11">
        <f>IF('Raw Data'!A12&lt;&gt;"",AVERAGE('Raw Data'!P12,'Raw Data'!R12,'Raw Data'!T12,'Raw Data'!V12,'Raw Data'!X12),"")</f>
        <v>8</v>
      </c>
      <c r="J25" s="11">
        <f>IF('Raw Data'!A12&lt;&gt;"",AVERAGE('Raw Data'!Q12,'Raw Data'!S12,'Raw Data'!U12,'Raw Data'!W12,'Raw Data'!Y12),"")</f>
        <v>8.4</v>
      </c>
      <c r="K25" s="11">
        <f t="shared" si="4"/>
        <v>-0.40000000000000036</v>
      </c>
      <c r="L25" s="11">
        <f>IF('Raw Data'!A12&lt;&gt;"",AVERAGE('Raw Data'!Z12,'Raw Data'!AB12,'Raw Data'!AD12,'Raw Data'!AF12,'Raw Data'!AH12),"")</f>
        <v>6.8</v>
      </c>
      <c r="M25" s="11">
        <f>IF('Raw Data'!A12&lt;&gt;"",AVERAGE('Raw Data'!AA12,'Raw Data'!AC12,'Raw Data'!AE12,'Raw Data'!AG12,'Raw Data'!AI12),"")</f>
        <v>5.8</v>
      </c>
      <c r="N25" s="11">
        <f t="shared" si="5"/>
        <v>1</v>
      </c>
      <c r="O25" s="11">
        <f>IF('Raw Data'!A12&lt;&gt;"",AVERAGE('Raw Data'!AJ12,'Raw Data'!AL12,'Raw Data'!AN12,'Raw Data'!AP12,'Raw Data'!AR12),"")</f>
        <v>8.1999999999999993</v>
      </c>
      <c r="P25" s="11">
        <f>IF('Raw Data'!A12&lt;&gt;"",AVERAGE('Raw Data'!AK12,'Raw Data'!AM12,'Raw Data'!AO12,'Raw Data'!AQ12,'Raw Data'!AS12),"")</f>
        <v>5.8</v>
      </c>
      <c r="Q25" s="11">
        <f t="shared" si="6"/>
        <v>2.3999999999999995</v>
      </c>
      <c r="R25" s="11">
        <f>IF('Raw Data'!A12&lt;&gt;"",AVERAGE('Raw Data'!AT12,'Raw Data'!AV12,'Raw Data'!AX12,'Raw Data'!AZ12,'Raw Data'!BB12),"")</f>
        <v>8.1999999999999993</v>
      </c>
      <c r="S25" s="11">
        <f>IF('Raw Data'!A12&lt;&gt;"",AVERAGE('Raw Data'!AU12,'Raw Data'!AW12,'Raw Data'!AY12,'Raw Data'!BA12,'Raw Data'!BC12),"")</f>
        <v>3.8</v>
      </c>
      <c r="T25" s="11">
        <f t="shared" si="7"/>
        <v>4.3999999999999995</v>
      </c>
      <c r="U25" s="11">
        <f>IF('Raw Data'!A12&lt;&gt;"",AVERAGE('Raw Data'!BD12,'Raw Data'!BF12,'Raw Data'!BH12,'Raw Data'!BJ12,'Raw Data'!BL12),"")</f>
        <v>7</v>
      </c>
      <c r="V25" s="11">
        <f>IF('Raw Data'!A12&lt;&gt;"",AVERAGE('Raw Data'!BE12,'Raw Data'!BG12,'Raw Data'!BI12,'Raw Data'!BK12,'Raw Data'!BM12),"")</f>
        <v>5</v>
      </c>
      <c r="W25" s="11">
        <f t="shared" si="8"/>
        <v>2</v>
      </c>
      <c r="X25" s="11">
        <f t="shared" si="9"/>
        <v>7.7666666666666657</v>
      </c>
      <c r="Y25" s="11">
        <f t="shared" si="10"/>
        <v>5.833333333333333</v>
      </c>
      <c r="Z25" s="11">
        <f t="shared" si="11"/>
        <v>1.9333333333333327</v>
      </c>
      <c r="AA25" s="11">
        <f t="shared" si="12"/>
        <v>1.65</v>
      </c>
      <c r="AB25" s="24">
        <f t="shared" si="13"/>
        <v>1.1849999999999998</v>
      </c>
    </row>
    <row r="26" spans="1:28" x14ac:dyDescent="0.25">
      <c r="A26" s="10" t="str">
        <f>IF('Raw Data'!A13&lt;&gt;"",'Raw Data'!A13,"")</f>
        <v>R010</v>
      </c>
      <c r="B26" s="10" t="str">
        <f>IF('Raw Data'!B13&lt;&gt;"",'Raw Data'!B13,"")</f>
        <v>Finance</v>
      </c>
      <c r="C26" s="10" t="str">
        <f>IF('Raw Data'!C13&lt;&gt;"",'Raw Data'!C13,"")</f>
        <v>New York</v>
      </c>
      <c r="D26" s="10" t="str">
        <f>IF('Raw Data'!D13&lt;&gt;"",'Raw Data'!D13,"")</f>
        <v>Core Product</v>
      </c>
      <c r="E26" s="10" t="str">
        <f>IF('Raw Data'!E13&lt;&gt;"",'Raw Data'!E13,"")</f>
        <v>L. Williams</v>
      </c>
      <c r="F26" s="14">
        <f>IF('Raw Data'!A13&lt;&gt;"",AVERAGE('Raw Data'!F13,'Raw Data'!H13,'Raw Data'!J13,'Raw Data'!L13,'Raw Data'!N13),"")</f>
        <v>7.2</v>
      </c>
      <c r="G26" s="14">
        <f>IF('Raw Data'!A13&lt;&gt;"",AVERAGE('Raw Data'!G13,'Raw Data'!I13,'Raw Data'!K13,'Raw Data'!M13,'Raw Data'!O13),"")</f>
        <v>4.4000000000000004</v>
      </c>
      <c r="H26" s="14">
        <f t="shared" si="3"/>
        <v>2.8</v>
      </c>
      <c r="I26" s="14">
        <f>IF('Raw Data'!A13&lt;&gt;"",AVERAGE('Raw Data'!P13,'Raw Data'!R13,'Raw Data'!T13,'Raw Data'!V13,'Raw Data'!X13),"")</f>
        <v>7.8</v>
      </c>
      <c r="J26" s="14">
        <f>IF('Raw Data'!A13&lt;&gt;"",AVERAGE('Raw Data'!Q13,'Raw Data'!S13,'Raw Data'!U13,'Raw Data'!W13,'Raw Data'!Y13),"")</f>
        <v>6.8</v>
      </c>
      <c r="K26" s="14">
        <f t="shared" si="4"/>
        <v>1</v>
      </c>
      <c r="L26" s="14">
        <f>IF('Raw Data'!A13&lt;&gt;"",AVERAGE('Raw Data'!Z13,'Raw Data'!AB13,'Raw Data'!AD13,'Raw Data'!AF13,'Raw Data'!AH13),"")</f>
        <v>8</v>
      </c>
      <c r="M26" s="14">
        <f>IF('Raw Data'!A13&lt;&gt;"",AVERAGE('Raw Data'!AA13,'Raw Data'!AC13,'Raw Data'!AE13,'Raw Data'!AG13,'Raw Data'!AI13),"")</f>
        <v>7.2</v>
      </c>
      <c r="N26" s="14">
        <f t="shared" si="5"/>
        <v>0.79999999999999982</v>
      </c>
      <c r="O26" s="14">
        <f>IF('Raw Data'!A13&lt;&gt;"",AVERAGE('Raw Data'!AJ13,'Raw Data'!AL13,'Raw Data'!AN13,'Raw Data'!AP13,'Raw Data'!AR13),"")</f>
        <v>9.4</v>
      </c>
      <c r="P26" s="14">
        <f>IF('Raw Data'!A13&lt;&gt;"",AVERAGE('Raw Data'!AK13,'Raw Data'!AM13,'Raw Data'!AO13,'Raw Data'!AQ13,'Raw Data'!AS13),"")</f>
        <v>4.8</v>
      </c>
      <c r="Q26" s="14">
        <f t="shared" si="6"/>
        <v>4.6000000000000005</v>
      </c>
      <c r="R26" s="14">
        <f>IF('Raw Data'!A13&lt;&gt;"",AVERAGE('Raw Data'!AT13,'Raw Data'!AV13,'Raw Data'!AX13,'Raw Data'!AZ13,'Raw Data'!BB13),"")</f>
        <v>7.8</v>
      </c>
      <c r="S26" s="14">
        <f>IF('Raw Data'!A13&lt;&gt;"",AVERAGE('Raw Data'!AU13,'Raw Data'!AW13,'Raw Data'!AY13,'Raw Data'!BA13,'Raw Data'!BC13),"")</f>
        <v>4.5999999999999996</v>
      </c>
      <c r="T26" s="14">
        <f t="shared" si="7"/>
        <v>3.2</v>
      </c>
      <c r="U26" s="14">
        <f>IF('Raw Data'!A13&lt;&gt;"",AVERAGE('Raw Data'!BD13,'Raw Data'!BF13,'Raw Data'!BH13,'Raw Data'!BJ13,'Raw Data'!BL13),"")</f>
        <v>8.4</v>
      </c>
      <c r="V26" s="14">
        <f>IF('Raw Data'!A13&lt;&gt;"",AVERAGE('Raw Data'!BE13,'Raw Data'!BG13,'Raw Data'!BI13,'Raw Data'!BK13,'Raw Data'!BM13),"")</f>
        <v>5.8</v>
      </c>
      <c r="W26" s="14">
        <f t="shared" si="8"/>
        <v>2.6000000000000005</v>
      </c>
      <c r="X26" s="14">
        <f t="shared" si="9"/>
        <v>8.1</v>
      </c>
      <c r="Y26" s="14">
        <f t="shared" si="10"/>
        <v>5.5999999999999988</v>
      </c>
      <c r="Z26" s="14">
        <f t="shared" si="11"/>
        <v>2.5000000000000009</v>
      </c>
      <c r="AA26" s="14">
        <f t="shared" si="12"/>
        <v>2.5100000000000007</v>
      </c>
      <c r="AB26" s="25">
        <f t="shared" si="13"/>
        <v>2.4750000000000005</v>
      </c>
    </row>
    <row r="27" spans="1:28" x14ac:dyDescent="0.25">
      <c r="A27" s="2" t="str">
        <f>IF('Raw Data'!A14&lt;&gt;"",'Raw Data'!A14,"")</f>
        <v>R011</v>
      </c>
      <c r="B27" s="2" t="str">
        <f>IF('Raw Data'!B14&lt;&gt;"",'Raw Data'!B14,"")</f>
        <v>Marketing</v>
      </c>
      <c r="C27" s="2" t="str">
        <f>IF('Raw Data'!C14&lt;&gt;"",'Raw Data'!C14,"")</f>
        <v>Sydney</v>
      </c>
      <c r="D27" s="2" t="str">
        <f>IF('Raw Data'!D14&lt;&gt;"",'Raw Data'!D14,"")</f>
        <v>Enterprise</v>
      </c>
      <c r="E27" s="2" t="str">
        <f>IF('Raw Data'!E14&lt;&gt;"",'Raw Data'!E14,"")</f>
        <v>A. Patel</v>
      </c>
      <c r="F27" s="11">
        <f>IF('Raw Data'!A14&lt;&gt;"",AVERAGE('Raw Data'!F14,'Raw Data'!H14,'Raw Data'!J14,'Raw Data'!L14,'Raw Data'!N14),"")</f>
        <v>7.6</v>
      </c>
      <c r="G27" s="11">
        <f>IF('Raw Data'!A14&lt;&gt;"",AVERAGE('Raw Data'!G14,'Raw Data'!I14,'Raw Data'!K14,'Raw Data'!M14,'Raw Data'!O14),"")</f>
        <v>5.6</v>
      </c>
      <c r="H27" s="11">
        <f t="shared" si="3"/>
        <v>2</v>
      </c>
      <c r="I27" s="11">
        <f>IF('Raw Data'!A14&lt;&gt;"",AVERAGE('Raw Data'!P14,'Raw Data'!R14,'Raw Data'!T14,'Raw Data'!V14,'Raw Data'!X14),"")</f>
        <v>8.8000000000000007</v>
      </c>
      <c r="J27" s="11">
        <f>IF('Raw Data'!A14&lt;&gt;"",AVERAGE('Raw Data'!Q14,'Raw Data'!S14,'Raw Data'!U14,'Raw Data'!W14,'Raw Data'!Y14),"")</f>
        <v>6.6</v>
      </c>
      <c r="K27" s="11">
        <f t="shared" si="4"/>
        <v>2.2000000000000011</v>
      </c>
      <c r="L27" s="11">
        <f>IF('Raw Data'!A14&lt;&gt;"",AVERAGE('Raw Data'!Z14,'Raw Data'!AB14,'Raw Data'!AD14,'Raw Data'!AF14,'Raw Data'!AH14),"")</f>
        <v>7.6</v>
      </c>
      <c r="M27" s="11">
        <f>IF('Raw Data'!A14&lt;&gt;"",AVERAGE('Raw Data'!AA14,'Raw Data'!AC14,'Raw Data'!AE14,'Raw Data'!AG14,'Raw Data'!AI14),"")</f>
        <v>7</v>
      </c>
      <c r="N27" s="11">
        <f t="shared" si="5"/>
        <v>0.59999999999999964</v>
      </c>
      <c r="O27" s="11">
        <f>IF('Raw Data'!A14&lt;&gt;"",AVERAGE('Raw Data'!AJ14,'Raw Data'!AL14,'Raw Data'!AN14,'Raw Data'!AP14,'Raw Data'!AR14),"")</f>
        <v>8</v>
      </c>
      <c r="P27" s="11">
        <f>IF('Raw Data'!A14&lt;&gt;"",AVERAGE('Raw Data'!AK14,'Raw Data'!AM14,'Raw Data'!AO14,'Raw Data'!AQ14,'Raw Data'!AS14),"")</f>
        <v>5.6</v>
      </c>
      <c r="Q27" s="11">
        <f t="shared" si="6"/>
        <v>2.4000000000000004</v>
      </c>
      <c r="R27" s="11">
        <f>IF('Raw Data'!A14&lt;&gt;"",AVERAGE('Raw Data'!AT14,'Raw Data'!AV14,'Raw Data'!AX14,'Raw Data'!AZ14,'Raw Data'!BB14),"")</f>
        <v>8</v>
      </c>
      <c r="S27" s="11">
        <f>IF('Raw Data'!A14&lt;&gt;"",AVERAGE('Raw Data'!AU14,'Raw Data'!AW14,'Raw Data'!AY14,'Raw Data'!BA14,'Raw Data'!BC14),"")</f>
        <v>5.4</v>
      </c>
      <c r="T27" s="11">
        <f t="shared" si="7"/>
        <v>2.5999999999999996</v>
      </c>
      <c r="U27" s="11">
        <f>IF('Raw Data'!A14&lt;&gt;"",AVERAGE('Raw Data'!BD14,'Raw Data'!BF14,'Raw Data'!BH14,'Raw Data'!BJ14,'Raw Data'!BL14),"")</f>
        <v>8.4</v>
      </c>
      <c r="V27" s="11">
        <f>IF('Raw Data'!A14&lt;&gt;"",AVERAGE('Raw Data'!BE14,'Raw Data'!BG14,'Raw Data'!BI14,'Raw Data'!BK14,'Raw Data'!BM14),"")</f>
        <v>4</v>
      </c>
      <c r="W27" s="11">
        <f t="shared" si="8"/>
        <v>4.4000000000000004</v>
      </c>
      <c r="X27" s="11">
        <f t="shared" si="9"/>
        <v>8.0666666666666664</v>
      </c>
      <c r="Y27" s="11">
        <f t="shared" si="10"/>
        <v>5.6999999999999993</v>
      </c>
      <c r="Z27" s="11">
        <f t="shared" si="11"/>
        <v>2.3666666666666671</v>
      </c>
      <c r="AA27" s="11">
        <f t="shared" si="12"/>
        <v>2.5300000000000002</v>
      </c>
      <c r="AB27" s="24">
        <f t="shared" si="13"/>
        <v>2.4050000000000002</v>
      </c>
    </row>
    <row r="28" spans="1:28" x14ac:dyDescent="0.25">
      <c r="A28" s="10" t="str">
        <f>IF('Raw Data'!A15&lt;&gt;"",'Raw Data'!A15,"")</f>
        <v>R012</v>
      </c>
      <c r="B28" s="10" t="str">
        <f>IF('Raw Data'!B15&lt;&gt;"",'Raw Data'!B15,"")</f>
        <v>Operations</v>
      </c>
      <c r="C28" s="10" t="str">
        <f>IF('Raw Data'!C15&lt;&gt;"",'Raw Data'!C15,"")</f>
        <v>Berlin</v>
      </c>
      <c r="D28" s="10" t="str">
        <f>IF('Raw Data'!D15&lt;&gt;"",'Raw Data'!D15,"")</f>
        <v>Enterprise</v>
      </c>
      <c r="E28" s="10" t="str">
        <f>IF('Raw Data'!E15&lt;&gt;"",'Raw Data'!E15,"")</f>
        <v>K. Taylor</v>
      </c>
      <c r="F28" s="14">
        <f>IF('Raw Data'!A15&lt;&gt;"",AVERAGE('Raw Data'!F15,'Raw Data'!H15,'Raw Data'!J15,'Raw Data'!L15,'Raw Data'!N15),"")</f>
        <v>7.8</v>
      </c>
      <c r="G28" s="14">
        <f>IF('Raw Data'!A15&lt;&gt;"",AVERAGE('Raw Data'!G15,'Raw Data'!I15,'Raw Data'!K15,'Raw Data'!M15,'Raw Data'!O15),"")</f>
        <v>5.6</v>
      </c>
      <c r="H28" s="14">
        <f t="shared" si="3"/>
        <v>2.2000000000000002</v>
      </c>
      <c r="I28" s="14">
        <f>IF('Raw Data'!A15&lt;&gt;"",AVERAGE('Raw Data'!P15,'Raw Data'!R15,'Raw Data'!T15,'Raw Data'!V15,'Raw Data'!X15),"")</f>
        <v>7.6</v>
      </c>
      <c r="J28" s="14">
        <f>IF('Raw Data'!A15&lt;&gt;"",AVERAGE('Raw Data'!Q15,'Raw Data'!S15,'Raw Data'!U15,'Raw Data'!W15,'Raw Data'!Y15),"")</f>
        <v>6.4</v>
      </c>
      <c r="K28" s="14">
        <f t="shared" si="4"/>
        <v>1.1999999999999993</v>
      </c>
      <c r="L28" s="14">
        <f>IF('Raw Data'!A15&lt;&gt;"",AVERAGE('Raw Data'!Z15,'Raw Data'!AB15,'Raw Data'!AD15,'Raw Data'!AF15,'Raw Data'!AH15),"")</f>
        <v>7.2</v>
      </c>
      <c r="M28" s="14">
        <f>IF('Raw Data'!A15&lt;&gt;"",AVERAGE('Raw Data'!AA15,'Raw Data'!AC15,'Raw Data'!AE15,'Raw Data'!AG15,'Raw Data'!AI15),"")</f>
        <v>6.8</v>
      </c>
      <c r="N28" s="14">
        <f t="shared" si="5"/>
        <v>0.40000000000000036</v>
      </c>
      <c r="O28" s="14">
        <f>IF('Raw Data'!A15&lt;&gt;"",AVERAGE('Raw Data'!AJ15,'Raw Data'!AL15,'Raw Data'!AN15,'Raw Data'!AP15,'Raw Data'!AR15),"")</f>
        <v>7.2</v>
      </c>
      <c r="P28" s="14">
        <f>IF('Raw Data'!A15&lt;&gt;"",AVERAGE('Raw Data'!AK15,'Raw Data'!AM15,'Raw Data'!AO15,'Raw Data'!AQ15,'Raw Data'!AS15),"")</f>
        <v>6.2</v>
      </c>
      <c r="Q28" s="14">
        <f t="shared" si="6"/>
        <v>1</v>
      </c>
      <c r="R28" s="14">
        <f>IF('Raw Data'!A15&lt;&gt;"",AVERAGE('Raw Data'!AT15,'Raw Data'!AV15,'Raw Data'!AX15,'Raw Data'!AZ15,'Raw Data'!BB15),"")</f>
        <v>6.8</v>
      </c>
      <c r="S28" s="14">
        <f>IF('Raw Data'!A15&lt;&gt;"",AVERAGE('Raw Data'!AU15,'Raw Data'!AW15,'Raw Data'!AY15,'Raw Data'!BA15,'Raw Data'!BC15),"")</f>
        <v>4.8</v>
      </c>
      <c r="T28" s="14">
        <f t="shared" si="7"/>
        <v>2</v>
      </c>
      <c r="U28" s="14">
        <f>IF('Raw Data'!A15&lt;&gt;"",AVERAGE('Raw Data'!BD15,'Raw Data'!BF15,'Raw Data'!BH15,'Raw Data'!BJ15,'Raw Data'!BL15),"")</f>
        <v>8.4</v>
      </c>
      <c r="V28" s="14">
        <f>IF('Raw Data'!A15&lt;&gt;"",AVERAGE('Raw Data'!BE15,'Raw Data'!BG15,'Raw Data'!BI15,'Raw Data'!BK15,'Raw Data'!BM15),"")</f>
        <v>4.4000000000000004</v>
      </c>
      <c r="W28" s="14">
        <f t="shared" si="8"/>
        <v>4</v>
      </c>
      <c r="X28" s="14">
        <f t="shared" si="9"/>
        <v>7.4999999999999991</v>
      </c>
      <c r="Y28" s="14">
        <f t="shared" si="10"/>
        <v>5.7</v>
      </c>
      <c r="Z28" s="14">
        <f t="shared" si="11"/>
        <v>1.7999999999999989</v>
      </c>
      <c r="AA28" s="14">
        <f t="shared" si="12"/>
        <v>1.8699999999999999</v>
      </c>
      <c r="AB28" s="25">
        <f t="shared" si="13"/>
        <v>1.4949999999999997</v>
      </c>
    </row>
    <row r="29" spans="1:28" x14ac:dyDescent="0.25">
      <c r="A29" s="2" t="str">
        <f>IF('Raw Data'!A16&lt;&gt;"",'Raw Data'!A16,"")</f>
        <v>R013</v>
      </c>
      <c r="B29" s="2" t="str">
        <f>IF('Raw Data'!B16&lt;&gt;"",'Raw Data'!B16,"")</f>
        <v>Marketing</v>
      </c>
      <c r="C29" s="2" t="str">
        <f>IF('Raw Data'!C16&lt;&gt;"",'Raw Data'!C16,"")</f>
        <v>Tokyo</v>
      </c>
      <c r="D29" s="2" t="str">
        <f>IF('Raw Data'!D16&lt;&gt;"",'Raw Data'!D16,"")</f>
        <v>Enterprise</v>
      </c>
      <c r="E29" s="2" t="str">
        <f>IF('Raw Data'!E16&lt;&gt;"",'Raw Data'!E16,"")</f>
        <v>T. Garcia</v>
      </c>
      <c r="F29" s="11">
        <f>IF('Raw Data'!A16&lt;&gt;"",AVERAGE('Raw Data'!F16,'Raw Data'!H16,'Raw Data'!J16,'Raw Data'!L16,'Raw Data'!N16),"")</f>
        <v>7.6</v>
      </c>
      <c r="G29" s="11">
        <f>IF('Raw Data'!A16&lt;&gt;"",AVERAGE('Raw Data'!G16,'Raw Data'!I16,'Raw Data'!K16,'Raw Data'!M16,'Raw Data'!O16),"")</f>
        <v>5.2</v>
      </c>
      <c r="H29" s="11">
        <f t="shared" si="3"/>
        <v>2.3999999999999995</v>
      </c>
      <c r="I29" s="11">
        <f>IF('Raw Data'!A16&lt;&gt;"",AVERAGE('Raw Data'!P16,'Raw Data'!R16,'Raw Data'!T16,'Raw Data'!V16,'Raw Data'!X16),"")</f>
        <v>8</v>
      </c>
      <c r="J29" s="11">
        <f>IF('Raw Data'!A16&lt;&gt;"",AVERAGE('Raw Data'!Q16,'Raw Data'!S16,'Raw Data'!U16,'Raw Data'!W16,'Raw Data'!Y16),"")</f>
        <v>7</v>
      </c>
      <c r="K29" s="11">
        <f t="shared" si="4"/>
        <v>1</v>
      </c>
      <c r="L29" s="11">
        <f>IF('Raw Data'!A16&lt;&gt;"",AVERAGE('Raw Data'!Z16,'Raw Data'!AB16,'Raw Data'!AD16,'Raw Data'!AF16,'Raw Data'!AH16),"")</f>
        <v>7.6</v>
      </c>
      <c r="M29" s="11">
        <f>IF('Raw Data'!A16&lt;&gt;"",AVERAGE('Raw Data'!AA16,'Raw Data'!AC16,'Raw Data'!AE16,'Raw Data'!AG16,'Raw Data'!AI16),"")</f>
        <v>5.4</v>
      </c>
      <c r="N29" s="11">
        <f t="shared" si="5"/>
        <v>2.1999999999999993</v>
      </c>
      <c r="O29" s="11">
        <f>IF('Raw Data'!A16&lt;&gt;"",AVERAGE('Raw Data'!AJ16,'Raw Data'!AL16,'Raw Data'!AN16,'Raw Data'!AP16,'Raw Data'!AR16),"")</f>
        <v>7.8</v>
      </c>
      <c r="P29" s="11">
        <f>IF('Raw Data'!A16&lt;&gt;"",AVERAGE('Raw Data'!AK16,'Raw Data'!AM16,'Raw Data'!AO16,'Raw Data'!AQ16,'Raw Data'!AS16),"")</f>
        <v>5.6</v>
      </c>
      <c r="Q29" s="11">
        <f t="shared" si="6"/>
        <v>2.2000000000000002</v>
      </c>
      <c r="R29" s="11">
        <f>IF('Raw Data'!A16&lt;&gt;"",AVERAGE('Raw Data'!AT16,'Raw Data'!AV16,'Raw Data'!AX16,'Raw Data'!AZ16,'Raw Data'!BB16),"")</f>
        <v>7.6</v>
      </c>
      <c r="S29" s="11">
        <f>IF('Raw Data'!A16&lt;&gt;"",AVERAGE('Raw Data'!AU16,'Raw Data'!AW16,'Raw Data'!AY16,'Raw Data'!BA16,'Raw Data'!BC16),"")</f>
        <v>6.6</v>
      </c>
      <c r="T29" s="11">
        <f t="shared" si="7"/>
        <v>1</v>
      </c>
      <c r="U29" s="11">
        <f>IF('Raw Data'!A16&lt;&gt;"",AVERAGE('Raw Data'!BD16,'Raw Data'!BF16,'Raw Data'!BH16,'Raw Data'!BJ16,'Raw Data'!BL16),"")</f>
        <v>7</v>
      </c>
      <c r="V29" s="11">
        <f>IF('Raw Data'!A16&lt;&gt;"",AVERAGE('Raw Data'!BE16,'Raw Data'!BG16,'Raw Data'!BI16,'Raw Data'!BK16,'Raw Data'!BM16),"")</f>
        <v>4.4000000000000004</v>
      </c>
      <c r="W29" s="11">
        <f t="shared" si="8"/>
        <v>2.5999999999999996</v>
      </c>
      <c r="X29" s="11">
        <f t="shared" si="9"/>
        <v>7.6000000000000005</v>
      </c>
      <c r="Y29" s="11">
        <f t="shared" si="10"/>
        <v>5.7</v>
      </c>
      <c r="Z29" s="11">
        <f t="shared" si="11"/>
        <v>1.9000000000000004</v>
      </c>
      <c r="AA29" s="11">
        <f t="shared" si="12"/>
        <v>1.89</v>
      </c>
      <c r="AB29" s="24">
        <f t="shared" si="13"/>
        <v>1.6850000000000001</v>
      </c>
    </row>
    <row r="30" spans="1:28" x14ac:dyDescent="0.25">
      <c r="A30" s="10" t="str">
        <f>IF('Raw Data'!A17&lt;&gt;"",'Raw Data'!A17,"")</f>
        <v>R014</v>
      </c>
      <c r="B30" s="10" t="str">
        <f>IF('Raw Data'!B17&lt;&gt;"",'Raw Data'!B17,"")</f>
        <v>Human Resources</v>
      </c>
      <c r="C30" s="10" t="str">
        <f>IF('Raw Data'!C17&lt;&gt;"",'Raw Data'!C17,"")</f>
        <v>Tokyo</v>
      </c>
      <c r="D30" s="10" t="str">
        <f>IF('Raw Data'!D17&lt;&gt;"",'Raw Data'!D17,"")</f>
        <v>Enterprise</v>
      </c>
      <c r="E30" s="10" t="str">
        <f>IF('Raw Data'!E17&lt;&gt;"",'Raw Data'!E17,"")</f>
        <v>M. Chen</v>
      </c>
      <c r="F30" s="14">
        <f>IF('Raw Data'!A17&lt;&gt;"",AVERAGE('Raw Data'!F17,'Raw Data'!H17,'Raw Data'!J17,'Raw Data'!L17,'Raw Data'!N17),"")</f>
        <v>7.8</v>
      </c>
      <c r="G30" s="14">
        <f>IF('Raw Data'!A17&lt;&gt;"",AVERAGE('Raw Data'!G17,'Raw Data'!I17,'Raw Data'!K17,'Raw Data'!M17,'Raw Data'!O17),"")</f>
        <v>4.8</v>
      </c>
      <c r="H30" s="14">
        <f t="shared" si="3"/>
        <v>3</v>
      </c>
      <c r="I30" s="14">
        <f>IF('Raw Data'!A17&lt;&gt;"",AVERAGE('Raw Data'!P17,'Raw Data'!R17,'Raw Data'!T17,'Raw Data'!V17,'Raw Data'!X17),"")</f>
        <v>7.8</v>
      </c>
      <c r="J30" s="14">
        <f>IF('Raw Data'!A17&lt;&gt;"",AVERAGE('Raw Data'!Q17,'Raw Data'!S17,'Raw Data'!U17,'Raw Data'!W17,'Raw Data'!Y17),"")</f>
        <v>6.2</v>
      </c>
      <c r="K30" s="14">
        <f t="shared" si="4"/>
        <v>1.5999999999999996</v>
      </c>
      <c r="L30" s="14">
        <f>IF('Raw Data'!A17&lt;&gt;"",AVERAGE('Raw Data'!Z17,'Raw Data'!AB17,'Raw Data'!AD17,'Raw Data'!AF17,'Raw Data'!AH17),"")</f>
        <v>7.8</v>
      </c>
      <c r="M30" s="14">
        <f>IF('Raw Data'!A17&lt;&gt;"",AVERAGE('Raw Data'!AA17,'Raw Data'!AC17,'Raw Data'!AE17,'Raw Data'!AG17,'Raw Data'!AI17),"")</f>
        <v>6.6</v>
      </c>
      <c r="N30" s="14">
        <f t="shared" si="5"/>
        <v>1.2000000000000002</v>
      </c>
      <c r="O30" s="14">
        <f>IF('Raw Data'!A17&lt;&gt;"",AVERAGE('Raw Data'!AJ17,'Raw Data'!AL17,'Raw Data'!AN17,'Raw Data'!AP17,'Raw Data'!AR17),"")</f>
        <v>8.1999999999999993</v>
      </c>
      <c r="P30" s="14">
        <f>IF('Raw Data'!A17&lt;&gt;"",AVERAGE('Raw Data'!AK17,'Raw Data'!AM17,'Raw Data'!AO17,'Raw Data'!AQ17,'Raw Data'!AS17),"")</f>
        <v>6.8</v>
      </c>
      <c r="Q30" s="14">
        <f t="shared" si="6"/>
        <v>1.3999999999999995</v>
      </c>
      <c r="R30" s="14">
        <f>IF('Raw Data'!A17&lt;&gt;"",AVERAGE('Raw Data'!AT17,'Raw Data'!AV17,'Raw Data'!AX17,'Raw Data'!AZ17,'Raw Data'!BB17),"")</f>
        <v>9.1999999999999993</v>
      </c>
      <c r="S30" s="14">
        <f>IF('Raw Data'!A17&lt;&gt;"",AVERAGE('Raw Data'!AU17,'Raw Data'!AW17,'Raw Data'!AY17,'Raw Data'!BA17,'Raw Data'!BC17),"")</f>
        <v>5.8</v>
      </c>
      <c r="T30" s="14">
        <f t="shared" si="7"/>
        <v>3.3999999999999995</v>
      </c>
      <c r="U30" s="14">
        <f>IF('Raw Data'!A17&lt;&gt;"",AVERAGE('Raw Data'!BD17,'Raw Data'!BF17,'Raw Data'!BH17,'Raw Data'!BJ17,'Raw Data'!BL17),"")</f>
        <v>7</v>
      </c>
      <c r="V30" s="14">
        <f>IF('Raw Data'!A17&lt;&gt;"",AVERAGE('Raw Data'!BE17,'Raw Data'!BG17,'Raw Data'!BI17,'Raw Data'!BK17,'Raw Data'!BM17),"")</f>
        <v>3.4</v>
      </c>
      <c r="W30" s="14">
        <f t="shared" si="8"/>
        <v>3.6</v>
      </c>
      <c r="X30" s="14">
        <f t="shared" si="9"/>
        <v>7.9666666666666659</v>
      </c>
      <c r="Y30" s="14">
        <f t="shared" si="10"/>
        <v>5.6000000000000005</v>
      </c>
      <c r="Z30" s="14">
        <f t="shared" si="11"/>
        <v>2.3666666666666654</v>
      </c>
      <c r="AA30" s="14">
        <f t="shared" si="12"/>
        <v>2.31</v>
      </c>
      <c r="AB30" s="25">
        <f t="shared" si="13"/>
        <v>1.9149999999999996</v>
      </c>
    </row>
    <row r="31" spans="1:28" x14ac:dyDescent="0.25">
      <c r="A31" s="2" t="str">
        <f>IF('Raw Data'!A18&lt;&gt;"",'Raw Data'!A18,"")</f>
        <v>R015</v>
      </c>
      <c r="B31" s="2" t="str">
        <f>IF('Raw Data'!B18&lt;&gt;"",'Raw Data'!B18,"")</f>
        <v>Operations</v>
      </c>
      <c r="C31" s="2" t="str">
        <f>IF('Raw Data'!C18&lt;&gt;"",'Raw Data'!C18,"")</f>
        <v>London</v>
      </c>
      <c r="D31" s="2" t="str">
        <f>IF('Raw Data'!D18&lt;&gt;"",'Raw Data'!D18,"")</f>
        <v>Corporate</v>
      </c>
      <c r="E31" s="2" t="str">
        <f>IF('Raw Data'!E18&lt;&gt;"",'Raw Data'!E18,"")</f>
        <v>R. Kim</v>
      </c>
      <c r="F31" s="11">
        <f>IF('Raw Data'!A18&lt;&gt;"",AVERAGE('Raw Data'!F18,'Raw Data'!H18,'Raw Data'!J18,'Raw Data'!L18,'Raw Data'!N18),"")</f>
        <v>7.8</v>
      </c>
      <c r="G31" s="11">
        <f>IF('Raw Data'!A18&lt;&gt;"",AVERAGE('Raw Data'!G18,'Raw Data'!I18,'Raw Data'!K18,'Raw Data'!M18,'Raw Data'!O18),"")</f>
        <v>6</v>
      </c>
      <c r="H31" s="11">
        <f t="shared" si="3"/>
        <v>1.7999999999999998</v>
      </c>
      <c r="I31" s="11">
        <f>IF('Raw Data'!A18&lt;&gt;"",AVERAGE('Raw Data'!P18,'Raw Data'!R18,'Raw Data'!T18,'Raw Data'!V18,'Raw Data'!X18),"")</f>
        <v>8</v>
      </c>
      <c r="J31" s="11">
        <f>IF('Raw Data'!A18&lt;&gt;"",AVERAGE('Raw Data'!Q18,'Raw Data'!S18,'Raw Data'!U18,'Raw Data'!W18,'Raw Data'!Y18),"")</f>
        <v>7.2</v>
      </c>
      <c r="K31" s="11">
        <f t="shared" si="4"/>
        <v>0.79999999999999982</v>
      </c>
      <c r="L31" s="11">
        <f>IF('Raw Data'!A18&lt;&gt;"",AVERAGE('Raw Data'!Z18,'Raw Data'!AB18,'Raw Data'!AD18,'Raw Data'!AF18,'Raw Data'!AH18),"")</f>
        <v>7.4</v>
      </c>
      <c r="M31" s="11">
        <f>IF('Raw Data'!A18&lt;&gt;"",AVERAGE('Raw Data'!AA18,'Raw Data'!AC18,'Raw Data'!AE18,'Raw Data'!AG18,'Raw Data'!AI18),"")</f>
        <v>6.2</v>
      </c>
      <c r="N31" s="11">
        <f t="shared" si="5"/>
        <v>1.2000000000000002</v>
      </c>
      <c r="O31" s="11">
        <f>IF('Raw Data'!A18&lt;&gt;"",AVERAGE('Raw Data'!AJ18,'Raw Data'!AL18,'Raw Data'!AN18,'Raw Data'!AP18,'Raw Data'!AR18),"")</f>
        <v>8.6</v>
      </c>
      <c r="P31" s="11">
        <f>IF('Raw Data'!A18&lt;&gt;"",AVERAGE('Raw Data'!AK18,'Raw Data'!AM18,'Raw Data'!AO18,'Raw Data'!AQ18,'Raw Data'!AS18),"")</f>
        <v>3.6</v>
      </c>
      <c r="Q31" s="11">
        <f t="shared" si="6"/>
        <v>5</v>
      </c>
      <c r="R31" s="11">
        <f>IF('Raw Data'!A18&lt;&gt;"",AVERAGE('Raw Data'!AT18,'Raw Data'!AV18,'Raw Data'!AX18,'Raw Data'!AZ18,'Raw Data'!BB18),"")</f>
        <v>7.6</v>
      </c>
      <c r="S31" s="11">
        <f>IF('Raw Data'!A18&lt;&gt;"",AVERAGE('Raw Data'!AU18,'Raw Data'!AW18,'Raw Data'!AY18,'Raw Data'!BA18,'Raw Data'!BC18),"")</f>
        <v>5.6</v>
      </c>
      <c r="T31" s="11">
        <f t="shared" si="7"/>
        <v>2</v>
      </c>
      <c r="U31" s="11">
        <f>IF('Raw Data'!A18&lt;&gt;"",AVERAGE('Raw Data'!BD18,'Raw Data'!BF18,'Raw Data'!BH18,'Raw Data'!BJ18,'Raw Data'!BL18),"")</f>
        <v>8</v>
      </c>
      <c r="V31" s="11">
        <f>IF('Raw Data'!A18&lt;&gt;"",AVERAGE('Raw Data'!BE18,'Raw Data'!BG18,'Raw Data'!BI18,'Raw Data'!BK18,'Raw Data'!BM18),"")</f>
        <v>5</v>
      </c>
      <c r="W31" s="11">
        <f t="shared" si="8"/>
        <v>3</v>
      </c>
      <c r="X31" s="11">
        <f t="shared" si="9"/>
        <v>7.9000000000000012</v>
      </c>
      <c r="Y31" s="11">
        <f t="shared" si="10"/>
        <v>5.6000000000000005</v>
      </c>
      <c r="Z31" s="11">
        <f t="shared" si="11"/>
        <v>2.3000000000000007</v>
      </c>
      <c r="AA31" s="11">
        <f t="shared" si="12"/>
        <v>2.39</v>
      </c>
      <c r="AB31" s="24">
        <f t="shared" si="13"/>
        <v>2.4350000000000001</v>
      </c>
    </row>
    <row r="32" spans="1:28" x14ac:dyDescent="0.25">
      <c r="A32" s="10" t="str">
        <f>IF('Raw Data'!A19&lt;&gt;"",'Raw Data'!A19,"")</f>
        <v>R016</v>
      </c>
      <c r="B32" s="10" t="str">
        <f>IF('Raw Data'!B19&lt;&gt;"",'Raw Data'!B19,"")</f>
        <v>Sales</v>
      </c>
      <c r="C32" s="10" t="str">
        <f>IF('Raw Data'!C19&lt;&gt;"",'Raw Data'!C19,"")</f>
        <v>London</v>
      </c>
      <c r="D32" s="10" t="str">
        <f>IF('Raw Data'!D19&lt;&gt;"",'Raw Data'!D19,"")</f>
        <v>Core Product</v>
      </c>
      <c r="E32" s="10" t="str">
        <f>IF('Raw Data'!E19&lt;&gt;"",'Raw Data'!E19,"")</f>
        <v>T. Garcia</v>
      </c>
      <c r="F32" s="14">
        <f>IF('Raw Data'!A19&lt;&gt;"",AVERAGE('Raw Data'!F19,'Raw Data'!H19,'Raw Data'!J19,'Raw Data'!L19,'Raw Data'!N19),"")</f>
        <v>8.4</v>
      </c>
      <c r="G32" s="14">
        <f>IF('Raw Data'!A19&lt;&gt;"",AVERAGE('Raw Data'!G19,'Raw Data'!I19,'Raw Data'!K19,'Raw Data'!M19,'Raw Data'!O19),"")</f>
        <v>6.2</v>
      </c>
      <c r="H32" s="14">
        <f t="shared" si="3"/>
        <v>2.2000000000000002</v>
      </c>
      <c r="I32" s="14">
        <f>IF('Raw Data'!A19&lt;&gt;"",AVERAGE('Raw Data'!P19,'Raw Data'!R19,'Raw Data'!T19,'Raw Data'!V19,'Raw Data'!X19),"")</f>
        <v>8.4</v>
      </c>
      <c r="J32" s="14">
        <f>IF('Raw Data'!A19&lt;&gt;"",AVERAGE('Raw Data'!Q19,'Raw Data'!S19,'Raw Data'!U19,'Raw Data'!W19,'Raw Data'!Y19),"")</f>
        <v>7.2</v>
      </c>
      <c r="K32" s="14">
        <f t="shared" si="4"/>
        <v>1.2000000000000002</v>
      </c>
      <c r="L32" s="14">
        <f>IF('Raw Data'!A19&lt;&gt;"",AVERAGE('Raw Data'!Z19,'Raw Data'!AB19,'Raw Data'!AD19,'Raw Data'!AF19,'Raw Data'!AH19),"")</f>
        <v>7.2</v>
      </c>
      <c r="M32" s="14">
        <f>IF('Raw Data'!A19&lt;&gt;"",AVERAGE('Raw Data'!AA19,'Raw Data'!AC19,'Raw Data'!AE19,'Raw Data'!AG19,'Raw Data'!AI19),"")</f>
        <v>7</v>
      </c>
      <c r="N32" s="14">
        <f t="shared" si="5"/>
        <v>0.20000000000000018</v>
      </c>
      <c r="O32" s="14">
        <f>IF('Raw Data'!A19&lt;&gt;"",AVERAGE('Raw Data'!AJ19,'Raw Data'!AL19,'Raw Data'!AN19,'Raw Data'!AP19,'Raw Data'!AR19),"")</f>
        <v>7.8</v>
      </c>
      <c r="P32" s="14">
        <f>IF('Raw Data'!A19&lt;&gt;"",AVERAGE('Raw Data'!AK19,'Raw Data'!AM19,'Raw Data'!AO19,'Raw Data'!AQ19,'Raw Data'!AS19),"")</f>
        <v>5</v>
      </c>
      <c r="Q32" s="14">
        <f t="shared" si="6"/>
        <v>2.8</v>
      </c>
      <c r="R32" s="14">
        <f>IF('Raw Data'!A19&lt;&gt;"",AVERAGE('Raw Data'!AT19,'Raw Data'!AV19,'Raw Data'!AX19,'Raw Data'!AZ19,'Raw Data'!BB19),"")</f>
        <v>8</v>
      </c>
      <c r="S32" s="14">
        <f>IF('Raw Data'!A19&lt;&gt;"",AVERAGE('Raw Data'!AU19,'Raw Data'!AW19,'Raw Data'!AY19,'Raw Data'!BA19,'Raw Data'!BC19),"")</f>
        <v>4</v>
      </c>
      <c r="T32" s="14">
        <f t="shared" si="7"/>
        <v>4</v>
      </c>
      <c r="U32" s="14">
        <f>IF('Raw Data'!A19&lt;&gt;"",AVERAGE('Raw Data'!BD19,'Raw Data'!BF19,'Raw Data'!BH19,'Raw Data'!BJ19,'Raw Data'!BL19),"")</f>
        <v>8.4</v>
      </c>
      <c r="V32" s="14">
        <f>IF('Raw Data'!A19&lt;&gt;"",AVERAGE('Raw Data'!BE19,'Raw Data'!BG19,'Raw Data'!BI19,'Raw Data'!BK19,'Raw Data'!BM19),"")</f>
        <v>5</v>
      </c>
      <c r="W32" s="14">
        <f t="shared" si="8"/>
        <v>3.4000000000000004</v>
      </c>
      <c r="X32" s="14">
        <f t="shared" si="9"/>
        <v>8.0333333333333332</v>
      </c>
      <c r="Y32" s="14">
        <f t="shared" si="10"/>
        <v>5.7333333333333334</v>
      </c>
      <c r="Z32" s="14">
        <f t="shared" si="11"/>
        <v>2.2999999999999998</v>
      </c>
      <c r="AA32" s="14">
        <f t="shared" si="12"/>
        <v>2.29</v>
      </c>
      <c r="AB32" s="25">
        <f t="shared" si="13"/>
        <v>2.0649999999999999</v>
      </c>
    </row>
    <row r="33" spans="1:28" x14ac:dyDescent="0.25">
      <c r="A33" s="2" t="str">
        <f>IF('Raw Data'!A20&lt;&gt;"",'Raw Data'!A20,"")</f>
        <v>R017</v>
      </c>
      <c r="B33" s="2" t="str">
        <f>IF('Raw Data'!B20&lt;&gt;"",'Raw Data'!B20,"")</f>
        <v>Operations</v>
      </c>
      <c r="C33" s="2" t="str">
        <f>IF('Raw Data'!C20&lt;&gt;"",'Raw Data'!C20,"")</f>
        <v>Sydney</v>
      </c>
      <c r="D33" s="2" t="str">
        <f>IF('Raw Data'!D20&lt;&gt;"",'Raw Data'!D20,"")</f>
        <v>Growth</v>
      </c>
      <c r="E33" s="2" t="str">
        <f>IF('Raw Data'!E20&lt;&gt;"",'Raw Data'!E20,"")</f>
        <v>A. Patel</v>
      </c>
      <c r="F33" s="11">
        <f>IF('Raw Data'!A20&lt;&gt;"",AVERAGE('Raw Data'!F20,'Raw Data'!H20,'Raw Data'!J20,'Raw Data'!L20,'Raw Data'!N20),"")</f>
        <v>8</v>
      </c>
      <c r="G33" s="11">
        <f>IF('Raw Data'!A20&lt;&gt;"",AVERAGE('Raw Data'!G20,'Raw Data'!I20,'Raw Data'!K20,'Raw Data'!M20,'Raw Data'!O20),"")</f>
        <v>4.8</v>
      </c>
      <c r="H33" s="11">
        <f t="shared" si="3"/>
        <v>3.2</v>
      </c>
      <c r="I33" s="11">
        <f>IF('Raw Data'!A20&lt;&gt;"",AVERAGE('Raw Data'!P20,'Raw Data'!R20,'Raw Data'!T20,'Raw Data'!V20,'Raw Data'!X20),"")</f>
        <v>8.4</v>
      </c>
      <c r="J33" s="11">
        <f>IF('Raw Data'!A20&lt;&gt;"",AVERAGE('Raw Data'!Q20,'Raw Data'!S20,'Raw Data'!U20,'Raw Data'!W20,'Raw Data'!Y20),"")</f>
        <v>7.8</v>
      </c>
      <c r="K33" s="11">
        <f t="shared" si="4"/>
        <v>0.60000000000000053</v>
      </c>
      <c r="L33" s="11">
        <f>IF('Raw Data'!A20&lt;&gt;"",AVERAGE('Raw Data'!Z20,'Raw Data'!AB20,'Raw Data'!AD20,'Raw Data'!AF20,'Raw Data'!AH20),"")</f>
        <v>6.8</v>
      </c>
      <c r="M33" s="11">
        <f>IF('Raw Data'!A20&lt;&gt;"",AVERAGE('Raw Data'!AA20,'Raw Data'!AC20,'Raw Data'!AE20,'Raw Data'!AG20,'Raw Data'!AI20),"")</f>
        <v>6.8</v>
      </c>
      <c r="N33" s="11">
        <f t="shared" si="5"/>
        <v>0</v>
      </c>
      <c r="O33" s="11">
        <f>IF('Raw Data'!A20&lt;&gt;"",AVERAGE('Raw Data'!AJ20,'Raw Data'!AL20,'Raw Data'!AN20,'Raw Data'!AP20,'Raw Data'!AR20),"")</f>
        <v>8.1999999999999993</v>
      </c>
      <c r="P33" s="11">
        <f>IF('Raw Data'!A20&lt;&gt;"",AVERAGE('Raw Data'!AK20,'Raw Data'!AM20,'Raw Data'!AO20,'Raw Data'!AQ20,'Raw Data'!AS20),"")</f>
        <v>6</v>
      </c>
      <c r="Q33" s="11">
        <f t="shared" si="6"/>
        <v>2.1999999999999993</v>
      </c>
      <c r="R33" s="11">
        <f>IF('Raw Data'!A20&lt;&gt;"",AVERAGE('Raw Data'!AT20,'Raw Data'!AV20,'Raw Data'!AX20,'Raw Data'!AZ20,'Raw Data'!BB20),"")</f>
        <v>7.2</v>
      </c>
      <c r="S33" s="11">
        <f>IF('Raw Data'!A20&lt;&gt;"",AVERAGE('Raw Data'!AU20,'Raw Data'!AW20,'Raw Data'!AY20,'Raw Data'!BA20,'Raw Data'!BC20),"")</f>
        <v>4.4000000000000004</v>
      </c>
      <c r="T33" s="11">
        <f t="shared" si="7"/>
        <v>2.8</v>
      </c>
      <c r="U33" s="11">
        <f>IF('Raw Data'!A20&lt;&gt;"",AVERAGE('Raw Data'!BD20,'Raw Data'!BF20,'Raw Data'!BH20,'Raw Data'!BJ20,'Raw Data'!BL20),"")</f>
        <v>8</v>
      </c>
      <c r="V33" s="11">
        <f>IF('Raw Data'!A20&lt;&gt;"",AVERAGE('Raw Data'!BE20,'Raw Data'!BG20,'Raw Data'!BI20,'Raw Data'!BK20,'Raw Data'!BM20),"")</f>
        <v>6</v>
      </c>
      <c r="W33" s="11">
        <f t="shared" si="8"/>
        <v>2</v>
      </c>
      <c r="X33" s="11">
        <f t="shared" si="9"/>
        <v>7.7666666666666666</v>
      </c>
      <c r="Y33" s="11">
        <f t="shared" si="10"/>
        <v>5.9666666666666659</v>
      </c>
      <c r="Z33" s="11">
        <f t="shared" si="11"/>
        <v>1.8000000000000007</v>
      </c>
      <c r="AA33" s="11">
        <f t="shared" si="12"/>
        <v>1.7500000000000002</v>
      </c>
      <c r="AB33" s="24">
        <f t="shared" si="13"/>
        <v>1.4950000000000001</v>
      </c>
    </row>
    <row r="34" spans="1:28" x14ac:dyDescent="0.25">
      <c r="A34" s="10" t="str">
        <f>IF('Raw Data'!A21&lt;&gt;"",'Raw Data'!A21,"")</f>
        <v>R018</v>
      </c>
      <c r="B34" s="10" t="str">
        <f>IF('Raw Data'!B21&lt;&gt;"",'Raw Data'!B21,"")</f>
        <v>Human Resources</v>
      </c>
      <c r="C34" s="10" t="str">
        <f>IF('Raw Data'!C21&lt;&gt;"",'Raw Data'!C21,"")</f>
        <v>New York</v>
      </c>
      <c r="D34" s="10" t="str">
        <f>IF('Raw Data'!D21&lt;&gt;"",'Raw Data'!D21,"")</f>
        <v>Core Product</v>
      </c>
      <c r="E34" s="10" t="str">
        <f>IF('Raw Data'!E21&lt;&gt;"",'Raw Data'!E21,"")</f>
        <v>S. Johnson</v>
      </c>
      <c r="F34" s="14">
        <f>IF('Raw Data'!A21&lt;&gt;"",AVERAGE('Raw Data'!F21,'Raw Data'!H21,'Raw Data'!J21,'Raw Data'!L21,'Raw Data'!N21),"")</f>
        <v>7.6</v>
      </c>
      <c r="G34" s="14">
        <f>IF('Raw Data'!A21&lt;&gt;"",AVERAGE('Raw Data'!G21,'Raw Data'!I21,'Raw Data'!K21,'Raw Data'!M21,'Raw Data'!O21),"")</f>
        <v>6</v>
      </c>
      <c r="H34" s="14">
        <f t="shared" si="3"/>
        <v>1.5999999999999996</v>
      </c>
      <c r="I34" s="14">
        <f>IF('Raw Data'!A21&lt;&gt;"",AVERAGE('Raw Data'!P21,'Raw Data'!R21,'Raw Data'!T21,'Raw Data'!V21,'Raw Data'!X21),"")</f>
        <v>7.6</v>
      </c>
      <c r="J34" s="14">
        <f>IF('Raw Data'!A21&lt;&gt;"",AVERAGE('Raw Data'!Q21,'Raw Data'!S21,'Raw Data'!U21,'Raw Data'!W21,'Raw Data'!Y21),"")</f>
        <v>6.8</v>
      </c>
      <c r="K34" s="14">
        <f t="shared" si="4"/>
        <v>0.79999999999999982</v>
      </c>
      <c r="L34" s="14">
        <f>IF('Raw Data'!A21&lt;&gt;"",AVERAGE('Raw Data'!Z21,'Raw Data'!AB21,'Raw Data'!AD21,'Raw Data'!AF21,'Raw Data'!AH21),"")</f>
        <v>6.4</v>
      </c>
      <c r="M34" s="14">
        <f>IF('Raw Data'!A21&lt;&gt;"",AVERAGE('Raw Data'!AA21,'Raw Data'!AC21,'Raw Data'!AE21,'Raw Data'!AG21,'Raw Data'!AI21),"")</f>
        <v>6.2</v>
      </c>
      <c r="N34" s="14">
        <f t="shared" si="5"/>
        <v>0.20000000000000018</v>
      </c>
      <c r="O34" s="14">
        <f>IF('Raw Data'!A21&lt;&gt;"",AVERAGE('Raw Data'!AJ21,'Raw Data'!AL21,'Raw Data'!AN21,'Raw Data'!AP21,'Raw Data'!AR21),"")</f>
        <v>8</v>
      </c>
      <c r="P34" s="14">
        <f>IF('Raw Data'!A21&lt;&gt;"",AVERAGE('Raw Data'!AK21,'Raw Data'!AM21,'Raw Data'!AO21,'Raw Data'!AQ21,'Raw Data'!AS21),"")</f>
        <v>5.8</v>
      </c>
      <c r="Q34" s="14">
        <f t="shared" si="6"/>
        <v>2.2000000000000002</v>
      </c>
      <c r="R34" s="14">
        <f>IF('Raw Data'!A21&lt;&gt;"",AVERAGE('Raw Data'!AT21,'Raw Data'!AV21,'Raw Data'!AX21,'Raw Data'!AZ21,'Raw Data'!BB21),"")</f>
        <v>7.4</v>
      </c>
      <c r="S34" s="14">
        <f>IF('Raw Data'!A21&lt;&gt;"",AVERAGE('Raw Data'!AU21,'Raw Data'!AW21,'Raw Data'!AY21,'Raw Data'!BA21,'Raw Data'!BC21),"")</f>
        <v>6.6</v>
      </c>
      <c r="T34" s="14">
        <f t="shared" si="7"/>
        <v>0.80000000000000071</v>
      </c>
      <c r="U34" s="14">
        <f>IF('Raw Data'!A21&lt;&gt;"",AVERAGE('Raw Data'!BD21,'Raw Data'!BF21,'Raw Data'!BH21,'Raw Data'!BJ21,'Raw Data'!BL21),"")</f>
        <v>7.8</v>
      </c>
      <c r="V34" s="14">
        <f>IF('Raw Data'!A21&lt;&gt;"",AVERAGE('Raw Data'!BE21,'Raw Data'!BG21,'Raw Data'!BI21,'Raw Data'!BK21,'Raw Data'!BM21),"")</f>
        <v>5.8</v>
      </c>
      <c r="W34" s="14">
        <f t="shared" si="8"/>
        <v>2</v>
      </c>
      <c r="X34" s="14">
        <f t="shared" si="9"/>
        <v>7.4666666666666659</v>
      </c>
      <c r="Y34" s="14">
        <f t="shared" si="10"/>
        <v>6.1999999999999993</v>
      </c>
      <c r="Z34" s="14">
        <f t="shared" si="11"/>
        <v>1.2666666666666666</v>
      </c>
      <c r="AA34" s="14">
        <f t="shared" si="12"/>
        <v>1.3800000000000001</v>
      </c>
      <c r="AB34" s="25">
        <f t="shared" si="13"/>
        <v>1.37</v>
      </c>
    </row>
    <row r="35" spans="1:28" x14ac:dyDescent="0.25">
      <c r="A35" s="2" t="str">
        <f>IF('Raw Data'!A22&lt;&gt;"",'Raw Data'!A22,"")</f>
        <v>R019</v>
      </c>
      <c r="B35" s="2" t="str">
        <f>IF('Raw Data'!B22&lt;&gt;"",'Raw Data'!B22,"")</f>
        <v>Human Resources</v>
      </c>
      <c r="C35" s="2" t="str">
        <f>IF('Raw Data'!C22&lt;&gt;"",'Raw Data'!C22,"")</f>
        <v>Berlin</v>
      </c>
      <c r="D35" s="2" t="str">
        <f>IF('Raw Data'!D22&lt;&gt;"",'Raw Data'!D22,"")</f>
        <v>Enterprise</v>
      </c>
      <c r="E35" s="2" t="str">
        <f>IF('Raw Data'!E22&lt;&gt;"",'Raw Data'!E22,"")</f>
        <v>M. Chen</v>
      </c>
      <c r="F35" s="11">
        <f>IF('Raw Data'!A22&lt;&gt;"",AVERAGE('Raw Data'!F22,'Raw Data'!H22,'Raw Data'!J22,'Raw Data'!L22,'Raw Data'!N22),"")</f>
        <v>8</v>
      </c>
      <c r="G35" s="11">
        <f>IF('Raw Data'!A22&lt;&gt;"",AVERAGE('Raw Data'!G22,'Raw Data'!I22,'Raw Data'!K22,'Raw Data'!M22,'Raw Data'!O22),"")</f>
        <v>5.6</v>
      </c>
      <c r="H35" s="11">
        <f t="shared" si="3"/>
        <v>2.4000000000000004</v>
      </c>
      <c r="I35" s="11">
        <f>IF('Raw Data'!A22&lt;&gt;"",AVERAGE('Raw Data'!P22,'Raw Data'!R22,'Raw Data'!T22,'Raw Data'!V22,'Raw Data'!X22),"")</f>
        <v>7.6</v>
      </c>
      <c r="J35" s="11">
        <f>IF('Raw Data'!A22&lt;&gt;"",AVERAGE('Raw Data'!Q22,'Raw Data'!S22,'Raw Data'!U22,'Raw Data'!W22,'Raw Data'!Y22),"")</f>
        <v>5.8</v>
      </c>
      <c r="K35" s="11">
        <f t="shared" si="4"/>
        <v>1.7999999999999998</v>
      </c>
      <c r="L35" s="11">
        <f>IF('Raw Data'!A22&lt;&gt;"",AVERAGE('Raw Data'!Z22,'Raw Data'!AB22,'Raw Data'!AD22,'Raw Data'!AF22,'Raw Data'!AH22),"")</f>
        <v>6.8</v>
      </c>
      <c r="M35" s="11">
        <f>IF('Raw Data'!A22&lt;&gt;"",AVERAGE('Raw Data'!AA22,'Raw Data'!AC22,'Raw Data'!AE22,'Raw Data'!AG22,'Raw Data'!AI22),"")</f>
        <v>5.8</v>
      </c>
      <c r="N35" s="11">
        <f t="shared" si="5"/>
        <v>1</v>
      </c>
      <c r="O35" s="11">
        <f>IF('Raw Data'!A22&lt;&gt;"",AVERAGE('Raw Data'!AJ22,'Raw Data'!AL22,'Raw Data'!AN22,'Raw Data'!AP22,'Raw Data'!AR22),"")</f>
        <v>7.8</v>
      </c>
      <c r="P35" s="11">
        <f>IF('Raw Data'!A22&lt;&gt;"",AVERAGE('Raw Data'!AK22,'Raw Data'!AM22,'Raw Data'!AO22,'Raw Data'!AQ22,'Raw Data'!AS22),"")</f>
        <v>4.4000000000000004</v>
      </c>
      <c r="Q35" s="11">
        <f t="shared" si="6"/>
        <v>3.3999999999999995</v>
      </c>
      <c r="R35" s="11">
        <f>IF('Raw Data'!A22&lt;&gt;"",AVERAGE('Raw Data'!AT22,'Raw Data'!AV22,'Raw Data'!AX22,'Raw Data'!AZ22,'Raw Data'!BB22),"")</f>
        <v>8</v>
      </c>
      <c r="S35" s="11">
        <f>IF('Raw Data'!A22&lt;&gt;"",AVERAGE('Raw Data'!AU22,'Raw Data'!AW22,'Raw Data'!AY22,'Raw Data'!BA22,'Raw Data'!BC22),"")</f>
        <v>6.4</v>
      </c>
      <c r="T35" s="11">
        <f t="shared" si="7"/>
        <v>1.5999999999999996</v>
      </c>
      <c r="U35" s="11">
        <f>IF('Raw Data'!A22&lt;&gt;"",AVERAGE('Raw Data'!BD22,'Raw Data'!BF22,'Raw Data'!BH22,'Raw Data'!BJ22,'Raw Data'!BL22),"")</f>
        <v>8.6</v>
      </c>
      <c r="V35" s="11">
        <f>IF('Raw Data'!A22&lt;&gt;"",AVERAGE('Raw Data'!BE22,'Raw Data'!BG22,'Raw Data'!BI22,'Raw Data'!BK22,'Raw Data'!BM22),"")</f>
        <v>4.5999999999999996</v>
      </c>
      <c r="W35" s="11">
        <f t="shared" si="8"/>
        <v>4</v>
      </c>
      <c r="X35" s="11">
        <f t="shared" si="9"/>
        <v>7.8000000000000007</v>
      </c>
      <c r="Y35" s="11">
        <f t="shared" si="10"/>
        <v>5.4333333333333336</v>
      </c>
      <c r="Z35" s="11">
        <f t="shared" si="11"/>
        <v>2.3666666666666671</v>
      </c>
      <c r="AA35" s="11">
        <f t="shared" si="12"/>
        <v>2.5500000000000003</v>
      </c>
      <c r="AB35" s="24">
        <f t="shared" si="13"/>
        <v>2.4950000000000001</v>
      </c>
    </row>
    <row r="36" spans="1:28" x14ac:dyDescent="0.25">
      <c r="A36" s="10" t="str">
        <f>IF('Raw Data'!A23&lt;&gt;"",'Raw Data'!A23,"")</f>
        <v>R020</v>
      </c>
      <c r="B36" s="10" t="str">
        <f>IF('Raw Data'!B23&lt;&gt;"",'Raw Data'!B23,"")</f>
        <v>Human Resources</v>
      </c>
      <c r="C36" s="10" t="str">
        <f>IF('Raw Data'!C23&lt;&gt;"",'Raw Data'!C23,"")</f>
        <v>Sydney</v>
      </c>
      <c r="D36" s="10" t="str">
        <f>IF('Raw Data'!D23&lt;&gt;"",'Raw Data'!D23,"")</f>
        <v>Growth</v>
      </c>
      <c r="E36" s="10" t="str">
        <f>IF('Raw Data'!E23&lt;&gt;"",'Raw Data'!E23,"")</f>
        <v>R. Kim</v>
      </c>
      <c r="F36" s="14">
        <f>IF('Raw Data'!A23&lt;&gt;"",AVERAGE('Raw Data'!F23,'Raw Data'!H23,'Raw Data'!J23,'Raw Data'!L23,'Raw Data'!N23),"")</f>
        <v>8.4</v>
      </c>
      <c r="G36" s="14">
        <f>IF('Raw Data'!A23&lt;&gt;"",AVERAGE('Raw Data'!G23,'Raw Data'!I23,'Raw Data'!K23,'Raw Data'!M23,'Raw Data'!O23),"")</f>
        <v>6.2</v>
      </c>
      <c r="H36" s="14">
        <f t="shared" si="3"/>
        <v>2.2000000000000002</v>
      </c>
      <c r="I36" s="14">
        <f>IF('Raw Data'!A23&lt;&gt;"",AVERAGE('Raw Data'!P23,'Raw Data'!R23,'Raw Data'!T23,'Raw Data'!V23,'Raw Data'!X23),"")</f>
        <v>7</v>
      </c>
      <c r="J36" s="14">
        <f>IF('Raw Data'!A23&lt;&gt;"",AVERAGE('Raw Data'!Q23,'Raw Data'!S23,'Raw Data'!U23,'Raw Data'!W23,'Raw Data'!Y23),"")</f>
        <v>6.6</v>
      </c>
      <c r="K36" s="14">
        <f t="shared" si="4"/>
        <v>0.40000000000000036</v>
      </c>
      <c r="L36" s="14">
        <f>IF('Raw Data'!A23&lt;&gt;"",AVERAGE('Raw Data'!Z23,'Raw Data'!AB23,'Raw Data'!AD23,'Raw Data'!AF23,'Raw Data'!AH23),"")</f>
        <v>7.6</v>
      </c>
      <c r="M36" s="14">
        <f>IF('Raw Data'!A23&lt;&gt;"",AVERAGE('Raw Data'!AA23,'Raw Data'!AC23,'Raw Data'!AE23,'Raw Data'!AG23,'Raw Data'!AI23),"")</f>
        <v>6.6</v>
      </c>
      <c r="N36" s="14">
        <f t="shared" si="5"/>
        <v>1</v>
      </c>
      <c r="O36" s="14">
        <f>IF('Raw Data'!A23&lt;&gt;"",AVERAGE('Raw Data'!AJ23,'Raw Data'!AL23,'Raw Data'!AN23,'Raw Data'!AP23,'Raw Data'!AR23),"")</f>
        <v>8</v>
      </c>
      <c r="P36" s="14">
        <f>IF('Raw Data'!A23&lt;&gt;"",AVERAGE('Raw Data'!AK23,'Raw Data'!AM23,'Raw Data'!AO23,'Raw Data'!AQ23,'Raw Data'!AS23),"")</f>
        <v>4.8</v>
      </c>
      <c r="Q36" s="14">
        <f t="shared" si="6"/>
        <v>3.2</v>
      </c>
      <c r="R36" s="14">
        <f>IF('Raw Data'!A23&lt;&gt;"",AVERAGE('Raw Data'!AT23,'Raw Data'!AV23,'Raw Data'!AX23,'Raw Data'!AZ23,'Raw Data'!BB23),"")</f>
        <v>8.4</v>
      </c>
      <c r="S36" s="14">
        <f>IF('Raw Data'!A23&lt;&gt;"",AVERAGE('Raw Data'!AU23,'Raw Data'!AW23,'Raw Data'!AY23,'Raw Data'!BA23,'Raw Data'!BC23),"")</f>
        <v>6.4</v>
      </c>
      <c r="T36" s="14">
        <f t="shared" si="7"/>
        <v>2</v>
      </c>
      <c r="U36" s="14">
        <f>IF('Raw Data'!A23&lt;&gt;"",AVERAGE('Raw Data'!BD23,'Raw Data'!BF23,'Raw Data'!BH23,'Raw Data'!BJ23,'Raw Data'!BL23),"")</f>
        <v>7.8</v>
      </c>
      <c r="V36" s="14">
        <f>IF('Raw Data'!A23&lt;&gt;"",AVERAGE('Raw Data'!BE23,'Raw Data'!BG23,'Raw Data'!BI23,'Raw Data'!BK23,'Raw Data'!BM23),"")</f>
        <v>6</v>
      </c>
      <c r="W36" s="14">
        <f t="shared" si="8"/>
        <v>1.7999999999999998</v>
      </c>
      <c r="X36" s="14">
        <f t="shared" si="9"/>
        <v>7.8666666666666663</v>
      </c>
      <c r="Y36" s="14">
        <f t="shared" si="10"/>
        <v>6.1000000000000005</v>
      </c>
      <c r="Z36" s="14">
        <f t="shared" si="11"/>
        <v>1.7666666666666657</v>
      </c>
      <c r="AA36" s="14">
        <f t="shared" si="12"/>
        <v>1.7300000000000002</v>
      </c>
      <c r="AB36" s="25">
        <f t="shared" si="13"/>
        <v>1.6250000000000004</v>
      </c>
    </row>
    <row r="37" spans="1:28" x14ac:dyDescent="0.25">
      <c r="A37" s="2" t="str">
        <f>IF('Raw Data'!A24&lt;&gt;"",'Raw Data'!A24,"")</f>
        <v>R021</v>
      </c>
      <c r="B37" s="2" t="str">
        <f>IF('Raw Data'!B24&lt;&gt;"",'Raw Data'!B24,"")</f>
        <v>Finance</v>
      </c>
      <c r="C37" s="2" t="str">
        <f>IF('Raw Data'!C24&lt;&gt;"",'Raw Data'!C24,"")</f>
        <v>Berlin</v>
      </c>
      <c r="D37" s="2" t="str">
        <f>IF('Raw Data'!D24&lt;&gt;"",'Raw Data'!D24,"")</f>
        <v>Growth</v>
      </c>
      <c r="E37" s="2" t="str">
        <f>IF('Raw Data'!E24&lt;&gt;"",'Raw Data'!E24,"")</f>
        <v>S. Johnson</v>
      </c>
      <c r="F37" s="11">
        <f>IF('Raw Data'!A24&lt;&gt;"",AVERAGE('Raw Data'!F24,'Raw Data'!H24,'Raw Data'!J24,'Raw Data'!L24,'Raw Data'!N24),"")</f>
        <v>8</v>
      </c>
      <c r="G37" s="11">
        <f>IF('Raw Data'!A24&lt;&gt;"",AVERAGE('Raw Data'!G24,'Raw Data'!I24,'Raw Data'!K24,'Raw Data'!M24,'Raw Data'!O24),"")</f>
        <v>6</v>
      </c>
      <c r="H37" s="11">
        <f t="shared" si="3"/>
        <v>2</v>
      </c>
      <c r="I37" s="11">
        <f>IF('Raw Data'!A24&lt;&gt;"",AVERAGE('Raw Data'!P24,'Raw Data'!R24,'Raw Data'!T24,'Raw Data'!V24,'Raw Data'!X24),"")</f>
        <v>8.6</v>
      </c>
      <c r="J37" s="11">
        <f>IF('Raw Data'!A24&lt;&gt;"",AVERAGE('Raw Data'!Q24,'Raw Data'!S24,'Raw Data'!U24,'Raw Data'!W24,'Raw Data'!Y24),"")</f>
        <v>5.8</v>
      </c>
      <c r="K37" s="11">
        <f t="shared" si="4"/>
        <v>2.8</v>
      </c>
      <c r="L37" s="11">
        <f>IF('Raw Data'!A24&lt;&gt;"",AVERAGE('Raw Data'!Z24,'Raw Data'!AB24,'Raw Data'!AD24,'Raw Data'!AF24,'Raw Data'!AH24),"")</f>
        <v>8.1999999999999993</v>
      </c>
      <c r="M37" s="11">
        <f>IF('Raw Data'!A24&lt;&gt;"",AVERAGE('Raw Data'!AA24,'Raw Data'!AC24,'Raw Data'!AE24,'Raw Data'!AG24,'Raw Data'!AI24),"")</f>
        <v>6.2</v>
      </c>
      <c r="N37" s="11">
        <f t="shared" si="5"/>
        <v>1.9999999999999991</v>
      </c>
      <c r="O37" s="11">
        <f>IF('Raw Data'!A24&lt;&gt;"",AVERAGE('Raw Data'!AJ24,'Raw Data'!AL24,'Raw Data'!AN24,'Raw Data'!AP24,'Raw Data'!AR24),"")</f>
        <v>8.6</v>
      </c>
      <c r="P37" s="11">
        <f>IF('Raw Data'!A24&lt;&gt;"",AVERAGE('Raw Data'!AK24,'Raw Data'!AM24,'Raw Data'!AO24,'Raw Data'!AQ24,'Raw Data'!AS24),"")</f>
        <v>6</v>
      </c>
      <c r="Q37" s="11">
        <f t="shared" si="6"/>
        <v>2.5999999999999996</v>
      </c>
      <c r="R37" s="11">
        <f>IF('Raw Data'!A24&lt;&gt;"",AVERAGE('Raw Data'!AT24,'Raw Data'!AV24,'Raw Data'!AX24,'Raw Data'!AZ24,'Raw Data'!BB24),"")</f>
        <v>8.6</v>
      </c>
      <c r="S37" s="11">
        <f>IF('Raw Data'!A24&lt;&gt;"",AVERAGE('Raw Data'!AU24,'Raw Data'!AW24,'Raw Data'!AY24,'Raw Data'!BA24,'Raw Data'!BC24),"")</f>
        <v>5</v>
      </c>
      <c r="T37" s="11">
        <f t="shared" si="7"/>
        <v>3.5999999999999996</v>
      </c>
      <c r="U37" s="11">
        <f>IF('Raw Data'!A24&lt;&gt;"",AVERAGE('Raw Data'!BD24,'Raw Data'!BF24,'Raw Data'!BH24,'Raw Data'!BJ24,'Raw Data'!BL24),"")</f>
        <v>8.1999999999999993</v>
      </c>
      <c r="V37" s="11">
        <f>IF('Raw Data'!A24&lt;&gt;"",AVERAGE('Raw Data'!BE24,'Raw Data'!BG24,'Raw Data'!BI24,'Raw Data'!BK24,'Raw Data'!BM24),"")</f>
        <v>4</v>
      </c>
      <c r="W37" s="11">
        <f t="shared" si="8"/>
        <v>4.1999999999999993</v>
      </c>
      <c r="X37" s="11">
        <f t="shared" si="9"/>
        <v>8.3666666666666671</v>
      </c>
      <c r="Y37" s="11">
        <f t="shared" si="10"/>
        <v>5.5</v>
      </c>
      <c r="Z37" s="11">
        <f t="shared" si="11"/>
        <v>2.8666666666666671</v>
      </c>
      <c r="AA37" s="11">
        <f t="shared" si="12"/>
        <v>2.919999999999999</v>
      </c>
      <c r="AB37" s="24">
        <f t="shared" si="13"/>
        <v>2.8199999999999994</v>
      </c>
    </row>
    <row r="38" spans="1:28" x14ac:dyDescent="0.25">
      <c r="A38" s="10" t="str">
        <f>IF('Raw Data'!A25&lt;&gt;"",'Raw Data'!A25,"")</f>
        <v>R022</v>
      </c>
      <c r="B38" s="10" t="str">
        <f>IF('Raw Data'!B25&lt;&gt;"",'Raw Data'!B25,"")</f>
        <v>Sales</v>
      </c>
      <c r="C38" s="10" t="str">
        <f>IF('Raw Data'!C25&lt;&gt;"",'Raw Data'!C25,"")</f>
        <v>New York</v>
      </c>
      <c r="D38" s="10" t="str">
        <f>IF('Raw Data'!D25&lt;&gt;"",'Raw Data'!D25,"")</f>
        <v>Growth</v>
      </c>
      <c r="E38" s="10" t="str">
        <f>IF('Raw Data'!E25&lt;&gt;"",'Raw Data'!E25,"")</f>
        <v>J. Brown</v>
      </c>
      <c r="F38" s="14">
        <f>IF('Raw Data'!A25&lt;&gt;"",AVERAGE('Raw Data'!F25,'Raw Data'!H25,'Raw Data'!J25,'Raw Data'!L25,'Raw Data'!N25),"")</f>
        <v>7.4</v>
      </c>
      <c r="G38" s="14">
        <f>IF('Raw Data'!A25&lt;&gt;"",AVERAGE('Raw Data'!G25,'Raw Data'!I25,'Raw Data'!K25,'Raw Data'!M25,'Raw Data'!O25),"")</f>
        <v>6.6</v>
      </c>
      <c r="H38" s="14">
        <f t="shared" si="3"/>
        <v>0.80000000000000071</v>
      </c>
      <c r="I38" s="14">
        <f>IF('Raw Data'!A25&lt;&gt;"",AVERAGE('Raw Data'!P25,'Raw Data'!R25,'Raw Data'!T25,'Raw Data'!V25,'Raw Data'!X25),"")</f>
        <v>7.6</v>
      </c>
      <c r="J38" s="14">
        <f>IF('Raw Data'!A25&lt;&gt;"",AVERAGE('Raw Data'!Q25,'Raw Data'!S25,'Raw Data'!U25,'Raw Data'!W25,'Raw Data'!Y25),"")</f>
        <v>7</v>
      </c>
      <c r="K38" s="14">
        <f t="shared" si="4"/>
        <v>0.59999999999999964</v>
      </c>
      <c r="L38" s="14">
        <f>IF('Raw Data'!A25&lt;&gt;"",AVERAGE('Raw Data'!Z25,'Raw Data'!AB25,'Raw Data'!AD25,'Raw Data'!AF25,'Raw Data'!AH25),"")</f>
        <v>7.6</v>
      </c>
      <c r="M38" s="14">
        <f>IF('Raw Data'!A25&lt;&gt;"",AVERAGE('Raw Data'!AA25,'Raw Data'!AC25,'Raw Data'!AE25,'Raw Data'!AG25,'Raw Data'!AI25),"")</f>
        <v>7.2</v>
      </c>
      <c r="N38" s="14">
        <f t="shared" si="5"/>
        <v>0.39999999999999947</v>
      </c>
      <c r="O38" s="14">
        <f>IF('Raw Data'!A25&lt;&gt;"",AVERAGE('Raw Data'!AJ25,'Raw Data'!AL25,'Raw Data'!AN25,'Raw Data'!AP25,'Raw Data'!AR25),"")</f>
        <v>8</v>
      </c>
      <c r="P38" s="14">
        <f>IF('Raw Data'!A25&lt;&gt;"",AVERAGE('Raw Data'!AK25,'Raw Data'!AM25,'Raw Data'!AO25,'Raw Data'!AQ25,'Raw Data'!AS25),"")</f>
        <v>4.2</v>
      </c>
      <c r="Q38" s="14">
        <f t="shared" si="6"/>
        <v>3.8</v>
      </c>
      <c r="R38" s="14">
        <f>IF('Raw Data'!A25&lt;&gt;"",AVERAGE('Raw Data'!AT25,'Raw Data'!AV25,'Raw Data'!AX25,'Raw Data'!AZ25,'Raw Data'!BB25),"")</f>
        <v>7.4</v>
      </c>
      <c r="S38" s="14">
        <f>IF('Raw Data'!A25&lt;&gt;"",AVERAGE('Raw Data'!AU25,'Raw Data'!AW25,'Raw Data'!AY25,'Raw Data'!BA25,'Raw Data'!BC25),"")</f>
        <v>4.8</v>
      </c>
      <c r="T38" s="14">
        <f t="shared" si="7"/>
        <v>2.6000000000000005</v>
      </c>
      <c r="U38" s="14">
        <f>IF('Raw Data'!A25&lt;&gt;"",AVERAGE('Raw Data'!BD25,'Raw Data'!BF25,'Raw Data'!BH25,'Raw Data'!BJ25,'Raw Data'!BL25),"")</f>
        <v>7</v>
      </c>
      <c r="V38" s="14">
        <f>IF('Raw Data'!A25&lt;&gt;"",AVERAGE('Raw Data'!BE25,'Raw Data'!BG25,'Raw Data'!BI25,'Raw Data'!BK25,'Raw Data'!BM25),"")</f>
        <v>5</v>
      </c>
      <c r="W38" s="14">
        <f t="shared" si="8"/>
        <v>2</v>
      </c>
      <c r="X38" s="14">
        <f t="shared" si="9"/>
        <v>7.5</v>
      </c>
      <c r="Y38" s="14">
        <f t="shared" si="10"/>
        <v>5.8</v>
      </c>
      <c r="Z38" s="14">
        <f t="shared" si="11"/>
        <v>1.7000000000000002</v>
      </c>
      <c r="AA38" s="14">
        <f t="shared" si="12"/>
        <v>1.7300000000000002</v>
      </c>
      <c r="AB38" s="25">
        <f t="shared" si="13"/>
        <v>1.8049999999999999</v>
      </c>
    </row>
    <row r="39" spans="1:28" x14ac:dyDescent="0.25">
      <c r="A39" s="2" t="str">
        <f>IF('Raw Data'!A26&lt;&gt;"",'Raw Data'!A26,"")</f>
        <v>R023</v>
      </c>
      <c r="B39" s="2" t="str">
        <f>IF('Raw Data'!B26&lt;&gt;"",'Raw Data'!B26,"")</f>
        <v>Operations</v>
      </c>
      <c r="C39" s="2" t="str">
        <f>IF('Raw Data'!C26&lt;&gt;"",'Raw Data'!C26,"")</f>
        <v>New York</v>
      </c>
      <c r="D39" s="2" t="str">
        <f>IF('Raw Data'!D26&lt;&gt;"",'Raw Data'!D26,"")</f>
        <v>Core Product</v>
      </c>
      <c r="E39" s="2" t="str">
        <f>IF('Raw Data'!E26&lt;&gt;"",'Raw Data'!E26,"")</f>
        <v>A. Patel</v>
      </c>
      <c r="F39" s="11">
        <f>IF('Raw Data'!A26&lt;&gt;"",AVERAGE('Raw Data'!F26,'Raw Data'!H26,'Raw Data'!J26,'Raw Data'!L26,'Raw Data'!N26),"")</f>
        <v>7.4</v>
      </c>
      <c r="G39" s="11">
        <f>IF('Raw Data'!A26&lt;&gt;"",AVERAGE('Raw Data'!G26,'Raw Data'!I26,'Raw Data'!K26,'Raw Data'!M26,'Raw Data'!O26),"")</f>
        <v>6.4</v>
      </c>
      <c r="H39" s="11">
        <f t="shared" si="3"/>
        <v>1</v>
      </c>
      <c r="I39" s="11">
        <f>IF('Raw Data'!A26&lt;&gt;"",AVERAGE('Raw Data'!P26,'Raw Data'!R26,'Raw Data'!T26,'Raw Data'!V26,'Raw Data'!X26),"")</f>
        <v>8.6</v>
      </c>
      <c r="J39" s="11">
        <f>IF('Raw Data'!A26&lt;&gt;"",AVERAGE('Raw Data'!Q26,'Raw Data'!S26,'Raw Data'!U26,'Raw Data'!W26,'Raw Data'!Y26),"")</f>
        <v>5.6</v>
      </c>
      <c r="K39" s="11">
        <f t="shared" si="4"/>
        <v>3</v>
      </c>
      <c r="L39" s="11">
        <f>IF('Raw Data'!A26&lt;&gt;"",AVERAGE('Raw Data'!Z26,'Raw Data'!AB26,'Raw Data'!AD26,'Raw Data'!AF26,'Raw Data'!AH26),"")</f>
        <v>7</v>
      </c>
      <c r="M39" s="11">
        <f>IF('Raw Data'!A26&lt;&gt;"",AVERAGE('Raw Data'!AA26,'Raw Data'!AC26,'Raw Data'!AE26,'Raw Data'!AG26,'Raw Data'!AI26),"")</f>
        <v>7.2</v>
      </c>
      <c r="N39" s="11">
        <f t="shared" si="5"/>
        <v>-0.20000000000000018</v>
      </c>
      <c r="O39" s="11">
        <f>IF('Raw Data'!A26&lt;&gt;"",AVERAGE('Raw Data'!AJ26,'Raw Data'!AL26,'Raw Data'!AN26,'Raw Data'!AP26,'Raw Data'!AR26),"")</f>
        <v>7.6</v>
      </c>
      <c r="P39" s="11">
        <f>IF('Raw Data'!A26&lt;&gt;"",AVERAGE('Raw Data'!AK26,'Raw Data'!AM26,'Raw Data'!AO26,'Raw Data'!AQ26,'Raw Data'!AS26),"")</f>
        <v>4.8</v>
      </c>
      <c r="Q39" s="11">
        <f t="shared" si="6"/>
        <v>2.8</v>
      </c>
      <c r="R39" s="11">
        <f>IF('Raw Data'!A26&lt;&gt;"",AVERAGE('Raw Data'!AT26,'Raw Data'!AV26,'Raw Data'!AX26,'Raw Data'!AZ26,'Raw Data'!BB26),"")</f>
        <v>8.4</v>
      </c>
      <c r="S39" s="11">
        <f>IF('Raw Data'!A26&lt;&gt;"",AVERAGE('Raw Data'!AU26,'Raw Data'!AW26,'Raw Data'!AY26,'Raw Data'!BA26,'Raw Data'!BC26),"")</f>
        <v>4.5999999999999996</v>
      </c>
      <c r="T39" s="11">
        <f t="shared" si="7"/>
        <v>3.8000000000000007</v>
      </c>
      <c r="U39" s="11">
        <f>IF('Raw Data'!A26&lt;&gt;"",AVERAGE('Raw Data'!BD26,'Raw Data'!BF26,'Raw Data'!BH26,'Raw Data'!BJ26,'Raw Data'!BL26),"")</f>
        <v>7.6</v>
      </c>
      <c r="V39" s="11">
        <f>IF('Raw Data'!A26&lt;&gt;"",AVERAGE('Raw Data'!BE26,'Raw Data'!BG26,'Raw Data'!BI26,'Raw Data'!BK26,'Raw Data'!BM26),"")</f>
        <v>5.6</v>
      </c>
      <c r="W39" s="11">
        <f t="shared" si="8"/>
        <v>2</v>
      </c>
      <c r="X39" s="11">
        <f t="shared" si="9"/>
        <v>7.7666666666666666</v>
      </c>
      <c r="Y39" s="11">
        <f t="shared" si="10"/>
        <v>5.7</v>
      </c>
      <c r="Z39" s="11">
        <f t="shared" si="11"/>
        <v>2.0666666666666664</v>
      </c>
      <c r="AA39" s="11">
        <f t="shared" si="12"/>
        <v>2.2199999999999998</v>
      </c>
      <c r="AB39" s="24">
        <f t="shared" si="13"/>
        <v>2.57</v>
      </c>
    </row>
    <row r="40" spans="1:28" x14ac:dyDescent="0.25">
      <c r="A40" s="10" t="str">
        <f>IF('Raw Data'!A27&lt;&gt;"",'Raw Data'!A27,"")</f>
        <v>R024</v>
      </c>
      <c r="B40" s="10" t="str">
        <f>IF('Raw Data'!B27&lt;&gt;"",'Raw Data'!B27,"")</f>
        <v>Human Resources</v>
      </c>
      <c r="C40" s="10" t="str">
        <f>IF('Raw Data'!C27&lt;&gt;"",'Raw Data'!C27,"")</f>
        <v>Tokyo</v>
      </c>
      <c r="D40" s="10" t="str">
        <f>IF('Raw Data'!D27&lt;&gt;"",'Raw Data'!D27,"")</f>
        <v>Core Product</v>
      </c>
      <c r="E40" s="10" t="str">
        <f>IF('Raw Data'!E27&lt;&gt;"",'Raw Data'!E27,"")</f>
        <v>R. Kim</v>
      </c>
      <c r="F40" s="14">
        <f>IF('Raw Data'!A27&lt;&gt;"",AVERAGE('Raw Data'!F27,'Raw Data'!H27,'Raw Data'!J27,'Raw Data'!L27,'Raw Data'!N27),"")</f>
        <v>7.6</v>
      </c>
      <c r="G40" s="14">
        <f>IF('Raw Data'!A27&lt;&gt;"",AVERAGE('Raw Data'!G27,'Raw Data'!I27,'Raw Data'!K27,'Raw Data'!M27,'Raw Data'!O27),"")</f>
        <v>6.2</v>
      </c>
      <c r="H40" s="14">
        <f t="shared" si="3"/>
        <v>1.3999999999999995</v>
      </c>
      <c r="I40" s="14">
        <f>IF('Raw Data'!A27&lt;&gt;"",AVERAGE('Raw Data'!P27,'Raw Data'!R27,'Raw Data'!T27,'Raw Data'!V27,'Raw Data'!X27),"")</f>
        <v>8.6</v>
      </c>
      <c r="J40" s="14">
        <f>IF('Raw Data'!A27&lt;&gt;"",AVERAGE('Raw Data'!Q27,'Raw Data'!S27,'Raw Data'!U27,'Raw Data'!W27,'Raw Data'!Y27),"")</f>
        <v>7.4</v>
      </c>
      <c r="K40" s="14">
        <f t="shared" si="4"/>
        <v>1.1999999999999993</v>
      </c>
      <c r="L40" s="14">
        <f>IF('Raw Data'!A27&lt;&gt;"",AVERAGE('Raw Data'!Z27,'Raw Data'!AB27,'Raw Data'!AD27,'Raw Data'!AF27,'Raw Data'!AH27),"")</f>
        <v>7.6</v>
      </c>
      <c r="M40" s="14">
        <f>IF('Raw Data'!A27&lt;&gt;"",AVERAGE('Raw Data'!AA27,'Raw Data'!AC27,'Raw Data'!AE27,'Raw Data'!AG27,'Raw Data'!AI27),"")</f>
        <v>6.4</v>
      </c>
      <c r="N40" s="14">
        <f t="shared" si="5"/>
        <v>1.1999999999999993</v>
      </c>
      <c r="O40" s="14">
        <f>IF('Raw Data'!A27&lt;&gt;"",AVERAGE('Raw Data'!AJ27,'Raw Data'!AL27,'Raw Data'!AN27,'Raw Data'!AP27,'Raw Data'!AR27),"")</f>
        <v>8.1999999999999993</v>
      </c>
      <c r="P40" s="14">
        <f>IF('Raw Data'!A27&lt;&gt;"",AVERAGE('Raw Data'!AK27,'Raw Data'!AM27,'Raw Data'!AO27,'Raw Data'!AQ27,'Raw Data'!AS27),"")</f>
        <v>5.8</v>
      </c>
      <c r="Q40" s="14">
        <f t="shared" si="6"/>
        <v>2.3999999999999995</v>
      </c>
      <c r="R40" s="14">
        <f>IF('Raw Data'!A27&lt;&gt;"",AVERAGE('Raw Data'!AT27,'Raw Data'!AV27,'Raw Data'!AX27,'Raw Data'!AZ27,'Raw Data'!BB27),"")</f>
        <v>6.4</v>
      </c>
      <c r="S40" s="14">
        <f>IF('Raw Data'!A27&lt;&gt;"",AVERAGE('Raw Data'!AU27,'Raw Data'!AW27,'Raw Data'!AY27,'Raw Data'!BA27,'Raw Data'!BC27),"")</f>
        <v>6</v>
      </c>
      <c r="T40" s="14">
        <f t="shared" si="7"/>
        <v>0.40000000000000036</v>
      </c>
      <c r="U40" s="14">
        <f>IF('Raw Data'!A27&lt;&gt;"",AVERAGE('Raw Data'!BD27,'Raw Data'!BF27,'Raw Data'!BH27,'Raw Data'!BJ27,'Raw Data'!BL27),"")</f>
        <v>7.8</v>
      </c>
      <c r="V40" s="14">
        <f>IF('Raw Data'!A27&lt;&gt;"",AVERAGE('Raw Data'!BE27,'Raw Data'!BG27,'Raw Data'!BI27,'Raw Data'!BK27,'Raw Data'!BM27),"")</f>
        <v>5.2</v>
      </c>
      <c r="W40" s="14">
        <f t="shared" si="8"/>
        <v>2.5999999999999996</v>
      </c>
      <c r="X40" s="14">
        <f t="shared" si="9"/>
        <v>7.6999999999999993</v>
      </c>
      <c r="Y40" s="14">
        <f t="shared" si="10"/>
        <v>6.166666666666667</v>
      </c>
      <c r="Z40" s="14">
        <f t="shared" si="11"/>
        <v>1.5333333333333323</v>
      </c>
      <c r="AA40" s="14">
        <f t="shared" si="12"/>
        <v>1.6699999999999997</v>
      </c>
      <c r="AB40" s="25">
        <f t="shared" si="13"/>
        <v>1.6749999999999996</v>
      </c>
    </row>
    <row r="41" spans="1:28" x14ac:dyDescent="0.25">
      <c r="A41" s="2" t="str">
        <f>IF('Raw Data'!A28&lt;&gt;"",'Raw Data'!A28,"")</f>
        <v>R025</v>
      </c>
      <c r="B41" s="2" t="str">
        <f>IF('Raw Data'!B28&lt;&gt;"",'Raw Data'!B28,"")</f>
        <v>Marketing</v>
      </c>
      <c r="C41" s="2" t="str">
        <f>IF('Raw Data'!C28&lt;&gt;"",'Raw Data'!C28,"")</f>
        <v>Sydney</v>
      </c>
      <c r="D41" s="2" t="str">
        <f>IF('Raw Data'!D28&lt;&gt;"",'Raw Data'!D28,"")</f>
        <v>Enterprise</v>
      </c>
      <c r="E41" s="2" t="str">
        <f>IF('Raw Data'!E28&lt;&gt;"",'Raw Data'!E28,"")</f>
        <v>A. Patel</v>
      </c>
      <c r="F41" s="11">
        <f>IF('Raw Data'!A28&lt;&gt;"",AVERAGE('Raw Data'!F28,'Raw Data'!H28,'Raw Data'!J28,'Raw Data'!L28,'Raw Data'!N28),"")</f>
        <v>7.8</v>
      </c>
      <c r="G41" s="11">
        <f>IF('Raw Data'!A28&lt;&gt;"",AVERAGE('Raw Data'!G28,'Raw Data'!I28,'Raw Data'!K28,'Raw Data'!M28,'Raw Data'!O28),"")</f>
        <v>5.8</v>
      </c>
      <c r="H41" s="11">
        <f t="shared" si="3"/>
        <v>2</v>
      </c>
      <c r="I41" s="11">
        <f>IF('Raw Data'!A28&lt;&gt;"",AVERAGE('Raw Data'!P28,'Raw Data'!R28,'Raw Data'!T28,'Raw Data'!V28,'Raw Data'!X28),"")</f>
        <v>8.1999999999999993</v>
      </c>
      <c r="J41" s="11">
        <f>IF('Raw Data'!A28&lt;&gt;"",AVERAGE('Raw Data'!Q28,'Raw Data'!S28,'Raw Data'!U28,'Raw Data'!W28,'Raw Data'!Y28),"")</f>
        <v>6.6</v>
      </c>
      <c r="K41" s="11">
        <f t="shared" si="4"/>
        <v>1.5999999999999996</v>
      </c>
      <c r="L41" s="11">
        <f>IF('Raw Data'!A28&lt;&gt;"",AVERAGE('Raw Data'!Z28,'Raw Data'!AB28,'Raw Data'!AD28,'Raw Data'!AF28,'Raw Data'!AH28),"")</f>
        <v>6.6</v>
      </c>
      <c r="M41" s="11">
        <f>IF('Raw Data'!A28&lt;&gt;"",AVERAGE('Raw Data'!AA28,'Raw Data'!AC28,'Raw Data'!AE28,'Raw Data'!AG28,'Raw Data'!AI28),"")</f>
        <v>6.4</v>
      </c>
      <c r="N41" s="11">
        <f t="shared" si="5"/>
        <v>0.19999999999999929</v>
      </c>
      <c r="O41" s="11">
        <f>IF('Raw Data'!A28&lt;&gt;"",AVERAGE('Raw Data'!AJ28,'Raw Data'!AL28,'Raw Data'!AN28,'Raw Data'!AP28,'Raw Data'!AR28),"")</f>
        <v>7.4</v>
      </c>
      <c r="P41" s="11">
        <f>IF('Raw Data'!A28&lt;&gt;"",AVERAGE('Raw Data'!AK28,'Raw Data'!AM28,'Raw Data'!AO28,'Raw Data'!AQ28,'Raw Data'!AS28),"")</f>
        <v>6.2</v>
      </c>
      <c r="Q41" s="11">
        <f t="shared" si="6"/>
        <v>1.2000000000000002</v>
      </c>
      <c r="R41" s="11">
        <f>IF('Raw Data'!A28&lt;&gt;"",AVERAGE('Raw Data'!AT28,'Raw Data'!AV28,'Raw Data'!AX28,'Raw Data'!AZ28,'Raw Data'!BB28),"")</f>
        <v>7</v>
      </c>
      <c r="S41" s="11">
        <f>IF('Raw Data'!A28&lt;&gt;"",AVERAGE('Raw Data'!AU28,'Raw Data'!AW28,'Raw Data'!AY28,'Raw Data'!BA28,'Raw Data'!BC28),"")</f>
        <v>6</v>
      </c>
      <c r="T41" s="11">
        <f t="shared" si="7"/>
        <v>1</v>
      </c>
      <c r="U41" s="11">
        <f>IF('Raw Data'!A28&lt;&gt;"",AVERAGE('Raw Data'!BD28,'Raw Data'!BF28,'Raw Data'!BH28,'Raw Data'!BJ28,'Raw Data'!BL28),"")</f>
        <v>7.8</v>
      </c>
      <c r="V41" s="11">
        <f>IF('Raw Data'!A28&lt;&gt;"",AVERAGE('Raw Data'!BE28,'Raw Data'!BG28,'Raw Data'!BI28,'Raw Data'!BK28,'Raw Data'!BM28),"")</f>
        <v>5.2</v>
      </c>
      <c r="W41" s="11">
        <f t="shared" si="8"/>
        <v>2.5999999999999996</v>
      </c>
      <c r="X41" s="11">
        <f t="shared" si="9"/>
        <v>7.4666666666666659</v>
      </c>
      <c r="Y41" s="11">
        <f t="shared" si="10"/>
        <v>6.0333333333333323</v>
      </c>
      <c r="Z41" s="11">
        <f t="shared" si="11"/>
        <v>1.4333333333333336</v>
      </c>
      <c r="AA41" s="11">
        <f t="shared" si="12"/>
        <v>1.5799999999999998</v>
      </c>
      <c r="AB41" s="24">
        <f t="shared" si="13"/>
        <v>1.5099999999999998</v>
      </c>
    </row>
    <row r="42" spans="1:28" x14ac:dyDescent="0.25">
      <c r="A42" s="10" t="str">
        <f>IF('Raw Data'!A29&lt;&gt;"",'Raw Data'!A29,"")</f>
        <v>R026</v>
      </c>
      <c r="B42" s="10" t="str">
        <f>IF('Raw Data'!B29&lt;&gt;"",'Raw Data'!B29,"")</f>
        <v>Finance</v>
      </c>
      <c r="C42" s="10" t="str">
        <f>IF('Raw Data'!C29&lt;&gt;"",'Raw Data'!C29,"")</f>
        <v>London</v>
      </c>
      <c r="D42" s="10" t="str">
        <f>IF('Raw Data'!D29&lt;&gt;"",'Raw Data'!D29,"")</f>
        <v>Enterprise</v>
      </c>
      <c r="E42" s="10" t="str">
        <f>IF('Raw Data'!E29&lt;&gt;"",'Raw Data'!E29,"")</f>
        <v>T. Garcia</v>
      </c>
      <c r="F42" s="14">
        <f>IF('Raw Data'!A29&lt;&gt;"",AVERAGE('Raw Data'!F29,'Raw Data'!H29,'Raw Data'!J29,'Raw Data'!L29,'Raw Data'!N29),"")</f>
        <v>6.8</v>
      </c>
      <c r="G42" s="14">
        <f>IF('Raw Data'!A29&lt;&gt;"",AVERAGE('Raw Data'!G29,'Raw Data'!I29,'Raw Data'!K29,'Raw Data'!M29,'Raw Data'!O29),"")</f>
        <v>6.4</v>
      </c>
      <c r="H42" s="14">
        <f t="shared" si="3"/>
        <v>0.39999999999999947</v>
      </c>
      <c r="I42" s="14">
        <f>IF('Raw Data'!A29&lt;&gt;"",AVERAGE('Raw Data'!P29,'Raw Data'!R29,'Raw Data'!T29,'Raw Data'!V29,'Raw Data'!X29),"")</f>
        <v>7.4</v>
      </c>
      <c r="J42" s="14">
        <f>IF('Raw Data'!A29&lt;&gt;"",AVERAGE('Raw Data'!Q29,'Raw Data'!S29,'Raw Data'!U29,'Raw Data'!W29,'Raw Data'!Y29),"")</f>
        <v>6.4</v>
      </c>
      <c r="K42" s="14">
        <f t="shared" si="4"/>
        <v>1</v>
      </c>
      <c r="L42" s="14">
        <f>IF('Raw Data'!A29&lt;&gt;"",AVERAGE('Raw Data'!Z29,'Raw Data'!AB29,'Raw Data'!AD29,'Raw Data'!AF29,'Raw Data'!AH29),"")</f>
        <v>8</v>
      </c>
      <c r="M42" s="14">
        <f>IF('Raw Data'!A29&lt;&gt;"",AVERAGE('Raw Data'!AA29,'Raw Data'!AC29,'Raw Data'!AE29,'Raw Data'!AG29,'Raw Data'!AI29),"")</f>
        <v>6.6</v>
      </c>
      <c r="N42" s="14">
        <f t="shared" si="5"/>
        <v>1.4000000000000004</v>
      </c>
      <c r="O42" s="14">
        <f>IF('Raw Data'!A29&lt;&gt;"",AVERAGE('Raw Data'!AJ29,'Raw Data'!AL29,'Raw Data'!AN29,'Raw Data'!AP29,'Raw Data'!AR29),"")</f>
        <v>7.6</v>
      </c>
      <c r="P42" s="14">
        <f>IF('Raw Data'!A29&lt;&gt;"",AVERAGE('Raw Data'!AK29,'Raw Data'!AM29,'Raw Data'!AO29,'Raw Data'!AQ29,'Raw Data'!AS29),"")</f>
        <v>4.5999999999999996</v>
      </c>
      <c r="Q42" s="14">
        <f t="shared" si="6"/>
        <v>3</v>
      </c>
      <c r="R42" s="14">
        <f>IF('Raw Data'!A29&lt;&gt;"",AVERAGE('Raw Data'!AT29,'Raw Data'!AV29,'Raw Data'!AX29,'Raw Data'!AZ29,'Raw Data'!BB29),"")</f>
        <v>6.8</v>
      </c>
      <c r="S42" s="14">
        <f>IF('Raw Data'!A29&lt;&gt;"",AVERAGE('Raw Data'!AU29,'Raw Data'!AW29,'Raw Data'!AY29,'Raw Data'!BA29,'Raw Data'!BC29),"")</f>
        <v>5.2</v>
      </c>
      <c r="T42" s="14">
        <f t="shared" si="7"/>
        <v>1.5999999999999996</v>
      </c>
      <c r="U42" s="14">
        <f>IF('Raw Data'!A29&lt;&gt;"",AVERAGE('Raw Data'!BD29,'Raw Data'!BF29,'Raw Data'!BH29,'Raw Data'!BJ29,'Raw Data'!BL29),"")</f>
        <v>8</v>
      </c>
      <c r="V42" s="14">
        <f>IF('Raw Data'!A29&lt;&gt;"",AVERAGE('Raw Data'!BE29,'Raw Data'!BG29,'Raw Data'!BI29,'Raw Data'!BK29,'Raw Data'!BM29),"")</f>
        <v>3.8</v>
      </c>
      <c r="W42" s="14">
        <f t="shared" si="8"/>
        <v>4.2</v>
      </c>
      <c r="X42" s="14">
        <f t="shared" si="9"/>
        <v>7.4333333333333327</v>
      </c>
      <c r="Y42" s="14">
        <f t="shared" si="10"/>
        <v>5.5</v>
      </c>
      <c r="Z42" s="14">
        <f t="shared" si="11"/>
        <v>1.9333333333333327</v>
      </c>
      <c r="AA42" s="14">
        <f t="shared" si="12"/>
        <v>2.0500000000000003</v>
      </c>
      <c r="AB42" s="25">
        <f t="shared" si="13"/>
        <v>1.9250000000000003</v>
      </c>
    </row>
    <row r="43" spans="1:28" x14ac:dyDescent="0.25">
      <c r="A43" s="2" t="str">
        <f>IF('Raw Data'!A30&lt;&gt;"",'Raw Data'!A30,"")</f>
        <v>R027</v>
      </c>
      <c r="B43" s="2" t="str">
        <f>IF('Raw Data'!B30&lt;&gt;"",'Raw Data'!B30,"")</f>
        <v>Finance</v>
      </c>
      <c r="C43" s="2" t="str">
        <f>IF('Raw Data'!C30&lt;&gt;"",'Raw Data'!C30,"")</f>
        <v>Tokyo</v>
      </c>
      <c r="D43" s="2" t="str">
        <f>IF('Raw Data'!D30&lt;&gt;"",'Raw Data'!D30,"")</f>
        <v>Enterprise</v>
      </c>
      <c r="E43" s="2" t="str">
        <f>IF('Raw Data'!E30&lt;&gt;"",'Raw Data'!E30,"")</f>
        <v>S. Johnson</v>
      </c>
      <c r="F43" s="11">
        <f>IF('Raw Data'!A30&lt;&gt;"",AVERAGE('Raw Data'!F30,'Raw Data'!H30,'Raw Data'!J30,'Raw Data'!L30,'Raw Data'!N30),"")</f>
        <v>7.8</v>
      </c>
      <c r="G43" s="11">
        <f>IF('Raw Data'!A30&lt;&gt;"",AVERAGE('Raw Data'!G30,'Raw Data'!I30,'Raw Data'!K30,'Raw Data'!M30,'Raw Data'!O30),"")</f>
        <v>6.4</v>
      </c>
      <c r="H43" s="11">
        <f t="shared" si="3"/>
        <v>1.3999999999999995</v>
      </c>
      <c r="I43" s="11">
        <f>IF('Raw Data'!A30&lt;&gt;"",AVERAGE('Raw Data'!P30,'Raw Data'!R30,'Raw Data'!T30,'Raw Data'!V30,'Raw Data'!X30),"")</f>
        <v>7.8</v>
      </c>
      <c r="J43" s="11">
        <f>IF('Raw Data'!A30&lt;&gt;"",AVERAGE('Raw Data'!Q30,'Raw Data'!S30,'Raw Data'!U30,'Raw Data'!W30,'Raw Data'!Y30),"")</f>
        <v>6.8</v>
      </c>
      <c r="K43" s="11">
        <f t="shared" si="4"/>
        <v>1</v>
      </c>
      <c r="L43" s="11">
        <f>IF('Raw Data'!A30&lt;&gt;"",AVERAGE('Raw Data'!Z30,'Raw Data'!AB30,'Raw Data'!AD30,'Raw Data'!AF30,'Raw Data'!AH30),"")</f>
        <v>7.4</v>
      </c>
      <c r="M43" s="11">
        <f>IF('Raw Data'!A30&lt;&gt;"",AVERAGE('Raw Data'!AA30,'Raw Data'!AC30,'Raw Data'!AE30,'Raw Data'!AG30,'Raw Data'!AI30),"")</f>
        <v>5.6</v>
      </c>
      <c r="N43" s="11">
        <f t="shared" si="5"/>
        <v>1.8000000000000007</v>
      </c>
      <c r="O43" s="11">
        <f>IF('Raw Data'!A30&lt;&gt;"",AVERAGE('Raw Data'!AJ30,'Raw Data'!AL30,'Raw Data'!AN30,'Raw Data'!AP30,'Raw Data'!AR30),"")</f>
        <v>7.6</v>
      </c>
      <c r="P43" s="11">
        <f>IF('Raw Data'!A30&lt;&gt;"",AVERAGE('Raw Data'!AK30,'Raw Data'!AM30,'Raw Data'!AO30,'Raw Data'!AQ30,'Raw Data'!AS30),"")</f>
        <v>6.4</v>
      </c>
      <c r="Q43" s="11">
        <f t="shared" si="6"/>
        <v>1.1999999999999993</v>
      </c>
      <c r="R43" s="11">
        <f>IF('Raw Data'!A30&lt;&gt;"",AVERAGE('Raw Data'!AT30,'Raw Data'!AV30,'Raw Data'!AX30,'Raw Data'!AZ30,'Raw Data'!BB30),"")</f>
        <v>7</v>
      </c>
      <c r="S43" s="11">
        <f>IF('Raw Data'!A30&lt;&gt;"",AVERAGE('Raw Data'!AU30,'Raw Data'!AW30,'Raw Data'!AY30,'Raw Data'!BA30,'Raw Data'!BC30),"")</f>
        <v>7</v>
      </c>
      <c r="T43" s="11">
        <f t="shared" si="7"/>
        <v>0</v>
      </c>
      <c r="U43" s="11">
        <f>IF('Raw Data'!A30&lt;&gt;"",AVERAGE('Raw Data'!BD30,'Raw Data'!BF30,'Raw Data'!BH30,'Raw Data'!BJ30,'Raw Data'!BL30),"")</f>
        <v>8.6</v>
      </c>
      <c r="V43" s="11">
        <f>IF('Raw Data'!A30&lt;&gt;"",AVERAGE('Raw Data'!BE30,'Raw Data'!BG30,'Raw Data'!BI30,'Raw Data'!BK30,'Raw Data'!BM30),"")</f>
        <v>5</v>
      </c>
      <c r="W43" s="11">
        <f t="shared" si="8"/>
        <v>3.5999999999999996</v>
      </c>
      <c r="X43" s="11">
        <f t="shared" si="9"/>
        <v>7.7</v>
      </c>
      <c r="Y43" s="11">
        <f t="shared" si="10"/>
        <v>6.1999999999999993</v>
      </c>
      <c r="Z43" s="11">
        <f t="shared" si="11"/>
        <v>1.5000000000000009</v>
      </c>
      <c r="AA43" s="11">
        <f t="shared" si="12"/>
        <v>1.6</v>
      </c>
      <c r="AB43" s="24">
        <f t="shared" si="13"/>
        <v>1.3399999999999999</v>
      </c>
    </row>
    <row r="44" spans="1:28" x14ac:dyDescent="0.25">
      <c r="A44" s="10" t="str">
        <f>IF('Raw Data'!A31&lt;&gt;"",'Raw Data'!A31,"")</f>
        <v>R028</v>
      </c>
      <c r="B44" s="10" t="str">
        <f>IF('Raw Data'!B31&lt;&gt;"",'Raw Data'!B31,"")</f>
        <v>Engineering</v>
      </c>
      <c r="C44" s="10" t="str">
        <f>IF('Raw Data'!C31&lt;&gt;"",'Raw Data'!C31,"")</f>
        <v>London</v>
      </c>
      <c r="D44" s="10" t="str">
        <f>IF('Raw Data'!D31&lt;&gt;"",'Raw Data'!D31,"")</f>
        <v>Corporate</v>
      </c>
      <c r="E44" s="10" t="str">
        <f>IF('Raw Data'!E31&lt;&gt;"",'Raw Data'!E31,"")</f>
        <v>A. Patel</v>
      </c>
      <c r="F44" s="14">
        <f>IF('Raw Data'!A31&lt;&gt;"",AVERAGE('Raw Data'!F31,'Raw Data'!H31,'Raw Data'!J31,'Raw Data'!L31,'Raw Data'!N31),"")</f>
        <v>8</v>
      </c>
      <c r="G44" s="14">
        <f>IF('Raw Data'!A31&lt;&gt;"",AVERAGE('Raw Data'!G31,'Raw Data'!I31,'Raw Data'!K31,'Raw Data'!M31,'Raw Data'!O31),"")</f>
        <v>5.2</v>
      </c>
      <c r="H44" s="14">
        <f t="shared" si="3"/>
        <v>2.8</v>
      </c>
      <c r="I44" s="14">
        <f>IF('Raw Data'!A31&lt;&gt;"",AVERAGE('Raw Data'!P31,'Raw Data'!R31,'Raw Data'!T31,'Raw Data'!V31,'Raw Data'!X31),"")</f>
        <v>8.4</v>
      </c>
      <c r="J44" s="14">
        <f>IF('Raw Data'!A31&lt;&gt;"",AVERAGE('Raw Data'!Q31,'Raw Data'!S31,'Raw Data'!U31,'Raw Data'!W31,'Raw Data'!Y31),"")</f>
        <v>7.4</v>
      </c>
      <c r="K44" s="14">
        <f t="shared" si="4"/>
        <v>1</v>
      </c>
      <c r="L44" s="14">
        <f>IF('Raw Data'!A31&lt;&gt;"",AVERAGE('Raw Data'!Z31,'Raw Data'!AB31,'Raw Data'!AD31,'Raw Data'!AF31,'Raw Data'!AH31),"")</f>
        <v>7.8</v>
      </c>
      <c r="M44" s="14">
        <f>IF('Raw Data'!A31&lt;&gt;"",AVERAGE('Raw Data'!AA31,'Raw Data'!AC31,'Raw Data'!AE31,'Raw Data'!AG31,'Raw Data'!AI31),"")</f>
        <v>6.8</v>
      </c>
      <c r="N44" s="14">
        <f t="shared" si="5"/>
        <v>1</v>
      </c>
      <c r="O44" s="14">
        <f>IF('Raw Data'!A31&lt;&gt;"",AVERAGE('Raw Data'!AJ31,'Raw Data'!AL31,'Raw Data'!AN31,'Raw Data'!AP31,'Raw Data'!AR31),"")</f>
        <v>7.2</v>
      </c>
      <c r="P44" s="14">
        <f>IF('Raw Data'!A31&lt;&gt;"",AVERAGE('Raw Data'!AK31,'Raw Data'!AM31,'Raw Data'!AO31,'Raw Data'!AQ31,'Raw Data'!AS31),"")</f>
        <v>6.6</v>
      </c>
      <c r="Q44" s="14">
        <f t="shared" si="6"/>
        <v>0.60000000000000053</v>
      </c>
      <c r="R44" s="14">
        <f>IF('Raw Data'!A31&lt;&gt;"",AVERAGE('Raw Data'!AT31,'Raw Data'!AV31,'Raw Data'!AX31,'Raw Data'!AZ31,'Raw Data'!BB31),"")</f>
        <v>7.4</v>
      </c>
      <c r="S44" s="14">
        <f>IF('Raw Data'!A31&lt;&gt;"",AVERAGE('Raw Data'!AU31,'Raw Data'!AW31,'Raw Data'!AY31,'Raw Data'!BA31,'Raw Data'!BC31),"")</f>
        <v>5.6</v>
      </c>
      <c r="T44" s="14">
        <f t="shared" si="7"/>
        <v>1.8000000000000007</v>
      </c>
      <c r="U44" s="14">
        <f>IF('Raw Data'!A31&lt;&gt;"",AVERAGE('Raw Data'!BD31,'Raw Data'!BF31,'Raw Data'!BH31,'Raw Data'!BJ31,'Raw Data'!BL31),"")</f>
        <v>8.6</v>
      </c>
      <c r="V44" s="14">
        <f>IF('Raw Data'!A31&lt;&gt;"",AVERAGE('Raw Data'!BE31,'Raw Data'!BG31,'Raw Data'!BI31,'Raw Data'!BK31,'Raw Data'!BM31),"")</f>
        <v>5.6</v>
      </c>
      <c r="W44" s="14">
        <f t="shared" si="8"/>
        <v>3</v>
      </c>
      <c r="X44" s="14">
        <f t="shared" si="9"/>
        <v>7.8999999999999995</v>
      </c>
      <c r="Y44" s="14">
        <f t="shared" si="10"/>
        <v>6.2</v>
      </c>
      <c r="Z44" s="14">
        <f t="shared" si="11"/>
        <v>1.6999999999999993</v>
      </c>
      <c r="AA44" s="14">
        <f t="shared" si="12"/>
        <v>1.6700000000000004</v>
      </c>
      <c r="AB44" s="25">
        <f t="shared" si="13"/>
        <v>1.2550000000000003</v>
      </c>
    </row>
    <row r="45" spans="1:28" x14ac:dyDescent="0.25">
      <c r="A45" s="2" t="str">
        <f>IF('Raw Data'!A32&lt;&gt;"",'Raw Data'!A32,"")</f>
        <v>R029</v>
      </c>
      <c r="B45" s="2" t="str">
        <f>IF('Raw Data'!B32&lt;&gt;"",'Raw Data'!B32,"")</f>
        <v>Engineering</v>
      </c>
      <c r="C45" s="2" t="str">
        <f>IF('Raw Data'!C32&lt;&gt;"",'Raw Data'!C32,"")</f>
        <v>Sydney</v>
      </c>
      <c r="D45" s="2" t="str">
        <f>IF('Raw Data'!D32&lt;&gt;"",'Raw Data'!D32,"")</f>
        <v>Core Product</v>
      </c>
      <c r="E45" s="2" t="str">
        <f>IF('Raw Data'!E32&lt;&gt;"",'Raw Data'!E32,"")</f>
        <v>R. Kim</v>
      </c>
      <c r="F45" s="11">
        <f>IF('Raw Data'!A32&lt;&gt;"",AVERAGE('Raw Data'!F32,'Raw Data'!H32,'Raw Data'!J32,'Raw Data'!L32,'Raw Data'!N32),"")</f>
        <v>7.8</v>
      </c>
      <c r="G45" s="11">
        <f>IF('Raw Data'!A32&lt;&gt;"",AVERAGE('Raw Data'!G32,'Raw Data'!I32,'Raw Data'!K32,'Raw Data'!M32,'Raw Data'!O32),"")</f>
        <v>5.6</v>
      </c>
      <c r="H45" s="11">
        <f t="shared" si="3"/>
        <v>2.2000000000000002</v>
      </c>
      <c r="I45" s="11">
        <f>IF('Raw Data'!A32&lt;&gt;"",AVERAGE('Raw Data'!P32,'Raw Data'!R32,'Raw Data'!T32,'Raw Data'!V32,'Raw Data'!X32),"")</f>
        <v>8.8000000000000007</v>
      </c>
      <c r="J45" s="11">
        <f>IF('Raw Data'!A32&lt;&gt;"",AVERAGE('Raw Data'!Q32,'Raw Data'!S32,'Raw Data'!U32,'Raw Data'!W32,'Raw Data'!Y32),"")</f>
        <v>7</v>
      </c>
      <c r="K45" s="11">
        <f t="shared" si="4"/>
        <v>1.8000000000000007</v>
      </c>
      <c r="L45" s="11">
        <f>IF('Raw Data'!A32&lt;&gt;"",AVERAGE('Raw Data'!Z32,'Raw Data'!AB32,'Raw Data'!AD32,'Raw Data'!AF32,'Raw Data'!AH32),"")</f>
        <v>8.4</v>
      </c>
      <c r="M45" s="11">
        <f>IF('Raw Data'!A32&lt;&gt;"",AVERAGE('Raw Data'!AA32,'Raw Data'!AC32,'Raw Data'!AE32,'Raw Data'!AG32,'Raw Data'!AI32),"")</f>
        <v>6</v>
      </c>
      <c r="N45" s="11">
        <f t="shared" si="5"/>
        <v>2.4000000000000004</v>
      </c>
      <c r="O45" s="11">
        <f>IF('Raw Data'!A32&lt;&gt;"",AVERAGE('Raw Data'!AJ32,'Raw Data'!AL32,'Raw Data'!AN32,'Raw Data'!AP32,'Raw Data'!AR32),"")</f>
        <v>8</v>
      </c>
      <c r="P45" s="11">
        <f>IF('Raw Data'!A32&lt;&gt;"",AVERAGE('Raw Data'!AK32,'Raw Data'!AM32,'Raw Data'!AO32,'Raw Data'!AQ32,'Raw Data'!AS32),"")</f>
        <v>5</v>
      </c>
      <c r="Q45" s="11">
        <f t="shared" si="6"/>
        <v>3</v>
      </c>
      <c r="R45" s="11">
        <f>IF('Raw Data'!A32&lt;&gt;"",AVERAGE('Raw Data'!AT32,'Raw Data'!AV32,'Raw Data'!AX32,'Raw Data'!AZ32,'Raw Data'!BB32),"")</f>
        <v>7.4</v>
      </c>
      <c r="S45" s="11">
        <f>IF('Raw Data'!A32&lt;&gt;"",AVERAGE('Raw Data'!AU32,'Raw Data'!AW32,'Raw Data'!AY32,'Raw Data'!BA32,'Raw Data'!BC32),"")</f>
        <v>6.2</v>
      </c>
      <c r="T45" s="11">
        <f t="shared" si="7"/>
        <v>1.2000000000000002</v>
      </c>
      <c r="U45" s="11">
        <f>IF('Raw Data'!A32&lt;&gt;"",AVERAGE('Raw Data'!BD32,'Raw Data'!BF32,'Raw Data'!BH32,'Raw Data'!BJ32,'Raw Data'!BL32),"")</f>
        <v>8.4</v>
      </c>
      <c r="V45" s="11">
        <f>IF('Raw Data'!A32&lt;&gt;"",AVERAGE('Raw Data'!BE32,'Raw Data'!BG32,'Raw Data'!BI32,'Raw Data'!BK32,'Raw Data'!BM32),"")</f>
        <v>5.2</v>
      </c>
      <c r="W45" s="11">
        <f t="shared" si="8"/>
        <v>3.2</v>
      </c>
      <c r="X45" s="11">
        <f t="shared" si="9"/>
        <v>8.1333333333333329</v>
      </c>
      <c r="Y45" s="11">
        <f t="shared" si="10"/>
        <v>5.833333333333333</v>
      </c>
      <c r="Z45" s="11">
        <f t="shared" si="11"/>
        <v>2.2999999999999998</v>
      </c>
      <c r="AA45" s="11">
        <f t="shared" si="12"/>
        <v>2.3800000000000008</v>
      </c>
      <c r="AB45" s="24">
        <f t="shared" si="13"/>
        <v>2.3300000000000005</v>
      </c>
    </row>
    <row r="46" spans="1:28" x14ac:dyDescent="0.25">
      <c r="A46" s="10" t="str">
        <f>IF('Raw Data'!A33&lt;&gt;"",'Raw Data'!A33,"")</f>
        <v>R030</v>
      </c>
      <c r="B46" s="10" t="str">
        <f>IF('Raw Data'!B33&lt;&gt;"",'Raw Data'!B33,"")</f>
        <v>Marketing</v>
      </c>
      <c r="C46" s="10" t="str">
        <f>IF('Raw Data'!C33&lt;&gt;"",'Raw Data'!C33,"")</f>
        <v>Tokyo</v>
      </c>
      <c r="D46" s="10" t="str">
        <f>IF('Raw Data'!D33&lt;&gt;"",'Raw Data'!D33,"")</f>
        <v>Core Product</v>
      </c>
      <c r="E46" s="10" t="str">
        <f>IF('Raw Data'!E33&lt;&gt;"",'Raw Data'!E33,"")</f>
        <v>M. Chen</v>
      </c>
      <c r="F46" s="14">
        <f>IF('Raw Data'!A33&lt;&gt;"",AVERAGE('Raw Data'!F33,'Raw Data'!H33,'Raw Data'!J33,'Raw Data'!L33,'Raw Data'!N33),"")</f>
        <v>7.6</v>
      </c>
      <c r="G46" s="14">
        <f>IF('Raw Data'!A33&lt;&gt;"",AVERAGE('Raw Data'!G33,'Raw Data'!I33,'Raw Data'!K33,'Raw Data'!M33,'Raw Data'!O33),"")</f>
        <v>6.2</v>
      </c>
      <c r="H46" s="14">
        <f t="shared" si="3"/>
        <v>1.3999999999999995</v>
      </c>
      <c r="I46" s="14">
        <f>IF('Raw Data'!A33&lt;&gt;"",AVERAGE('Raw Data'!P33,'Raw Data'!R33,'Raw Data'!T33,'Raw Data'!V33,'Raw Data'!X33),"")</f>
        <v>8.1999999999999993</v>
      </c>
      <c r="J46" s="14">
        <f>IF('Raw Data'!A33&lt;&gt;"",AVERAGE('Raw Data'!Q33,'Raw Data'!S33,'Raw Data'!U33,'Raw Data'!W33,'Raw Data'!Y33),"")</f>
        <v>6.2</v>
      </c>
      <c r="K46" s="14">
        <f t="shared" si="4"/>
        <v>1.9999999999999991</v>
      </c>
      <c r="L46" s="14">
        <f>IF('Raw Data'!A33&lt;&gt;"",AVERAGE('Raw Data'!Z33,'Raw Data'!AB33,'Raw Data'!AD33,'Raw Data'!AF33,'Raw Data'!AH33),"")</f>
        <v>6.8</v>
      </c>
      <c r="M46" s="14">
        <f>IF('Raw Data'!A33&lt;&gt;"",AVERAGE('Raw Data'!AA33,'Raw Data'!AC33,'Raw Data'!AE33,'Raw Data'!AG33,'Raw Data'!AI33),"")</f>
        <v>7</v>
      </c>
      <c r="N46" s="14">
        <f t="shared" si="5"/>
        <v>-0.20000000000000018</v>
      </c>
      <c r="O46" s="14">
        <f>IF('Raw Data'!A33&lt;&gt;"",AVERAGE('Raw Data'!AJ33,'Raw Data'!AL33,'Raw Data'!AN33,'Raw Data'!AP33,'Raw Data'!AR33),"")</f>
        <v>8.6</v>
      </c>
      <c r="P46" s="14">
        <f>IF('Raw Data'!A33&lt;&gt;"",AVERAGE('Raw Data'!AK33,'Raw Data'!AM33,'Raw Data'!AO33,'Raw Data'!AQ33,'Raw Data'!AS33),"")</f>
        <v>5.6</v>
      </c>
      <c r="Q46" s="14">
        <f t="shared" si="6"/>
        <v>3</v>
      </c>
      <c r="R46" s="14">
        <f>IF('Raw Data'!A33&lt;&gt;"",AVERAGE('Raw Data'!AT33,'Raw Data'!AV33,'Raw Data'!AX33,'Raw Data'!AZ33,'Raw Data'!BB33),"")</f>
        <v>8.4</v>
      </c>
      <c r="S46" s="14">
        <f>IF('Raw Data'!A33&lt;&gt;"",AVERAGE('Raw Data'!AU33,'Raw Data'!AW33,'Raw Data'!AY33,'Raw Data'!BA33,'Raw Data'!BC33),"")</f>
        <v>6.4</v>
      </c>
      <c r="T46" s="14">
        <f t="shared" si="7"/>
        <v>2</v>
      </c>
      <c r="U46" s="14">
        <f>IF('Raw Data'!A33&lt;&gt;"",AVERAGE('Raw Data'!BD33,'Raw Data'!BF33,'Raw Data'!BH33,'Raw Data'!BJ33,'Raw Data'!BL33),"")</f>
        <v>8</v>
      </c>
      <c r="V46" s="14">
        <f>IF('Raw Data'!A33&lt;&gt;"",AVERAGE('Raw Data'!BE33,'Raw Data'!BG33,'Raw Data'!BI33,'Raw Data'!BK33,'Raw Data'!BM33),"")</f>
        <v>6</v>
      </c>
      <c r="W46" s="14">
        <f t="shared" si="8"/>
        <v>2</v>
      </c>
      <c r="X46" s="14">
        <f t="shared" si="9"/>
        <v>7.9333333333333327</v>
      </c>
      <c r="Y46" s="14">
        <f t="shared" si="10"/>
        <v>6.2333333333333334</v>
      </c>
      <c r="Z46" s="14">
        <f t="shared" si="11"/>
        <v>1.6999999999999993</v>
      </c>
      <c r="AA46" s="14">
        <f t="shared" si="12"/>
        <v>1.89</v>
      </c>
      <c r="AB46" s="25">
        <f t="shared" si="13"/>
        <v>2.1449999999999996</v>
      </c>
    </row>
    <row r="47" spans="1:28" x14ac:dyDescent="0.25">
      <c r="A47" s="2" t="str">
        <f>IF('Raw Data'!A34&lt;&gt;"",'Raw Data'!A34,"")</f>
        <v>R031</v>
      </c>
      <c r="B47" s="2" t="str">
        <f>IF('Raw Data'!B34&lt;&gt;"",'Raw Data'!B34,"")</f>
        <v>Finance</v>
      </c>
      <c r="C47" s="2" t="str">
        <f>IF('Raw Data'!C34&lt;&gt;"",'Raw Data'!C34,"")</f>
        <v>London</v>
      </c>
      <c r="D47" s="2" t="str">
        <f>IF('Raw Data'!D34&lt;&gt;"",'Raw Data'!D34,"")</f>
        <v>Enterprise</v>
      </c>
      <c r="E47" s="2" t="str">
        <f>IF('Raw Data'!E34&lt;&gt;"",'Raw Data'!E34,"")</f>
        <v>K. Taylor</v>
      </c>
      <c r="F47" s="11">
        <f>IF('Raw Data'!A34&lt;&gt;"",AVERAGE('Raw Data'!F34,'Raw Data'!H34,'Raw Data'!J34,'Raw Data'!L34,'Raw Data'!N34),"")</f>
        <v>8</v>
      </c>
      <c r="G47" s="11">
        <f>IF('Raw Data'!A34&lt;&gt;"",AVERAGE('Raw Data'!G34,'Raw Data'!I34,'Raw Data'!K34,'Raw Data'!M34,'Raw Data'!O34),"")</f>
        <v>5.6</v>
      </c>
      <c r="H47" s="11">
        <f t="shared" si="3"/>
        <v>2.4000000000000004</v>
      </c>
      <c r="I47" s="11">
        <f>IF('Raw Data'!A34&lt;&gt;"",AVERAGE('Raw Data'!P34,'Raw Data'!R34,'Raw Data'!T34,'Raw Data'!V34,'Raw Data'!X34),"")</f>
        <v>8.4</v>
      </c>
      <c r="J47" s="11">
        <f>IF('Raw Data'!A34&lt;&gt;"",AVERAGE('Raw Data'!Q34,'Raw Data'!S34,'Raw Data'!U34,'Raw Data'!W34,'Raw Data'!Y34),"")</f>
        <v>6.6</v>
      </c>
      <c r="K47" s="11">
        <f t="shared" si="4"/>
        <v>1.8000000000000007</v>
      </c>
      <c r="L47" s="11">
        <f>IF('Raw Data'!A34&lt;&gt;"",AVERAGE('Raw Data'!Z34,'Raw Data'!AB34,'Raw Data'!AD34,'Raw Data'!AF34,'Raw Data'!AH34),"")</f>
        <v>8.4</v>
      </c>
      <c r="M47" s="11">
        <f>IF('Raw Data'!A34&lt;&gt;"",AVERAGE('Raw Data'!AA34,'Raw Data'!AC34,'Raw Data'!AE34,'Raw Data'!AG34,'Raw Data'!AI34),"")</f>
        <v>5.8</v>
      </c>
      <c r="N47" s="11">
        <f t="shared" si="5"/>
        <v>2.6000000000000005</v>
      </c>
      <c r="O47" s="11">
        <f>IF('Raw Data'!A34&lt;&gt;"",AVERAGE('Raw Data'!AJ34,'Raw Data'!AL34,'Raw Data'!AN34,'Raw Data'!AP34,'Raw Data'!AR34),"")</f>
        <v>8.8000000000000007</v>
      </c>
      <c r="P47" s="11">
        <f>IF('Raw Data'!A34&lt;&gt;"",AVERAGE('Raw Data'!AK34,'Raw Data'!AM34,'Raw Data'!AO34,'Raw Data'!AQ34,'Raw Data'!AS34),"")</f>
        <v>5.2</v>
      </c>
      <c r="Q47" s="11">
        <f t="shared" si="6"/>
        <v>3.6000000000000005</v>
      </c>
      <c r="R47" s="11">
        <f>IF('Raw Data'!A34&lt;&gt;"",AVERAGE('Raw Data'!AT34,'Raw Data'!AV34,'Raw Data'!AX34,'Raw Data'!AZ34,'Raw Data'!BB34),"")</f>
        <v>9</v>
      </c>
      <c r="S47" s="11">
        <f>IF('Raw Data'!A34&lt;&gt;"",AVERAGE('Raw Data'!AU34,'Raw Data'!AW34,'Raw Data'!AY34,'Raw Data'!BA34,'Raw Data'!BC34),"")</f>
        <v>4.8</v>
      </c>
      <c r="T47" s="11">
        <f t="shared" si="7"/>
        <v>4.2</v>
      </c>
      <c r="U47" s="11">
        <f>IF('Raw Data'!A34&lt;&gt;"",AVERAGE('Raw Data'!BD34,'Raw Data'!BF34,'Raw Data'!BH34,'Raw Data'!BJ34,'Raw Data'!BL34),"")</f>
        <v>8.8000000000000007</v>
      </c>
      <c r="V47" s="11">
        <f>IF('Raw Data'!A34&lt;&gt;"",AVERAGE('Raw Data'!BE34,'Raw Data'!BG34,'Raw Data'!BI34,'Raw Data'!BK34,'Raw Data'!BM34),"")</f>
        <v>6.2</v>
      </c>
      <c r="W47" s="11">
        <f t="shared" si="8"/>
        <v>2.6000000000000005</v>
      </c>
      <c r="X47" s="11">
        <f t="shared" si="9"/>
        <v>8.5666666666666647</v>
      </c>
      <c r="Y47" s="11">
        <f t="shared" si="10"/>
        <v>5.7</v>
      </c>
      <c r="Z47" s="11">
        <f t="shared" si="11"/>
        <v>2.8666666666666645</v>
      </c>
      <c r="AA47" s="11">
        <f t="shared" si="12"/>
        <v>2.7300000000000004</v>
      </c>
      <c r="AB47" s="24">
        <f t="shared" si="13"/>
        <v>2.6250000000000004</v>
      </c>
    </row>
    <row r="48" spans="1:28" x14ac:dyDescent="0.25">
      <c r="A48" s="10" t="str">
        <f>IF('Raw Data'!A35&lt;&gt;"",'Raw Data'!A35,"")</f>
        <v>R032</v>
      </c>
      <c r="B48" s="10" t="str">
        <f>IF('Raw Data'!B35&lt;&gt;"",'Raw Data'!B35,"")</f>
        <v>Sales</v>
      </c>
      <c r="C48" s="10" t="str">
        <f>IF('Raw Data'!C35&lt;&gt;"",'Raw Data'!C35,"")</f>
        <v>London</v>
      </c>
      <c r="D48" s="10" t="str">
        <f>IF('Raw Data'!D35&lt;&gt;"",'Raw Data'!D35,"")</f>
        <v>Growth</v>
      </c>
      <c r="E48" s="10" t="str">
        <f>IF('Raw Data'!E35&lt;&gt;"",'Raw Data'!E35,"")</f>
        <v>J. Brown</v>
      </c>
      <c r="F48" s="14">
        <f>IF('Raw Data'!A35&lt;&gt;"",AVERAGE('Raw Data'!F35,'Raw Data'!H35,'Raw Data'!J35,'Raw Data'!L35,'Raw Data'!N35),"")</f>
        <v>7.4</v>
      </c>
      <c r="G48" s="14">
        <f>IF('Raw Data'!A35&lt;&gt;"",AVERAGE('Raw Data'!G35,'Raw Data'!I35,'Raw Data'!K35,'Raw Data'!M35,'Raw Data'!O35),"")</f>
        <v>6.6</v>
      </c>
      <c r="H48" s="14">
        <f t="shared" si="3"/>
        <v>0.80000000000000071</v>
      </c>
      <c r="I48" s="14">
        <f>IF('Raw Data'!A35&lt;&gt;"",AVERAGE('Raw Data'!P35,'Raw Data'!R35,'Raw Data'!T35,'Raw Data'!V35,'Raw Data'!X35),"")</f>
        <v>8.1999999999999993</v>
      </c>
      <c r="J48" s="14">
        <f>IF('Raw Data'!A35&lt;&gt;"",AVERAGE('Raw Data'!Q35,'Raw Data'!S35,'Raw Data'!U35,'Raw Data'!W35,'Raw Data'!Y35),"")</f>
        <v>6.8</v>
      </c>
      <c r="K48" s="14">
        <f t="shared" si="4"/>
        <v>1.3999999999999995</v>
      </c>
      <c r="L48" s="14">
        <f>IF('Raw Data'!A35&lt;&gt;"",AVERAGE('Raw Data'!Z35,'Raw Data'!AB35,'Raw Data'!AD35,'Raw Data'!AF35,'Raw Data'!AH35),"")</f>
        <v>7.6</v>
      </c>
      <c r="M48" s="14">
        <f>IF('Raw Data'!A35&lt;&gt;"",AVERAGE('Raw Data'!AA35,'Raw Data'!AC35,'Raw Data'!AE35,'Raw Data'!AG35,'Raw Data'!AI35),"")</f>
        <v>4.8</v>
      </c>
      <c r="N48" s="14">
        <f t="shared" si="5"/>
        <v>2.8</v>
      </c>
      <c r="O48" s="14">
        <f>IF('Raw Data'!A35&lt;&gt;"",AVERAGE('Raw Data'!AJ35,'Raw Data'!AL35,'Raw Data'!AN35,'Raw Data'!AP35,'Raw Data'!AR35),"")</f>
        <v>7.6</v>
      </c>
      <c r="P48" s="14">
        <f>IF('Raw Data'!A35&lt;&gt;"",AVERAGE('Raw Data'!AK35,'Raw Data'!AM35,'Raw Data'!AO35,'Raw Data'!AQ35,'Raw Data'!AS35),"")</f>
        <v>6.2</v>
      </c>
      <c r="Q48" s="14">
        <f t="shared" si="6"/>
        <v>1.3999999999999995</v>
      </c>
      <c r="R48" s="14">
        <f>IF('Raw Data'!A35&lt;&gt;"",AVERAGE('Raw Data'!AT35,'Raw Data'!AV35,'Raw Data'!AX35,'Raw Data'!AZ35,'Raw Data'!BB35),"")</f>
        <v>8.6</v>
      </c>
      <c r="S48" s="14">
        <f>IF('Raw Data'!A35&lt;&gt;"",AVERAGE('Raw Data'!AU35,'Raw Data'!AW35,'Raw Data'!AY35,'Raw Data'!BA35,'Raw Data'!BC35),"")</f>
        <v>4.2</v>
      </c>
      <c r="T48" s="14">
        <f t="shared" si="7"/>
        <v>4.3999999999999995</v>
      </c>
      <c r="U48" s="14">
        <f>IF('Raw Data'!A35&lt;&gt;"",AVERAGE('Raw Data'!BD35,'Raw Data'!BF35,'Raw Data'!BH35,'Raw Data'!BJ35,'Raw Data'!BL35),"")</f>
        <v>8.6</v>
      </c>
      <c r="V48" s="14">
        <f>IF('Raw Data'!A35&lt;&gt;"",AVERAGE('Raw Data'!BE35,'Raw Data'!BG35,'Raw Data'!BI35,'Raw Data'!BK35,'Raw Data'!BM35),"")</f>
        <v>4.4000000000000004</v>
      </c>
      <c r="W48" s="14">
        <f t="shared" si="8"/>
        <v>4.1999999999999993</v>
      </c>
      <c r="X48" s="14">
        <f t="shared" si="9"/>
        <v>8</v>
      </c>
      <c r="Y48" s="14">
        <f t="shared" si="10"/>
        <v>5.5</v>
      </c>
      <c r="Z48" s="14">
        <f t="shared" si="11"/>
        <v>2.5</v>
      </c>
      <c r="AA48" s="14">
        <f t="shared" si="12"/>
        <v>2.3099999999999996</v>
      </c>
      <c r="AB48" s="25">
        <f t="shared" si="13"/>
        <v>1.8549999999999995</v>
      </c>
    </row>
    <row r="49" spans="1:28" x14ac:dyDescent="0.25">
      <c r="A49" s="2" t="str">
        <f>IF('Raw Data'!A36&lt;&gt;"",'Raw Data'!A36,"")</f>
        <v>R033</v>
      </c>
      <c r="B49" s="2" t="str">
        <f>IF('Raw Data'!B36&lt;&gt;"",'Raw Data'!B36,"")</f>
        <v>Sales</v>
      </c>
      <c r="C49" s="2" t="str">
        <f>IF('Raw Data'!C36&lt;&gt;"",'Raw Data'!C36,"")</f>
        <v>New York</v>
      </c>
      <c r="D49" s="2" t="str">
        <f>IF('Raw Data'!D36&lt;&gt;"",'Raw Data'!D36,"")</f>
        <v>Corporate</v>
      </c>
      <c r="E49" s="2" t="str">
        <f>IF('Raw Data'!E36&lt;&gt;"",'Raw Data'!E36,"")</f>
        <v>S. Johnson</v>
      </c>
      <c r="F49" s="11">
        <f>IF('Raw Data'!A36&lt;&gt;"",AVERAGE('Raw Data'!F36,'Raw Data'!H36,'Raw Data'!J36,'Raw Data'!L36,'Raw Data'!N36),"")</f>
        <v>8.1999999999999993</v>
      </c>
      <c r="G49" s="11">
        <f>IF('Raw Data'!A36&lt;&gt;"",AVERAGE('Raw Data'!G36,'Raw Data'!I36,'Raw Data'!K36,'Raw Data'!M36,'Raw Data'!O36),"")</f>
        <v>6</v>
      </c>
      <c r="H49" s="11">
        <f t="shared" si="3"/>
        <v>2.1999999999999993</v>
      </c>
      <c r="I49" s="11">
        <f>IF('Raw Data'!A36&lt;&gt;"",AVERAGE('Raw Data'!P36,'Raw Data'!R36,'Raw Data'!T36,'Raw Data'!V36,'Raw Data'!X36),"")</f>
        <v>8.1999999999999993</v>
      </c>
      <c r="J49" s="11">
        <f>IF('Raw Data'!A36&lt;&gt;"",AVERAGE('Raw Data'!Q36,'Raw Data'!S36,'Raw Data'!U36,'Raw Data'!W36,'Raw Data'!Y36),"")</f>
        <v>6.8</v>
      </c>
      <c r="K49" s="11">
        <f t="shared" si="4"/>
        <v>1.3999999999999995</v>
      </c>
      <c r="L49" s="11">
        <f>IF('Raw Data'!A36&lt;&gt;"",AVERAGE('Raw Data'!Z36,'Raw Data'!AB36,'Raw Data'!AD36,'Raw Data'!AF36,'Raw Data'!AH36),"")</f>
        <v>7.4</v>
      </c>
      <c r="M49" s="11">
        <f>IF('Raw Data'!A36&lt;&gt;"",AVERAGE('Raw Data'!AA36,'Raw Data'!AC36,'Raw Data'!AE36,'Raw Data'!AG36,'Raw Data'!AI36),"")</f>
        <v>6.8</v>
      </c>
      <c r="N49" s="11">
        <f t="shared" si="5"/>
        <v>0.60000000000000053</v>
      </c>
      <c r="O49" s="11">
        <f>IF('Raw Data'!A36&lt;&gt;"",AVERAGE('Raw Data'!AJ36,'Raw Data'!AL36,'Raw Data'!AN36,'Raw Data'!AP36,'Raw Data'!AR36),"")</f>
        <v>7.2</v>
      </c>
      <c r="P49" s="11">
        <f>IF('Raw Data'!A36&lt;&gt;"",AVERAGE('Raw Data'!AK36,'Raw Data'!AM36,'Raw Data'!AO36,'Raw Data'!AQ36,'Raw Data'!AS36),"")</f>
        <v>4.5999999999999996</v>
      </c>
      <c r="Q49" s="11">
        <f t="shared" si="6"/>
        <v>2.6000000000000005</v>
      </c>
      <c r="R49" s="11">
        <f>IF('Raw Data'!A36&lt;&gt;"",AVERAGE('Raw Data'!AT36,'Raw Data'!AV36,'Raw Data'!AX36,'Raw Data'!AZ36,'Raw Data'!BB36),"")</f>
        <v>8</v>
      </c>
      <c r="S49" s="11">
        <f>IF('Raw Data'!A36&lt;&gt;"",AVERAGE('Raw Data'!AU36,'Raw Data'!AW36,'Raw Data'!AY36,'Raw Data'!BA36,'Raw Data'!BC36),"")</f>
        <v>4.4000000000000004</v>
      </c>
      <c r="T49" s="11">
        <f t="shared" si="7"/>
        <v>3.5999999999999996</v>
      </c>
      <c r="U49" s="11">
        <f>IF('Raw Data'!A36&lt;&gt;"",AVERAGE('Raw Data'!BD36,'Raw Data'!BF36,'Raw Data'!BH36,'Raw Data'!BJ36,'Raw Data'!BL36),"")</f>
        <v>8.6</v>
      </c>
      <c r="V49" s="11">
        <f>IF('Raw Data'!A36&lt;&gt;"",AVERAGE('Raw Data'!BE36,'Raw Data'!BG36,'Raw Data'!BI36,'Raw Data'!BK36,'Raw Data'!BM36),"")</f>
        <v>4.5999999999999996</v>
      </c>
      <c r="W49" s="11">
        <f t="shared" si="8"/>
        <v>4</v>
      </c>
      <c r="X49" s="11">
        <f t="shared" si="9"/>
        <v>7.9333333333333336</v>
      </c>
      <c r="Y49" s="11">
        <f t="shared" si="10"/>
        <v>5.5333333333333341</v>
      </c>
      <c r="Z49" s="11">
        <f t="shared" si="11"/>
        <v>2.3999999999999995</v>
      </c>
      <c r="AA49" s="11">
        <f t="shared" si="12"/>
        <v>2.4199999999999995</v>
      </c>
      <c r="AB49" s="24">
        <f t="shared" si="13"/>
        <v>2.1499999999999995</v>
      </c>
    </row>
    <row r="50" spans="1:28" x14ac:dyDescent="0.25">
      <c r="A50" s="10" t="str">
        <f>IF('Raw Data'!A37&lt;&gt;"",'Raw Data'!A37,"")</f>
        <v>R034</v>
      </c>
      <c r="B50" s="10" t="str">
        <f>IF('Raw Data'!B37&lt;&gt;"",'Raw Data'!B37,"")</f>
        <v>Operations</v>
      </c>
      <c r="C50" s="10" t="str">
        <f>IF('Raw Data'!C37&lt;&gt;"",'Raw Data'!C37,"")</f>
        <v>New York</v>
      </c>
      <c r="D50" s="10" t="str">
        <f>IF('Raw Data'!D37&lt;&gt;"",'Raw Data'!D37,"")</f>
        <v>Growth</v>
      </c>
      <c r="E50" s="10" t="str">
        <f>IF('Raw Data'!E37&lt;&gt;"",'Raw Data'!E37,"")</f>
        <v>S. Johnson</v>
      </c>
      <c r="F50" s="14">
        <f>IF('Raw Data'!A37&lt;&gt;"",AVERAGE('Raw Data'!F37,'Raw Data'!H37,'Raw Data'!J37,'Raw Data'!L37,'Raw Data'!N37),"")</f>
        <v>7.6</v>
      </c>
      <c r="G50" s="14">
        <f>IF('Raw Data'!A37&lt;&gt;"",AVERAGE('Raw Data'!G37,'Raw Data'!I37,'Raw Data'!K37,'Raw Data'!M37,'Raw Data'!O37),"")</f>
        <v>7.6</v>
      </c>
      <c r="H50" s="14">
        <f t="shared" si="3"/>
        <v>0</v>
      </c>
      <c r="I50" s="14">
        <f>IF('Raw Data'!A37&lt;&gt;"",AVERAGE('Raw Data'!P37,'Raw Data'!R37,'Raw Data'!T37,'Raw Data'!V37,'Raw Data'!X37),"")</f>
        <v>8.6</v>
      </c>
      <c r="J50" s="14">
        <f>IF('Raw Data'!A37&lt;&gt;"",AVERAGE('Raw Data'!Q37,'Raw Data'!S37,'Raw Data'!U37,'Raw Data'!W37,'Raw Data'!Y37),"")</f>
        <v>7.2</v>
      </c>
      <c r="K50" s="14">
        <f t="shared" si="4"/>
        <v>1.3999999999999995</v>
      </c>
      <c r="L50" s="14">
        <f>IF('Raw Data'!A37&lt;&gt;"",AVERAGE('Raw Data'!Z37,'Raw Data'!AB37,'Raw Data'!AD37,'Raw Data'!AF37,'Raw Data'!AH37),"")</f>
        <v>6.2</v>
      </c>
      <c r="M50" s="14">
        <f>IF('Raw Data'!A37&lt;&gt;"",AVERAGE('Raw Data'!AA37,'Raw Data'!AC37,'Raw Data'!AE37,'Raw Data'!AG37,'Raw Data'!AI37),"")</f>
        <v>7.2</v>
      </c>
      <c r="N50" s="14">
        <f t="shared" si="5"/>
        <v>-1</v>
      </c>
      <c r="O50" s="14">
        <f>IF('Raw Data'!A37&lt;&gt;"",AVERAGE('Raw Data'!AJ37,'Raw Data'!AL37,'Raw Data'!AN37,'Raw Data'!AP37,'Raw Data'!AR37),"")</f>
        <v>7.6</v>
      </c>
      <c r="P50" s="14">
        <f>IF('Raw Data'!A37&lt;&gt;"",AVERAGE('Raw Data'!AK37,'Raw Data'!AM37,'Raw Data'!AO37,'Raw Data'!AQ37,'Raw Data'!AS37),"")</f>
        <v>5.2</v>
      </c>
      <c r="Q50" s="14">
        <f t="shared" si="6"/>
        <v>2.3999999999999995</v>
      </c>
      <c r="R50" s="14">
        <f>IF('Raw Data'!A37&lt;&gt;"",AVERAGE('Raw Data'!AT37,'Raw Data'!AV37,'Raw Data'!AX37,'Raw Data'!AZ37,'Raw Data'!BB37),"")</f>
        <v>7.2</v>
      </c>
      <c r="S50" s="14">
        <f>IF('Raw Data'!A37&lt;&gt;"",AVERAGE('Raw Data'!AU37,'Raw Data'!AW37,'Raw Data'!AY37,'Raw Data'!BA37,'Raw Data'!BC37),"")</f>
        <v>5.2</v>
      </c>
      <c r="T50" s="14">
        <f t="shared" si="7"/>
        <v>2</v>
      </c>
      <c r="U50" s="14">
        <f>IF('Raw Data'!A37&lt;&gt;"",AVERAGE('Raw Data'!BD37,'Raw Data'!BF37,'Raw Data'!BH37,'Raw Data'!BJ37,'Raw Data'!BL37),"")</f>
        <v>8</v>
      </c>
      <c r="V50" s="14">
        <f>IF('Raw Data'!A37&lt;&gt;"",AVERAGE('Raw Data'!BE37,'Raw Data'!BG37,'Raw Data'!BI37,'Raw Data'!BK37,'Raw Data'!BM37),"")</f>
        <v>4.8</v>
      </c>
      <c r="W50" s="14">
        <f t="shared" si="8"/>
        <v>3.2</v>
      </c>
      <c r="X50" s="14">
        <f t="shared" si="9"/>
        <v>7.5333333333333341</v>
      </c>
      <c r="Y50" s="14">
        <f t="shared" si="10"/>
        <v>6.1999999999999993</v>
      </c>
      <c r="Z50" s="14">
        <f t="shared" si="11"/>
        <v>1.3333333333333348</v>
      </c>
      <c r="AA50" s="14">
        <f t="shared" si="12"/>
        <v>1.5699999999999998</v>
      </c>
      <c r="AB50" s="25">
        <f t="shared" si="13"/>
        <v>1.6849999999999996</v>
      </c>
    </row>
    <row r="51" spans="1:28" x14ac:dyDescent="0.25">
      <c r="A51" s="2" t="str">
        <f>IF('Raw Data'!A38&lt;&gt;"",'Raw Data'!A38,"")</f>
        <v>R035</v>
      </c>
      <c r="B51" s="2" t="str">
        <f>IF('Raw Data'!B38&lt;&gt;"",'Raw Data'!B38,"")</f>
        <v>Operations</v>
      </c>
      <c r="C51" s="2" t="str">
        <f>IF('Raw Data'!C38&lt;&gt;"",'Raw Data'!C38,"")</f>
        <v>Tokyo</v>
      </c>
      <c r="D51" s="2" t="str">
        <f>IF('Raw Data'!D38&lt;&gt;"",'Raw Data'!D38,"")</f>
        <v>Growth</v>
      </c>
      <c r="E51" s="2" t="str">
        <f>IF('Raw Data'!E38&lt;&gt;"",'Raw Data'!E38,"")</f>
        <v>S. Johnson</v>
      </c>
      <c r="F51" s="11">
        <f>IF('Raw Data'!A38&lt;&gt;"",AVERAGE('Raw Data'!F38,'Raw Data'!H38,'Raw Data'!J38,'Raw Data'!L38,'Raw Data'!N38),"")</f>
        <v>8.8000000000000007</v>
      </c>
      <c r="G51" s="11">
        <f>IF('Raw Data'!A38&lt;&gt;"",AVERAGE('Raw Data'!G38,'Raw Data'!I38,'Raw Data'!K38,'Raw Data'!M38,'Raw Data'!O38),"")</f>
        <v>5.4</v>
      </c>
      <c r="H51" s="11">
        <f t="shared" si="3"/>
        <v>3.4000000000000004</v>
      </c>
      <c r="I51" s="11">
        <f>IF('Raw Data'!A38&lt;&gt;"",AVERAGE('Raw Data'!P38,'Raw Data'!R38,'Raw Data'!T38,'Raw Data'!V38,'Raw Data'!X38),"")</f>
        <v>8.1999999999999993</v>
      </c>
      <c r="J51" s="11">
        <f>IF('Raw Data'!A38&lt;&gt;"",AVERAGE('Raw Data'!Q38,'Raw Data'!S38,'Raw Data'!U38,'Raw Data'!W38,'Raw Data'!Y38),"")</f>
        <v>6.2</v>
      </c>
      <c r="K51" s="11">
        <f t="shared" si="4"/>
        <v>1.9999999999999991</v>
      </c>
      <c r="L51" s="11">
        <f>IF('Raw Data'!A38&lt;&gt;"",AVERAGE('Raw Data'!Z38,'Raw Data'!AB38,'Raw Data'!AD38,'Raw Data'!AF38,'Raw Data'!AH38),"")</f>
        <v>7.2</v>
      </c>
      <c r="M51" s="11">
        <f>IF('Raw Data'!A38&lt;&gt;"",AVERAGE('Raw Data'!AA38,'Raw Data'!AC38,'Raw Data'!AE38,'Raw Data'!AG38,'Raw Data'!AI38),"")</f>
        <v>6.2</v>
      </c>
      <c r="N51" s="11">
        <f t="shared" si="5"/>
        <v>1</v>
      </c>
      <c r="O51" s="11">
        <f>IF('Raw Data'!A38&lt;&gt;"",AVERAGE('Raw Data'!AJ38,'Raw Data'!AL38,'Raw Data'!AN38,'Raw Data'!AP38,'Raw Data'!AR38),"")</f>
        <v>9.1999999999999993</v>
      </c>
      <c r="P51" s="11">
        <f>IF('Raw Data'!A38&lt;&gt;"",AVERAGE('Raw Data'!AK38,'Raw Data'!AM38,'Raw Data'!AO38,'Raw Data'!AQ38,'Raw Data'!AS38),"")</f>
        <v>5.8</v>
      </c>
      <c r="Q51" s="11">
        <f t="shared" si="6"/>
        <v>3.3999999999999995</v>
      </c>
      <c r="R51" s="11">
        <f>IF('Raw Data'!A38&lt;&gt;"",AVERAGE('Raw Data'!AT38,'Raw Data'!AV38,'Raw Data'!AX38,'Raw Data'!AZ38,'Raw Data'!BB38),"")</f>
        <v>8.1999999999999993</v>
      </c>
      <c r="S51" s="11">
        <f>IF('Raw Data'!A38&lt;&gt;"",AVERAGE('Raw Data'!AU38,'Raw Data'!AW38,'Raw Data'!AY38,'Raw Data'!BA38,'Raw Data'!BC38),"")</f>
        <v>5.4</v>
      </c>
      <c r="T51" s="11">
        <f t="shared" si="7"/>
        <v>2.7999999999999989</v>
      </c>
      <c r="U51" s="11">
        <f>IF('Raw Data'!A38&lt;&gt;"",AVERAGE('Raw Data'!BD38,'Raw Data'!BF38,'Raw Data'!BH38,'Raw Data'!BJ38,'Raw Data'!BL38),"")</f>
        <v>7.8</v>
      </c>
      <c r="V51" s="11">
        <f>IF('Raw Data'!A38&lt;&gt;"",AVERAGE('Raw Data'!BE38,'Raw Data'!BG38,'Raw Data'!BI38,'Raw Data'!BK38,'Raw Data'!BM38),"")</f>
        <v>4.4000000000000004</v>
      </c>
      <c r="W51" s="11">
        <f t="shared" si="8"/>
        <v>3.3999999999999995</v>
      </c>
      <c r="X51" s="11">
        <f t="shared" si="9"/>
        <v>8.2333333333333325</v>
      </c>
      <c r="Y51" s="11">
        <f t="shared" si="10"/>
        <v>5.5666666666666664</v>
      </c>
      <c r="Z51" s="11">
        <f t="shared" si="11"/>
        <v>2.6666666666666661</v>
      </c>
      <c r="AA51" s="11">
        <f t="shared" si="12"/>
        <v>2.7499999999999996</v>
      </c>
      <c r="AB51" s="24">
        <f t="shared" si="13"/>
        <v>2.6549999999999994</v>
      </c>
    </row>
    <row r="52" spans="1:28" x14ac:dyDescent="0.25">
      <c r="A52" s="10" t="str">
        <f>IF('Raw Data'!A39&lt;&gt;"",'Raw Data'!A39,"")</f>
        <v>R036</v>
      </c>
      <c r="B52" s="10" t="str">
        <f>IF('Raw Data'!B39&lt;&gt;"",'Raw Data'!B39,"")</f>
        <v>Operations</v>
      </c>
      <c r="C52" s="10" t="str">
        <f>IF('Raw Data'!C39&lt;&gt;"",'Raw Data'!C39,"")</f>
        <v>London</v>
      </c>
      <c r="D52" s="10" t="str">
        <f>IF('Raw Data'!D39&lt;&gt;"",'Raw Data'!D39,"")</f>
        <v>Growth</v>
      </c>
      <c r="E52" s="10" t="str">
        <f>IF('Raw Data'!E39&lt;&gt;"",'Raw Data'!E39,"")</f>
        <v>T. Garcia</v>
      </c>
      <c r="F52" s="14">
        <f>IF('Raw Data'!A39&lt;&gt;"",AVERAGE('Raw Data'!F39,'Raw Data'!H39,'Raw Data'!J39,'Raw Data'!L39,'Raw Data'!N39),"")</f>
        <v>9</v>
      </c>
      <c r="G52" s="14">
        <f>IF('Raw Data'!A39&lt;&gt;"",AVERAGE('Raw Data'!G39,'Raw Data'!I39,'Raw Data'!K39,'Raw Data'!M39,'Raw Data'!O39),"")</f>
        <v>4.2</v>
      </c>
      <c r="H52" s="14">
        <f t="shared" si="3"/>
        <v>4.8</v>
      </c>
      <c r="I52" s="14">
        <f>IF('Raw Data'!A39&lt;&gt;"",AVERAGE('Raw Data'!P39,'Raw Data'!R39,'Raw Data'!T39,'Raw Data'!V39,'Raw Data'!X39),"")</f>
        <v>9</v>
      </c>
      <c r="J52" s="14">
        <f>IF('Raw Data'!A39&lt;&gt;"",AVERAGE('Raw Data'!Q39,'Raw Data'!S39,'Raw Data'!U39,'Raw Data'!W39,'Raw Data'!Y39),"")</f>
        <v>4.8</v>
      </c>
      <c r="K52" s="14">
        <f t="shared" si="4"/>
        <v>4.2</v>
      </c>
      <c r="L52" s="14">
        <f>IF('Raw Data'!A39&lt;&gt;"",AVERAGE('Raw Data'!Z39,'Raw Data'!AB39,'Raw Data'!AD39,'Raw Data'!AF39,'Raw Data'!AH39),"")</f>
        <v>7.4</v>
      </c>
      <c r="M52" s="14">
        <f>IF('Raw Data'!A39&lt;&gt;"",AVERAGE('Raw Data'!AA39,'Raw Data'!AC39,'Raw Data'!AE39,'Raw Data'!AG39,'Raw Data'!AI39),"")</f>
        <v>6.4</v>
      </c>
      <c r="N52" s="14">
        <f t="shared" si="5"/>
        <v>1</v>
      </c>
      <c r="O52" s="14">
        <f>IF('Raw Data'!A39&lt;&gt;"",AVERAGE('Raw Data'!AJ39,'Raw Data'!AL39,'Raw Data'!AN39,'Raw Data'!AP39,'Raw Data'!AR39),"")</f>
        <v>7.4</v>
      </c>
      <c r="P52" s="14">
        <f>IF('Raw Data'!A39&lt;&gt;"",AVERAGE('Raw Data'!AK39,'Raw Data'!AM39,'Raw Data'!AO39,'Raw Data'!AQ39,'Raw Data'!AS39),"")</f>
        <v>5.2</v>
      </c>
      <c r="Q52" s="14">
        <f t="shared" si="6"/>
        <v>2.2000000000000002</v>
      </c>
      <c r="R52" s="14">
        <f>IF('Raw Data'!A39&lt;&gt;"",AVERAGE('Raw Data'!AT39,'Raw Data'!AV39,'Raw Data'!AX39,'Raw Data'!AZ39,'Raw Data'!BB39),"")</f>
        <v>8.6</v>
      </c>
      <c r="S52" s="14">
        <f>IF('Raw Data'!A39&lt;&gt;"",AVERAGE('Raw Data'!AU39,'Raw Data'!AW39,'Raw Data'!AY39,'Raw Data'!BA39,'Raw Data'!BC39),"")</f>
        <v>4.8</v>
      </c>
      <c r="T52" s="14">
        <f t="shared" si="7"/>
        <v>3.8</v>
      </c>
      <c r="U52" s="14">
        <f>IF('Raw Data'!A39&lt;&gt;"",AVERAGE('Raw Data'!BD39,'Raw Data'!BF39,'Raw Data'!BH39,'Raw Data'!BJ39,'Raw Data'!BL39),"")</f>
        <v>8</v>
      </c>
      <c r="V52" s="14">
        <f>IF('Raw Data'!A39&lt;&gt;"",AVERAGE('Raw Data'!BE39,'Raw Data'!BG39,'Raw Data'!BI39,'Raw Data'!BK39,'Raw Data'!BM39),"")</f>
        <v>5.2</v>
      </c>
      <c r="W52" s="14">
        <f t="shared" si="8"/>
        <v>2.8</v>
      </c>
      <c r="X52" s="14">
        <f t="shared" si="9"/>
        <v>8.2333333333333325</v>
      </c>
      <c r="Y52" s="14">
        <f t="shared" si="10"/>
        <v>5.1000000000000005</v>
      </c>
      <c r="Z52" s="14">
        <f t="shared" si="11"/>
        <v>3.133333333333332</v>
      </c>
      <c r="AA52" s="14">
        <f t="shared" si="12"/>
        <v>3.2500000000000004</v>
      </c>
      <c r="AB52" s="25">
        <f t="shared" si="13"/>
        <v>3.3250000000000002</v>
      </c>
    </row>
    <row r="53" spans="1:28" x14ac:dyDescent="0.25">
      <c r="A53" s="2" t="str">
        <f>IF('Raw Data'!A40&lt;&gt;"",'Raw Data'!A40,"")</f>
        <v>R037</v>
      </c>
      <c r="B53" s="2" t="str">
        <f>IF('Raw Data'!B40&lt;&gt;"",'Raw Data'!B40,"")</f>
        <v>Operations</v>
      </c>
      <c r="C53" s="2" t="str">
        <f>IF('Raw Data'!C40&lt;&gt;"",'Raw Data'!C40,"")</f>
        <v>London</v>
      </c>
      <c r="D53" s="2" t="str">
        <f>IF('Raw Data'!D40&lt;&gt;"",'Raw Data'!D40,"")</f>
        <v>Enterprise</v>
      </c>
      <c r="E53" s="2" t="str">
        <f>IF('Raw Data'!E40&lt;&gt;"",'Raw Data'!E40,"")</f>
        <v>T. Garcia</v>
      </c>
      <c r="F53" s="11">
        <f>IF('Raw Data'!A40&lt;&gt;"",AVERAGE('Raw Data'!F40,'Raw Data'!H40,'Raw Data'!J40,'Raw Data'!L40,'Raw Data'!N40),"")</f>
        <v>8.4</v>
      </c>
      <c r="G53" s="11">
        <f>IF('Raw Data'!A40&lt;&gt;"",AVERAGE('Raw Data'!G40,'Raw Data'!I40,'Raw Data'!K40,'Raw Data'!M40,'Raw Data'!O40),"")</f>
        <v>5.6</v>
      </c>
      <c r="H53" s="11">
        <f t="shared" si="3"/>
        <v>2.8000000000000007</v>
      </c>
      <c r="I53" s="11">
        <f>IF('Raw Data'!A40&lt;&gt;"",AVERAGE('Raw Data'!P40,'Raw Data'!R40,'Raw Data'!T40,'Raw Data'!V40,'Raw Data'!X40),"")</f>
        <v>8.1999999999999993</v>
      </c>
      <c r="J53" s="11">
        <f>IF('Raw Data'!A40&lt;&gt;"",AVERAGE('Raw Data'!Q40,'Raw Data'!S40,'Raw Data'!U40,'Raw Data'!W40,'Raw Data'!Y40),"")</f>
        <v>6</v>
      </c>
      <c r="K53" s="11">
        <f t="shared" si="4"/>
        <v>2.1999999999999993</v>
      </c>
      <c r="L53" s="11">
        <f>IF('Raw Data'!A40&lt;&gt;"",AVERAGE('Raw Data'!Z40,'Raw Data'!AB40,'Raw Data'!AD40,'Raw Data'!AF40,'Raw Data'!AH40),"")</f>
        <v>7.6</v>
      </c>
      <c r="M53" s="11">
        <f>IF('Raw Data'!A40&lt;&gt;"",AVERAGE('Raw Data'!AA40,'Raw Data'!AC40,'Raw Data'!AE40,'Raw Data'!AG40,'Raw Data'!AI40),"")</f>
        <v>6.6</v>
      </c>
      <c r="N53" s="11">
        <f t="shared" si="5"/>
        <v>1</v>
      </c>
      <c r="O53" s="11">
        <f>IF('Raw Data'!A40&lt;&gt;"",AVERAGE('Raw Data'!AJ40,'Raw Data'!AL40,'Raw Data'!AN40,'Raw Data'!AP40,'Raw Data'!AR40),"")</f>
        <v>7.8</v>
      </c>
      <c r="P53" s="11">
        <f>IF('Raw Data'!A40&lt;&gt;"",AVERAGE('Raw Data'!AK40,'Raw Data'!AM40,'Raw Data'!AO40,'Raw Data'!AQ40,'Raw Data'!AS40),"")</f>
        <v>4.5999999999999996</v>
      </c>
      <c r="Q53" s="11">
        <f t="shared" si="6"/>
        <v>3.2</v>
      </c>
      <c r="R53" s="11">
        <f>IF('Raw Data'!A40&lt;&gt;"",AVERAGE('Raw Data'!AT40,'Raw Data'!AV40,'Raw Data'!AX40,'Raw Data'!AZ40,'Raw Data'!BB40),"")</f>
        <v>6.6</v>
      </c>
      <c r="S53" s="11">
        <f>IF('Raw Data'!A40&lt;&gt;"",AVERAGE('Raw Data'!AU40,'Raw Data'!AW40,'Raw Data'!AY40,'Raw Data'!BA40,'Raw Data'!BC40),"")</f>
        <v>6.2</v>
      </c>
      <c r="T53" s="11">
        <f t="shared" si="7"/>
        <v>0.39999999999999947</v>
      </c>
      <c r="U53" s="11">
        <f>IF('Raw Data'!A40&lt;&gt;"",AVERAGE('Raw Data'!BD40,'Raw Data'!BF40,'Raw Data'!BH40,'Raw Data'!BJ40,'Raw Data'!BL40),"")</f>
        <v>8.4</v>
      </c>
      <c r="V53" s="11">
        <f>IF('Raw Data'!A40&lt;&gt;"",AVERAGE('Raw Data'!BE40,'Raw Data'!BG40,'Raw Data'!BI40,'Raw Data'!BK40,'Raw Data'!BM40),"")</f>
        <v>4.2</v>
      </c>
      <c r="W53" s="11">
        <f t="shared" si="8"/>
        <v>4.2</v>
      </c>
      <c r="X53" s="11">
        <f t="shared" si="9"/>
        <v>7.833333333333333</v>
      </c>
      <c r="Y53" s="11">
        <f t="shared" si="10"/>
        <v>5.5333333333333323</v>
      </c>
      <c r="Z53" s="11">
        <f t="shared" si="11"/>
        <v>2.3000000000000007</v>
      </c>
      <c r="AA53" s="11">
        <f t="shared" si="12"/>
        <v>2.5900000000000003</v>
      </c>
      <c r="AB53" s="24">
        <f t="shared" si="13"/>
        <v>2.5950000000000002</v>
      </c>
    </row>
    <row r="54" spans="1:28" x14ac:dyDescent="0.25">
      <c r="A54" s="10" t="str">
        <f>IF('Raw Data'!A41&lt;&gt;"",'Raw Data'!A41,"")</f>
        <v>R038</v>
      </c>
      <c r="B54" s="10" t="str">
        <f>IF('Raw Data'!B41&lt;&gt;"",'Raw Data'!B41,"")</f>
        <v>Human Resources</v>
      </c>
      <c r="C54" s="10" t="str">
        <f>IF('Raw Data'!C41&lt;&gt;"",'Raw Data'!C41,"")</f>
        <v>Tokyo</v>
      </c>
      <c r="D54" s="10" t="str">
        <f>IF('Raw Data'!D41&lt;&gt;"",'Raw Data'!D41,"")</f>
        <v>Enterprise</v>
      </c>
      <c r="E54" s="10" t="str">
        <f>IF('Raw Data'!E41&lt;&gt;"",'Raw Data'!E41,"")</f>
        <v>M. Chen</v>
      </c>
      <c r="F54" s="14">
        <f>IF('Raw Data'!A41&lt;&gt;"",AVERAGE('Raw Data'!F41,'Raw Data'!H41,'Raw Data'!J41,'Raw Data'!L41,'Raw Data'!N41),"")</f>
        <v>7.6</v>
      </c>
      <c r="G54" s="14">
        <f>IF('Raw Data'!A41&lt;&gt;"",AVERAGE('Raw Data'!G41,'Raw Data'!I41,'Raw Data'!K41,'Raw Data'!M41,'Raw Data'!O41),"")</f>
        <v>5</v>
      </c>
      <c r="H54" s="14">
        <f t="shared" si="3"/>
        <v>2.5999999999999996</v>
      </c>
      <c r="I54" s="14">
        <f>IF('Raw Data'!A41&lt;&gt;"",AVERAGE('Raw Data'!P41,'Raw Data'!R41,'Raw Data'!T41,'Raw Data'!V41,'Raw Data'!X41),"")</f>
        <v>8</v>
      </c>
      <c r="J54" s="14">
        <f>IF('Raw Data'!A41&lt;&gt;"",AVERAGE('Raw Data'!Q41,'Raw Data'!S41,'Raw Data'!U41,'Raw Data'!W41,'Raw Data'!Y41),"")</f>
        <v>7.2</v>
      </c>
      <c r="K54" s="14">
        <f t="shared" si="4"/>
        <v>0.79999999999999982</v>
      </c>
      <c r="L54" s="14">
        <f>IF('Raw Data'!A41&lt;&gt;"",AVERAGE('Raw Data'!Z41,'Raw Data'!AB41,'Raw Data'!AD41,'Raw Data'!AF41,'Raw Data'!AH41),"")</f>
        <v>7</v>
      </c>
      <c r="M54" s="14">
        <f>IF('Raw Data'!A41&lt;&gt;"",AVERAGE('Raw Data'!AA41,'Raw Data'!AC41,'Raw Data'!AE41,'Raw Data'!AG41,'Raw Data'!AI41),"")</f>
        <v>6.2</v>
      </c>
      <c r="N54" s="14">
        <f t="shared" si="5"/>
        <v>0.79999999999999982</v>
      </c>
      <c r="O54" s="14">
        <f>IF('Raw Data'!A41&lt;&gt;"",AVERAGE('Raw Data'!AJ41,'Raw Data'!AL41,'Raw Data'!AN41,'Raw Data'!AP41,'Raw Data'!AR41),"")</f>
        <v>8.1999999999999993</v>
      </c>
      <c r="P54" s="14">
        <f>IF('Raw Data'!A41&lt;&gt;"",AVERAGE('Raw Data'!AK41,'Raw Data'!AM41,'Raw Data'!AO41,'Raw Data'!AQ41,'Raw Data'!AS41),"")</f>
        <v>5.8</v>
      </c>
      <c r="Q54" s="14">
        <f t="shared" si="6"/>
        <v>2.3999999999999995</v>
      </c>
      <c r="R54" s="14">
        <f>IF('Raw Data'!A41&lt;&gt;"",AVERAGE('Raw Data'!AT41,'Raw Data'!AV41,'Raw Data'!AX41,'Raw Data'!AZ41,'Raw Data'!BB41),"")</f>
        <v>7.4</v>
      </c>
      <c r="S54" s="14">
        <f>IF('Raw Data'!A41&lt;&gt;"",AVERAGE('Raw Data'!AU41,'Raw Data'!AW41,'Raw Data'!AY41,'Raw Data'!BA41,'Raw Data'!BC41),"")</f>
        <v>5</v>
      </c>
      <c r="T54" s="14">
        <f t="shared" si="7"/>
        <v>2.4000000000000004</v>
      </c>
      <c r="U54" s="14">
        <f>IF('Raw Data'!A41&lt;&gt;"",AVERAGE('Raw Data'!BD41,'Raw Data'!BF41,'Raw Data'!BH41,'Raw Data'!BJ41,'Raw Data'!BL41),"")</f>
        <v>8</v>
      </c>
      <c r="V54" s="14">
        <f>IF('Raw Data'!A41&lt;&gt;"",AVERAGE('Raw Data'!BE41,'Raw Data'!BG41,'Raw Data'!BI41,'Raw Data'!BK41,'Raw Data'!BM41),"")</f>
        <v>4.2</v>
      </c>
      <c r="W54" s="14">
        <f t="shared" si="8"/>
        <v>3.8</v>
      </c>
      <c r="X54" s="14">
        <f t="shared" si="9"/>
        <v>7.7</v>
      </c>
      <c r="Y54" s="14">
        <f t="shared" si="10"/>
        <v>5.5666666666666664</v>
      </c>
      <c r="Z54" s="14">
        <f t="shared" si="11"/>
        <v>2.1333333333333337</v>
      </c>
      <c r="AA54" s="14">
        <f t="shared" si="12"/>
        <v>2.15</v>
      </c>
      <c r="AB54" s="25">
        <f t="shared" si="13"/>
        <v>1.7949999999999999</v>
      </c>
    </row>
    <row r="55" spans="1:28" x14ac:dyDescent="0.25">
      <c r="A55" s="2" t="str">
        <f>IF('Raw Data'!A42&lt;&gt;"",'Raw Data'!A42,"")</f>
        <v>R039</v>
      </c>
      <c r="B55" s="2" t="str">
        <f>IF('Raw Data'!B42&lt;&gt;"",'Raw Data'!B42,"")</f>
        <v>Operations</v>
      </c>
      <c r="C55" s="2" t="str">
        <f>IF('Raw Data'!C42&lt;&gt;"",'Raw Data'!C42,"")</f>
        <v>Berlin</v>
      </c>
      <c r="D55" s="2" t="str">
        <f>IF('Raw Data'!D42&lt;&gt;"",'Raw Data'!D42,"")</f>
        <v>Enterprise</v>
      </c>
      <c r="E55" s="2" t="str">
        <f>IF('Raw Data'!E42&lt;&gt;"",'Raw Data'!E42,"")</f>
        <v>J. Brown</v>
      </c>
      <c r="F55" s="11">
        <f>IF('Raw Data'!A42&lt;&gt;"",AVERAGE('Raw Data'!F42,'Raw Data'!H42,'Raw Data'!J42,'Raw Data'!L42,'Raw Data'!N42),"")</f>
        <v>8.1999999999999993</v>
      </c>
      <c r="G55" s="11">
        <f>IF('Raw Data'!A42&lt;&gt;"",AVERAGE('Raw Data'!G42,'Raw Data'!I42,'Raw Data'!K42,'Raw Data'!M42,'Raw Data'!O42),"")</f>
        <v>4.5999999999999996</v>
      </c>
      <c r="H55" s="11">
        <f t="shared" si="3"/>
        <v>3.5999999999999996</v>
      </c>
      <c r="I55" s="11">
        <f>IF('Raw Data'!A42&lt;&gt;"",AVERAGE('Raw Data'!P42,'Raw Data'!R42,'Raw Data'!T42,'Raw Data'!V42,'Raw Data'!X42),"")</f>
        <v>8.1999999999999993</v>
      </c>
      <c r="J55" s="11">
        <f>IF('Raw Data'!A42&lt;&gt;"",AVERAGE('Raw Data'!Q42,'Raw Data'!S42,'Raw Data'!U42,'Raw Data'!W42,'Raw Data'!Y42),"")</f>
        <v>8</v>
      </c>
      <c r="K55" s="11">
        <f t="shared" si="4"/>
        <v>0.19999999999999929</v>
      </c>
      <c r="L55" s="11">
        <f>IF('Raw Data'!A42&lt;&gt;"",AVERAGE('Raw Data'!Z42,'Raw Data'!AB42,'Raw Data'!AD42,'Raw Data'!AF42,'Raw Data'!AH42),"")</f>
        <v>7.4</v>
      </c>
      <c r="M55" s="11">
        <f>IF('Raw Data'!A42&lt;&gt;"",AVERAGE('Raw Data'!AA42,'Raw Data'!AC42,'Raw Data'!AE42,'Raw Data'!AG42,'Raw Data'!AI42),"")</f>
        <v>4</v>
      </c>
      <c r="N55" s="11">
        <f t="shared" si="5"/>
        <v>3.4000000000000004</v>
      </c>
      <c r="O55" s="11">
        <f>IF('Raw Data'!A42&lt;&gt;"",AVERAGE('Raw Data'!AJ42,'Raw Data'!AL42,'Raw Data'!AN42,'Raw Data'!AP42,'Raw Data'!AR42),"")</f>
        <v>7.8</v>
      </c>
      <c r="P55" s="11">
        <f>IF('Raw Data'!A42&lt;&gt;"",AVERAGE('Raw Data'!AK42,'Raw Data'!AM42,'Raw Data'!AO42,'Raw Data'!AQ42,'Raw Data'!AS42),"")</f>
        <v>7</v>
      </c>
      <c r="Q55" s="11">
        <f t="shared" si="6"/>
        <v>0.79999999999999982</v>
      </c>
      <c r="R55" s="11">
        <f>IF('Raw Data'!A42&lt;&gt;"",AVERAGE('Raw Data'!AT42,'Raw Data'!AV42,'Raw Data'!AX42,'Raw Data'!AZ42,'Raw Data'!BB42),"")</f>
        <v>7.8</v>
      </c>
      <c r="S55" s="11">
        <f>IF('Raw Data'!A42&lt;&gt;"",AVERAGE('Raw Data'!AU42,'Raw Data'!AW42,'Raw Data'!AY42,'Raw Data'!BA42,'Raw Data'!BC42),"")</f>
        <v>5.6</v>
      </c>
      <c r="T55" s="11">
        <f t="shared" si="7"/>
        <v>2.2000000000000002</v>
      </c>
      <c r="U55" s="11">
        <f>IF('Raw Data'!A42&lt;&gt;"",AVERAGE('Raw Data'!BD42,'Raw Data'!BF42,'Raw Data'!BH42,'Raw Data'!BJ42,'Raw Data'!BL42),"")</f>
        <v>7</v>
      </c>
      <c r="V55" s="11">
        <f>IF('Raw Data'!A42&lt;&gt;"",AVERAGE('Raw Data'!BE42,'Raw Data'!BG42,'Raw Data'!BI42,'Raw Data'!BK42,'Raw Data'!BM42),"")</f>
        <v>5.4</v>
      </c>
      <c r="W55" s="11">
        <f t="shared" si="8"/>
        <v>1.5999999999999996</v>
      </c>
      <c r="X55" s="11">
        <f t="shared" si="9"/>
        <v>7.7333333333333334</v>
      </c>
      <c r="Y55" s="11">
        <f t="shared" si="10"/>
        <v>5.7666666666666666</v>
      </c>
      <c r="Z55" s="11">
        <f t="shared" si="11"/>
        <v>1.9666666666666668</v>
      </c>
      <c r="AA55" s="11">
        <f t="shared" si="12"/>
        <v>1.63</v>
      </c>
      <c r="AB55" s="24">
        <f t="shared" si="13"/>
        <v>1.0349999999999997</v>
      </c>
    </row>
    <row r="56" spans="1:28" x14ac:dyDescent="0.25">
      <c r="A56" s="10" t="str">
        <f>IF('Raw Data'!A43&lt;&gt;"",'Raw Data'!A43,"")</f>
        <v>R040</v>
      </c>
      <c r="B56" s="10" t="str">
        <f>IF('Raw Data'!B43&lt;&gt;"",'Raw Data'!B43,"")</f>
        <v>Human Resources</v>
      </c>
      <c r="C56" s="10" t="str">
        <f>IF('Raw Data'!C43&lt;&gt;"",'Raw Data'!C43,"")</f>
        <v>London</v>
      </c>
      <c r="D56" s="10" t="str">
        <f>IF('Raw Data'!D43&lt;&gt;"",'Raw Data'!D43,"")</f>
        <v>Growth</v>
      </c>
      <c r="E56" s="10" t="str">
        <f>IF('Raw Data'!E43&lt;&gt;"",'Raw Data'!E43,"")</f>
        <v>M. Chen</v>
      </c>
      <c r="F56" s="14">
        <f>IF('Raw Data'!A43&lt;&gt;"",AVERAGE('Raw Data'!F43,'Raw Data'!H43,'Raw Data'!J43,'Raw Data'!L43,'Raw Data'!N43),"")</f>
        <v>7.8</v>
      </c>
      <c r="G56" s="14">
        <f>IF('Raw Data'!A43&lt;&gt;"",AVERAGE('Raw Data'!G43,'Raw Data'!I43,'Raw Data'!K43,'Raw Data'!M43,'Raw Data'!O43),"")</f>
        <v>7</v>
      </c>
      <c r="H56" s="14">
        <f t="shared" si="3"/>
        <v>0.79999999999999982</v>
      </c>
      <c r="I56" s="14">
        <f>IF('Raw Data'!A43&lt;&gt;"",AVERAGE('Raw Data'!P43,'Raw Data'!R43,'Raw Data'!T43,'Raw Data'!V43,'Raw Data'!X43),"")</f>
        <v>7.4</v>
      </c>
      <c r="J56" s="14">
        <f>IF('Raw Data'!A43&lt;&gt;"",AVERAGE('Raw Data'!Q43,'Raw Data'!S43,'Raw Data'!U43,'Raw Data'!W43,'Raw Data'!Y43),"")</f>
        <v>4</v>
      </c>
      <c r="K56" s="14">
        <f t="shared" si="4"/>
        <v>3.4000000000000004</v>
      </c>
      <c r="L56" s="14">
        <f>IF('Raw Data'!A43&lt;&gt;"",AVERAGE('Raw Data'!Z43,'Raw Data'!AB43,'Raw Data'!AD43,'Raw Data'!AF43,'Raw Data'!AH43),"")</f>
        <v>7</v>
      </c>
      <c r="M56" s="14">
        <f>IF('Raw Data'!A43&lt;&gt;"",AVERAGE('Raw Data'!AA43,'Raw Data'!AC43,'Raw Data'!AE43,'Raw Data'!AG43,'Raw Data'!AI43),"")</f>
        <v>6.6</v>
      </c>
      <c r="N56" s="14">
        <f t="shared" si="5"/>
        <v>0.40000000000000036</v>
      </c>
      <c r="O56" s="14">
        <f>IF('Raw Data'!A43&lt;&gt;"",AVERAGE('Raw Data'!AJ43,'Raw Data'!AL43,'Raw Data'!AN43,'Raw Data'!AP43,'Raw Data'!AR43),"")</f>
        <v>8.1999999999999993</v>
      </c>
      <c r="P56" s="14">
        <f>IF('Raw Data'!A43&lt;&gt;"",AVERAGE('Raw Data'!AK43,'Raw Data'!AM43,'Raw Data'!AO43,'Raw Data'!AQ43,'Raw Data'!AS43),"")</f>
        <v>5</v>
      </c>
      <c r="Q56" s="14">
        <f t="shared" si="6"/>
        <v>3.1999999999999993</v>
      </c>
      <c r="R56" s="14">
        <f>IF('Raw Data'!A43&lt;&gt;"",AVERAGE('Raw Data'!AT43,'Raw Data'!AV43,'Raw Data'!AX43,'Raw Data'!AZ43,'Raw Data'!BB43),"")</f>
        <v>6.6</v>
      </c>
      <c r="S56" s="14">
        <f>IF('Raw Data'!A43&lt;&gt;"",AVERAGE('Raw Data'!AU43,'Raw Data'!AW43,'Raw Data'!AY43,'Raw Data'!BA43,'Raw Data'!BC43),"")</f>
        <v>4.2</v>
      </c>
      <c r="T56" s="14">
        <f t="shared" si="7"/>
        <v>2.3999999999999995</v>
      </c>
      <c r="U56" s="14">
        <f>IF('Raw Data'!A43&lt;&gt;"",AVERAGE('Raw Data'!BD43,'Raw Data'!BF43,'Raw Data'!BH43,'Raw Data'!BJ43,'Raw Data'!BL43),"")</f>
        <v>8.4</v>
      </c>
      <c r="V56" s="14">
        <f>IF('Raw Data'!A43&lt;&gt;"",AVERAGE('Raw Data'!BE43,'Raw Data'!BG43,'Raw Data'!BI43,'Raw Data'!BK43,'Raw Data'!BM43),"")</f>
        <v>4</v>
      </c>
      <c r="W56" s="14">
        <f t="shared" si="8"/>
        <v>4.4000000000000004</v>
      </c>
      <c r="X56" s="14">
        <f t="shared" si="9"/>
        <v>7.5666666666666664</v>
      </c>
      <c r="Y56" s="14">
        <f t="shared" si="10"/>
        <v>5.1333333333333337</v>
      </c>
      <c r="Z56" s="14">
        <f t="shared" si="11"/>
        <v>2.4333333333333327</v>
      </c>
      <c r="AA56" s="14">
        <f t="shared" si="12"/>
        <v>2.77</v>
      </c>
      <c r="AB56" s="25">
        <f t="shared" si="13"/>
        <v>3.0449999999999999</v>
      </c>
    </row>
    <row r="57" spans="1:28" x14ac:dyDescent="0.25">
      <c r="A57" s="2" t="str">
        <f>IF('Raw Data'!A44&lt;&gt;"",'Raw Data'!A44,"")</f>
        <v>R041</v>
      </c>
      <c r="B57" s="2" t="str">
        <f>IF('Raw Data'!B44&lt;&gt;"",'Raw Data'!B44,"")</f>
        <v>Operations</v>
      </c>
      <c r="C57" s="2" t="str">
        <f>IF('Raw Data'!C44&lt;&gt;"",'Raw Data'!C44,"")</f>
        <v>Berlin</v>
      </c>
      <c r="D57" s="2" t="str">
        <f>IF('Raw Data'!D44&lt;&gt;"",'Raw Data'!D44,"")</f>
        <v>Growth</v>
      </c>
      <c r="E57" s="2" t="str">
        <f>IF('Raw Data'!E44&lt;&gt;"",'Raw Data'!E44,"")</f>
        <v>S. Johnson</v>
      </c>
      <c r="F57" s="11">
        <f>IF('Raw Data'!A44&lt;&gt;"",AVERAGE('Raw Data'!F44,'Raw Data'!H44,'Raw Data'!J44,'Raw Data'!L44,'Raw Data'!N44),"")</f>
        <v>8</v>
      </c>
      <c r="G57" s="11">
        <f>IF('Raw Data'!A44&lt;&gt;"",AVERAGE('Raw Data'!G44,'Raw Data'!I44,'Raw Data'!K44,'Raw Data'!M44,'Raw Data'!O44),"")</f>
        <v>6.8</v>
      </c>
      <c r="H57" s="11">
        <f t="shared" si="3"/>
        <v>1.2000000000000002</v>
      </c>
      <c r="I57" s="11">
        <f>IF('Raw Data'!A44&lt;&gt;"",AVERAGE('Raw Data'!P44,'Raw Data'!R44,'Raw Data'!T44,'Raw Data'!V44,'Raw Data'!X44),"")</f>
        <v>7.8</v>
      </c>
      <c r="J57" s="11">
        <f>IF('Raw Data'!A44&lt;&gt;"",AVERAGE('Raw Data'!Q44,'Raw Data'!S44,'Raw Data'!U44,'Raw Data'!W44,'Raw Data'!Y44),"")</f>
        <v>6.8</v>
      </c>
      <c r="K57" s="11">
        <f t="shared" si="4"/>
        <v>1</v>
      </c>
      <c r="L57" s="11">
        <f>IF('Raw Data'!A44&lt;&gt;"",AVERAGE('Raw Data'!Z44,'Raw Data'!AB44,'Raw Data'!AD44,'Raw Data'!AF44,'Raw Data'!AH44),"")</f>
        <v>7.6</v>
      </c>
      <c r="M57" s="11">
        <f>IF('Raw Data'!A44&lt;&gt;"",AVERAGE('Raw Data'!AA44,'Raw Data'!AC44,'Raw Data'!AE44,'Raw Data'!AG44,'Raw Data'!AI44),"")</f>
        <v>6.2</v>
      </c>
      <c r="N57" s="11">
        <f t="shared" si="5"/>
        <v>1.3999999999999995</v>
      </c>
      <c r="O57" s="11">
        <f>IF('Raw Data'!A44&lt;&gt;"",AVERAGE('Raw Data'!AJ44,'Raw Data'!AL44,'Raw Data'!AN44,'Raw Data'!AP44,'Raw Data'!AR44),"")</f>
        <v>8.8000000000000007</v>
      </c>
      <c r="P57" s="11">
        <f>IF('Raw Data'!A44&lt;&gt;"",AVERAGE('Raw Data'!AK44,'Raw Data'!AM44,'Raw Data'!AO44,'Raw Data'!AQ44,'Raw Data'!AS44),"")</f>
        <v>3.2</v>
      </c>
      <c r="Q57" s="11">
        <f t="shared" si="6"/>
        <v>5.6000000000000005</v>
      </c>
      <c r="R57" s="11">
        <f>IF('Raw Data'!A44&lt;&gt;"",AVERAGE('Raw Data'!AT44,'Raw Data'!AV44,'Raw Data'!AX44,'Raw Data'!AZ44,'Raw Data'!BB44),"")</f>
        <v>7.4</v>
      </c>
      <c r="S57" s="11">
        <f>IF('Raw Data'!A44&lt;&gt;"",AVERAGE('Raw Data'!AU44,'Raw Data'!AW44,'Raw Data'!AY44,'Raw Data'!BA44,'Raw Data'!BC44),"")</f>
        <v>5.2</v>
      </c>
      <c r="T57" s="11">
        <f t="shared" si="7"/>
        <v>2.2000000000000002</v>
      </c>
      <c r="U57" s="11">
        <f>IF('Raw Data'!A44&lt;&gt;"",AVERAGE('Raw Data'!BD44,'Raw Data'!BF44,'Raw Data'!BH44,'Raw Data'!BJ44,'Raw Data'!BL44),"")</f>
        <v>8.6</v>
      </c>
      <c r="V57" s="11">
        <f>IF('Raw Data'!A44&lt;&gt;"",AVERAGE('Raw Data'!BE44,'Raw Data'!BG44,'Raw Data'!BI44,'Raw Data'!BK44,'Raw Data'!BM44),"")</f>
        <v>4.2</v>
      </c>
      <c r="W57" s="11">
        <f t="shared" si="8"/>
        <v>4.3999999999999995</v>
      </c>
      <c r="X57" s="11">
        <f t="shared" si="9"/>
        <v>8.0333333333333332</v>
      </c>
      <c r="Y57" s="11">
        <f t="shared" si="10"/>
        <v>5.3999999999999995</v>
      </c>
      <c r="Z57" s="11">
        <f t="shared" si="11"/>
        <v>2.6333333333333337</v>
      </c>
      <c r="AA57" s="11">
        <f t="shared" si="12"/>
        <v>2.7900000000000005</v>
      </c>
      <c r="AB57" s="24">
        <f t="shared" si="13"/>
        <v>2.8150000000000004</v>
      </c>
    </row>
    <row r="58" spans="1:28" x14ac:dyDescent="0.25">
      <c r="A58" s="10" t="str">
        <f>IF('Raw Data'!A45&lt;&gt;"",'Raw Data'!A45,"")</f>
        <v>R042</v>
      </c>
      <c r="B58" s="10" t="str">
        <f>IF('Raw Data'!B45&lt;&gt;"",'Raw Data'!B45,"")</f>
        <v>Engineering</v>
      </c>
      <c r="C58" s="10" t="str">
        <f>IF('Raw Data'!C45&lt;&gt;"",'Raw Data'!C45,"")</f>
        <v>Tokyo</v>
      </c>
      <c r="D58" s="10" t="str">
        <f>IF('Raw Data'!D45&lt;&gt;"",'Raw Data'!D45,"")</f>
        <v>Enterprise</v>
      </c>
      <c r="E58" s="10" t="str">
        <f>IF('Raw Data'!E45&lt;&gt;"",'Raw Data'!E45,"")</f>
        <v>L. Williams</v>
      </c>
      <c r="F58" s="14">
        <f>IF('Raw Data'!A45&lt;&gt;"",AVERAGE('Raw Data'!F45,'Raw Data'!H45,'Raw Data'!J45,'Raw Data'!L45,'Raw Data'!N45),"")</f>
        <v>8.1999999999999993</v>
      </c>
      <c r="G58" s="14">
        <f>IF('Raw Data'!A45&lt;&gt;"",AVERAGE('Raw Data'!G45,'Raw Data'!I45,'Raw Data'!K45,'Raw Data'!M45,'Raw Data'!O45),"")</f>
        <v>5.8</v>
      </c>
      <c r="H58" s="14">
        <f t="shared" si="3"/>
        <v>2.3999999999999995</v>
      </c>
      <c r="I58" s="14">
        <f>IF('Raw Data'!A45&lt;&gt;"",AVERAGE('Raw Data'!P45,'Raw Data'!R45,'Raw Data'!T45,'Raw Data'!V45,'Raw Data'!X45),"")</f>
        <v>7.2</v>
      </c>
      <c r="J58" s="14">
        <f>IF('Raw Data'!A45&lt;&gt;"",AVERAGE('Raw Data'!Q45,'Raw Data'!S45,'Raw Data'!U45,'Raw Data'!W45,'Raw Data'!Y45),"")</f>
        <v>7.6</v>
      </c>
      <c r="K58" s="14">
        <f t="shared" si="4"/>
        <v>-0.39999999999999947</v>
      </c>
      <c r="L58" s="14">
        <f>IF('Raw Data'!A45&lt;&gt;"",AVERAGE('Raw Data'!Z45,'Raw Data'!AB45,'Raw Data'!AD45,'Raw Data'!AF45,'Raw Data'!AH45),"")</f>
        <v>7</v>
      </c>
      <c r="M58" s="14">
        <f>IF('Raw Data'!A45&lt;&gt;"",AVERAGE('Raw Data'!AA45,'Raw Data'!AC45,'Raw Data'!AE45,'Raw Data'!AG45,'Raw Data'!AI45),"")</f>
        <v>7.4</v>
      </c>
      <c r="N58" s="14">
        <f t="shared" si="5"/>
        <v>-0.40000000000000036</v>
      </c>
      <c r="O58" s="14">
        <f>IF('Raw Data'!A45&lt;&gt;"",AVERAGE('Raw Data'!AJ45,'Raw Data'!AL45,'Raw Data'!AN45,'Raw Data'!AP45,'Raw Data'!AR45),"")</f>
        <v>8.6</v>
      </c>
      <c r="P58" s="14">
        <f>IF('Raw Data'!A45&lt;&gt;"",AVERAGE('Raw Data'!AK45,'Raw Data'!AM45,'Raw Data'!AO45,'Raw Data'!AQ45,'Raw Data'!AS45),"")</f>
        <v>4</v>
      </c>
      <c r="Q58" s="14">
        <f t="shared" si="6"/>
        <v>4.5999999999999996</v>
      </c>
      <c r="R58" s="14">
        <f>IF('Raw Data'!A45&lt;&gt;"",AVERAGE('Raw Data'!AT45,'Raw Data'!AV45,'Raw Data'!AX45,'Raw Data'!AZ45,'Raw Data'!BB45),"")</f>
        <v>7.2</v>
      </c>
      <c r="S58" s="14">
        <f>IF('Raw Data'!A45&lt;&gt;"",AVERAGE('Raw Data'!AU45,'Raw Data'!AW45,'Raw Data'!AY45,'Raw Data'!BA45,'Raw Data'!BC45),"")</f>
        <v>5.4</v>
      </c>
      <c r="T58" s="14">
        <f t="shared" si="7"/>
        <v>1.7999999999999998</v>
      </c>
      <c r="U58" s="14">
        <f>IF('Raw Data'!A45&lt;&gt;"",AVERAGE('Raw Data'!BD45,'Raw Data'!BF45,'Raw Data'!BH45,'Raw Data'!BJ45,'Raw Data'!BL45),"")</f>
        <v>8.6</v>
      </c>
      <c r="V58" s="14">
        <f>IF('Raw Data'!A45&lt;&gt;"",AVERAGE('Raw Data'!BE45,'Raw Data'!BG45,'Raw Data'!BI45,'Raw Data'!BK45,'Raw Data'!BM45),"")</f>
        <v>4.8</v>
      </c>
      <c r="W58" s="14">
        <f t="shared" si="8"/>
        <v>3.8</v>
      </c>
      <c r="X58" s="14">
        <f t="shared" si="9"/>
        <v>7.8000000000000007</v>
      </c>
      <c r="Y58" s="14">
        <f t="shared" si="10"/>
        <v>5.8333333333333321</v>
      </c>
      <c r="Z58" s="14">
        <f t="shared" si="11"/>
        <v>1.9666666666666686</v>
      </c>
      <c r="AA58" s="14">
        <f t="shared" si="12"/>
        <v>2.08</v>
      </c>
      <c r="AB58" s="25">
        <f t="shared" si="13"/>
        <v>1.84</v>
      </c>
    </row>
    <row r="59" spans="1:28" x14ac:dyDescent="0.25">
      <c r="A59" s="2" t="str">
        <f>IF('Raw Data'!A46&lt;&gt;"",'Raw Data'!A46,"")</f>
        <v>R043</v>
      </c>
      <c r="B59" s="2" t="str">
        <f>IF('Raw Data'!B46&lt;&gt;"",'Raw Data'!B46,"")</f>
        <v>Engineering</v>
      </c>
      <c r="C59" s="2" t="str">
        <f>IF('Raw Data'!C46&lt;&gt;"",'Raw Data'!C46,"")</f>
        <v>Sydney</v>
      </c>
      <c r="D59" s="2" t="str">
        <f>IF('Raw Data'!D46&lt;&gt;"",'Raw Data'!D46,"")</f>
        <v>Growth</v>
      </c>
      <c r="E59" s="2" t="str">
        <f>IF('Raw Data'!E46&lt;&gt;"",'Raw Data'!E46,"")</f>
        <v>M. Chen</v>
      </c>
      <c r="F59" s="11">
        <f>IF('Raw Data'!A46&lt;&gt;"",AVERAGE('Raw Data'!F46,'Raw Data'!H46,'Raw Data'!J46,'Raw Data'!L46,'Raw Data'!N46),"")</f>
        <v>8.8000000000000007</v>
      </c>
      <c r="G59" s="11">
        <f>IF('Raw Data'!A46&lt;&gt;"",AVERAGE('Raw Data'!G46,'Raw Data'!I46,'Raw Data'!K46,'Raw Data'!M46,'Raw Data'!O46),"")</f>
        <v>5</v>
      </c>
      <c r="H59" s="11">
        <f t="shared" si="3"/>
        <v>3.8000000000000007</v>
      </c>
      <c r="I59" s="11">
        <f>IF('Raw Data'!A46&lt;&gt;"",AVERAGE('Raw Data'!P46,'Raw Data'!R46,'Raw Data'!T46,'Raw Data'!V46,'Raw Data'!X46),"")</f>
        <v>8.6</v>
      </c>
      <c r="J59" s="11">
        <f>IF('Raw Data'!A46&lt;&gt;"",AVERAGE('Raw Data'!Q46,'Raw Data'!S46,'Raw Data'!U46,'Raw Data'!W46,'Raw Data'!Y46),"")</f>
        <v>7.6</v>
      </c>
      <c r="K59" s="11">
        <f t="shared" si="4"/>
        <v>1</v>
      </c>
      <c r="L59" s="11">
        <f>IF('Raw Data'!A46&lt;&gt;"",AVERAGE('Raw Data'!Z46,'Raw Data'!AB46,'Raw Data'!AD46,'Raw Data'!AF46,'Raw Data'!AH46),"")</f>
        <v>6.8</v>
      </c>
      <c r="M59" s="11">
        <f>IF('Raw Data'!A46&lt;&gt;"",AVERAGE('Raw Data'!AA46,'Raw Data'!AC46,'Raw Data'!AE46,'Raw Data'!AG46,'Raw Data'!AI46),"")</f>
        <v>6.4</v>
      </c>
      <c r="N59" s="11">
        <f t="shared" si="5"/>
        <v>0.39999999999999947</v>
      </c>
      <c r="O59" s="11">
        <f>IF('Raw Data'!A46&lt;&gt;"",AVERAGE('Raw Data'!AJ46,'Raw Data'!AL46,'Raw Data'!AN46,'Raw Data'!AP46,'Raw Data'!AR46),"")</f>
        <v>7.2</v>
      </c>
      <c r="P59" s="11">
        <f>IF('Raw Data'!A46&lt;&gt;"",AVERAGE('Raw Data'!AK46,'Raw Data'!AM46,'Raw Data'!AO46,'Raw Data'!AQ46,'Raw Data'!AS46),"")</f>
        <v>4.2</v>
      </c>
      <c r="Q59" s="11">
        <f t="shared" si="6"/>
        <v>3</v>
      </c>
      <c r="R59" s="11">
        <f>IF('Raw Data'!A46&lt;&gt;"",AVERAGE('Raw Data'!AT46,'Raw Data'!AV46,'Raw Data'!AX46,'Raw Data'!AZ46,'Raw Data'!BB46),"")</f>
        <v>6.8</v>
      </c>
      <c r="S59" s="11">
        <f>IF('Raw Data'!A46&lt;&gt;"",AVERAGE('Raw Data'!AU46,'Raw Data'!AW46,'Raw Data'!AY46,'Raw Data'!BA46,'Raw Data'!BC46),"")</f>
        <v>5</v>
      </c>
      <c r="T59" s="11">
        <f t="shared" si="7"/>
        <v>1.7999999999999998</v>
      </c>
      <c r="U59" s="11">
        <f>IF('Raw Data'!A46&lt;&gt;"",AVERAGE('Raw Data'!BD46,'Raw Data'!BF46,'Raw Data'!BH46,'Raw Data'!BJ46,'Raw Data'!BL46),"")</f>
        <v>8.6</v>
      </c>
      <c r="V59" s="11">
        <f>IF('Raw Data'!A46&lt;&gt;"",AVERAGE('Raw Data'!BE46,'Raw Data'!BG46,'Raw Data'!BI46,'Raw Data'!BK46,'Raw Data'!BM46),"")</f>
        <v>4.4000000000000004</v>
      </c>
      <c r="W59" s="11">
        <f t="shared" si="8"/>
        <v>4.1999999999999993</v>
      </c>
      <c r="X59" s="11">
        <f t="shared" si="9"/>
        <v>7.8</v>
      </c>
      <c r="Y59" s="11">
        <f t="shared" si="10"/>
        <v>5.4333333333333336</v>
      </c>
      <c r="Z59" s="11">
        <f t="shared" si="11"/>
        <v>2.3666666666666663</v>
      </c>
      <c r="AA59" s="11">
        <f t="shared" si="12"/>
        <v>2.48</v>
      </c>
      <c r="AB59" s="24">
        <f t="shared" si="13"/>
        <v>2.14</v>
      </c>
    </row>
    <row r="60" spans="1:28" x14ac:dyDescent="0.25">
      <c r="A60" s="10" t="str">
        <f>IF('Raw Data'!A47&lt;&gt;"",'Raw Data'!A47,"")</f>
        <v>R044</v>
      </c>
      <c r="B60" s="10" t="str">
        <f>IF('Raw Data'!B47&lt;&gt;"",'Raw Data'!B47,"")</f>
        <v>Engineering</v>
      </c>
      <c r="C60" s="10" t="str">
        <f>IF('Raw Data'!C47&lt;&gt;"",'Raw Data'!C47,"")</f>
        <v>London</v>
      </c>
      <c r="D60" s="10" t="str">
        <f>IF('Raw Data'!D47&lt;&gt;"",'Raw Data'!D47,"")</f>
        <v>Core Product</v>
      </c>
      <c r="E60" s="10" t="str">
        <f>IF('Raw Data'!E47&lt;&gt;"",'Raw Data'!E47,"")</f>
        <v>R. Kim</v>
      </c>
      <c r="F60" s="14">
        <f>IF('Raw Data'!A47&lt;&gt;"",AVERAGE('Raw Data'!F47,'Raw Data'!H47,'Raw Data'!J47,'Raw Data'!L47,'Raw Data'!N47),"")</f>
        <v>8.1999999999999993</v>
      </c>
      <c r="G60" s="14">
        <f>IF('Raw Data'!A47&lt;&gt;"",AVERAGE('Raw Data'!G47,'Raw Data'!I47,'Raw Data'!K47,'Raw Data'!M47,'Raw Data'!O47),"")</f>
        <v>5</v>
      </c>
      <c r="H60" s="14">
        <f t="shared" si="3"/>
        <v>3.1999999999999993</v>
      </c>
      <c r="I60" s="14">
        <f>IF('Raw Data'!A47&lt;&gt;"",AVERAGE('Raw Data'!P47,'Raw Data'!R47,'Raw Data'!T47,'Raw Data'!V47,'Raw Data'!X47),"")</f>
        <v>8.8000000000000007</v>
      </c>
      <c r="J60" s="14">
        <f>IF('Raw Data'!A47&lt;&gt;"",AVERAGE('Raw Data'!Q47,'Raw Data'!S47,'Raw Data'!U47,'Raw Data'!W47,'Raw Data'!Y47),"")</f>
        <v>6.6</v>
      </c>
      <c r="K60" s="14">
        <f t="shared" si="4"/>
        <v>2.2000000000000011</v>
      </c>
      <c r="L60" s="14">
        <f>IF('Raw Data'!A47&lt;&gt;"",AVERAGE('Raw Data'!Z47,'Raw Data'!AB47,'Raw Data'!AD47,'Raw Data'!AF47,'Raw Data'!AH47),"")</f>
        <v>8.4</v>
      </c>
      <c r="M60" s="14">
        <f>IF('Raw Data'!A47&lt;&gt;"",AVERAGE('Raw Data'!AA47,'Raw Data'!AC47,'Raw Data'!AE47,'Raw Data'!AG47,'Raw Data'!AI47),"")</f>
        <v>4.8</v>
      </c>
      <c r="N60" s="14">
        <f t="shared" si="5"/>
        <v>3.6000000000000005</v>
      </c>
      <c r="O60" s="14">
        <f>IF('Raw Data'!A47&lt;&gt;"",AVERAGE('Raw Data'!AJ47,'Raw Data'!AL47,'Raw Data'!AN47,'Raw Data'!AP47,'Raw Data'!AR47),"")</f>
        <v>8.4</v>
      </c>
      <c r="P60" s="14">
        <f>IF('Raw Data'!A47&lt;&gt;"",AVERAGE('Raw Data'!AK47,'Raw Data'!AM47,'Raw Data'!AO47,'Raw Data'!AQ47,'Raw Data'!AS47),"")</f>
        <v>6</v>
      </c>
      <c r="Q60" s="14">
        <f t="shared" si="6"/>
        <v>2.4000000000000004</v>
      </c>
      <c r="R60" s="14">
        <f>IF('Raw Data'!A47&lt;&gt;"",AVERAGE('Raw Data'!AT47,'Raw Data'!AV47,'Raw Data'!AX47,'Raw Data'!AZ47,'Raw Data'!BB47),"")</f>
        <v>8.4</v>
      </c>
      <c r="S60" s="14">
        <f>IF('Raw Data'!A47&lt;&gt;"",AVERAGE('Raw Data'!AU47,'Raw Data'!AW47,'Raw Data'!AY47,'Raw Data'!BA47,'Raw Data'!BC47),"")</f>
        <v>5</v>
      </c>
      <c r="T60" s="14">
        <f t="shared" si="7"/>
        <v>3.4000000000000004</v>
      </c>
      <c r="U60" s="14">
        <f>IF('Raw Data'!A47&lt;&gt;"",AVERAGE('Raw Data'!BD47,'Raw Data'!BF47,'Raw Data'!BH47,'Raw Data'!BJ47,'Raw Data'!BL47),"")</f>
        <v>7.8</v>
      </c>
      <c r="V60" s="14">
        <f>IF('Raw Data'!A47&lt;&gt;"",AVERAGE('Raw Data'!BE47,'Raw Data'!BG47,'Raw Data'!BI47,'Raw Data'!BK47,'Raw Data'!BM47),"")</f>
        <v>5.8</v>
      </c>
      <c r="W60" s="14">
        <f t="shared" si="8"/>
        <v>2</v>
      </c>
      <c r="X60" s="14">
        <f t="shared" si="9"/>
        <v>8.3333333333333321</v>
      </c>
      <c r="Y60" s="14">
        <f t="shared" si="10"/>
        <v>5.5333333333333323</v>
      </c>
      <c r="Z60" s="14">
        <f t="shared" si="11"/>
        <v>2.8</v>
      </c>
      <c r="AA60" s="14">
        <f t="shared" si="12"/>
        <v>2.6100000000000003</v>
      </c>
      <c r="AB60" s="25">
        <f t="shared" si="13"/>
        <v>2.4450000000000003</v>
      </c>
    </row>
    <row r="61" spans="1:28" x14ac:dyDescent="0.25">
      <c r="A61" s="2" t="str">
        <f>IF('Raw Data'!A48&lt;&gt;"",'Raw Data'!A48,"")</f>
        <v>R045</v>
      </c>
      <c r="B61" s="2" t="str">
        <f>IF('Raw Data'!B48&lt;&gt;"",'Raw Data'!B48,"")</f>
        <v>Engineering</v>
      </c>
      <c r="C61" s="2" t="str">
        <f>IF('Raw Data'!C48&lt;&gt;"",'Raw Data'!C48,"")</f>
        <v>Berlin</v>
      </c>
      <c r="D61" s="2" t="str">
        <f>IF('Raw Data'!D48&lt;&gt;"",'Raw Data'!D48,"")</f>
        <v>Enterprise</v>
      </c>
      <c r="E61" s="2" t="str">
        <f>IF('Raw Data'!E48&lt;&gt;"",'Raw Data'!E48,"")</f>
        <v>J. Brown</v>
      </c>
      <c r="F61" s="11">
        <f>IF('Raw Data'!A48&lt;&gt;"",AVERAGE('Raw Data'!F48,'Raw Data'!H48,'Raw Data'!J48,'Raw Data'!L48,'Raw Data'!N48),"")</f>
        <v>9</v>
      </c>
      <c r="G61" s="11">
        <f>IF('Raw Data'!A48&lt;&gt;"",AVERAGE('Raw Data'!G48,'Raw Data'!I48,'Raw Data'!K48,'Raw Data'!M48,'Raw Data'!O48),"")</f>
        <v>6.2</v>
      </c>
      <c r="H61" s="11">
        <f t="shared" si="3"/>
        <v>2.8</v>
      </c>
      <c r="I61" s="11">
        <f>IF('Raw Data'!A48&lt;&gt;"",AVERAGE('Raw Data'!P48,'Raw Data'!R48,'Raw Data'!T48,'Raw Data'!V48,'Raw Data'!X48),"")</f>
        <v>7.4</v>
      </c>
      <c r="J61" s="11">
        <f>IF('Raw Data'!A48&lt;&gt;"",AVERAGE('Raw Data'!Q48,'Raw Data'!S48,'Raw Data'!U48,'Raw Data'!W48,'Raw Data'!Y48),"")</f>
        <v>6</v>
      </c>
      <c r="K61" s="11">
        <f t="shared" si="4"/>
        <v>1.4000000000000004</v>
      </c>
      <c r="L61" s="11">
        <f>IF('Raw Data'!A48&lt;&gt;"",AVERAGE('Raw Data'!Z48,'Raw Data'!AB48,'Raw Data'!AD48,'Raw Data'!AF48,'Raw Data'!AH48),"")</f>
        <v>7.6</v>
      </c>
      <c r="M61" s="11">
        <f>IF('Raw Data'!A48&lt;&gt;"",AVERAGE('Raw Data'!AA48,'Raw Data'!AC48,'Raw Data'!AE48,'Raw Data'!AG48,'Raw Data'!AI48),"")</f>
        <v>6</v>
      </c>
      <c r="N61" s="11">
        <f t="shared" si="5"/>
        <v>1.5999999999999996</v>
      </c>
      <c r="O61" s="11">
        <f>IF('Raw Data'!A48&lt;&gt;"",AVERAGE('Raw Data'!AJ48,'Raw Data'!AL48,'Raw Data'!AN48,'Raw Data'!AP48,'Raw Data'!AR48),"")</f>
        <v>8</v>
      </c>
      <c r="P61" s="11">
        <f>IF('Raw Data'!A48&lt;&gt;"",AVERAGE('Raw Data'!AK48,'Raw Data'!AM48,'Raw Data'!AO48,'Raw Data'!AQ48,'Raw Data'!AS48),"")</f>
        <v>5.6</v>
      </c>
      <c r="Q61" s="11">
        <f t="shared" si="6"/>
        <v>2.4000000000000004</v>
      </c>
      <c r="R61" s="11">
        <f>IF('Raw Data'!A48&lt;&gt;"",AVERAGE('Raw Data'!AT48,'Raw Data'!AV48,'Raw Data'!AX48,'Raw Data'!AZ48,'Raw Data'!BB48),"")</f>
        <v>7</v>
      </c>
      <c r="S61" s="11">
        <f>IF('Raw Data'!A48&lt;&gt;"",AVERAGE('Raw Data'!AU48,'Raw Data'!AW48,'Raw Data'!AY48,'Raw Data'!BA48,'Raw Data'!BC48),"")</f>
        <v>5.6</v>
      </c>
      <c r="T61" s="11">
        <f t="shared" si="7"/>
        <v>1.4000000000000004</v>
      </c>
      <c r="U61" s="11">
        <f>IF('Raw Data'!A48&lt;&gt;"",AVERAGE('Raw Data'!BD48,'Raw Data'!BF48,'Raw Data'!BH48,'Raw Data'!BJ48,'Raw Data'!BL48),"")</f>
        <v>8</v>
      </c>
      <c r="V61" s="11">
        <f>IF('Raw Data'!A48&lt;&gt;"",AVERAGE('Raw Data'!BE48,'Raw Data'!BG48,'Raw Data'!BI48,'Raw Data'!BK48,'Raw Data'!BM48),"")</f>
        <v>4.8</v>
      </c>
      <c r="W61" s="11">
        <f t="shared" si="8"/>
        <v>3.2</v>
      </c>
      <c r="X61" s="11">
        <f t="shared" si="9"/>
        <v>7.833333333333333</v>
      </c>
      <c r="Y61" s="11">
        <f t="shared" si="10"/>
        <v>5.6999999999999993</v>
      </c>
      <c r="Z61" s="11">
        <f t="shared" si="11"/>
        <v>2.1333333333333337</v>
      </c>
      <c r="AA61" s="11">
        <f t="shared" si="12"/>
        <v>2.1900000000000004</v>
      </c>
      <c r="AB61" s="24">
        <f t="shared" si="13"/>
        <v>1.9950000000000006</v>
      </c>
    </row>
    <row r="62" spans="1:28" x14ac:dyDescent="0.25">
      <c r="A62" s="10" t="str">
        <f>IF('Raw Data'!A49&lt;&gt;"",'Raw Data'!A49,"")</f>
        <v>R046</v>
      </c>
      <c r="B62" s="10" t="str">
        <f>IF('Raw Data'!B49&lt;&gt;"",'Raw Data'!B49,"")</f>
        <v>Human Resources</v>
      </c>
      <c r="C62" s="10" t="str">
        <f>IF('Raw Data'!C49&lt;&gt;"",'Raw Data'!C49,"")</f>
        <v>Tokyo</v>
      </c>
      <c r="D62" s="10" t="str">
        <f>IF('Raw Data'!D49&lt;&gt;"",'Raw Data'!D49,"")</f>
        <v>Corporate</v>
      </c>
      <c r="E62" s="10" t="str">
        <f>IF('Raw Data'!E49&lt;&gt;"",'Raw Data'!E49,"")</f>
        <v>J. Brown</v>
      </c>
      <c r="F62" s="14">
        <f>IF('Raw Data'!A49&lt;&gt;"",AVERAGE('Raw Data'!F49,'Raw Data'!H49,'Raw Data'!J49,'Raw Data'!L49,'Raw Data'!N49),"")</f>
        <v>9</v>
      </c>
      <c r="G62" s="14">
        <f>IF('Raw Data'!A49&lt;&gt;"",AVERAGE('Raw Data'!G49,'Raw Data'!I49,'Raw Data'!K49,'Raw Data'!M49,'Raw Data'!O49),"")</f>
        <v>7.2</v>
      </c>
      <c r="H62" s="14">
        <f t="shared" si="3"/>
        <v>1.7999999999999998</v>
      </c>
      <c r="I62" s="14">
        <f>IF('Raw Data'!A49&lt;&gt;"",AVERAGE('Raw Data'!P49,'Raw Data'!R49,'Raw Data'!T49,'Raw Data'!V49,'Raw Data'!X49),"")</f>
        <v>9</v>
      </c>
      <c r="J62" s="14">
        <f>IF('Raw Data'!A49&lt;&gt;"",AVERAGE('Raw Data'!Q49,'Raw Data'!S49,'Raw Data'!U49,'Raw Data'!W49,'Raw Data'!Y49),"")</f>
        <v>7.6</v>
      </c>
      <c r="K62" s="14">
        <f t="shared" si="4"/>
        <v>1.4000000000000004</v>
      </c>
      <c r="L62" s="14">
        <f>IF('Raw Data'!A49&lt;&gt;"",AVERAGE('Raw Data'!Z49,'Raw Data'!AB49,'Raw Data'!AD49,'Raw Data'!AF49,'Raw Data'!AH49),"")</f>
        <v>7.6</v>
      </c>
      <c r="M62" s="14">
        <f>IF('Raw Data'!A49&lt;&gt;"",AVERAGE('Raw Data'!AA49,'Raw Data'!AC49,'Raw Data'!AE49,'Raw Data'!AG49,'Raw Data'!AI49),"")</f>
        <v>6.2</v>
      </c>
      <c r="N62" s="14">
        <f t="shared" si="5"/>
        <v>1.3999999999999995</v>
      </c>
      <c r="O62" s="14">
        <f>IF('Raw Data'!A49&lt;&gt;"",AVERAGE('Raw Data'!AJ49,'Raw Data'!AL49,'Raw Data'!AN49,'Raw Data'!AP49,'Raw Data'!AR49),"")</f>
        <v>8.1999999999999993</v>
      </c>
      <c r="P62" s="14">
        <f>IF('Raw Data'!A49&lt;&gt;"",AVERAGE('Raw Data'!AK49,'Raw Data'!AM49,'Raw Data'!AO49,'Raw Data'!AQ49,'Raw Data'!AS49),"")</f>
        <v>5.2</v>
      </c>
      <c r="Q62" s="14">
        <f t="shared" si="6"/>
        <v>2.9999999999999991</v>
      </c>
      <c r="R62" s="14">
        <f>IF('Raw Data'!A49&lt;&gt;"",AVERAGE('Raw Data'!AT49,'Raw Data'!AV49,'Raw Data'!AX49,'Raw Data'!AZ49,'Raw Data'!BB49),"")</f>
        <v>7.2</v>
      </c>
      <c r="S62" s="14">
        <f>IF('Raw Data'!A49&lt;&gt;"",AVERAGE('Raw Data'!AU49,'Raw Data'!AW49,'Raw Data'!AY49,'Raw Data'!BA49,'Raw Data'!BC49),"")</f>
        <v>4.2</v>
      </c>
      <c r="T62" s="14">
        <f t="shared" si="7"/>
        <v>3</v>
      </c>
      <c r="U62" s="14">
        <f>IF('Raw Data'!A49&lt;&gt;"",AVERAGE('Raw Data'!BD49,'Raw Data'!BF49,'Raw Data'!BH49,'Raw Data'!BJ49,'Raw Data'!BL49),"")</f>
        <v>8.1999999999999993</v>
      </c>
      <c r="V62" s="14">
        <f>IF('Raw Data'!A49&lt;&gt;"",AVERAGE('Raw Data'!BE49,'Raw Data'!BG49,'Raw Data'!BI49,'Raw Data'!BK49,'Raw Data'!BM49),"")</f>
        <v>5.8</v>
      </c>
      <c r="W62" s="14">
        <f t="shared" si="8"/>
        <v>2.3999999999999995</v>
      </c>
      <c r="X62" s="14">
        <f t="shared" si="9"/>
        <v>8.2000000000000011</v>
      </c>
      <c r="Y62" s="14">
        <f t="shared" si="10"/>
        <v>6.0333333333333323</v>
      </c>
      <c r="Z62" s="14">
        <f t="shared" si="11"/>
        <v>2.1666666666666687</v>
      </c>
      <c r="AA62" s="14">
        <f t="shared" si="12"/>
        <v>2.1399999999999997</v>
      </c>
      <c r="AB62" s="25">
        <f t="shared" si="13"/>
        <v>2.09</v>
      </c>
    </row>
    <row r="63" spans="1:28" x14ac:dyDescent="0.25">
      <c r="A63" s="2" t="str">
        <f>IF('Raw Data'!A50&lt;&gt;"",'Raw Data'!A50,"")</f>
        <v>R047</v>
      </c>
      <c r="B63" s="2" t="str">
        <f>IF('Raw Data'!B50&lt;&gt;"",'Raw Data'!B50,"")</f>
        <v>Human Resources</v>
      </c>
      <c r="C63" s="2" t="str">
        <f>IF('Raw Data'!C50&lt;&gt;"",'Raw Data'!C50,"")</f>
        <v>Tokyo</v>
      </c>
      <c r="D63" s="2" t="str">
        <f>IF('Raw Data'!D50&lt;&gt;"",'Raw Data'!D50,"")</f>
        <v>Corporate</v>
      </c>
      <c r="E63" s="2" t="str">
        <f>IF('Raw Data'!E50&lt;&gt;"",'Raw Data'!E50,"")</f>
        <v>L. Williams</v>
      </c>
      <c r="F63" s="11">
        <f>IF('Raw Data'!A50&lt;&gt;"",AVERAGE('Raw Data'!F50,'Raw Data'!H50,'Raw Data'!J50,'Raw Data'!L50,'Raw Data'!N50),"")</f>
        <v>8.8000000000000007</v>
      </c>
      <c r="G63" s="11">
        <f>IF('Raw Data'!A50&lt;&gt;"",AVERAGE('Raw Data'!G50,'Raw Data'!I50,'Raw Data'!K50,'Raw Data'!M50,'Raw Data'!O50),"")</f>
        <v>5</v>
      </c>
      <c r="H63" s="11">
        <f t="shared" si="3"/>
        <v>3.8000000000000007</v>
      </c>
      <c r="I63" s="11">
        <f>IF('Raw Data'!A50&lt;&gt;"",AVERAGE('Raw Data'!P50,'Raw Data'!R50,'Raw Data'!T50,'Raw Data'!V50,'Raw Data'!X50),"")</f>
        <v>8.4</v>
      </c>
      <c r="J63" s="11">
        <f>IF('Raw Data'!A50&lt;&gt;"",AVERAGE('Raw Data'!Q50,'Raw Data'!S50,'Raw Data'!U50,'Raw Data'!W50,'Raw Data'!Y50),"")</f>
        <v>6.6</v>
      </c>
      <c r="K63" s="11">
        <f t="shared" si="4"/>
        <v>1.8000000000000007</v>
      </c>
      <c r="L63" s="11">
        <f>IF('Raw Data'!A50&lt;&gt;"",AVERAGE('Raw Data'!Z50,'Raw Data'!AB50,'Raw Data'!AD50,'Raw Data'!AF50,'Raw Data'!AH50),"")</f>
        <v>7.2</v>
      </c>
      <c r="M63" s="11">
        <f>IF('Raw Data'!A50&lt;&gt;"",AVERAGE('Raw Data'!AA50,'Raw Data'!AC50,'Raw Data'!AE50,'Raw Data'!AG50,'Raw Data'!AI50),"")</f>
        <v>8</v>
      </c>
      <c r="N63" s="11">
        <f t="shared" si="5"/>
        <v>-0.79999999999999982</v>
      </c>
      <c r="O63" s="11">
        <f>IF('Raw Data'!A50&lt;&gt;"",AVERAGE('Raw Data'!AJ50,'Raw Data'!AL50,'Raw Data'!AN50,'Raw Data'!AP50,'Raw Data'!AR50),"")</f>
        <v>7.6</v>
      </c>
      <c r="P63" s="11">
        <f>IF('Raw Data'!A50&lt;&gt;"",AVERAGE('Raw Data'!AK50,'Raw Data'!AM50,'Raw Data'!AO50,'Raw Data'!AQ50,'Raw Data'!AS50),"")</f>
        <v>5</v>
      </c>
      <c r="Q63" s="11">
        <f t="shared" si="6"/>
        <v>2.5999999999999996</v>
      </c>
      <c r="R63" s="11">
        <f>IF('Raw Data'!A50&lt;&gt;"",AVERAGE('Raw Data'!AT50,'Raw Data'!AV50,'Raw Data'!AX50,'Raw Data'!AZ50,'Raw Data'!BB50),"")</f>
        <v>7.8</v>
      </c>
      <c r="S63" s="11">
        <f>IF('Raw Data'!A50&lt;&gt;"",AVERAGE('Raw Data'!AU50,'Raw Data'!AW50,'Raw Data'!AY50,'Raw Data'!BA50,'Raw Data'!BC50),"")</f>
        <v>6.4</v>
      </c>
      <c r="T63" s="11">
        <f t="shared" si="7"/>
        <v>1.3999999999999995</v>
      </c>
      <c r="U63" s="11">
        <f>IF('Raw Data'!A50&lt;&gt;"",AVERAGE('Raw Data'!BD50,'Raw Data'!BF50,'Raw Data'!BH50,'Raw Data'!BJ50,'Raw Data'!BL50),"")</f>
        <v>7.6</v>
      </c>
      <c r="V63" s="11">
        <f>IF('Raw Data'!A50&lt;&gt;"",AVERAGE('Raw Data'!BE50,'Raw Data'!BG50,'Raw Data'!BI50,'Raw Data'!BK50,'Raw Data'!BM50),"")</f>
        <v>6.2</v>
      </c>
      <c r="W63" s="11">
        <f t="shared" si="8"/>
        <v>1.3999999999999995</v>
      </c>
      <c r="X63" s="11">
        <f t="shared" si="9"/>
        <v>7.8999999999999995</v>
      </c>
      <c r="Y63" s="11">
        <f t="shared" si="10"/>
        <v>6.2</v>
      </c>
      <c r="Z63" s="11">
        <f t="shared" si="11"/>
        <v>1.6999999999999993</v>
      </c>
      <c r="AA63" s="11">
        <f t="shared" si="12"/>
        <v>1.88</v>
      </c>
      <c r="AB63" s="24">
        <f t="shared" si="13"/>
        <v>2</v>
      </c>
    </row>
    <row r="64" spans="1:28" x14ac:dyDescent="0.25">
      <c r="A64" s="10" t="str">
        <f>IF('Raw Data'!A51&lt;&gt;"",'Raw Data'!A51,"")</f>
        <v>R048</v>
      </c>
      <c r="B64" s="10" t="str">
        <f>IF('Raw Data'!B51&lt;&gt;"",'Raw Data'!B51,"")</f>
        <v>Finance</v>
      </c>
      <c r="C64" s="10" t="str">
        <f>IF('Raw Data'!C51&lt;&gt;"",'Raw Data'!C51,"")</f>
        <v>Tokyo</v>
      </c>
      <c r="D64" s="10" t="str">
        <f>IF('Raw Data'!D51&lt;&gt;"",'Raw Data'!D51,"")</f>
        <v>Corporate</v>
      </c>
      <c r="E64" s="10" t="str">
        <f>IF('Raw Data'!E51&lt;&gt;"",'Raw Data'!E51,"")</f>
        <v>L. Williams</v>
      </c>
      <c r="F64" s="14">
        <f>IF('Raw Data'!A51&lt;&gt;"",AVERAGE('Raw Data'!F51,'Raw Data'!H51,'Raw Data'!J51,'Raw Data'!L51,'Raw Data'!N51),"")</f>
        <v>6.2</v>
      </c>
      <c r="G64" s="14">
        <f>IF('Raw Data'!A51&lt;&gt;"",AVERAGE('Raw Data'!G51,'Raw Data'!I51,'Raw Data'!K51,'Raw Data'!M51,'Raw Data'!O51),"")</f>
        <v>6.4</v>
      </c>
      <c r="H64" s="14">
        <f t="shared" si="3"/>
        <v>-0.20000000000000018</v>
      </c>
      <c r="I64" s="14">
        <f>IF('Raw Data'!A51&lt;&gt;"",AVERAGE('Raw Data'!P51,'Raw Data'!R51,'Raw Data'!T51,'Raw Data'!V51,'Raw Data'!X51),"")</f>
        <v>8.6</v>
      </c>
      <c r="J64" s="14">
        <f>IF('Raw Data'!A51&lt;&gt;"",AVERAGE('Raw Data'!Q51,'Raw Data'!S51,'Raw Data'!U51,'Raw Data'!W51,'Raw Data'!Y51),"")</f>
        <v>7.2</v>
      </c>
      <c r="K64" s="14">
        <f t="shared" si="4"/>
        <v>1.3999999999999995</v>
      </c>
      <c r="L64" s="14">
        <f>IF('Raw Data'!A51&lt;&gt;"",AVERAGE('Raw Data'!Z51,'Raw Data'!AB51,'Raw Data'!AD51,'Raw Data'!AF51,'Raw Data'!AH51),"")</f>
        <v>8</v>
      </c>
      <c r="M64" s="14">
        <f>IF('Raw Data'!A51&lt;&gt;"",AVERAGE('Raw Data'!AA51,'Raw Data'!AC51,'Raw Data'!AE51,'Raw Data'!AG51,'Raw Data'!AI51),"")</f>
        <v>7</v>
      </c>
      <c r="N64" s="14">
        <f t="shared" si="5"/>
        <v>1</v>
      </c>
      <c r="O64" s="14">
        <f>IF('Raw Data'!A51&lt;&gt;"",AVERAGE('Raw Data'!AJ51,'Raw Data'!AL51,'Raw Data'!AN51,'Raw Data'!AP51,'Raw Data'!AR51),"")</f>
        <v>9</v>
      </c>
      <c r="P64" s="14">
        <f>IF('Raw Data'!A51&lt;&gt;"",AVERAGE('Raw Data'!AK51,'Raw Data'!AM51,'Raw Data'!AO51,'Raw Data'!AQ51,'Raw Data'!AS51),"")</f>
        <v>4.5999999999999996</v>
      </c>
      <c r="Q64" s="14">
        <f t="shared" si="6"/>
        <v>4.4000000000000004</v>
      </c>
      <c r="R64" s="14">
        <f>IF('Raw Data'!A51&lt;&gt;"",AVERAGE('Raw Data'!AT51,'Raw Data'!AV51,'Raw Data'!AX51,'Raw Data'!AZ51,'Raw Data'!BB51),"")</f>
        <v>7.8</v>
      </c>
      <c r="S64" s="14">
        <f>IF('Raw Data'!A51&lt;&gt;"",AVERAGE('Raw Data'!AU51,'Raw Data'!AW51,'Raw Data'!AY51,'Raw Data'!BA51,'Raw Data'!BC51),"")</f>
        <v>5.2</v>
      </c>
      <c r="T64" s="14">
        <f t="shared" si="7"/>
        <v>2.5999999999999996</v>
      </c>
      <c r="U64" s="14">
        <f>IF('Raw Data'!A51&lt;&gt;"",AVERAGE('Raw Data'!BD51,'Raw Data'!BF51,'Raw Data'!BH51,'Raw Data'!BJ51,'Raw Data'!BL51),"")</f>
        <v>7.6</v>
      </c>
      <c r="V64" s="14">
        <f>IF('Raw Data'!A51&lt;&gt;"",AVERAGE('Raw Data'!BE51,'Raw Data'!BG51,'Raw Data'!BI51,'Raw Data'!BK51,'Raw Data'!BM51),"")</f>
        <v>3.2</v>
      </c>
      <c r="W64" s="14">
        <f t="shared" si="8"/>
        <v>4.3999999999999995</v>
      </c>
      <c r="X64" s="14">
        <f t="shared" si="9"/>
        <v>7.8666666666666671</v>
      </c>
      <c r="Y64" s="14">
        <f t="shared" si="10"/>
        <v>5.6000000000000005</v>
      </c>
      <c r="Z64" s="14">
        <f t="shared" si="11"/>
        <v>2.2666666666666666</v>
      </c>
      <c r="AA64" s="14">
        <f t="shared" si="12"/>
        <v>2.44</v>
      </c>
      <c r="AB64" s="25">
        <f t="shared" si="13"/>
        <v>2.5199999999999996</v>
      </c>
    </row>
    <row r="65" spans="1:28" x14ac:dyDescent="0.25">
      <c r="A65" s="2" t="str">
        <f>IF('Raw Data'!A52&lt;&gt;"",'Raw Data'!A52,"")</f>
        <v>R049</v>
      </c>
      <c r="B65" s="2" t="str">
        <f>IF('Raw Data'!B52&lt;&gt;"",'Raw Data'!B52,"")</f>
        <v>Sales</v>
      </c>
      <c r="C65" s="2" t="str">
        <f>IF('Raw Data'!C52&lt;&gt;"",'Raw Data'!C52,"")</f>
        <v>Tokyo</v>
      </c>
      <c r="D65" s="2" t="str">
        <f>IF('Raw Data'!D52&lt;&gt;"",'Raw Data'!D52,"")</f>
        <v>Enterprise</v>
      </c>
      <c r="E65" s="2" t="str">
        <f>IF('Raw Data'!E52&lt;&gt;"",'Raw Data'!E52,"")</f>
        <v>T. Garcia</v>
      </c>
      <c r="F65" s="11">
        <f>IF('Raw Data'!A52&lt;&gt;"",AVERAGE('Raw Data'!F52,'Raw Data'!H52,'Raw Data'!J52,'Raw Data'!L52,'Raw Data'!N52),"")</f>
        <v>7</v>
      </c>
      <c r="G65" s="11">
        <f>IF('Raw Data'!A52&lt;&gt;"",AVERAGE('Raw Data'!G52,'Raw Data'!I52,'Raw Data'!K52,'Raw Data'!M52,'Raw Data'!O52),"")</f>
        <v>7</v>
      </c>
      <c r="H65" s="11">
        <f t="shared" si="3"/>
        <v>0</v>
      </c>
      <c r="I65" s="11">
        <f>IF('Raw Data'!A52&lt;&gt;"",AVERAGE('Raw Data'!P52,'Raw Data'!R52,'Raw Data'!T52,'Raw Data'!V52,'Raw Data'!X52),"")</f>
        <v>8.4</v>
      </c>
      <c r="J65" s="11">
        <f>IF('Raw Data'!A52&lt;&gt;"",AVERAGE('Raw Data'!Q52,'Raw Data'!S52,'Raw Data'!U52,'Raw Data'!W52,'Raw Data'!Y52),"")</f>
        <v>6.4</v>
      </c>
      <c r="K65" s="11">
        <f t="shared" si="4"/>
        <v>2</v>
      </c>
      <c r="L65" s="11">
        <f>IF('Raw Data'!A52&lt;&gt;"",AVERAGE('Raw Data'!Z52,'Raw Data'!AB52,'Raw Data'!AD52,'Raw Data'!AF52,'Raw Data'!AH52),"")</f>
        <v>7.2</v>
      </c>
      <c r="M65" s="11">
        <f>IF('Raw Data'!A52&lt;&gt;"",AVERAGE('Raw Data'!AA52,'Raw Data'!AC52,'Raw Data'!AE52,'Raw Data'!AG52,'Raw Data'!AI52),"")</f>
        <v>7</v>
      </c>
      <c r="N65" s="11">
        <f t="shared" si="5"/>
        <v>0.20000000000000018</v>
      </c>
      <c r="O65" s="11">
        <f>IF('Raw Data'!A52&lt;&gt;"",AVERAGE('Raw Data'!AJ52,'Raw Data'!AL52,'Raw Data'!AN52,'Raw Data'!AP52,'Raw Data'!AR52),"")</f>
        <v>7.4</v>
      </c>
      <c r="P65" s="11">
        <f>IF('Raw Data'!A52&lt;&gt;"",AVERAGE('Raw Data'!AK52,'Raw Data'!AM52,'Raw Data'!AO52,'Raw Data'!AQ52,'Raw Data'!AS52),"")</f>
        <v>5.8</v>
      </c>
      <c r="Q65" s="11">
        <f t="shared" si="6"/>
        <v>1.6000000000000005</v>
      </c>
      <c r="R65" s="11">
        <f>IF('Raw Data'!A52&lt;&gt;"",AVERAGE('Raw Data'!AT52,'Raw Data'!AV52,'Raw Data'!AX52,'Raw Data'!AZ52,'Raw Data'!BB52),"")</f>
        <v>6.2</v>
      </c>
      <c r="S65" s="11">
        <f>IF('Raw Data'!A52&lt;&gt;"",AVERAGE('Raw Data'!AU52,'Raw Data'!AW52,'Raw Data'!AY52,'Raw Data'!BA52,'Raw Data'!BC52),"")</f>
        <v>4</v>
      </c>
      <c r="T65" s="11">
        <f t="shared" si="7"/>
        <v>2.2000000000000002</v>
      </c>
      <c r="U65" s="11">
        <f>IF('Raw Data'!A52&lt;&gt;"",AVERAGE('Raw Data'!BD52,'Raw Data'!BF52,'Raw Data'!BH52,'Raw Data'!BJ52,'Raw Data'!BL52),"")</f>
        <v>6.8</v>
      </c>
      <c r="V65" s="11">
        <f>IF('Raw Data'!A52&lt;&gt;"",AVERAGE('Raw Data'!BE52,'Raw Data'!BG52,'Raw Data'!BI52,'Raw Data'!BK52,'Raw Data'!BM52),"")</f>
        <v>5.4</v>
      </c>
      <c r="W65" s="11">
        <f t="shared" si="8"/>
        <v>1.3999999999999995</v>
      </c>
      <c r="X65" s="11">
        <f t="shared" si="9"/>
        <v>7.166666666666667</v>
      </c>
      <c r="Y65" s="11">
        <f t="shared" si="10"/>
        <v>5.9333333333333336</v>
      </c>
      <c r="Z65" s="11">
        <f t="shared" si="11"/>
        <v>1.2333333333333334</v>
      </c>
      <c r="AA65" s="11">
        <f t="shared" si="12"/>
        <v>1.34</v>
      </c>
      <c r="AB65" s="24">
        <f t="shared" si="13"/>
        <v>1.59</v>
      </c>
    </row>
    <row r="66" spans="1:28" x14ac:dyDescent="0.25">
      <c r="A66" s="10" t="str">
        <f>IF('Raw Data'!A53&lt;&gt;"",'Raw Data'!A53,"")</f>
        <v>R050</v>
      </c>
      <c r="B66" s="10" t="str">
        <f>IF('Raw Data'!B53&lt;&gt;"",'Raw Data'!B53,"")</f>
        <v>Human Resources</v>
      </c>
      <c r="C66" s="10" t="str">
        <f>IF('Raw Data'!C53&lt;&gt;"",'Raw Data'!C53,"")</f>
        <v>Berlin</v>
      </c>
      <c r="D66" s="10" t="str">
        <f>IF('Raw Data'!D53&lt;&gt;"",'Raw Data'!D53,"")</f>
        <v>Growth</v>
      </c>
      <c r="E66" s="10" t="str">
        <f>IF('Raw Data'!E53&lt;&gt;"",'Raw Data'!E53,"")</f>
        <v>K. Taylor</v>
      </c>
      <c r="F66" s="14">
        <f>IF('Raw Data'!A53&lt;&gt;"",AVERAGE('Raw Data'!F53,'Raw Data'!H53,'Raw Data'!J53,'Raw Data'!L53,'Raw Data'!N53),"")</f>
        <v>7.6</v>
      </c>
      <c r="G66" s="14">
        <f>IF('Raw Data'!A53&lt;&gt;"",AVERAGE('Raw Data'!G53,'Raw Data'!I53,'Raw Data'!K53,'Raw Data'!M53,'Raw Data'!O53),"")</f>
        <v>6.8</v>
      </c>
      <c r="H66" s="14">
        <f t="shared" si="3"/>
        <v>0.79999999999999982</v>
      </c>
      <c r="I66" s="14">
        <f>IF('Raw Data'!A53&lt;&gt;"",AVERAGE('Raw Data'!P53,'Raw Data'!R53,'Raw Data'!T53,'Raw Data'!V53,'Raw Data'!X53),"")</f>
        <v>7.4</v>
      </c>
      <c r="J66" s="14">
        <f>IF('Raw Data'!A53&lt;&gt;"",AVERAGE('Raw Data'!Q53,'Raw Data'!S53,'Raw Data'!U53,'Raw Data'!W53,'Raw Data'!Y53),"")</f>
        <v>6.6</v>
      </c>
      <c r="K66" s="14">
        <f t="shared" si="4"/>
        <v>0.80000000000000071</v>
      </c>
      <c r="L66" s="14">
        <f>IF('Raw Data'!A53&lt;&gt;"",AVERAGE('Raw Data'!Z53,'Raw Data'!AB53,'Raw Data'!AD53,'Raw Data'!AF53,'Raw Data'!AH53),"")</f>
        <v>7.4</v>
      </c>
      <c r="M66" s="14">
        <f>IF('Raw Data'!A53&lt;&gt;"",AVERAGE('Raw Data'!AA53,'Raw Data'!AC53,'Raw Data'!AE53,'Raw Data'!AG53,'Raw Data'!AI53),"")</f>
        <v>6.6</v>
      </c>
      <c r="N66" s="14">
        <f t="shared" si="5"/>
        <v>0.80000000000000071</v>
      </c>
      <c r="O66" s="14">
        <f>IF('Raw Data'!A53&lt;&gt;"",AVERAGE('Raw Data'!AJ53,'Raw Data'!AL53,'Raw Data'!AN53,'Raw Data'!AP53,'Raw Data'!AR53),"")</f>
        <v>7</v>
      </c>
      <c r="P66" s="14">
        <f>IF('Raw Data'!A53&lt;&gt;"",AVERAGE('Raw Data'!AK53,'Raw Data'!AM53,'Raw Data'!AO53,'Raw Data'!AQ53,'Raw Data'!AS53),"")</f>
        <v>5</v>
      </c>
      <c r="Q66" s="14">
        <f t="shared" si="6"/>
        <v>2</v>
      </c>
      <c r="R66" s="14">
        <f>IF('Raw Data'!A53&lt;&gt;"",AVERAGE('Raw Data'!AT53,'Raw Data'!AV53,'Raw Data'!AX53,'Raw Data'!AZ53,'Raw Data'!BB53),"")</f>
        <v>6.4</v>
      </c>
      <c r="S66" s="14">
        <f>IF('Raw Data'!A53&lt;&gt;"",AVERAGE('Raw Data'!AU53,'Raw Data'!AW53,'Raw Data'!AY53,'Raw Data'!BA53,'Raw Data'!BC53),"")</f>
        <v>5</v>
      </c>
      <c r="T66" s="14">
        <f t="shared" si="7"/>
        <v>1.4000000000000004</v>
      </c>
      <c r="U66" s="14">
        <f>IF('Raw Data'!A53&lt;&gt;"",AVERAGE('Raw Data'!BD53,'Raw Data'!BF53,'Raw Data'!BH53,'Raw Data'!BJ53,'Raw Data'!BL53),"")</f>
        <v>8.4</v>
      </c>
      <c r="V66" s="14">
        <f>IF('Raw Data'!A53&lt;&gt;"",AVERAGE('Raw Data'!BE53,'Raw Data'!BG53,'Raw Data'!BI53,'Raw Data'!BK53,'Raw Data'!BM53),"")</f>
        <v>7.2</v>
      </c>
      <c r="W66" s="14">
        <f t="shared" si="8"/>
        <v>1.2000000000000002</v>
      </c>
      <c r="X66" s="14">
        <f t="shared" si="9"/>
        <v>7.3666666666666663</v>
      </c>
      <c r="Y66" s="14">
        <f t="shared" si="10"/>
        <v>6.2</v>
      </c>
      <c r="Z66" s="14">
        <f t="shared" si="11"/>
        <v>1.1666666666666661</v>
      </c>
      <c r="AA66" s="14">
        <f t="shared" si="12"/>
        <v>1.1800000000000006</v>
      </c>
      <c r="AB66" s="25">
        <f t="shared" si="13"/>
        <v>1.2300000000000004</v>
      </c>
    </row>
    <row r="67" spans="1:28" x14ac:dyDescent="0.25">
      <c r="A67" s="2" t="str">
        <f>IF('Raw Data'!A54&lt;&gt;"",'Raw Data'!A54,"")</f>
        <v/>
      </c>
      <c r="B67" s="2" t="str">
        <f>IF('Raw Data'!B54&lt;&gt;"",'Raw Data'!B54,"")</f>
        <v/>
      </c>
      <c r="C67" s="2" t="str">
        <f>IF('Raw Data'!C54&lt;&gt;"",'Raw Data'!C54,"")</f>
        <v/>
      </c>
      <c r="D67" s="2" t="str">
        <f>IF('Raw Data'!D54&lt;&gt;"",'Raw Data'!D54,"")</f>
        <v/>
      </c>
      <c r="E67" s="2" t="str">
        <f>IF('Raw Data'!E54&lt;&gt;"",'Raw Data'!E54,"")</f>
        <v/>
      </c>
      <c r="F67" s="11" t="str">
        <f>IF('Raw Data'!A54&lt;&gt;"",AVERAGE('Raw Data'!F54,'Raw Data'!H54,'Raw Data'!J54,'Raw Data'!L54,'Raw Data'!N54),"")</f>
        <v/>
      </c>
      <c r="G67" s="11" t="str">
        <f>IF('Raw Data'!A54&lt;&gt;"",AVERAGE('Raw Data'!G54,'Raw Data'!I54,'Raw Data'!K54,'Raw Data'!M54,'Raw Data'!O54),"")</f>
        <v/>
      </c>
      <c r="H67" s="11" t="str">
        <f t="shared" si="3"/>
        <v/>
      </c>
      <c r="I67" s="11" t="str">
        <f>IF('Raw Data'!A54&lt;&gt;"",AVERAGE('Raw Data'!P54,'Raw Data'!R54,'Raw Data'!T54,'Raw Data'!V54,'Raw Data'!X54),"")</f>
        <v/>
      </c>
      <c r="J67" s="11" t="str">
        <f>IF('Raw Data'!A54&lt;&gt;"",AVERAGE('Raw Data'!Q54,'Raw Data'!S54,'Raw Data'!U54,'Raw Data'!W54,'Raw Data'!Y54),"")</f>
        <v/>
      </c>
      <c r="K67" s="11" t="str">
        <f t="shared" si="4"/>
        <v/>
      </c>
      <c r="L67" s="11" t="str">
        <f>IF('Raw Data'!A54&lt;&gt;"",AVERAGE('Raw Data'!Z54,'Raw Data'!AB54,'Raw Data'!AD54,'Raw Data'!AF54,'Raw Data'!AH54),"")</f>
        <v/>
      </c>
      <c r="M67" s="11" t="str">
        <f>IF('Raw Data'!A54&lt;&gt;"",AVERAGE('Raw Data'!AA54,'Raw Data'!AC54,'Raw Data'!AE54,'Raw Data'!AG54,'Raw Data'!AI54),"")</f>
        <v/>
      </c>
      <c r="N67" s="11" t="str">
        <f t="shared" si="5"/>
        <v/>
      </c>
      <c r="O67" s="11" t="str">
        <f>IF('Raw Data'!A54&lt;&gt;"",AVERAGE('Raw Data'!AJ54,'Raw Data'!AL54,'Raw Data'!AN54,'Raw Data'!AP54,'Raw Data'!AR54),"")</f>
        <v/>
      </c>
      <c r="P67" s="11" t="str">
        <f>IF('Raw Data'!A54&lt;&gt;"",AVERAGE('Raw Data'!AK54,'Raw Data'!AM54,'Raw Data'!AO54,'Raw Data'!AQ54,'Raw Data'!AS54),"")</f>
        <v/>
      </c>
      <c r="Q67" s="11" t="str">
        <f t="shared" si="6"/>
        <v/>
      </c>
      <c r="R67" s="11" t="str">
        <f>IF('Raw Data'!A54&lt;&gt;"",AVERAGE('Raw Data'!AT54,'Raw Data'!AV54,'Raw Data'!AX54,'Raw Data'!AZ54,'Raw Data'!BB54),"")</f>
        <v/>
      </c>
      <c r="S67" s="11" t="str">
        <f>IF('Raw Data'!A54&lt;&gt;"",AVERAGE('Raw Data'!AU54,'Raw Data'!AW54,'Raw Data'!AY54,'Raw Data'!BA54,'Raw Data'!BC54),"")</f>
        <v/>
      </c>
      <c r="T67" s="11" t="str">
        <f t="shared" si="7"/>
        <v/>
      </c>
      <c r="U67" s="11" t="str">
        <f>IF('Raw Data'!A54&lt;&gt;"",AVERAGE('Raw Data'!BD54,'Raw Data'!BF54,'Raw Data'!BH54,'Raw Data'!BJ54,'Raw Data'!BL54),"")</f>
        <v/>
      </c>
      <c r="V67" s="11" t="str">
        <f>IF('Raw Data'!A54&lt;&gt;"",AVERAGE('Raw Data'!BE54,'Raw Data'!BG54,'Raw Data'!BI54,'Raw Data'!BK54,'Raw Data'!BM54),"")</f>
        <v/>
      </c>
      <c r="W67" s="11" t="str">
        <f t="shared" si="8"/>
        <v/>
      </c>
      <c r="X67" s="11" t="str">
        <f t="shared" si="9"/>
        <v/>
      </c>
      <c r="Y67" s="11" t="str">
        <f t="shared" si="10"/>
        <v/>
      </c>
      <c r="Z67" s="11" t="str">
        <f t="shared" si="11"/>
        <v/>
      </c>
      <c r="AA67" s="11" t="str">
        <f t="shared" si="12"/>
        <v/>
      </c>
      <c r="AB67" s="24" t="str">
        <f t="shared" si="13"/>
        <v/>
      </c>
    </row>
    <row r="68" spans="1:28" x14ac:dyDescent="0.25">
      <c r="A68" s="10" t="str">
        <f>IF('Raw Data'!A55&lt;&gt;"",'Raw Data'!A55,"")</f>
        <v/>
      </c>
      <c r="B68" s="10" t="str">
        <f>IF('Raw Data'!B55&lt;&gt;"",'Raw Data'!B55,"")</f>
        <v/>
      </c>
      <c r="C68" s="10" t="str">
        <f>IF('Raw Data'!C55&lt;&gt;"",'Raw Data'!C55,"")</f>
        <v/>
      </c>
      <c r="D68" s="10" t="str">
        <f>IF('Raw Data'!D55&lt;&gt;"",'Raw Data'!D55,"")</f>
        <v/>
      </c>
      <c r="E68" s="10" t="str">
        <f>IF('Raw Data'!E55&lt;&gt;"",'Raw Data'!E55,"")</f>
        <v/>
      </c>
      <c r="F68" s="14" t="str">
        <f>IF('Raw Data'!A55&lt;&gt;"",AVERAGE('Raw Data'!F55,'Raw Data'!H55,'Raw Data'!J55,'Raw Data'!L55,'Raw Data'!N55),"")</f>
        <v/>
      </c>
      <c r="G68" s="14" t="str">
        <f>IF('Raw Data'!A55&lt;&gt;"",AVERAGE('Raw Data'!G55,'Raw Data'!I55,'Raw Data'!K55,'Raw Data'!M55,'Raw Data'!O55),"")</f>
        <v/>
      </c>
      <c r="H68" s="14" t="str">
        <f t="shared" si="3"/>
        <v/>
      </c>
      <c r="I68" s="14" t="str">
        <f>IF('Raw Data'!A55&lt;&gt;"",AVERAGE('Raw Data'!P55,'Raw Data'!R55,'Raw Data'!T55,'Raw Data'!V55,'Raw Data'!X55),"")</f>
        <v/>
      </c>
      <c r="J68" s="14" t="str">
        <f>IF('Raw Data'!A55&lt;&gt;"",AVERAGE('Raw Data'!Q55,'Raw Data'!S55,'Raw Data'!U55,'Raw Data'!W55,'Raw Data'!Y55),"")</f>
        <v/>
      </c>
      <c r="K68" s="14" t="str">
        <f t="shared" si="4"/>
        <v/>
      </c>
      <c r="L68" s="14" t="str">
        <f>IF('Raw Data'!A55&lt;&gt;"",AVERAGE('Raw Data'!Z55,'Raw Data'!AB55,'Raw Data'!AD55,'Raw Data'!AF55,'Raw Data'!AH55),"")</f>
        <v/>
      </c>
      <c r="M68" s="14" t="str">
        <f>IF('Raw Data'!A55&lt;&gt;"",AVERAGE('Raw Data'!AA55,'Raw Data'!AC55,'Raw Data'!AE55,'Raw Data'!AG55,'Raw Data'!AI55),"")</f>
        <v/>
      </c>
      <c r="N68" s="14" t="str">
        <f t="shared" si="5"/>
        <v/>
      </c>
      <c r="O68" s="14" t="str">
        <f>IF('Raw Data'!A55&lt;&gt;"",AVERAGE('Raw Data'!AJ55,'Raw Data'!AL55,'Raw Data'!AN55,'Raw Data'!AP55,'Raw Data'!AR55),"")</f>
        <v/>
      </c>
      <c r="P68" s="14" t="str">
        <f>IF('Raw Data'!A55&lt;&gt;"",AVERAGE('Raw Data'!AK55,'Raw Data'!AM55,'Raw Data'!AO55,'Raw Data'!AQ55,'Raw Data'!AS55),"")</f>
        <v/>
      </c>
      <c r="Q68" s="14" t="str">
        <f t="shared" si="6"/>
        <v/>
      </c>
      <c r="R68" s="14" t="str">
        <f>IF('Raw Data'!A55&lt;&gt;"",AVERAGE('Raw Data'!AT55,'Raw Data'!AV55,'Raw Data'!AX55,'Raw Data'!AZ55,'Raw Data'!BB55),"")</f>
        <v/>
      </c>
      <c r="S68" s="14" t="str">
        <f>IF('Raw Data'!A55&lt;&gt;"",AVERAGE('Raw Data'!AU55,'Raw Data'!AW55,'Raw Data'!AY55,'Raw Data'!BA55,'Raw Data'!BC55),"")</f>
        <v/>
      </c>
      <c r="T68" s="14" t="str">
        <f t="shared" si="7"/>
        <v/>
      </c>
      <c r="U68" s="14" t="str">
        <f>IF('Raw Data'!A55&lt;&gt;"",AVERAGE('Raw Data'!BD55,'Raw Data'!BF55,'Raw Data'!BH55,'Raw Data'!BJ55,'Raw Data'!BL55),"")</f>
        <v/>
      </c>
      <c r="V68" s="14" t="str">
        <f>IF('Raw Data'!A55&lt;&gt;"",AVERAGE('Raw Data'!BE55,'Raw Data'!BG55,'Raw Data'!BI55,'Raw Data'!BK55,'Raw Data'!BM55),"")</f>
        <v/>
      </c>
      <c r="W68" s="14" t="str">
        <f t="shared" si="8"/>
        <v/>
      </c>
      <c r="X68" s="14" t="str">
        <f t="shared" si="9"/>
        <v/>
      </c>
      <c r="Y68" s="14" t="str">
        <f t="shared" si="10"/>
        <v/>
      </c>
      <c r="Z68" s="14" t="str">
        <f t="shared" si="11"/>
        <v/>
      </c>
      <c r="AA68" s="14" t="str">
        <f t="shared" si="12"/>
        <v/>
      </c>
      <c r="AB68" s="25" t="str">
        <f t="shared" si="13"/>
        <v/>
      </c>
    </row>
    <row r="69" spans="1:28" x14ac:dyDescent="0.25">
      <c r="A69" s="2" t="str">
        <f>IF('Raw Data'!A56&lt;&gt;"",'Raw Data'!A56,"")</f>
        <v/>
      </c>
      <c r="B69" s="2" t="str">
        <f>IF('Raw Data'!B56&lt;&gt;"",'Raw Data'!B56,"")</f>
        <v/>
      </c>
      <c r="C69" s="2" t="str">
        <f>IF('Raw Data'!C56&lt;&gt;"",'Raw Data'!C56,"")</f>
        <v/>
      </c>
      <c r="D69" s="2" t="str">
        <f>IF('Raw Data'!D56&lt;&gt;"",'Raw Data'!D56,"")</f>
        <v/>
      </c>
      <c r="E69" s="2" t="str">
        <f>IF('Raw Data'!E56&lt;&gt;"",'Raw Data'!E56,"")</f>
        <v/>
      </c>
      <c r="F69" s="11" t="str">
        <f>IF('Raw Data'!A56&lt;&gt;"",AVERAGE('Raw Data'!F56,'Raw Data'!H56,'Raw Data'!J56,'Raw Data'!L56,'Raw Data'!N56),"")</f>
        <v/>
      </c>
      <c r="G69" s="11" t="str">
        <f>IF('Raw Data'!A56&lt;&gt;"",AVERAGE('Raw Data'!G56,'Raw Data'!I56,'Raw Data'!K56,'Raw Data'!M56,'Raw Data'!O56),"")</f>
        <v/>
      </c>
      <c r="H69" s="11" t="str">
        <f t="shared" si="3"/>
        <v/>
      </c>
      <c r="I69" s="11" t="str">
        <f>IF('Raw Data'!A56&lt;&gt;"",AVERAGE('Raw Data'!P56,'Raw Data'!R56,'Raw Data'!T56,'Raw Data'!V56,'Raw Data'!X56),"")</f>
        <v/>
      </c>
      <c r="J69" s="11" t="str">
        <f>IF('Raw Data'!A56&lt;&gt;"",AVERAGE('Raw Data'!Q56,'Raw Data'!S56,'Raw Data'!U56,'Raw Data'!W56,'Raw Data'!Y56),"")</f>
        <v/>
      </c>
      <c r="K69" s="11" t="str">
        <f t="shared" si="4"/>
        <v/>
      </c>
      <c r="L69" s="11" t="str">
        <f>IF('Raw Data'!A56&lt;&gt;"",AVERAGE('Raw Data'!Z56,'Raw Data'!AB56,'Raw Data'!AD56,'Raw Data'!AF56,'Raw Data'!AH56),"")</f>
        <v/>
      </c>
      <c r="M69" s="11" t="str">
        <f>IF('Raw Data'!A56&lt;&gt;"",AVERAGE('Raw Data'!AA56,'Raw Data'!AC56,'Raw Data'!AE56,'Raw Data'!AG56,'Raw Data'!AI56),"")</f>
        <v/>
      </c>
      <c r="N69" s="11" t="str">
        <f t="shared" si="5"/>
        <v/>
      </c>
      <c r="O69" s="11" t="str">
        <f>IF('Raw Data'!A56&lt;&gt;"",AVERAGE('Raw Data'!AJ56,'Raw Data'!AL56,'Raw Data'!AN56,'Raw Data'!AP56,'Raw Data'!AR56),"")</f>
        <v/>
      </c>
      <c r="P69" s="11" t="str">
        <f>IF('Raw Data'!A56&lt;&gt;"",AVERAGE('Raw Data'!AK56,'Raw Data'!AM56,'Raw Data'!AO56,'Raw Data'!AQ56,'Raw Data'!AS56),"")</f>
        <v/>
      </c>
      <c r="Q69" s="11" t="str">
        <f t="shared" si="6"/>
        <v/>
      </c>
      <c r="R69" s="11" t="str">
        <f>IF('Raw Data'!A56&lt;&gt;"",AVERAGE('Raw Data'!AT56,'Raw Data'!AV56,'Raw Data'!AX56,'Raw Data'!AZ56,'Raw Data'!BB56),"")</f>
        <v/>
      </c>
      <c r="S69" s="11" t="str">
        <f>IF('Raw Data'!A56&lt;&gt;"",AVERAGE('Raw Data'!AU56,'Raw Data'!AW56,'Raw Data'!AY56,'Raw Data'!BA56,'Raw Data'!BC56),"")</f>
        <v/>
      </c>
      <c r="T69" s="11" t="str">
        <f t="shared" si="7"/>
        <v/>
      </c>
      <c r="U69" s="11" t="str">
        <f>IF('Raw Data'!A56&lt;&gt;"",AVERAGE('Raw Data'!BD56,'Raw Data'!BF56,'Raw Data'!BH56,'Raw Data'!BJ56,'Raw Data'!BL56),"")</f>
        <v/>
      </c>
      <c r="V69" s="11" t="str">
        <f>IF('Raw Data'!A56&lt;&gt;"",AVERAGE('Raw Data'!BE56,'Raw Data'!BG56,'Raw Data'!BI56,'Raw Data'!BK56,'Raw Data'!BM56),"")</f>
        <v/>
      </c>
      <c r="W69" s="11" t="str">
        <f t="shared" si="8"/>
        <v/>
      </c>
      <c r="X69" s="11" t="str">
        <f t="shared" si="9"/>
        <v/>
      </c>
      <c r="Y69" s="11" t="str">
        <f t="shared" si="10"/>
        <v/>
      </c>
      <c r="Z69" s="11" t="str">
        <f t="shared" si="11"/>
        <v/>
      </c>
      <c r="AA69" s="11" t="str">
        <f t="shared" si="12"/>
        <v/>
      </c>
      <c r="AB69" s="24" t="str">
        <f t="shared" si="13"/>
        <v/>
      </c>
    </row>
    <row r="70" spans="1:28" x14ac:dyDescent="0.25">
      <c r="A70" s="10" t="str">
        <f>IF('Raw Data'!A57&lt;&gt;"",'Raw Data'!A57,"")</f>
        <v/>
      </c>
      <c r="B70" s="10" t="str">
        <f>IF('Raw Data'!B57&lt;&gt;"",'Raw Data'!B57,"")</f>
        <v/>
      </c>
      <c r="C70" s="10" t="str">
        <f>IF('Raw Data'!C57&lt;&gt;"",'Raw Data'!C57,"")</f>
        <v/>
      </c>
      <c r="D70" s="10" t="str">
        <f>IF('Raw Data'!D57&lt;&gt;"",'Raw Data'!D57,"")</f>
        <v/>
      </c>
      <c r="E70" s="10" t="str">
        <f>IF('Raw Data'!E57&lt;&gt;"",'Raw Data'!E57,"")</f>
        <v/>
      </c>
      <c r="F70" s="14" t="str">
        <f>IF('Raw Data'!A57&lt;&gt;"",AVERAGE('Raw Data'!F57,'Raw Data'!H57,'Raw Data'!J57,'Raw Data'!L57,'Raw Data'!N57),"")</f>
        <v/>
      </c>
      <c r="G70" s="14" t="str">
        <f>IF('Raw Data'!A57&lt;&gt;"",AVERAGE('Raw Data'!G57,'Raw Data'!I57,'Raw Data'!K57,'Raw Data'!M57,'Raw Data'!O57),"")</f>
        <v/>
      </c>
      <c r="H70" s="14" t="str">
        <f t="shared" si="3"/>
        <v/>
      </c>
      <c r="I70" s="14" t="str">
        <f>IF('Raw Data'!A57&lt;&gt;"",AVERAGE('Raw Data'!P57,'Raw Data'!R57,'Raw Data'!T57,'Raw Data'!V57,'Raw Data'!X57),"")</f>
        <v/>
      </c>
      <c r="J70" s="14" t="str">
        <f>IF('Raw Data'!A57&lt;&gt;"",AVERAGE('Raw Data'!Q57,'Raw Data'!S57,'Raw Data'!U57,'Raw Data'!W57,'Raw Data'!Y57),"")</f>
        <v/>
      </c>
      <c r="K70" s="14" t="str">
        <f t="shared" si="4"/>
        <v/>
      </c>
      <c r="L70" s="14" t="str">
        <f>IF('Raw Data'!A57&lt;&gt;"",AVERAGE('Raw Data'!Z57,'Raw Data'!AB57,'Raw Data'!AD57,'Raw Data'!AF57,'Raw Data'!AH57),"")</f>
        <v/>
      </c>
      <c r="M70" s="14" t="str">
        <f>IF('Raw Data'!A57&lt;&gt;"",AVERAGE('Raw Data'!AA57,'Raw Data'!AC57,'Raw Data'!AE57,'Raw Data'!AG57,'Raw Data'!AI57),"")</f>
        <v/>
      </c>
      <c r="N70" s="14" t="str">
        <f t="shared" si="5"/>
        <v/>
      </c>
      <c r="O70" s="14" t="str">
        <f>IF('Raw Data'!A57&lt;&gt;"",AVERAGE('Raw Data'!AJ57,'Raw Data'!AL57,'Raw Data'!AN57,'Raw Data'!AP57,'Raw Data'!AR57),"")</f>
        <v/>
      </c>
      <c r="P70" s="14" t="str">
        <f>IF('Raw Data'!A57&lt;&gt;"",AVERAGE('Raw Data'!AK57,'Raw Data'!AM57,'Raw Data'!AO57,'Raw Data'!AQ57,'Raw Data'!AS57),"")</f>
        <v/>
      </c>
      <c r="Q70" s="14" t="str">
        <f t="shared" si="6"/>
        <v/>
      </c>
      <c r="R70" s="14" t="str">
        <f>IF('Raw Data'!A57&lt;&gt;"",AVERAGE('Raw Data'!AT57,'Raw Data'!AV57,'Raw Data'!AX57,'Raw Data'!AZ57,'Raw Data'!BB57),"")</f>
        <v/>
      </c>
      <c r="S70" s="14" t="str">
        <f>IF('Raw Data'!A57&lt;&gt;"",AVERAGE('Raw Data'!AU57,'Raw Data'!AW57,'Raw Data'!AY57,'Raw Data'!BA57,'Raw Data'!BC57),"")</f>
        <v/>
      </c>
      <c r="T70" s="14" t="str">
        <f t="shared" si="7"/>
        <v/>
      </c>
      <c r="U70" s="14" t="str">
        <f>IF('Raw Data'!A57&lt;&gt;"",AVERAGE('Raw Data'!BD57,'Raw Data'!BF57,'Raw Data'!BH57,'Raw Data'!BJ57,'Raw Data'!BL57),"")</f>
        <v/>
      </c>
      <c r="V70" s="14" t="str">
        <f>IF('Raw Data'!A57&lt;&gt;"",AVERAGE('Raw Data'!BE57,'Raw Data'!BG57,'Raw Data'!BI57,'Raw Data'!BK57,'Raw Data'!BM57),"")</f>
        <v/>
      </c>
      <c r="W70" s="14" t="str">
        <f t="shared" si="8"/>
        <v/>
      </c>
      <c r="X70" s="14" t="str">
        <f t="shared" si="9"/>
        <v/>
      </c>
      <c r="Y70" s="14" t="str">
        <f t="shared" si="10"/>
        <v/>
      </c>
      <c r="Z70" s="14" t="str">
        <f t="shared" si="11"/>
        <v/>
      </c>
      <c r="AA70" s="14" t="str">
        <f t="shared" si="12"/>
        <v/>
      </c>
      <c r="AB70" s="25" t="str">
        <f t="shared" si="13"/>
        <v/>
      </c>
    </row>
    <row r="71" spans="1:28" x14ac:dyDescent="0.25">
      <c r="A71" s="2" t="str">
        <f>IF('Raw Data'!A58&lt;&gt;"",'Raw Data'!A58,"")</f>
        <v/>
      </c>
      <c r="B71" s="2" t="str">
        <f>IF('Raw Data'!B58&lt;&gt;"",'Raw Data'!B58,"")</f>
        <v/>
      </c>
      <c r="C71" s="2" t="str">
        <f>IF('Raw Data'!C58&lt;&gt;"",'Raw Data'!C58,"")</f>
        <v/>
      </c>
      <c r="D71" s="2" t="str">
        <f>IF('Raw Data'!D58&lt;&gt;"",'Raw Data'!D58,"")</f>
        <v/>
      </c>
      <c r="E71" s="2" t="str">
        <f>IF('Raw Data'!E58&lt;&gt;"",'Raw Data'!E58,"")</f>
        <v/>
      </c>
      <c r="F71" s="11" t="str">
        <f>IF('Raw Data'!A58&lt;&gt;"",AVERAGE('Raw Data'!F58,'Raw Data'!H58,'Raw Data'!J58,'Raw Data'!L58,'Raw Data'!N58),"")</f>
        <v/>
      </c>
      <c r="G71" s="11" t="str">
        <f>IF('Raw Data'!A58&lt;&gt;"",AVERAGE('Raw Data'!G58,'Raw Data'!I58,'Raw Data'!K58,'Raw Data'!M58,'Raw Data'!O58),"")</f>
        <v/>
      </c>
      <c r="H71" s="11" t="str">
        <f t="shared" si="3"/>
        <v/>
      </c>
      <c r="I71" s="11" t="str">
        <f>IF('Raw Data'!A58&lt;&gt;"",AVERAGE('Raw Data'!P58,'Raw Data'!R58,'Raw Data'!T58,'Raw Data'!V58,'Raw Data'!X58),"")</f>
        <v/>
      </c>
      <c r="J71" s="11" t="str">
        <f>IF('Raw Data'!A58&lt;&gt;"",AVERAGE('Raw Data'!Q58,'Raw Data'!S58,'Raw Data'!U58,'Raw Data'!W58,'Raw Data'!Y58),"")</f>
        <v/>
      </c>
      <c r="K71" s="11" t="str">
        <f t="shared" si="4"/>
        <v/>
      </c>
      <c r="L71" s="11" t="str">
        <f>IF('Raw Data'!A58&lt;&gt;"",AVERAGE('Raw Data'!Z58,'Raw Data'!AB58,'Raw Data'!AD58,'Raw Data'!AF58,'Raw Data'!AH58),"")</f>
        <v/>
      </c>
      <c r="M71" s="11" t="str">
        <f>IF('Raw Data'!A58&lt;&gt;"",AVERAGE('Raw Data'!AA58,'Raw Data'!AC58,'Raw Data'!AE58,'Raw Data'!AG58,'Raw Data'!AI58),"")</f>
        <v/>
      </c>
      <c r="N71" s="11" t="str">
        <f t="shared" si="5"/>
        <v/>
      </c>
      <c r="O71" s="11" t="str">
        <f>IF('Raw Data'!A58&lt;&gt;"",AVERAGE('Raw Data'!AJ58,'Raw Data'!AL58,'Raw Data'!AN58,'Raw Data'!AP58,'Raw Data'!AR58),"")</f>
        <v/>
      </c>
      <c r="P71" s="11" t="str">
        <f>IF('Raw Data'!A58&lt;&gt;"",AVERAGE('Raw Data'!AK58,'Raw Data'!AM58,'Raw Data'!AO58,'Raw Data'!AQ58,'Raw Data'!AS58),"")</f>
        <v/>
      </c>
      <c r="Q71" s="11" t="str">
        <f t="shared" si="6"/>
        <v/>
      </c>
      <c r="R71" s="11" t="str">
        <f>IF('Raw Data'!A58&lt;&gt;"",AVERAGE('Raw Data'!AT58,'Raw Data'!AV58,'Raw Data'!AX58,'Raw Data'!AZ58,'Raw Data'!BB58),"")</f>
        <v/>
      </c>
      <c r="S71" s="11" t="str">
        <f>IF('Raw Data'!A58&lt;&gt;"",AVERAGE('Raw Data'!AU58,'Raw Data'!AW58,'Raw Data'!AY58,'Raw Data'!BA58,'Raw Data'!BC58),"")</f>
        <v/>
      </c>
      <c r="T71" s="11" t="str">
        <f t="shared" si="7"/>
        <v/>
      </c>
      <c r="U71" s="11" t="str">
        <f>IF('Raw Data'!A58&lt;&gt;"",AVERAGE('Raw Data'!BD58,'Raw Data'!BF58,'Raw Data'!BH58,'Raw Data'!BJ58,'Raw Data'!BL58),"")</f>
        <v/>
      </c>
      <c r="V71" s="11" t="str">
        <f>IF('Raw Data'!A58&lt;&gt;"",AVERAGE('Raw Data'!BE58,'Raw Data'!BG58,'Raw Data'!BI58,'Raw Data'!BK58,'Raw Data'!BM58),"")</f>
        <v/>
      </c>
      <c r="W71" s="11" t="str">
        <f t="shared" si="8"/>
        <v/>
      </c>
      <c r="X71" s="11" t="str">
        <f t="shared" si="9"/>
        <v/>
      </c>
      <c r="Y71" s="11" t="str">
        <f t="shared" si="10"/>
        <v/>
      </c>
      <c r="Z71" s="11" t="str">
        <f t="shared" si="11"/>
        <v/>
      </c>
      <c r="AA71" s="11" t="str">
        <f t="shared" si="12"/>
        <v/>
      </c>
      <c r="AB71" s="24" t="str">
        <f t="shared" si="13"/>
        <v/>
      </c>
    </row>
    <row r="72" spans="1:28" x14ac:dyDescent="0.25">
      <c r="A72" s="10" t="str">
        <f>IF('Raw Data'!A59&lt;&gt;"",'Raw Data'!A59,"")</f>
        <v/>
      </c>
      <c r="B72" s="10" t="str">
        <f>IF('Raw Data'!B59&lt;&gt;"",'Raw Data'!B59,"")</f>
        <v/>
      </c>
      <c r="C72" s="10" t="str">
        <f>IF('Raw Data'!C59&lt;&gt;"",'Raw Data'!C59,"")</f>
        <v/>
      </c>
      <c r="D72" s="10" t="str">
        <f>IF('Raw Data'!D59&lt;&gt;"",'Raw Data'!D59,"")</f>
        <v/>
      </c>
      <c r="E72" s="10" t="str">
        <f>IF('Raw Data'!E59&lt;&gt;"",'Raw Data'!E59,"")</f>
        <v/>
      </c>
      <c r="F72" s="14" t="str">
        <f>IF('Raw Data'!A59&lt;&gt;"",AVERAGE('Raw Data'!F59,'Raw Data'!H59,'Raw Data'!J59,'Raw Data'!L59,'Raw Data'!N59),"")</f>
        <v/>
      </c>
      <c r="G72" s="14" t="str">
        <f>IF('Raw Data'!A59&lt;&gt;"",AVERAGE('Raw Data'!G59,'Raw Data'!I59,'Raw Data'!K59,'Raw Data'!M59,'Raw Data'!O59),"")</f>
        <v/>
      </c>
      <c r="H72" s="14" t="str">
        <f t="shared" si="3"/>
        <v/>
      </c>
      <c r="I72" s="14" t="str">
        <f>IF('Raw Data'!A59&lt;&gt;"",AVERAGE('Raw Data'!P59,'Raw Data'!R59,'Raw Data'!T59,'Raw Data'!V59,'Raw Data'!X59),"")</f>
        <v/>
      </c>
      <c r="J72" s="14" t="str">
        <f>IF('Raw Data'!A59&lt;&gt;"",AVERAGE('Raw Data'!Q59,'Raw Data'!S59,'Raw Data'!U59,'Raw Data'!W59,'Raw Data'!Y59),"")</f>
        <v/>
      </c>
      <c r="K72" s="14" t="str">
        <f t="shared" si="4"/>
        <v/>
      </c>
      <c r="L72" s="14" t="str">
        <f>IF('Raw Data'!A59&lt;&gt;"",AVERAGE('Raw Data'!Z59,'Raw Data'!AB59,'Raw Data'!AD59,'Raw Data'!AF59,'Raw Data'!AH59),"")</f>
        <v/>
      </c>
      <c r="M72" s="14" t="str">
        <f>IF('Raw Data'!A59&lt;&gt;"",AVERAGE('Raw Data'!AA59,'Raw Data'!AC59,'Raw Data'!AE59,'Raw Data'!AG59,'Raw Data'!AI59),"")</f>
        <v/>
      </c>
      <c r="N72" s="14" t="str">
        <f t="shared" si="5"/>
        <v/>
      </c>
      <c r="O72" s="14" t="str">
        <f>IF('Raw Data'!A59&lt;&gt;"",AVERAGE('Raw Data'!AJ59,'Raw Data'!AL59,'Raw Data'!AN59,'Raw Data'!AP59,'Raw Data'!AR59),"")</f>
        <v/>
      </c>
      <c r="P72" s="14" t="str">
        <f>IF('Raw Data'!A59&lt;&gt;"",AVERAGE('Raw Data'!AK59,'Raw Data'!AM59,'Raw Data'!AO59,'Raw Data'!AQ59,'Raw Data'!AS59),"")</f>
        <v/>
      </c>
      <c r="Q72" s="14" t="str">
        <f t="shared" si="6"/>
        <v/>
      </c>
      <c r="R72" s="14" t="str">
        <f>IF('Raw Data'!A59&lt;&gt;"",AVERAGE('Raw Data'!AT59,'Raw Data'!AV59,'Raw Data'!AX59,'Raw Data'!AZ59,'Raw Data'!BB59),"")</f>
        <v/>
      </c>
      <c r="S72" s="14" t="str">
        <f>IF('Raw Data'!A59&lt;&gt;"",AVERAGE('Raw Data'!AU59,'Raw Data'!AW59,'Raw Data'!AY59,'Raw Data'!BA59,'Raw Data'!BC59),"")</f>
        <v/>
      </c>
      <c r="T72" s="14" t="str">
        <f t="shared" si="7"/>
        <v/>
      </c>
      <c r="U72" s="14" t="str">
        <f>IF('Raw Data'!A59&lt;&gt;"",AVERAGE('Raw Data'!BD59,'Raw Data'!BF59,'Raw Data'!BH59,'Raw Data'!BJ59,'Raw Data'!BL59),"")</f>
        <v/>
      </c>
      <c r="V72" s="14" t="str">
        <f>IF('Raw Data'!A59&lt;&gt;"",AVERAGE('Raw Data'!BE59,'Raw Data'!BG59,'Raw Data'!BI59,'Raw Data'!BK59,'Raw Data'!BM59),"")</f>
        <v/>
      </c>
      <c r="W72" s="14" t="str">
        <f t="shared" si="8"/>
        <v/>
      </c>
      <c r="X72" s="14" t="str">
        <f t="shared" si="9"/>
        <v/>
      </c>
      <c r="Y72" s="14" t="str">
        <f t="shared" si="10"/>
        <v/>
      </c>
      <c r="Z72" s="14" t="str">
        <f t="shared" si="11"/>
        <v/>
      </c>
      <c r="AA72" s="14" t="str">
        <f t="shared" si="12"/>
        <v/>
      </c>
      <c r="AB72" s="25" t="str">
        <f t="shared" si="13"/>
        <v/>
      </c>
    </row>
    <row r="73" spans="1:28" x14ac:dyDescent="0.25">
      <c r="A73" s="2" t="str">
        <f>IF('Raw Data'!A60&lt;&gt;"",'Raw Data'!A60,"")</f>
        <v/>
      </c>
      <c r="B73" s="2" t="str">
        <f>IF('Raw Data'!B60&lt;&gt;"",'Raw Data'!B60,"")</f>
        <v/>
      </c>
      <c r="C73" s="2" t="str">
        <f>IF('Raw Data'!C60&lt;&gt;"",'Raw Data'!C60,"")</f>
        <v/>
      </c>
      <c r="D73" s="2" t="str">
        <f>IF('Raw Data'!D60&lt;&gt;"",'Raw Data'!D60,"")</f>
        <v/>
      </c>
      <c r="E73" s="2" t="str">
        <f>IF('Raw Data'!E60&lt;&gt;"",'Raw Data'!E60,"")</f>
        <v/>
      </c>
      <c r="F73" s="11" t="str">
        <f>IF('Raw Data'!A60&lt;&gt;"",AVERAGE('Raw Data'!F60,'Raw Data'!H60,'Raw Data'!J60,'Raw Data'!L60,'Raw Data'!N60),"")</f>
        <v/>
      </c>
      <c r="G73" s="11" t="str">
        <f>IF('Raw Data'!A60&lt;&gt;"",AVERAGE('Raw Data'!G60,'Raw Data'!I60,'Raw Data'!K60,'Raw Data'!M60,'Raw Data'!O60),"")</f>
        <v/>
      </c>
      <c r="H73" s="11" t="str">
        <f t="shared" si="3"/>
        <v/>
      </c>
      <c r="I73" s="11" t="str">
        <f>IF('Raw Data'!A60&lt;&gt;"",AVERAGE('Raw Data'!P60,'Raw Data'!R60,'Raw Data'!T60,'Raw Data'!V60,'Raw Data'!X60),"")</f>
        <v/>
      </c>
      <c r="J73" s="11" t="str">
        <f>IF('Raw Data'!A60&lt;&gt;"",AVERAGE('Raw Data'!Q60,'Raw Data'!S60,'Raw Data'!U60,'Raw Data'!W60,'Raw Data'!Y60),"")</f>
        <v/>
      </c>
      <c r="K73" s="11" t="str">
        <f t="shared" si="4"/>
        <v/>
      </c>
      <c r="L73" s="11" t="str">
        <f>IF('Raw Data'!A60&lt;&gt;"",AVERAGE('Raw Data'!Z60,'Raw Data'!AB60,'Raw Data'!AD60,'Raw Data'!AF60,'Raw Data'!AH60),"")</f>
        <v/>
      </c>
      <c r="M73" s="11" t="str">
        <f>IF('Raw Data'!A60&lt;&gt;"",AVERAGE('Raw Data'!AA60,'Raw Data'!AC60,'Raw Data'!AE60,'Raw Data'!AG60,'Raw Data'!AI60),"")</f>
        <v/>
      </c>
      <c r="N73" s="11" t="str">
        <f t="shared" si="5"/>
        <v/>
      </c>
      <c r="O73" s="11" t="str">
        <f>IF('Raw Data'!A60&lt;&gt;"",AVERAGE('Raw Data'!AJ60,'Raw Data'!AL60,'Raw Data'!AN60,'Raw Data'!AP60,'Raw Data'!AR60),"")</f>
        <v/>
      </c>
      <c r="P73" s="11" t="str">
        <f>IF('Raw Data'!A60&lt;&gt;"",AVERAGE('Raw Data'!AK60,'Raw Data'!AM60,'Raw Data'!AO60,'Raw Data'!AQ60,'Raw Data'!AS60),"")</f>
        <v/>
      </c>
      <c r="Q73" s="11" t="str">
        <f t="shared" si="6"/>
        <v/>
      </c>
      <c r="R73" s="11" t="str">
        <f>IF('Raw Data'!A60&lt;&gt;"",AVERAGE('Raw Data'!AT60,'Raw Data'!AV60,'Raw Data'!AX60,'Raw Data'!AZ60,'Raw Data'!BB60),"")</f>
        <v/>
      </c>
      <c r="S73" s="11" t="str">
        <f>IF('Raw Data'!A60&lt;&gt;"",AVERAGE('Raw Data'!AU60,'Raw Data'!AW60,'Raw Data'!AY60,'Raw Data'!BA60,'Raw Data'!BC60),"")</f>
        <v/>
      </c>
      <c r="T73" s="11" t="str">
        <f t="shared" si="7"/>
        <v/>
      </c>
      <c r="U73" s="11" t="str">
        <f>IF('Raw Data'!A60&lt;&gt;"",AVERAGE('Raw Data'!BD60,'Raw Data'!BF60,'Raw Data'!BH60,'Raw Data'!BJ60,'Raw Data'!BL60),"")</f>
        <v/>
      </c>
      <c r="V73" s="11" t="str">
        <f>IF('Raw Data'!A60&lt;&gt;"",AVERAGE('Raw Data'!BE60,'Raw Data'!BG60,'Raw Data'!BI60,'Raw Data'!BK60,'Raw Data'!BM60),"")</f>
        <v/>
      </c>
      <c r="W73" s="11" t="str">
        <f t="shared" si="8"/>
        <v/>
      </c>
      <c r="X73" s="11" t="str">
        <f t="shared" si="9"/>
        <v/>
      </c>
      <c r="Y73" s="11" t="str">
        <f t="shared" si="10"/>
        <v/>
      </c>
      <c r="Z73" s="11" t="str">
        <f t="shared" si="11"/>
        <v/>
      </c>
      <c r="AA73" s="11" t="str">
        <f t="shared" si="12"/>
        <v/>
      </c>
      <c r="AB73" s="24" t="str">
        <f t="shared" si="13"/>
        <v/>
      </c>
    </row>
    <row r="74" spans="1:28" x14ac:dyDescent="0.25">
      <c r="A74" s="10" t="str">
        <f>IF('Raw Data'!A61&lt;&gt;"",'Raw Data'!A61,"")</f>
        <v/>
      </c>
      <c r="B74" s="10" t="str">
        <f>IF('Raw Data'!B61&lt;&gt;"",'Raw Data'!B61,"")</f>
        <v/>
      </c>
      <c r="C74" s="10" t="str">
        <f>IF('Raw Data'!C61&lt;&gt;"",'Raw Data'!C61,"")</f>
        <v/>
      </c>
      <c r="D74" s="10" t="str">
        <f>IF('Raw Data'!D61&lt;&gt;"",'Raw Data'!D61,"")</f>
        <v/>
      </c>
      <c r="E74" s="10" t="str">
        <f>IF('Raw Data'!E61&lt;&gt;"",'Raw Data'!E61,"")</f>
        <v/>
      </c>
      <c r="F74" s="14" t="str">
        <f>IF('Raw Data'!A61&lt;&gt;"",AVERAGE('Raw Data'!F61,'Raw Data'!H61,'Raw Data'!J61,'Raw Data'!L61,'Raw Data'!N61),"")</f>
        <v/>
      </c>
      <c r="G74" s="14" t="str">
        <f>IF('Raw Data'!A61&lt;&gt;"",AVERAGE('Raw Data'!G61,'Raw Data'!I61,'Raw Data'!K61,'Raw Data'!M61,'Raw Data'!O61),"")</f>
        <v/>
      </c>
      <c r="H74" s="14" t="str">
        <f t="shared" si="3"/>
        <v/>
      </c>
      <c r="I74" s="14" t="str">
        <f>IF('Raw Data'!A61&lt;&gt;"",AVERAGE('Raw Data'!P61,'Raw Data'!R61,'Raw Data'!T61,'Raw Data'!V61,'Raw Data'!X61),"")</f>
        <v/>
      </c>
      <c r="J74" s="14" t="str">
        <f>IF('Raw Data'!A61&lt;&gt;"",AVERAGE('Raw Data'!Q61,'Raw Data'!S61,'Raw Data'!U61,'Raw Data'!W61,'Raw Data'!Y61),"")</f>
        <v/>
      </c>
      <c r="K74" s="14" t="str">
        <f t="shared" si="4"/>
        <v/>
      </c>
      <c r="L74" s="14" t="str">
        <f>IF('Raw Data'!A61&lt;&gt;"",AVERAGE('Raw Data'!Z61,'Raw Data'!AB61,'Raw Data'!AD61,'Raw Data'!AF61,'Raw Data'!AH61),"")</f>
        <v/>
      </c>
      <c r="M74" s="14" t="str">
        <f>IF('Raw Data'!A61&lt;&gt;"",AVERAGE('Raw Data'!AA61,'Raw Data'!AC61,'Raw Data'!AE61,'Raw Data'!AG61,'Raw Data'!AI61),"")</f>
        <v/>
      </c>
      <c r="N74" s="14" t="str">
        <f t="shared" si="5"/>
        <v/>
      </c>
      <c r="O74" s="14" t="str">
        <f>IF('Raw Data'!A61&lt;&gt;"",AVERAGE('Raw Data'!AJ61,'Raw Data'!AL61,'Raw Data'!AN61,'Raw Data'!AP61,'Raw Data'!AR61),"")</f>
        <v/>
      </c>
      <c r="P74" s="14" t="str">
        <f>IF('Raw Data'!A61&lt;&gt;"",AVERAGE('Raw Data'!AK61,'Raw Data'!AM61,'Raw Data'!AO61,'Raw Data'!AQ61,'Raw Data'!AS61),"")</f>
        <v/>
      </c>
      <c r="Q74" s="14" t="str">
        <f t="shared" si="6"/>
        <v/>
      </c>
      <c r="R74" s="14" t="str">
        <f>IF('Raw Data'!A61&lt;&gt;"",AVERAGE('Raw Data'!AT61,'Raw Data'!AV61,'Raw Data'!AX61,'Raw Data'!AZ61,'Raw Data'!BB61),"")</f>
        <v/>
      </c>
      <c r="S74" s="14" t="str">
        <f>IF('Raw Data'!A61&lt;&gt;"",AVERAGE('Raw Data'!AU61,'Raw Data'!AW61,'Raw Data'!AY61,'Raw Data'!BA61,'Raw Data'!BC61),"")</f>
        <v/>
      </c>
      <c r="T74" s="14" t="str">
        <f t="shared" si="7"/>
        <v/>
      </c>
      <c r="U74" s="14" t="str">
        <f>IF('Raw Data'!A61&lt;&gt;"",AVERAGE('Raw Data'!BD61,'Raw Data'!BF61,'Raw Data'!BH61,'Raw Data'!BJ61,'Raw Data'!BL61),"")</f>
        <v/>
      </c>
      <c r="V74" s="14" t="str">
        <f>IF('Raw Data'!A61&lt;&gt;"",AVERAGE('Raw Data'!BE61,'Raw Data'!BG61,'Raw Data'!BI61,'Raw Data'!BK61,'Raw Data'!BM61),"")</f>
        <v/>
      </c>
      <c r="W74" s="14" t="str">
        <f t="shared" si="8"/>
        <v/>
      </c>
      <c r="X74" s="14" t="str">
        <f t="shared" si="9"/>
        <v/>
      </c>
      <c r="Y74" s="14" t="str">
        <f t="shared" si="10"/>
        <v/>
      </c>
      <c r="Z74" s="14" t="str">
        <f t="shared" si="11"/>
        <v/>
      </c>
      <c r="AA74" s="14" t="str">
        <f t="shared" si="12"/>
        <v/>
      </c>
      <c r="AB74" s="25" t="str">
        <f t="shared" si="13"/>
        <v/>
      </c>
    </row>
    <row r="75" spans="1:28" x14ac:dyDescent="0.25">
      <c r="A75" s="2" t="str">
        <f>IF('Raw Data'!A62&lt;&gt;"",'Raw Data'!A62,"")</f>
        <v/>
      </c>
      <c r="B75" s="2" t="str">
        <f>IF('Raw Data'!B62&lt;&gt;"",'Raw Data'!B62,"")</f>
        <v/>
      </c>
      <c r="C75" s="2" t="str">
        <f>IF('Raw Data'!C62&lt;&gt;"",'Raw Data'!C62,"")</f>
        <v/>
      </c>
      <c r="D75" s="2" t="str">
        <f>IF('Raw Data'!D62&lt;&gt;"",'Raw Data'!D62,"")</f>
        <v/>
      </c>
      <c r="E75" s="2" t="str">
        <f>IF('Raw Data'!E62&lt;&gt;"",'Raw Data'!E62,"")</f>
        <v/>
      </c>
      <c r="F75" s="11" t="str">
        <f>IF('Raw Data'!A62&lt;&gt;"",AVERAGE('Raw Data'!F62,'Raw Data'!H62,'Raw Data'!J62,'Raw Data'!L62,'Raw Data'!N62),"")</f>
        <v/>
      </c>
      <c r="G75" s="11" t="str">
        <f>IF('Raw Data'!A62&lt;&gt;"",AVERAGE('Raw Data'!G62,'Raw Data'!I62,'Raw Data'!K62,'Raw Data'!M62,'Raw Data'!O62),"")</f>
        <v/>
      </c>
      <c r="H75" s="11" t="str">
        <f t="shared" si="3"/>
        <v/>
      </c>
      <c r="I75" s="11" t="str">
        <f>IF('Raw Data'!A62&lt;&gt;"",AVERAGE('Raw Data'!P62,'Raw Data'!R62,'Raw Data'!T62,'Raw Data'!V62,'Raw Data'!X62),"")</f>
        <v/>
      </c>
      <c r="J75" s="11" t="str">
        <f>IF('Raw Data'!A62&lt;&gt;"",AVERAGE('Raw Data'!Q62,'Raw Data'!S62,'Raw Data'!U62,'Raw Data'!W62,'Raw Data'!Y62),"")</f>
        <v/>
      </c>
      <c r="K75" s="11" t="str">
        <f t="shared" si="4"/>
        <v/>
      </c>
      <c r="L75" s="11" t="str">
        <f>IF('Raw Data'!A62&lt;&gt;"",AVERAGE('Raw Data'!Z62,'Raw Data'!AB62,'Raw Data'!AD62,'Raw Data'!AF62,'Raw Data'!AH62),"")</f>
        <v/>
      </c>
      <c r="M75" s="11" t="str">
        <f>IF('Raw Data'!A62&lt;&gt;"",AVERAGE('Raw Data'!AA62,'Raw Data'!AC62,'Raw Data'!AE62,'Raw Data'!AG62,'Raw Data'!AI62),"")</f>
        <v/>
      </c>
      <c r="N75" s="11" t="str">
        <f t="shared" si="5"/>
        <v/>
      </c>
      <c r="O75" s="11" t="str">
        <f>IF('Raw Data'!A62&lt;&gt;"",AVERAGE('Raw Data'!AJ62,'Raw Data'!AL62,'Raw Data'!AN62,'Raw Data'!AP62,'Raw Data'!AR62),"")</f>
        <v/>
      </c>
      <c r="P75" s="11" t="str">
        <f>IF('Raw Data'!A62&lt;&gt;"",AVERAGE('Raw Data'!AK62,'Raw Data'!AM62,'Raw Data'!AO62,'Raw Data'!AQ62,'Raw Data'!AS62),"")</f>
        <v/>
      </c>
      <c r="Q75" s="11" t="str">
        <f t="shared" si="6"/>
        <v/>
      </c>
      <c r="R75" s="11" t="str">
        <f>IF('Raw Data'!A62&lt;&gt;"",AVERAGE('Raw Data'!AT62,'Raw Data'!AV62,'Raw Data'!AX62,'Raw Data'!AZ62,'Raw Data'!BB62),"")</f>
        <v/>
      </c>
      <c r="S75" s="11" t="str">
        <f>IF('Raw Data'!A62&lt;&gt;"",AVERAGE('Raw Data'!AU62,'Raw Data'!AW62,'Raw Data'!AY62,'Raw Data'!BA62,'Raw Data'!BC62),"")</f>
        <v/>
      </c>
      <c r="T75" s="11" t="str">
        <f t="shared" si="7"/>
        <v/>
      </c>
      <c r="U75" s="11" t="str">
        <f>IF('Raw Data'!A62&lt;&gt;"",AVERAGE('Raw Data'!BD62,'Raw Data'!BF62,'Raw Data'!BH62,'Raw Data'!BJ62,'Raw Data'!BL62),"")</f>
        <v/>
      </c>
      <c r="V75" s="11" t="str">
        <f>IF('Raw Data'!A62&lt;&gt;"",AVERAGE('Raw Data'!BE62,'Raw Data'!BG62,'Raw Data'!BI62,'Raw Data'!BK62,'Raw Data'!BM62),"")</f>
        <v/>
      </c>
      <c r="W75" s="11" t="str">
        <f t="shared" si="8"/>
        <v/>
      </c>
      <c r="X75" s="11" t="str">
        <f t="shared" si="9"/>
        <v/>
      </c>
      <c r="Y75" s="11" t="str">
        <f t="shared" si="10"/>
        <v/>
      </c>
      <c r="Z75" s="11" t="str">
        <f t="shared" si="11"/>
        <v/>
      </c>
      <c r="AA75" s="11" t="str">
        <f t="shared" si="12"/>
        <v/>
      </c>
      <c r="AB75" s="24" t="str">
        <f t="shared" si="13"/>
        <v/>
      </c>
    </row>
    <row r="76" spans="1:28" x14ac:dyDescent="0.25">
      <c r="A76" s="10" t="str">
        <f>IF('Raw Data'!A63&lt;&gt;"",'Raw Data'!A63,"")</f>
        <v/>
      </c>
      <c r="B76" s="10" t="str">
        <f>IF('Raw Data'!B63&lt;&gt;"",'Raw Data'!B63,"")</f>
        <v/>
      </c>
      <c r="C76" s="10" t="str">
        <f>IF('Raw Data'!C63&lt;&gt;"",'Raw Data'!C63,"")</f>
        <v/>
      </c>
      <c r="D76" s="10" t="str">
        <f>IF('Raw Data'!D63&lt;&gt;"",'Raw Data'!D63,"")</f>
        <v/>
      </c>
      <c r="E76" s="10" t="str">
        <f>IF('Raw Data'!E63&lt;&gt;"",'Raw Data'!E63,"")</f>
        <v/>
      </c>
      <c r="F76" s="14" t="str">
        <f>IF('Raw Data'!A63&lt;&gt;"",AVERAGE('Raw Data'!F63,'Raw Data'!H63,'Raw Data'!J63,'Raw Data'!L63,'Raw Data'!N63),"")</f>
        <v/>
      </c>
      <c r="G76" s="14" t="str">
        <f>IF('Raw Data'!A63&lt;&gt;"",AVERAGE('Raw Data'!G63,'Raw Data'!I63,'Raw Data'!K63,'Raw Data'!M63,'Raw Data'!O63),"")</f>
        <v/>
      </c>
      <c r="H76" s="14" t="str">
        <f t="shared" si="3"/>
        <v/>
      </c>
      <c r="I76" s="14" t="str">
        <f>IF('Raw Data'!A63&lt;&gt;"",AVERAGE('Raw Data'!P63,'Raw Data'!R63,'Raw Data'!T63,'Raw Data'!V63,'Raw Data'!X63),"")</f>
        <v/>
      </c>
      <c r="J76" s="14" t="str">
        <f>IF('Raw Data'!A63&lt;&gt;"",AVERAGE('Raw Data'!Q63,'Raw Data'!S63,'Raw Data'!U63,'Raw Data'!W63,'Raw Data'!Y63),"")</f>
        <v/>
      </c>
      <c r="K76" s="14" t="str">
        <f t="shared" si="4"/>
        <v/>
      </c>
      <c r="L76" s="14" t="str">
        <f>IF('Raw Data'!A63&lt;&gt;"",AVERAGE('Raw Data'!Z63,'Raw Data'!AB63,'Raw Data'!AD63,'Raw Data'!AF63,'Raw Data'!AH63),"")</f>
        <v/>
      </c>
      <c r="M76" s="14" t="str">
        <f>IF('Raw Data'!A63&lt;&gt;"",AVERAGE('Raw Data'!AA63,'Raw Data'!AC63,'Raw Data'!AE63,'Raw Data'!AG63,'Raw Data'!AI63),"")</f>
        <v/>
      </c>
      <c r="N76" s="14" t="str">
        <f t="shared" si="5"/>
        <v/>
      </c>
      <c r="O76" s="14" t="str">
        <f>IF('Raw Data'!A63&lt;&gt;"",AVERAGE('Raw Data'!AJ63,'Raw Data'!AL63,'Raw Data'!AN63,'Raw Data'!AP63,'Raw Data'!AR63),"")</f>
        <v/>
      </c>
      <c r="P76" s="14" t="str">
        <f>IF('Raw Data'!A63&lt;&gt;"",AVERAGE('Raw Data'!AK63,'Raw Data'!AM63,'Raw Data'!AO63,'Raw Data'!AQ63,'Raw Data'!AS63),"")</f>
        <v/>
      </c>
      <c r="Q76" s="14" t="str">
        <f t="shared" si="6"/>
        <v/>
      </c>
      <c r="R76" s="14" t="str">
        <f>IF('Raw Data'!A63&lt;&gt;"",AVERAGE('Raw Data'!AT63,'Raw Data'!AV63,'Raw Data'!AX63,'Raw Data'!AZ63,'Raw Data'!BB63),"")</f>
        <v/>
      </c>
      <c r="S76" s="14" t="str">
        <f>IF('Raw Data'!A63&lt;&gt;"",AVERAGE('Raw Data'!AU63,'Raw Data'!AW63,'Raw Data'!AY63,'Raw Data'!BA63,'Raw Data'!BC63),"")</f>
        <v/>
      </c>
      <c r="T76" s="14" t="str">
        <f t="shared" si="7"/>
        <v/>
      </c>
      <c r="U76" s="14" t="str">
        <f>IF('Raw Data'!A63&lt;&gt;"",AVERAGE('Raw Data'!BD63,'Raw Data'!BF63,'Raw Data'!BH63,'Raw Data'!BJ63,'Raw Data'!BL63),"")</f>
        <v/>
      </c>
      <c r="V76" s="14" t="str">
        <f>IF('Raw Data'!A63&lt;&gt;"",AVERAGE('Raw Data'!BE63,'Raw Data'!BG63,'Raw Data'!BI63,'Raw Data'!BK63,'Raw Data'!BM63),"")</f>
        <v/>
      </c>
      <c r="W76" s="14" t="str">
        <f t="shared" si="8"/>
        <v/>
      </c>
      <c r="X76" s="14" t="str">
        <f t="shared" si="9"/>
        <v/>
      </c>
      <c r="Y76" s="14" t="str">
        <f t="shared" si="10"/>
        <v/>
      </c>
      <c r="Z76" s="14" t="str">
        <f t="shared" si="11"/>
        <v/>
      </c>
      <c r="AA76" s="14" t="str">
        <f t="shared" si="12"/>
        <v/>
      </c>
      <c r="AB76" s="25" t="str">
        <f t="shared" si="13"/>
        <v/>
      </c>
    </row>
    <row r="77" spans="1:28" x14ac:dyDescent="0.25">
      <c r="A77" s="2" t="str">
        <f>IF('Raw Data'!A64&lt;&gt;"",'Raw Data'!A64,"")</f>
        <v/>
      </c>
      <c r="B77" s="2" t="str">
        <f>IF('Raw Data'!B64&lt;&gt;"",'Raw Data'!B64,"")</f>
        <v/>
      </c>
      <c r="C77" s="2" t="str">
        <f>IF('Raw Data'!C64&lt;&gt;"",'Raw Data'!C64,"")</f>
        <v/>
      </c>
      <c r="D77" s="2" t="str">
        <f>IF('Raw Data'!D64&lt;&gt;"",'Raw Data'!D64,"")</f>
        <v/>
      </c>
      <c r="E77" s="2" t="str">
        <f>IF('Raw Data'!E64&lt;&gt;"",'Raw Data'!E64,"")</f>
        <v/>
      </c>
      <c r="F77" s="11" t="str">
        <f>IF('Raw Data'!A64&lt;&gt;"",AVERAGE('Raw Data'!F64,'Raw Data'!H64,'Raw Data'!J64,'Raw Data'!L64,'Raw Data'!N64),"")</f>
        <v/>
      </c>
      <c r="G77" s="11" t="str">
        <f>IF('Raw Data'!A64&lt;&gt;"",AVERAGE('Raw Data'!G64,'Raw Data'!I64,'Raw Data'!K64,'Raw Data'!M64,'Raw Data'!O64),"")</f>
        <v/>
      </c>
      <c r="H77" s="11" t="str">
        <f t="shared" si="3"/>
        <v/>
      </c>
      <c r="I77" s="11" t="str">
        <f>IF('Raw Data'!A64&lt;&gt;"",AVERAGE('Raw Data'!P64,'Raw Data'!R64,'Raw Data'!T64,'Raw Data'!V64,'Raw Data'!X64),"")</f>
        <v/>
      </c>
      <c r="J77" s="11" t="str">
        <f>IF('Raw Data'!A64&lt;&gt;"",AVERAGE('Raw Data'!Q64,'Raw Data'!S64,'Raw Data'!U64,'Raw Data'!W64,'Raw Data'!Y64),"")</f>
        <v/>
      </c>
      <c r="K77" s="11" t="str">
        <f t="shared" si="4"/>
        <v/>
      </c>
      <c r="L77" s="11" t="str">
        <f>IF('Raw Data'!A64&lt;&gt;"",AVERAGE('Raw Data'!Z64,'Raw Data'!AB64,'Raw Data'!AD64,'Raw Data'!AF64,'Raw Data'!AH64),"")</f>
        <v/>
      </c>
      <c r="M77" s="11" t="str">
        <f>IF('Raw Data'!A64&lt;&gt;"",AVERAGE('Raw Data'!AA64,'Raw Data'!AC64,'Raw Data'!AE64,'Raw Data'!AG64,'Raw Data'!AI64),"")</f>
        <v/>
      </c>
      <c r="N77" s="11" t="str">
        <f t="shared" si="5"/>
        <v/>
      </c>
      <c r="O77" s="11" t="str">
        <f>IF('Raw Data'!A64&lt;&gt;"",AVERAGE('Raw Data'!AJ64,'Raw Data'!AL64,'Raw Data'!AN64,'Raw Data'!AP64,'Raw Data'!AR64),"")</f>
        <v/>
      </c>
      <c r="P77" s="11" t="str">
        <f>IF('Raw Data'!A64&lt;&gt;"",AVERAGE('Raw Data'!AK64,'Raw Data'!AM64,'Raw Data'!AO64,'Raw Data'!AQ64,'Raw Data'!AS64),"")</f>
        <v/>
      </c>
      <c r="Q77" s="11" t="str">
        <f t="shared" si="6"/>
        <v/>
      </c>
      <c r="R77" s="11" t="str">
        <f>IF('Raw Data'!A64&lt;&gt;"",AVERAGE('Raw Data'!AT64,'Raw Data'!AV64,'Raw Data'!AX64,'Raw Data'!AZ64,'Raw Data'!BB64),"")</f>
        <v/>
      </c>
      <c r="S77" s="11" t="str">
        <f>IF('Raw Data'!A64&lt;&gt;"",AVERAGE('Raw Data'!AU64,'Raw Data'!AW64,'Raw Data'!AY64,'Raw Data'!BA64,'Raw Data'!BC64),"")</f>
        <v/>
      </c>
      <c r="T77" s="11" t="str">
        <f t="shared" si="7"/>
        <v/>
      </c>
      <c r="U77" s="11" t="str">
        <f>IF('Raw Data'!A64&lt;&gt;"",AVERAGE('Raw Data'!BD64,'Raw Data'!BF64,'Raw Data'!BH64,'Raw Data'!BJ64,'Raw Data'!BL64),"")</f>
        <v/>
      </c>
      <c r="V77" s="11" t="str">
        <f>IF('Raw Data'!A64&lt;&gt;"",AVERAGE('Raw Data'!BE64,'Raw Data'!BG64,'Raw Data'!BI64,'Raw Data'!BK64,'Raw Data'!BM64),"")</f>
        <v/>
      </c>
      <c r="W77" s="11" t="str">
        <f t="shared" si="8"/>
        <v/>
      </c>
      <c r="X77" s="11" t="str">
        <f t="shared" si="9"/>
        <v/>
      </c>
      <c r="Y77" s="11" t="str">
        <f t="shared" si="10"/>
        <v/>
      </c>
      <c r="Z77" s="11" t="str">
        <f t="shared" si="11"/>
        <v/>
      </c>
      <c r="AA77" s="11" t="str">
        <f t="shared" si="12"/>
        <v/>
      </c>
      <c r="AB77" s="24" t="str">
        <f t="shared" si="13"/>
        <v/>
      </c>
    </row>
    <row r="78" spans="1:28" x14ac:dyDescent="0.25">
      <c r="A78" s="10" t="str">
        <f>IF('Raw Data'!A65&lt;&gt;"",'Raw Data'!A65,"")</f>
        <v/>
      </c>
      <c r="B78" s="10" t="str">
        <f>IF('Raw Data'!B65&lt;&gt;"",'Raw Data'!B65,"")</f>
        <v/>
      </c>
      <c r="C78" s="10" t="str">
        <f>IF('Raw Data'!C65&lt;&gt;"",'Raw Data'!C65,"")</f>
        <v/>
      </c>
      <c r="D78" s="10" t="str">
        <f>IF('Raw Data'!D65&lt;&gt;"",'Raw Data'!D65,"")</f>
        <v/>
      </c>
      <c r="E78" s="10" t="str">
        <f>IF('Raw Data'!E65&lt;&gt;"",'Raw Data'!E65,"")</f>
        <v/>
      </c>
      <c r="F78" s="14" t="str">
        <f>IF('Raw Data'!A65&lt;&gt;"",AVERAGE('Raw Data'!F65,'Raw Data'!H65,'Raw Data'!J65,'Raw Data'!L65,'Raw Data'!N65),"")</f>
        <v/>
      </c>
      <c r="G78" s="14" t="str">
        <f>IF('Raw Data'!A65&lt;&gt;"",AVERAGE('Raw Data'!G65,'Raw Data'!I65,'Raw Data'!K65,'Raw Data'!M65,'Raw Data'!O65),"")</f>
        <v/>
      </c>
      <c r="H78" s="14" t="str">
        <f t="shared" si="3"/>
        <v/>
      </c>
      <c r="I78" s="14" t="str">
        <f>IF('Raw Data'!A65&lt;&gt;"",AVERAGE('Raw Data'!P65,'Raw Data'!R65,'Raw Data'!T65,'Raw Data'!V65,'Raw Data'!X65),"")</f>
        <v/>
      </c>
      <c r="J78" s="14" t="str">
        <f>IF('Raw Data'!A65&lt;&gt;"",AVERAGE('Raw Data'!Q65,'Raw Data'!S65,'Raw Data'!U65,'Raw Data'!W65,'Raw Data'!Y65),"")</f>
        <v/>
      </c>
      <c r="K78" s="14" t="str">
        <f t="shared" si="4"/>
        <v/>
      </c>
      <c r="L78" s="14" t="str">
        <f>IF('Raw Data'!A65&lt;&gt;"",AVERAGE('Raw Data'!Z65,'Raw Data'!AB65,'Raw Data'!AD65,'Raw Data'!AF65,'Raw Data'!AH65),"")</f>
        <v/>
      </c>
      <c r="M78" s="14" t="str">
        <f>IF('Raw Data'!A65&lt;&gt;"",AVERAGE('Raw Data'!AA65,'Raw Data'!AC65,'Raw Data'!AE65,'Raw Data'!AG65,'Raw Data'!AI65),"")</f>
        <v/>
      </c>
      <c r="N78" s="14" t="str">
        <f t="shared" si="5"/>
        <v/>
      </c>
      <c r="O78" s="14" t="str">
        <f>IF('Raw Data'!A65&lt;&gt;"",AVERAGE('Raw Data'!AJ65,'Raw Data'!AL65,'Raw Data'!AN65,'Raw Data'!AP65,'Raw Data'!AR65),"")</f>
        <v/>
      </c>
      <c r="P78" s="14" t="str">
        <f>IF('Raw Data'!A65&lt;&gt;"",AVERAGE('Raw Data'!AK65,'Raw Data'!AM65,'Raw Data'!AO65,'Raw Data'!AQ65,'Raw Data'!AS65),"")</f>
        <v/>
      </c>
      <c r="Q78" s="14" t="str">
        <f t="shared" si="6"/>
        <v/>
      </c>
      <c r="R78" s="14" t="str">
        <f>IF('Raw Data'!A65&lt;&gt;"",AVERAGE('Raw Data'!AT65,'Raw Data'!AV65,'Raw Data'!AX65,'Raw Data'!AZ65,'Raw Data'!BB65),"")</f>
        <v/>
      </c>
      <c r="S78" s="14" t="str">
        <f>IF('Raw Data'!A65&lt;&gt;"",AVERAGE('Raw Data'!AU65,'Raw Data'!AW65,'Raw Data'!AY65,'Raw Data'!BA65,'Raw Data'!BC65),"")</f>
        <v/>
      </c>
      <c r="T78" s="14" t="str">
        <f t="shared" si="7"/>
        <v/>
      </c>
      <c r="U78" s="14" t="str">
        <f>IF('Raw Data'!A65&lt;&gt;"",AVERAGE('Raw Data'!BD65,'Raw Data'!BF65,'Raw Data'!BH65,'Raw Data'!BJ65,'Raw Data'!BL65),"")</f>
        <v/>
      </c>
      <c r="V78" s="14" t="str">
        <f>IF('Raw Data'!A65&lt;&gt;"",AVERAGE('Raw Data'!BE65,'Raw Data'!BG65,'Raw Data'!BI65,'Raw Data'!BK65,'Raw Data'!BM65),"")</f>
        <v/>
      </c>
      <c r="W78" s="14" t="str">
        <f t="shared" si="8"/>
        <v/>
      </c>
      <c r="X78" s="14" t="str">
        <f t="shared" si="9"/>
        <v/>
      </c>
      <c r="Y78" s="14" t="str">
        <f t="shared" si="10"/>
        <v/>
      </c>
      <c r="Z78" s="14" t="str">
        <f t="shared" si="11"/>
        <v/>
      </c>
      <c r="AA78" s="14" t="str">
        <f t="shared" si="12"/>
        <v/>
      </c>
      <c r="AB78" s="25" t="str">
        <f t="shared" si="13"/>
        <v/>
      </c>
    </row>
    <row r="79" spans="1:28" x14ac:dyDescent="0.25">
      <c r="A79" s="2" t="str">
        <f>IF('Raw Data'!A66&lt;&gt;"",'Raw Data'!A66,"")</f>
        <v/>
      </c>
      <c r="B79" s="2" t="str">
        <f>IF('Raw Data'!B66&lt;&gt;"",'Raw Data'!B66,"")</f>
        <v/>
      </c>
      <c r="C79" s="2" t="str">
        <f>IF('Raw Data'!C66&lt;&gt;"",'Raw Data'!C66,"")</f>
        <v/>
      </c>
      <c r="D79" s="2" t="str">
        <f>IF('Raw Data'!D66&lt;&gt;"",'Raw Data'!D66,"")</f>
        <v/>
      </c>
      <c r="E79" s="2" t="str">
        <f>IF('Raw Data'!E66&lt;&gt;"",'Raw Data'!E66,"")</f>
        <v/>
      </c>
      <c r="F79" s="11" t="str">
        <f>IF('Raw Data'!A66&lt;&gt;"",AVERAGE('Raw Data'!F66,'Raw Data'!H66,'Raw Data'!J66,'Raw Data'!L66,'Raw Data'!N66),"")</f>
        <v/>
      </c>
      <c r="G79" s="11" t="str">
        <f>IF('Raw Data'!A66&lt;&gt;"",AVERAGE('Raw Data'!G66,'Raw Data'!I66,'Raw Data'!K66,'Raw Data'!M66,'Raw Data'!O66),"")</f>
        <v/>
      </c>
      <c r="H79" s="11" t="str">
        <f t="shared" si="3"/>
        <v/>
      </c>
      <c r="I79" s="11" t="str">
        <f>IF('Raw Data'!A66&lt;&gt;"",AVERAGE('Raw Data'!P66,'Raw Data'!R66,'Raw Data'!T66,'Raw Data'!V66,'Raw Data'!X66),"")</f>
        <v/>
      </c>
      <c r="J79" s="11" t="str">
        <f>IF('Raw Data'!A66&lt;&gt;"",AVERAGE('Raw Data'!Q66,'Raw Data'!S66,'Raw Data'!U66,'Raw Data'!W66,'Raw Data'!Y66),"")</f>
        <v/>
      </c>
      <c r="K79" s="11" t="str">
        <f t="shared" si="4"/>
        <v/>
      </c>
      <c r="L79" s="11" t="str">
        <f>IF('Raw Data'!A66&lt;&gt;"",AVERAGE('Raw Data'!Z66,'Raw Data'!AB66,'Raw Data'!AD66,'Raw Data'!AF66,'Raw Data'!AH66),"")</f>
        <v/>
      </c>
      <c r="M79" s="11" t="str">
        <f>IF('Raw Data'!A66&lt;&gt;"",AVERAGE('Raw Data'!AA66,'Raw Data'!AC66,'Raw Data'!AE66,'Raw Data'!AG66,'Raw Data'!AI66),"")</f>
        <v/>
      </c>
      <c r="N79" s="11" t="str">
        <f t="shared" si="5"/>
        <v/>
      </c>
      <c r="O79" s="11" t="str">
        <f>IF('Raw Data'!A66&lt;&gt;"",AVERAGE('Raw Data'!AJ66,'Raw Data'!AL66,'Raw Data'!AN66,'Raw Data'!AP66,'Raw Data'!AR66),"")</f>
        <v/>
      </c>
      <c r="P79" s="11" t="str">
        <f>IF('Raw Data'!A66&lt;&gt;"",AVERAGE('Raw Data'!AK66,'Raw Data'!AM66,'Raw Data'!AO66,'Raw Data'!AQ66,'Raw Data'!AS66),"")</f>
        <v/>
      </c>
      <c r="Q79" s="11" t="str">
        <f t="shared" si="6"/>
        <v/>
      </c>
      <c r="R79" s="11" t="str">
        <f>IF('Raw Data'!A66&lt;&gt;"",AVERAGE('Raw Data'!AT66,'Raw Data'!AV66,'Raw Data'!AX66,'Raw Data'!AZ66,'Raw Data'!BB66),"")</f>
        <v/>
      </c>
      <c r="S79" s="11" t="str">
        <f>IF('Raw Data'!A66&lt;&gt;"",AVERAGE('Raw Data'!AU66,'Raw Data'!AW66,'Raw Data'!AY66,'Raw Data'!BA66,'Raw Data'!BC66),"")</f>
        <v/>
      </c>
      <c r="T79" s="11" t="str">
        <f t="shared" si="7"/>
        <v/>
      </c>
      <c r="U79" s="11" t="str">
        <f>IF('Raw Data'!A66&lt;&gt;"",AVERAGE('Raw Data'!BD66,'Raw Data'!BF66,'Raw Data'!BH66,'Raw Data'!BJ66,'Raw Data'!BL66),"")</f>
        <v/>
      </c>
      <c r="V79" s="11" t="str">
        <f>IF('Raw Data'!A66&lt;&gt;"",AVERAGE('Raw Data'!BE66,'Raw Data'!BG66,'Raw Data'!BI66,'Raw Data'!BK66,'Raw Data'!BM66),"")</f>
        <v/>
      </c>
      <c r="W79" s="11" t="str">
        <f t="shared" si="8"/>
        <v/>
      </c>
      <c r="X79" s="11" t="str">
        <f t="shared" si="9"/>
        <v/>
      </c>
      <c r="Y79" s="11" t="str">
        <f t="shared" si="10"/>
        <v/>
      </c>
      <c r="Z79" s="11" t="str">
        <f t="shared" si="11"/>
        <v/>
      </c>
      <c r="AA79" s="11" t="str">
        <f t="shared" si="12"/>
        <v/>
      </c>
      <c r="AB79" s="24" t="str">
        <f t="shared" si="13"/>
        <v/>
      </c>
    </row>
    <row r="80" spans="1:28" x14ac:dyDescent="0.25">
      <c r="A80" s="10" t="str">
        <f>IF('Raw Data'!A67&lt;&gt;"",'Raw Data'!A67,"")</f>
        <v/>
      </c>
      <c r="B80" s="10" t="str">
        <f>IF('Raw Data'!B67&lt;&gt;"",'Raw Data'!B67,"")</f>
        <v/>
      </c>
      <c r="C80" s="10" t="str">
        <f>IF('Raw Data'!C67&lt;&gt;"",'Raw Data'!C67,"")</f>
        <v/>
      </c>
      <c r="D80" s="10" t="str">
        <f>IF('Raw Data'!D67&lt;&gt;"",'Raw Data'!D67,"")</f>
        <v/>
      </c>
      <c r="E80" s="10" t="str">
        <f>IF('Raw Data'!E67&lt;&gt;"",'Raw Data'!E67,"")</f>
        <v/>
      </c>
      <c r="F80" s="14" t="str">
        <f>IF('Raw Data'!A67&lt;&gt;"",AVERAGE('Raw Data'!F67,'Raw Data'!H67,'Raw Data'!J67,'Raw Data'!L67,'Raw Data'!N67),"")</f>
        <v/>
      </c>
      <c r="G80" s="14" t="str">
        <f>IF('Raw Data'!A67&lt;&gt;"",AVERAGE('Raw Data'!G67,'Raw Data'!I67,'Raw Data'!K67,'Raw Data'!M67,'Raw Data'!O67),"")</f>
        <v/>
      </c>
      <c r="H80" s="14" t="str">
        <f t="shared" si="3"/>
        <v/>
      </c>
      <c r="I80" s="14" t="str">
        <f>IF('Raw Data'!A67&lt;&gt;"",AVERAGE('Raw Data'!P67,'Raw Data'!R67,'Raw Data'!T67,'Raw Data'!V67,'Raw Data'!X67),"")</f>
        <v/>
      </c>
      <c r="J80" s="14" t="str">
        <f>IF('Raw Data'!A67&lt;&gt;"",AVERAGE('Raw Data'!Q67,'Raw Data'!S67,'Raw Data'!U67,'Raw Data'!W67,'Raw Data'!Y67),"")</f>
        <v/>
      </c>
      <c r="K80" s="14" t="str">
        <f t="shared" si="4"/>
        <v/>
      </c>
      <c r="L80" s="14" t="str">
        <f>IF('Raw Data'!A67&lt;&gt;"",AVERAGE('Raw Data'!Z67,'Raw Data'!AB67,'Raw Data'!AD67,'Raw Data'!AF67,'Raw Data'!AH67),"")</f>
        <v/>
      </c>
      <c r="M80" s="14" t="str">
        <f>IF('Raw Data'!A67&lt;&gt;"",AVERAGE('Raw Data'!AA67,'Raw Data'!AC67,'Raw Data'!AE67,'Raw Data'!AG67,'Raw Data'!AI67),"")</f>
        <v/>
      </c>
      <c r="N80" s="14" t="str">
        <f t="shared" si="5"/>
        <v/>
      </c>
      <c r="O80" s="14" t="str">
        <f>IF('Raw Data'!A67&lt;&gt;"",AVERAGE('Raw Data'!AJ67,'Raw Data'!AL67,'Raw Data'!AN67,'Raw Data'!AP67,'Raw Data'!AR67),"")</f>
        <v/>
      </c>
      <c r="P80" s="14" t="str">
        <f>IF('Raw Data'!A67&lt;&gt;"",AVERAGE('Raw Data'!AK67,'Raw Data'!AM67,'Raw Data'!AO67,'Raw Data'!AQ67,'Raw Data'!AS67),"")</f>
        <v/>
      </c>
      <c r="Q80" s="14" t="str">
        <f t="shared" si="6"/>
        <v/>
      </c>
      <c r="R80" s="14" t="str">
        <f>IF('Raw Data'!A67&lt;&gt;"",AVERAGE('Raw Data'!AT67,'Raw Data'!AV67,'Raw Data'!AX67,'Raw Data'!AZ67,'Raw Data'!BB67),"")</f>
        <v/>
      </c>
      <c r="S80" s="14" t="str">
        <f>IF('Raw Data'!A67&lt;&gt;"",AVERAGE('Raw Data'!AU67,'Raw Data'!AW67,'Raw Data'!AY67,'Raw Data'!BA67,'Raw Data'!BC67),"")</f>
        <v/>
      </c>
      <c r="T80" s="14" t="str">
        <f t="shared" si="7"/>
        <v/>
      </c>
      <c r="U80" s="14" t="str">
        <f>IF('Raw Data'!A67&lt;&gt;"",AVERAGE('Raw Data'!BD67,'Raw Data'!BF67,'Raw Data'!BH67,'Raw Data'!BJ67,'Raw Data'!BL67),"")</f>
        <v/>
      </c>
      <c r="V80" s="14" t="str">
        <f>IF('Raw Data'!A67&lt;&gt;"",AVERAGE('Raw Data'!BE67,'Raw Data'!BG67,'Raw Data'!BI67,'Raw Data'!BK67,'Raw Data'!BM67),"")</f>
        <v/>
      </c>
      <c r="W80" s="14" t="str">
        <f t="shared" si="8"/>
        <v/>
      </c>
      <c r="X80" s="14" t="str">
        <f t="shared" si="9"/>
        <v/>
      </c>
      <c r="Y80" s="14" t="str">
        <f t="shared" si="10"/>
        <v/>
      </c>
      <c r="Z80" s="14" t="str">
        <f t="shared" si="11"/>
        <v/>
      </c>
      <c r="AA80" s="14" t="str">
        <f t="shared" si="12"/>
        <v/>
      </c>
      <c r="AB80" s="25" t="str">
        <f t="shared" si="13"/>
        <v/>
      </c>
    </row>
    <row r="81" spans="1:28" x14ac:dyDescent="0.25">
      <c r="A81" s="2" t="str">
        <f>IF('Raw Data'!A68&lt;&gt;"",'Raw Data'!A68,"")</f>
        <v/>
      </c>
      <c r="B81" s="2" t="str">
        <f>IF('Raw Data'!B68&lt;&gt;"",'Raw Data'!B68,"")</f>
        <v/>
      </c>
      <c r="C81" s="2" t="str">
        <f>IF('Raw Data'!C68&lt;&gt;"",'Raw Data'!C68,"")</f>
        <v/>
      </c>
      <c r="D81" s="2" t="str">
        <f>IF('Raw Data'!D68&lt;&gt;"",'Raw Data'!D68,"")</f>
        <v/>
      </c>
      <c r="E81" s="2" t="str">
        <f>IF('Raw Data'!E68&lt;&gt;"",'Raw Data'!E68,"")</f>
        <v/>
      </c>
      <c r="F81" s="11" t="str">
        <f>IF('Raw Data'!A68&lt;&gt;"",AVERAGE('Raw Data'!F68,'Raw Data'!H68,'Raw Data'!J68,'Raw Data'!L68,'Raw Data'!N68),"")</f>
        <v/>
      </c>
      <c r="G81" s="11" t="str">
        <f>IF('Raw Data'!A68&lt;&gt;"",AVERAGE('Raw Data'!G68,'Raw Data'!I68,'Raw Data'!K68,'Raw Data'!M68,'Raw Data'!O68),"")</f>
        <v/>
      </c>
      <c r="H81" s="11" t="str">
        <f t="shared" ref="H81:H144" si="14">IF(F81&lt;&gt;"",F81-G81,"")</f>
        <v/>
      </c>
      <c r="I81" s="11" t="str">
        <f>IF('Raw Data'!A68&lt;&gt;"",AVERAGE('Raw Data'!P68,'Raw Data'!R68,'Raw Data'!T68,'Raw Data'!V68,'Raw Data'!X68),"")</f>
        <v/>
      </c>
      <c r="J81" s="11" t="str">
        <f>IF('Raw Data'!A68&lt;&gt;"",AVERAGE('Raw Data'!Q68,'Raw Data'!S68,'Raw Data'!U68,'Raw Data'!W68,'Raw Data'!Y68),"")</f>
        <v/>
      </c>
      <c r="K81" s="11" t="str">
        <f t="shared" ref="K81:K144" si="15">IF(I81&lt;&gt;"",I81-J81,"")</f>
        <v/>
      </c>
      <c r="L81" s="11" t="str">
        <f>IF('Raw Data'!A68&lt;&gt;"",AVERAGE('Raw Data'!Z68,'Raw Data'!AB68,'Raw Data'!AD68,'Raw Data'!AF68,'Raw Data'!AH68),"")</f>
        <v/>
      </c>
      <c r="M81" s="11" t="str">
        <f>IF('Raw Data'!A68&lt;&gt;"",AVERAGE('Raw Data'!AA68,'Raw Data'!AC68,'Raw Data'!AE68,'Raw Data'!AG68,'Raw Data'!AI68),"")</f>
        <v/>
      </c>
      <c r="N81" s="11" t="str">
        <f t="shared" ref="N81:N144" si="16">IF(L81&lt;&gt;"",L81-M81,"")</f>
        <v/>
      </c>
      <c r="O81" s="11" t="str">
        <f>IF('Raw Data'!A68&lt;&gt;"",AVERAGE('Raw Data'!AJ68,'Raw Data'!AL68,'Raw Data'!AN68,'Raw Data'!AP68,'Raw Data'!AR68),"")</f>
        <v/>
      </c>
      <c r="P81" s="11" t="str">
        <f>IF('Raw Data'!A68&lt;&gt;"",AVERAGE('Raw Data'!AK68,'Raw Data'!AM68,'Raw Data'!AO68,'Raw Data'!AQ68,'Raw Data'!AS68),"")</f>
        <v/>
      </c>
      <c r="Q81" s="11" t="str">
        <f t="shared" ref="Q81:Q144" si="17">IF(O81&lt;&gt;"",O81-P81,"")</f>
        <v/>
      </c>
      <c r="R81" s="11" t="str">
        <f>IF('Raw Data'!A68&lt;&gt;"",AVERAGE('Raw Data'!AT68,'Raw Data'!AV68,'Raw Data'!AX68,'Raw Data'!AZ68,'Raw Data'!BB68),"")</f>
        <v/>
      </c>
      <c r="S81" s="11" t="str">
        <f>IF('Raw Data'!A68&lt;&gt;"",AVERAGE('Raw Data'!AU68,'Raw Data'!AW68,'Raw Data'!AY68,'Raw Data'!BA68,'Raw Data'!BC68),"")</f>
        <v/>
      </c>
      <c r="T81" s="11" t="str">
        <f t="shared" ref="T81:T144" si="18">IF(R81&lt;&gt;"",R81-S81,"")</f>
        <v/>
      </c>
      <c r="U81" s="11" t="str">
        <f>IF('Raw Data'!A68&lt;&gt;"",AVERAGE('Raw Data'!BD68,'Raw Data'!BF68,'Raw Data'!BH68,'Raw Data'!BJ68,'Raw Data'!BL68),"")</f>
        <v/>
      </c>
      <c r="V81" s="11" t="str">
        <f>IF('Raw Data'!A68&lt;&gt;"",AVERAGE('Raw Data'!BE68,'Raw Data'!BG68,'Raw Data'!BI68,'Raw Data'!BK68,'Raw Data'!BM68),"")</f>
        <v/>
      </c>
      <c r="W81" s="11" t="str">
        <f t="shared" ref="W81:W144" si="19">IF(U81&lt;&gt;"",U81-V81,"")</f>
        <v/>
      </c>
      <c r="X81" s="11" t="str">
        <f t="shared" ref="X81:X144" si="20">IF(A81&lt;&gt;"",AVERAGE(F81,I81,L81,O81,R81,U81),"")</f>
        <v/>
      </c>
      <c r="Y81" s="11" t="str">
        <f t="shared" ref="Y81:Y144" si="21">IF(A81&lt;&gt;"",AVERAGE(G81,J81,M81,P81,S81,V81),"")</f>
        <v/>
      </c>
      <c r="Z81" s="11" t="str">
        <f t="shared" ref="Z81:Z144" si="22">IF(A81&lt;&gt;"",X81-Y81,"")</f>
        <v/>
      </c>
      <c r="AA81" s="11" t="str">
        <f t="shared" ref="AA81:AA144" si="23">IF(A81&lt;&gt;"",(K81*0.25)+(Q81*0.2)+(W81*0.2)+(H81*0.15)+(N81*0.1)+(T81*0.1),"")</f>
        <v/>
      </c>
      <c r="AB81" s="24" t="str">
        <f t="shared" ref="AB81:AB144" si="24">IF(A81&lt;&gt;"",(AA81*0.5)+(0.3*K81)+(0.2*Q81),"")</f>
        <v/>
      </c>
    </row>
    <row r="82" spans="1:28" x14ac:dyDescent="0.25">
      <c r="A82" s="10" t="str">
        <f>IF('Raw Data'!A69&lt;&gt;"",'Raw Data'!A69,"")</f>
        <v/>
      </c>
      <c r="B82" s="10" t="str">
        <f>IF('Raw Data'!B69&lt;&gt;"",'Raw Data'!B69,"")</f>
        <v/>
      </c>
      <c r="C82" s="10" t="str">
        <f>IF('Raw Data'!C69&lt;&gt;"",'Raw Data'!C69,"")</f>
        <v/>
      </c>
      <c r="D82" s="10" t="str">
        <f>IF('Raw Data'!D69&lt;&gt;"",'Raw Data'!D69,"")</f>
        <v/>
      </c>
      <c r="E82" s="10" t="str">
        <f>IF('Raw Data'!E69&lt;&gt;"",'Raw Data'!E69,"")</f>
        <v/>
      </c>
      <c r="F82" s="14" t="str">
        <f>IF('Raw Data'!A69&lt;&gt;"",AVERAGE('Raw Data'!F69,'Raw Data'!H69,'Raw Data'!J69,'Raw Data'!L69,'Raw Data'!N69),"")</f>
        <v/>
      </c>
      <c r="G82" s="14" t="str">
        <f>IF('Raw Data'!A69&lt;&gt;"",AVERAGE('Raw Data'!G69,'Raw Data'!I69,'Raw Data'!K69,'Raw Data'!M69,'Raw Data'!O69),"")</f>
        <v/>
      </c>
      <c r="H82" s="14" t="str">
        <f t="shared" si="14"/>
        <v/>
      </c>
      <c r="I82" s="14" t="str">
        <f>IF('Raw Data'!A69&lt;&gt;"",AVERAGE('Raw Data'!P69,'Raw Data'!R69,'Raw Data'!T69,'Raw Data'!V69,'Raw Data'!X69),"")</f>
        <v/>
      </c>
      <c r="J82" s="14" t="str">
        <f>IF('Raw Data'!A69&lt;&gt;"",AVERAGE('Raw Data'!Q69,'Raw Data'!S69,'Raw Data'!U69,'Raw Data'!W69,'Raw Data'!Y69),"")</f>
        <v/>
      </c>
      <c r="K82" s="14" t="str">
        <f t="shared" si="15"/>
        <v/>
      </c>
      <c r="L82" s="14" t="str">
        <f>IF('Raw Data'!A69&lt;&gt;"",AVERAGE('Raw Data'!Z69,'Raw Data'!AB69,'Raw Data'!AD69,'Raw Data'!AF69,'Raw Data'!AH69),"")</f>
        <v/>
      </c>
      <c r="M82" s="14" t="str">
        <f>IF('Raw Data'!A69&lt;&gt;"",AVERAGE('Raw Data'!AA69,'Raw Data'!AC69,'Raw Data'!AE69,'Raw Data'!AG69,'Raw Data'!AI69),"")</f>
        <v/>
      </c>
      <c r="N82" s="14" t="str">
        <f t="shared" si="16"/>
        <v/>
      </c>
      <c r="O82" s="14" t="str">
        <f>IF('Raw Data'!A69&lt;&gt;"",AVERAGE('Raw Data'!AJ69,'Raw Data'!AL69,'Raw Data'!AN69,'Raw Data'!AP69,'Raw Data'!AR69),"")</f>
        <v/>
      </c>
      <c r="P82" s="14" t="str">
        <f>IF('Raw Data'!A69&lt;&gt;"",AVERAGE('Raw Data'!AK69,'Raw Data'!AM69,'Raw Data'!AO69,'Raw Data'!AQ69,'Raw Data'!AS69),"")</f>
        <v/>
      </c>
      <c r="Q82" s="14" t="str">
        <f t="shared" si="17"/>
        <v/>
      </c>
      <c r="R82" s="14" t="str">
        <f>IF('Raw Data'!A69&lt;&gt;"",AVERAGE('Raw Data'!AT69,'Raw Data'!AV69,'Raw Data'!AX69,'Raw Data'!AZ69,'Raw Data'!BB69),"")</f>
        <v/>
      </c>
      <c r="S82" s="14" t="str">
        <f>IF('Raw Data'!A69&lt;&gt;"",AVERAGE('Raw Data'!AU69,'Raw Data'!AW69,'Raw Data'!AY69,'Raw Data'!BA69,'Raw Data'!BC69),"")</f>
        <v/>
      </c>
      <c r="T82" s="14" t="str">
        <f t="shared" si="18"/>
        <v/>
      </c>
      <c r="U82" s="14" t="str">
        <f>IF('Raw Data'!A69&lt;&gt;"",AVERAGE('Raw Data'!BD69,'Raw Data'!BF69,'Raw Data'!BH69,'Raw Data'!BJ69,'Raw Data'!BL69),"")</f>
        <v/>
      </c>
      <c r="V82" s="14" t="str">
        <f>IF('Raw Data'!A69&lt;&gt;"",AVERAGE('Raw Data'!BE69,'Raw Data'!BG69,'Raw Data'!BI69,'Raw Data'!BK69,'Raw Data'!BM69),"")</f>
        <v/>
      </c>
      <c r="W82" s="14" t="str">
        <f t="shared" si="19"/>
        <v/>
      </c>
      <c r="X82" s="14" t="str">
        <f t="shared" si="20"/>
        <v/>
      </c>
      <c r="Y82" s="14" t="str">
        <f t="shared" si="21"/>
        <v/>
      </c>
      <c r="Z82" s="14" t="str">
        <f t="shared" si="22"/>
        <v/>
      </c>
      <c r="AA82" s="14" t="str">
        <f t="shared" si="23"/>
        <v/>
      </c>
      <c r="AB82" s="25" t="str">
        <f t="shared" si="24"/>
        <v/>
      </c>
    </row>
    <row r="83" spans="1:28" x14ac:dyDescent="0.25">
      <c r="A83" s="2" t="str">
        <f>IF('Raw Data'!A70&lt;&gt;"",'Raw Data'!A70,"")</f>
        <v/>
      </c>
      <c r="B83" s="2" t="str">
        <f>IF('Raw Data'!B70&lt;&gt;"",'Raw Data'!B70,"")</f>
        <v/>
      </c>
      <c r="C83" s="2" t="str">
        <f>IF('Raw Data'!C70&lt;&gt;"",'Raw Data'!C70,"")</f>
        <v/>
      </c>
      <c r="D83" s="2" t="str">
        <f>IF('Raw Data'!D70&lt;&gt;"",'Raw Data'!D70,"")</f>
        <v/>
      </c>
      <c r="E83" s="2" t="str">
        <f>IF('Raw Data'!E70&lt;&gt;"",'Raw Data'!E70,"")</f>
        <v/>
      </c>
      <c r="F83" s="11" t="str">
        <f>IF('Raw Data'!A70&lt;&gt;"",AVERAGE('Raw Data'!F70,'Raw Data'!H70,'Raw Data'!J70,'Raw Data'!L70,'Raw Data'!N70),"")</f>
        <v/>
      </c>
      <c r="G83" s="11" t="str">
        <f>IF('Raw Data'!A70&lt;&gt;"",AVERAGE('Raw Data'!G70,'Raw Data'!I70,'Raw Data'!K70,'Raw Data'!M70,'Raw Data'!O70),"")</f>
        <v/>
      </c>
      <c r="H83" s="11" t="str">
        <f t="shared" si="14"/>
        <v/>
      </c>
      <c r="I83" s="11" t="str">
        <f>IF('Raw Data'!A70&lt;&gt;"",AVERAGE('Raw Data'!P70,'Raw Data'!R70,'Raw Data'!T70,'Raw Data'!V70,'Raw Data'!X70),"")</f>
        <v/>
      </c>
      <c r="J83" s="11" t="str">
        <f>IF('Raw Data'!A70&lt;&gt;"",AVERAGE('Raw Data'!Q70,'Raw Data'!S70,'Raw Data'!U70,'Raw Data'!W70,'Raw Data'!Y70),"")</f>
        <v/>
      </c>
      <c r="K83" s="11" t="str">
        <f t="shared" si="15"/>
        <v/>
      </c>
      <c r="L83" s="11" t="str">
        <f>IF('Raw Data'!A70&lt;&gt;"",AVERAGE('Raw Data'!Z70,'Raw Data'!AB70,'Raw Data'!AD70,'Raw Data'!AF70,'Raw Data'!AH70),"")</f>
        <v/>
      </c>
      <c r="M83" s="11" t="str">
        <f>IF('Raw Data'!A70&lt;&gt;"",AVERAGE('Raw Data'!AA70,'Raw Data'!AC70,'Raw Data'!AE70,'Raw Data'!AG70,'Raw Data'!AI70),"")</f>
        <v/>
      </c>
      <c r="N83" s="11" t="str">
        <f t="shared" si="16"/>
        <v/>
      </c>
      <c r="O83" s="11" t="str">
        <f>IF('Raw Data'!A70&lt;&gt;"",AVERAGE('Raw Data'!AJ70,'Raw Data'!AL70,'Raw Data'!AN70,'Raw Data'!AP70,'Raw Data'!AR70),"")</f>
        <v/>
      </c>
      <c r="P83" s="11" t="str">
        <f>IF('Raw Data'!A70&lt;&gt;"",AVERAGE('Raw Data'!AK70,'Raw Data'!AM70,'Raw Data'!AO70,'Raw Data'!AQ70,'Raw Data'!AS70),"")</f>
        <v/>
      </c>
      <c r="Q83" s="11" t="str">
        <f t="shared" si="17"/>
        <v/>
      </c>
      <c r="R83" s="11" t="str">
        <f>IF('Raw Data'!A70&lt;&gt;"",AVERAGE('Raw Data'!AT70,'Raw Data'!AV70,'Raw Data'!AX70,'Raw Data'!AZ70,'Raw Data'!BB70),"")</f>
        <v/>
      </c>
      <c r="S83" s="11" t="str">
        <f>IF('Raw Data'!A70&lt;&gt;"",AVERAGE('Raw Data'!AU70,'Raw Data'!AW70,'Raw Data'!AY70,'Raw Data'!BA70,'Raw Data'!BC70),"")</f>
        <v/>
      </c>
      <c r="T83" s="11" t="str">
        <f t="shared" si="18"/>
        <v/>
      </c>
      <c r="U83" s="11" t="str">
        <f>IF('Raw Data'!A70&lt;&gt;"",AVERAGE('Raw Data'!BD70,'Raw Data'!BF70,'Raw Data'!BH70,'Raw Data'!BJ70,'Raw Data'!BL70),"")</f>
        <v/>
      </c>
      <c r="V83" s="11" t="str">
        <f>IF('Raw Data'!A70&lt;&gt;"",AVERAGE('Raw Data'!BE70,'Raw Data'!BG70,'Raw Data'!BI70,'Raw Data'!BK70,'Raw Data'!BM70),"")</f>
        <v/>
      </c>
      <c r="W83" s="11" t="str">
        <f t="shared" si="19"/>
        <v/>
      </c>
      <c r="X83" s="11" t="str">
        <f t="shared" si="20"/>
        <v/>
      </c>
      <c r="Y83" s="11" t="str">
        <f t="shared" si="21"/>
        <v/>
      </c>
      <c r="Z83" s="11" t="str">
        <f t="shared" si="22"/>
        <v/>
      </c>
      <c r="AA83" s="11" t="str">
        <f t="shared" si="23"/>
        <v/>
      </c>
      <c r="AB83" s="24" t="str">
        <f t="shared" si="24"/>
        <v/>
      </c>
    </row>
    <row r="84" spans="1:28" x14ac:dyDescent="0.25">
      <c r="A84" s="10" t="str">
        <f>IF('Raw Data'!A71&lt;&gt;"",'Raw Data'!A71,"")</f>
        <v/>
      </c>
      <c r="B84" s="10" t="str">
        <f>IF('Raw Data'!B71&lt;&gt;"",'Raw Data'!B71,"")</f>
        <v/>
      </c>
      <c r="C84" s="10" t="str">
        <f>IF('Raw Data'!C71&lt;&gt;"",'Raw Data'!C71,"")</f>
        <v/>
      </c>
      <c r="D84" s="10" t="str">
        <f>IF('Raw Data'!D71&lt;&gt;"",'Raw Data'!D71,"")</f>
        <v/>
      </c>
      <c r="E84" s="10" t="str">
        <f>IF('Raw Data'!E71&lt;&gt;"",'Raw Data'!E71,"")</f>
        <v/>
      </c>
      <c r="F84" s="14" t="str">
        <f>IF('Raw Data'!A71&lt;&gt;"",AVERAGE('Raw Data'!F71,'Raw Data'!H71,'Raw Data'!J71,'Raw Data'!L71,'Raw Data'!N71),"")</f>
        <v/>
      </c>
      <c r="G84" s="14" t="str">
        <f>IF('Raw Data'!A71&lt;&gt;"",AVERAGE('Raw Data'!G71,'Raw Data'!I71,'Raw Data'!K71,'Raw Data'!M71,'Raw Data'!O71),"")</f>
        <v/>
      </c>
      <c r="H84" s="14" t="str">
        <f t="shared" si="14"/>
        <v/>
      </c>
      <c r="I84" s="14" t="str">
        <f>IF('Raw Data'!A71&lt;&gt;"",AVERAGE('Raw Data'!P71,'Raw Data'!R71,'Raw Data'!T71,'Raw Data'!V71,'Raw Data'!X71),"")</f>
        <v/>
      </c>
      <c r="J84" s="14" t="str">
        <f>IF('Raw Data'!A71&lt;&gt;"",AVERAGE('Raw Data'!Q71,'Raw Data'!S71,'Raw Data'!U71,'Raw Data'!W71,'Raw Data'!Y71),"")</f>
        <v/>
      </c>
      <c r="K84" s="14" t="str">
        <f t="shared" si="15"/>
        <v/>
      </c>
      <c r="L84" s="14" t="str">
        <f>IF('Raw Data'!A71&lt;&gt;"",AVERAGE('Raw Data'!Z71,'Raw Data'!AB71,'Raw Data'!AD71,'Raw Data'!AF71,'Raw Data'!AH71),"")</f>
        <v/>
      </c>
      <c r="M84" s="14" t="str">
        <f>IF('Raw Data'!A71&lt;&gt;"",AVERAGE('Raw Data'!AA71,'Raw Data'!AC71,'Raw Data'!AE71,'Raw Data'!AG71,'Raw Data'!AI71),"")</f>
        <v/>
      </c>
      <c r="N84" s="14" t="str">
        <f t="shared" si="16"/>
        <v/>
      </c>
      <c r="O84" s="14" t="str">
        <f>IF('Raw Data'!A71&lt;&gt;"",AVERAGE('Raw Data'!AJ71,'Raw Data'!AL71,'Raw Data'!AN71,'Raw Data'!AP71,'Raw Data'!AR71),"")</f>
        <v/>
      </c>
      <c r="P84" s="14" t="str">
        <f>IF('Raw Data'!A71&lt;&gt;"",AVERAGE('Raw Data'!AK71,'Raw Data'!AM71,'Raw Data'!AO71,'Raw Data'!AQ71,'Raw Data'!AS71),"")</f>
        <v/>
      </c>
      <c r="Q84" s="14" t="str">
        <f t="shared" si="17"/>
        <v/>
      </c>
      <c r="R84" s="14" t="str">
        <f>IF('Raw Data'!A71&lt;&gt;"",AVERAGE('Raw Data'!AT71,'Raw Data'!AV71,'Raw Data'!AX71,'Raw Data'!AZ71,'Raw Data'!BB71),"")</f>
        <v/>
      </c>
      <c r="S84" s="14" t="str">
        <f>IF('Raw Data'!A71&lt;&gt;"",AVERAGE('Raw Data'!AU71,'Raw Data'!AW71,'Raw Data'!AY71,'Raw Data'!BA71,'Raw Data'!BC71),"")</f>
        <v/>
      </c>
      <c r="T84" s="14" t="str">
        <f t="shared" si="18"/>
        <v/>
      </c>
      <c r="U84" s="14" t="str">
        <f>IF('Raw Data'!A71&lt;&gt;"",AVERAGE('Raw Data'!BD71,'Raw Data'!BF71,'Raw Data'!BH71,'Raw Data'!BJ71,'Raw Data'!BL71),"")</f>
        <v/>
      </c>
      <c r="V84" s="14" t="str">
        <f>IF('Raw Data'!A71&lt;&gt;"",AVERAGE('Raw Data'!BE71,'Raw Data'!BG71,'Raw Data'!BI71,'Raw Data'!BK71,'Raw Data'!BM71),"")</f>
        <v/>
      </c>
      <c r="W84" s="14" t="str">
        <f t="shared" si="19"/>
        <v/>
      </c>
      <c r="X84" s="14" t="str">
        <f t="shared" si="20"/>
        <v/>
      </c>
      <c r="Y84" s="14" t="str">
        <f t="shared" si="21"/>
        <v/>
      </c>
      <c r="Z84" s="14" t="str">
        <f t="shared" si="22"/>
        <v/>
      </c>
      <c r="AA84" s="14" t="str">
        <f t="shared" si="23"/>
        <v/>
      </c>
      <c r="AB84" s="25" t="str">
        <f t="shared" si="24"/>
        <v/>
      </c>
    </row>
    <row r="85" spans="1:28" x14ac:dyDescent="0.25">
      <c r="A85" s="2" t="str">
        <f>IF('Raw Data'!A72&lt;&gt;"",'Raw Data'!A72,"")</f>
        <v/>
      </c>
      <c r="B85" s="2" t="str">
        <f>IF('Raw Data'!B72&lt;&gt;"",'Raw Data'!B72,"")</f>
        <v/>
      </c>
      <c r="C85" s="2" t="str">
        <f>IF('Raw Data'!C72&lt;&gt;"",'Raw Data'!C72,"")</f>
        <v/>
      </c>
      <c r="D85" s="2" t="str">
        <f>IF('Raw Data'!D72&lt;&gt;"",'Raw Data'!D72,"")</f>
        <v/>
      </c>
      <c r="E85" s="2" t="str">
        <f>IF('Raw Data'!E72&lt;&gt;"",'Raw Data'!E72,"")</f>
        <v/>
      </c>
      <c r="F85" s="11" t="str">
        <f>IF('Raw Data'!A72&lt;&gt;"",AVERAGE('Raw Data'!F72,'Raw Data'!H72,'Raw Data'!J72,'Raw Data'!L72,'Raw Data'!N72),"")</f>
        <v/>
      </c>
      <c r="G85" s="11" t="str">
        <f>IF('Raw Data'!A72&lt;&gt;"",AVERAGE('Raw Data'!G72,'Raw Data'!I72,'Raw Data'!K72,'Raw Data'!M72,'Raw Data'!O72),"")</f>
        <v/>
      </c>
      <c r="H85" s="11" t="str">
        <f t="shared" si="14"/>
        <v/>
      </c>
      <c r="I85" s="11" t="str">
        <f>IF('Raw Data'!A72&lt;&gt;"",AVERAGE('Raw Data'!P72,'Raw Data'!R72,'Raw Data'!T72,'Raw Data'!V72,'Raw Data'!X72),"")</f>
        <v/>
      </c>
      <c r="J85" s="11" t="str">
        <f>IF('Raw Data'!A72&lt;&gt;"",AVERAGE('Raw Data'!Q72,'Raw Data'!S72,'Raw Data'!U72,'Raw Data'!W72,'Raw Data'!Y72),"")</f>
        <v/>
      </c>
      <c r="K85" s="11" t="str">
        <f t="shared" si="15"/>
        <v/>
      </c>
      <c r="L85" s="11" t="str">
        <f>IF('Raw Data'!A72&lt;&gt;"",AVERAGE('Raw Data'!Z72,'Raw Data'!AB72,'Raw Data'!AD72,'Raw Data'!AF72,'Raw Data'!AH72),"")</f>
        <v/>
      </c>
      <c r="M85" s="11" t="str">
        <f>IF('Raw Data'!A72&lt;&gt;"",AVERAGE('Raw Data'!AA72,'Raw Data'!AC72,'Raw Data'!AE72,'Raw Data'!AG72,'Raw Data'!AI72),"")</f>
        <v/>
      </c>
      <c r="N85" s="11" t="str">
        <f t="shared" si="16"/>
        <v/>
      </c>
      <c r="O85" s="11" t="str">
        <f>IF('Raw Data'!A72&lt;&gt;"",AVERAGE('Raw Data'!AJ72,'Raw Data'!AL72,'Raw Data'!AN72,'Raw Data'!AP72,'Raw Data'!AR72),"")</f>
        <v/>
      </c>
      <c r="P85" s="11" t="str">
        <f>IF('Raw Data'!A72&lt;&gt;"",AVERAGE('Raw Data'!AK72,'Raw Data'!AM72,'Raw Data'!AO72,'Raw Data'!AQ72,'Raw Data'!AS72),"")</f>
        <v/>
      </c>
      <c r="Q85" s="11" t="str">
        <f t="shared" si="17"/>
        <v/>
      </c>
      <c r="R85" s="11" t="str">
        <f>IF('Raw Data'!A72&lt;&gt;"",AVERAGE('Raw Data'!AT72,'Raw Data'!AV72,'Raw Data'!AX72,'Raw Data'!AZ72,'Raw Data'!BB72),"")</f>
        <v/>
      </c>
      <c r="S85" s="11" t="str">
        <f>IF('Raw Data'!A72&lt;&gt;"",AVERAGE('Raw Data'!AU72,'Raw Data'!AW72,'Raw Data'!AY72,'Raw Data'!BA72,'Raw Data'!BC72),"")</f>
        <v/>
      </c>
      <c r="T85" s="11" t="str">
        <f t="shared" si="18"/>
        <v/>
      </c>
      <c r="U85" s="11" t="str">
        <f>IF('Raw Data'!A72&lt;&gt;"",AVERAGE('Raw Data'!BD72,'Raw Data'!BF72,'Raw Data'!BH72,'Raw Data'!BJ72,'Raw Data'!BL72),"")</f>
        <v/>
      </c>
      <c r="V85" s="11" t="str">
        <f>IF('Raw Data'!A72&lt;&gt;"",AVERAGE('Raw Data'!BE72,'Raw Data'!BG72,'Raw Data'!BI72,'Raw Data'!BK72,'Raw Data'!BM72),"")</f>
        <v/>
      </c>
      <c r="W85" s="11" t="str">
        <f t="shared" si="19"/>
        <v/>
      </c>
      <c r="X85" s="11" t="str">
        <f t="shared" si="20"/>
        <v/>
      </c>
      <c r="Y85" s="11" t="str">
        <f t="shared" si="21"/>
        <v/>
      </c>
      <c r="Z85" s="11" t="str">
        <f t="shared" si="22"/>
        <v/>
      </c>
      <c r="AA85" s="11" t="str">
        <f t="shared" si="23"/>
        <v/>
      </c>
      <c r="AB85" s="24" t="str">
        <f t="shared" si="24"/>
        <v/>
      </c>
    </row>
    <row r="86" spans="1:28" x14ac:dyDescent="0.25">
      <c r="A86" s="10" t="str">
        <f>IF('Raw Data'!A73&lt;&gt;"",'Raw Data'!A73,"")</f>
        <v/>
      </c>
      <c r="B86" s="10" t="str">
        <f>IF('Raw Data'!B73&lt;&gt;"",'Raw Data'!B73,"")</f>
        <v/>
      </c>
      <c r="C86" s="10" t="str">
        <f>IF('Raw Data'!C73&lt;&gt;"",'Raw Data'!C73,"")</f>
        <v/>
      </c>
      <c r="D86" s="10" t="str">
        <f>IF('Raw Data'!D73&lt;&gt;"",'Raw Data'!D73,"")</f>
        <v/>
      </c>
      <c r="E86" s="10" t="str">
        <f>IF('Raw Data'!E73&lt;&gt;"",'Raw Data'!E73,"")</f>
        <v/>
      </c>
      <c r="F86" s="14" t="str">
        <f>IF('Raw Data'!A73&lt;&gt;"",AVERAGE('Raw Data'!F73,'Raw Data'!H73,'Raw Data'!J73,'Raw Data'!L73,'Raw Data'!N73),"")</f>
        <v/>
      </c>
      <c r="G86" s="14" t="str">
        <f>IF('Raw Data'!A73&lt;&gt;"",AVERAGE('Raw Data'!G73,'Raw Data'!I73,'Raw Data'!K73,'Raw Data'!M73,'Raw Data'!O73),"")</f>
        <v/>
      </c>
      <c r="H86" s="14" t="str">
        <f t="shared" si="14"/>
        <v/>
      </c>
      <c r="I86" s="14" t="str">
        <f>IF('Raw Data'!A73&lt;&gt;"",AVERAGE('Raw Data'!P73,'Raw Data'!R73,'Raw Data'!T73,'Raw Data'!V73,'Raw Data'!X73),"")</f>
        <v/>
      </c>
      <c r="J86" s="14" t="str">
        <f>IF('Raw Data'!A73&lt;&gt;"",AVERAGE('Raw Data'!Q73,'Raw Data'!S73,'Raw Data'!U73,'Raw Data'!W73,'Raw Data'!Y73),"")</f>
        <v/>
      </c>
      <c r="K86" s="14" t="str">
        <f t="shared" si="15"/>
        <v/>
      </c>
      <c r="L86" s="14" t="str">
        <f>IF('Raw Data'!A73&lt;&gt;"",AVERAGE('Raw Data'!Z73,'Raw Data'!AB73,'Raw Data'!AD73,'Raw Data'!AF73,'Raw Data'!AH73),"")</f>
        <v/>
      </c>
      <c r="M86" s="14" t="str">
        <f>IF('Raw Data'!A73&lt;&gt;"",AVERAGE('Raw Data'!AA73,'Raw Data'!AC73,'Raw Data'!AE73,'Raw Data'!AG73,'Raw Data'!AI73),"")</f>
        <v/>
      </c>
      <c r="N86" s="14" t="str">
        <f t="shared" si="16"/>
        <v/>
      </c>
      <c r="O86" s="14" t="str">
        <f>IF('Raw Data'!A73&lt;&gt;"",AVERAGE('Raw Data'!AJ73,'Raw Data'!AL73,'Raw Data'!AN73,'Raw Data'!AP73,'Raw Data'!AR73),"")</f>
        <v/>
      </c>
      <c r="P86" s="14" t="str">
        <f>IF('Raw Data'!A73&lt;&gt;"",AVERAGE('Raw Data'!AK73,'Raw Data'!AM73,'Raw Data'!AO73,'Raw Data'!AQ73,'Raw Data'!AS73),"")</f>
        <v/>
      </c>
      <c r="Q86" s="14" t="str">
        <f t="shared" si="17"/>
        <v/>
      </c>
      <c r="R86" s="14" t="str">
        <f>IF('Raw Data'!A73&lt;&gt;"",AVERAGE('Raw Data'!AT73,'Raw Data'!AV73,'Raw Data'!AX73,'Raw Data'!AZ73,'Raw Data'!BB73),"")</f>
        <v/>
      </c>
      <c r="S86" s="14" t="str">
        <f>IF('Raw Data'!A73&lt;&gt;"",AVERAGE('Raw Data'!AU73,'Raw Data'!AW73,'Raw Data'!AY73,'Raw Data'!BA73,'Raw Data'!BC73),"")</f>
        <v/>
      </c>
      <c r="T86" s="14" t="str">
        <f t="shared" si="18"/>
        <v/>
      </c>
      <c r="U86" s="14" t="str">
        <f>IF('Raw Data'!A73&lt;&gt;"",AVERAGE('Raw Data'!BD73,'Raw Data'!BF73,'Raw Data'!BH73,'Raw Data'!BJ73,'Raw Data'!BL73),"")</f>
        <v/>
      </c>
      <c r="V86" s="14" t="str">
        <f>IF('Raw Data'!A73&lt;&gt;"",AVERAGE('Raw Data'!BE73,'Raw Data'!BG73,'Raw Data'!BI73,'Raw Data'!BK73,'Raw Data'!BM73),"")</f>
        <v/>
      </c>
      <c r="W86" s="14" t="str">
        <f t="shared" si="19"/>
        <v/>
      </c>
      <c r="X86" s="14" t="str">
        <f t="shared" si="20"/>
        <v/>
      </c>
      <c r="Y86" s="14" t="str">
        <f t="shared" si="21"/>
        <v/>
      </c>
      <c r="Z86" s="14" t="str">
        <f t="shared" si="22"/>
        <v/>
      </c>
      <c r="AA86" s="14" t="str">
        <f t="shared" si="23"/>
        <v/>
      </c>
      <c r="AB86" s="25" t="str">
        <f t="shared" si="24"/>
        <v/>
      </c>
    </row>
    <row r="87" spans="1:28" x14ac:dyDescent="0.25">
      <c r="A87" s="2" t="str">
        <f>IF('Raw Data'!A74&lt;&gt;"",'Raw Data'!A74,"")</f>
        <v/>
      </c>
      <c r="B87" s="2" t="str">
        <f>IF('Raw Data'!B74&lt;&gt;"",'Raw Data'!B74,"")</f>
        <v/>
      </c>
      <c r="C87" s="2" t="str">
        <f>IF('Raw Data'!C74&lt;&gt;"",'Raw Data'!C74,"")</f>
        <v/>
      </c>
      <c r="D87" s="2" t="str">
        <f>IF('Raw Data'!D74&lt;&gt;"",'Raw Data'!D74,"")</f>
        <v/>
      </c>
      <c r="E87" s="2" t="str">
        <f>IF('Raw Data'!E74&lt;&gt;"",'Raw Data'!E74,"")</f>
        <v/>
      </c>
      <c r="F87" s="11" t="str">
        <f>IF('Raw Data'!A74&lt;&gt;"",AVERAGE('Raw Data'!F74,'Raw Data'!H74,'Raw Data'!J74,'Raw Data'!L74,'Raw Data'!N74),"")</f>
        <v/>
      </c>
      <c r="G87" s="11" t="str">
        <f>IF('Raw Data'!A74&lt;&gt;"",AVERAGE('Raw Data'!G74,'Raw Data'!I74,'Raw Data'!K74,'Raw Data'!M74,'Raw Data'!O74),"")</f>
        <v/>
      </c>
      <c r="H87" s="11" t="str">
        <f t="shared" si="14"/>
        <v/>
      </c>
      <c r="I87" s="11" t="str">
        <f>IF('Raw Data'!A74&lt;&gt;"",AVERAGE('Raw Data'!P74,'Raw Data'!R74,'Raw Data'!T74,'Raw Data'!V74,'Raw Data'!X74),"")</f>
        <v/>
      </c>
      <c r="J87" s="11" t="str">
        <f>IF('Raw Data'!A74&lt;&gt;"",AVERAGE('Raw Data'!Q74,'Raw Data'!S74,'Raw Data'!U74,'Raw Data'!W74,'Raw Data'!Y74),"")</f>
        <v/>
      </c>
      <c r="K87" s="11" t="str">
        <f t="shared" si="15"/>
        <v/>
      </c>
      <c r="L87" s="11" t="str">
        <f>IF('Raw Data'!A74&lt;&gt;"",AVERAGE('Raw Data'!Z74,'Raw Data'!AB74,'Raw Data'!AD74,'Raw Data'!AF74,'Raw Data'!AH74),"")</f>
        <v/>
      </c>
      <c r="M87" s="11" t="str">
        <f>IF('Raw Data'!A74&lt;&gt;"",AVERAGE('Raw Data'!AA74,'Raw Data'!AC74,'Raw Data'!AE74,'Raw Data'!AG74,'Raw Data'!AI74),"")</f>
        <v/>
      </c>
      <c r="N87" s="11" t="str">
        <f t="shared" si="16"/>
        <v/>
      </c>
      <c r="O87" s="11" t="str">
        <f>IF('Raw Data'!A74&lt;&gt;"",AVERAGE('Raw Data'!AJ74,'Raw Data'!AL74,'Raw Data'!AN74,'Raw Data'!AP74,'Raw Data'!AR74),"")</f>
        <v/>
      </c>
      <c r="P87" s="11" t="str">
        <f>IF('Raw Data'!A74&lt;&gt;"",AVERAGE('Raw Data'!AK74,'Raw Data'!AM74,'Raw Data'!AO74,'Raw Data'!AQ74,'Raw Data'!AS74),"")</f>
        <v/>
      </c>
      <c r="Q87" s="11" t="str">
        <f t="shared" si="17"/>
        <v/>
      </c>
      <c r="R87" s="11" t="str">
        <f>IF('Raw Data'!A74&lt;&gt;"",AVERAGE('Raw Data'!AT74,'Raw Data'!AV74,'Raw Data'!AX74,'Raw Data'!AZ74,'Raw Data'!BB74),"")</f>
        <v/>
      </c>
      <c r="S87" s="11" t="str">
        <f>IF('Raw Data'!A74&lt;&gt;"",AVERAGE('Raw Data'!AU74,'Raw Data'!AW74,'Raw Data'!AY74,'Raw Data'!BA74,'Raw Data'!BC74),"")</f>
        <v/>
      </c>
      <c r="T87" s="11" t="str">
        <f t="shared" si="18"/>
        <v/>
      </c>
      <c r="U87" s="11" t="str">
        <f>IF('Raw Data'!A74&lt;&gt;"",AVERAGE('Raw Data'!BD74,'Raw Data'!BF74,'Raw Data'!BH74,'Raw Data'!BJ74,'Raw Data'!BL74),"")</f>
        <v/>
      </c>
      <c r="V87" s="11" t="str">
        <f>IF('Raw Data'!A74&lt;&gt;"",AVERAGE('Raw Data'!BE74,'Raw Data'!BG74,'Raw Data'!BI74,'Raw Data'!BK74,'Raw Data'!BM74),"")</f>
        <v/>
      </c>
      <c r="W87" s="11" t="str">
        <f t="shared" si="19"/>
        <v/>
      </c>
      <c r="X87" s="11" t="str">
        <f t="shared" si="20"/>
        <v/>
      </c>
      <c r="Y87" s="11" t="str">
        <f t="shared" si="21"/>
        <v/>
      </c>
      <c r="Z87" s="11" t="str">
        <f t="shared" si="22"/>
        <v/>
      </c>
      <c r="AA87" s="11" t="str">
        <f t="shared" si="23"/>
        <v/>
      </c>
      <c r="AB87" s="24" t="str">
        <f t="shared" si="24"/>
        <v/>
      </c>
    </row>
    <row r="88" spans="1:28" x14ac:dyDescent="0.25">
      <c r="A88" s="10" t="str">
        <f>IF('Raw Data'!A75&lt;&gt;"",'Raw Data'!A75,"")</f>
        <v/>
      </c>
      <c r="B88" s="10" t="str">
        <f>IF('Raw Data'!B75&lt;&gt;"",'Raw Data'!B75,"")</f>
        <v/>
      </c>
      <c r="C88" s="10" t="str">
        <f>IF('Raw Data'!C75&lt;&gt;"",'Raw Data'!C75,"")</f>
        <v/>
      </c>
      <c r="D88" s="10" t="str">
        <f>IF('Raw Data'!D75&lt;&gt;"",'Raw Data'!D75,"")</f>
        <v/>
      </c>
      <c r="E88" s="10" t="str">
        <f>IF('Raw Data'!E75&lt;&gt;"",'Raw Data'!E75,"")</f>
        <v/>
      </c>
      <c r="F88" s="14" t="str">
        <f>IF('Raw Data'!A75&lt;&gt;"",AVERAGE('Raw Data'!F75,'Raw Data'!H75,'Raw Data'!J75,'Raw Data'!L75,'Raw Data'!N75),"")</f>
        <v/>
      </c>
      <c r="G88" s="14" t="str">
        <f>IF('Raw Data'!A75&lt;&gt;"",AVERAGE('Raw Data'!G75,'Raw Data'!I75,'Raw Data'!K75,'Raw Data'!M75,'Raw Data'!O75),"")</f>
        <v/>
      </c>
      <c r="H88" s="14" t="str">
        <f t="shared" si="14"/>
        <v/>
      </c>
      <c r="I88" s="14" t="str">
        <f>IF('Raw Data'!A75&lt;&gt;"",AVERAGE('Raw Data'!P75,'Raw Data'!R75,'Raw Data'!T75,'Raw Data'!V75,'Raw Data'!X75),"")</f>
        <v/>
      </c>
      <c r="J88" s="14" t="str">
        <f>IF('Raw Data'!A75&lt;&gt;"",AVERAGE('Raw Data'!Q75,'Raw Data'!S75,'Raw Data'!U75,'Raw Data'!W75,'Raw Data'!Y75),"")</f>
        <v/>
      </c>
      <c r="K88" s="14" t="str">
        <f t="shared" si="15"/>
        <v/>
      </c>
      <c r="L88" s="14" t="str">
        <f>IF('Raw Data'!A75&lt;&gt;"",AVERAGE('Raw Data'!Z75,'Raw Data'!AB75,'Raw Data'!AD75,'Raw Data'!AF75,'Raw Data'!AH75),"")</f>
        <v/>
      </c>
      <c r="M88" s="14" t="str">
        <f>IF('Raw Data'!A75&lt;&gt;"",AVERAGE('Raw Data'!AA75,'Raw Data'!AC75,'Raw Data'!AE75,'Raw Data'!AG75,'Raw Data'!AI75),"")</f>
        <v/>
      </c>
      <c r="N88" s="14" t="str">
        <f t="shared" si="16"/>
        <v/>
      </c>
      <c r="O88" s="14" t="str">
        <f>IF('Raw Data'!A75&lt;&gt;"",AVERAGE('Raw Data'!AJ75,'Raw Data'!AL75,'Raw Data'!AN75,'Raw Data'!AP75,'Raw Data'!AR75),"")</f>
        <v/>
      </c>
      <c r="P88" s="14" t="str">
        <f>IF('Raw Data'!A75&lt;&gt;"",AVERAGE('Raw Data'!AK75,'Raw Data'!AM75,'Raw Data'!AO75,'Raw Data'!AQ75,'Raw Data'!AS75),"")</f>
        <v/>
      </c>
      <c r="Q88" s="14" t="str">
        <f t="shared" si="17"/>
        <v/>
      </c>
      <c r="R88" s="14" t="str">
        <f>IF('Raw Data'!A75&lt;&gt;"",AVERAGE('Raw Data'!AT75,'Raw Data'!AV75,'Raw Data'!AX75,'Raw Data'!AZ75,'Raw Data'!BB75),"")</f>
        <v/>
      </c>
      <c r="S88" s="14" t="str">
        <f>IF('Raw Data'!A75&lt;&gt;"",AVERAGE('Raw Data'!AU75,'Raw Data'!AW75,'Raw Data'!AY75,'Raw Data'!BA75,'Raw Data'!BC75),"")</f>
        <v/>
      </c>
      <c r="T88" s="14" t="str">
        <f t="shared" si="18"/>
        <v/>
      </c>
      <c r="U88" s="14" t="str">
        <f>IF('Raw Data'!A75&lt;&gt;"",AVERAGE('Raw Data'!BD75,'Raw Data'!BF75,'Raw Data'!BH75,'Raw Data'!BJ75,'Raw Data'!BL75),"")</f>
        <v/>
      </c>
      <c r="V88" s="14" t="str">
        <f>IF('Raw Data'!A75&lt;&gt;"",AVERAGE('Raw Data'!BE75,'Raw Data'!BG75,'Raw Data'!BI75,'Raw Data'!BK75,'Raw Data'!BM75),"")</f>
        <v/>
      </c>
      <c r="W88" s="14" t="str">
        <f t="shared" si="19"/>
        <v/>
      </c>
      <c r="X88" s="14" t="str">
        <f t="shared" si="20"/>
        <v/>
      </c>
      <c r="Y88" s="14" t="str">
        <f t="shared" si="21"/>
        <v/>
      </c>
      <c r="Z88" s="14" t="str">
        <f t="shared" si="22"/>
        <v/>
      </c>
      <c r="AA88" s="14" t="str">
        <f t="shared" si="23"/>
        <v/>
      </c>
      <c r="AB88" s="25" t="str">
        <f t="shared" si="24"/>
        <v/>
      </c>
    </row>
    <row r="89" spans="1:28" x14ac:dyDescent="0.25">
      <c r="A89" s="2" t="str">
        <f>IF('Raw Data'!A76&lt;&gt;"",'Raw Data'!A76,"")</f>
        <v/>
      </c>
      <c r="B89" s="2" t="str">
        <f>IF('Raw Data'!B76&lt;&gt;"",'Raw Data'!B76,"")</f>
        <v/>
      </c>
      <c r="C89" s="2" t="str">
        <f>IF('Raw Data'!C76&lt;&gt;"",'Raw Data'!C76,"")</f>
        <v/>
      </c>
      <c r="D89" s="2" t="str">
        <f>IF('Raw Data'!D76&lt;&gt;"",'Raw Data'!D76,"")</f>
        <v/>
      </c>
      <c r="E89" s="2" t="str">
        <f>IF('Raw Data'!E76&lt;&gt;"",'Raw Data'!E76,"")</f>
        <v/>
      </c>
      <c r="F89" s="11" t="str">
        <f>IF('Raw Data'!A76&lt;&gt;"",AVERAGE('Raw Data'!F76,'Raw Data'!H76,'Raw Data'!J76,'Raw Data'!L76,'Raw Data'!N76),"")</f>
        <v/>
      </c>
      <c r="G89" s="11" t="str">
        <f>IF('Raw Data'!A76&lt;&gt;"",AVERAGE('Raw Data'!G76,'Raw Data'!I76,'Raw Data'!K76,'Raw Data'!M76,'Raw Data'!O76),"")</f>
        <v/>
      </c>
      <c r="H89" s="11" t="str">
        <f t="shared" si="14"/>
        <v/>
      </c>
      <c r="I89" s="11" t="str">
        <f>IF('Raw Data'!A76&lt;&gt;"",AVERAGE('Raw Data'!P76,'Raw Data'!R76,'Raw Data'!T76,'Raw Data'!V76,'Raw Data'!X76),"")</f>
        <v/>
      </c>
      <c r="J89" s="11" t="str">
        <f>IF('Raw Data'!A76&lt;&gt;"",AVERAGE('Raw Data'!Q76,'Raw Data'!S76,'Raw Data'!U76,'Raw Data'!W76,'Raw Data'!Y76),"")</f>
        <v/>
      </c>
      <c r="K89" s="11" t="str">
        <f t="shared" si="15"/>
        <v/>
      </c>
      <c r="L89" s="11" t="str">
        <f>IF('Raw Data'!A76&lt;&gt;"",AVERAGE('Raw Data'!Z76,'Raw Data'!AB76,'Raw Data'!AD76,'Raw Data'!AF76,'Raw Data'!AH76),"")</f>
        <v/>
      </c>
      <c r="M89" s="11" t="str">
        <f>IF('Raw Data'!A76&lt;&gt;"",AVERAGE('Raw Data'!AA76,'Raw Data'!AC76,'Raw Data'!AE76,'Raw Data'!AG76,'Raw Data'!AI76),"")</f>
        <v/>
      </c>
      <c r="N89" s="11" t="str">
        <f t="shared" si="16"/>
        <v/>
      </c>
      <c r="O89" s="11" t="str">
        <f>IF('Raw Data'!A76&lt;&gt;"",AVERAGE('Raw Data'!AJ76,'Raw Data'!AL76,'Raw Data'!AN76,'Raw Data'!AP76,'Raw Data'!AR76),"")</f>
        <v/>
      </c>
      <c r="P89" s="11" t="str">
        <f>IF('Raw Data'!A76&lt;&gt;"",AVERAGE('Raw Data'!AK76,'Raw Data'!AM76,'Raw Data'!AO76,'Raw Data'!AQ76,'Raw Data'!AS76),"")</f>
        <v/>
      </c>
      <c r="Q89" s="11" t="str">
        <f t="shared" si="17"/>
        <v/>
      </c>
      <c r="R89" s="11" t="str">
        <f>IF('Raw Data'!A76&lt;&gt;"",AVERAGE('Raw Data'!AT76,'Raw Data'!AV76,'Raw Data'!AX76,'Raw Data'!AZ76,'Raw Data'!BB76),"")</f>
        <v/>
      </c>
      <c r="S89" s="11" t="str">
        <f>IF('Raw Data'!A76&lt;&gt;"",AVERAGE('Raw Data'!AU76,'Raw Data'!AW76,'Raw Data'!AY76,'Raw Data'!BA76,'Raw Data'!BC76),"")</f>
        <v/>
      </c>
      <c r="T89" s="11" t="str">
        <f t="shared" si="18"/>
        <v/>
      </c>
      <c r="U89" s="11" t="str">
        <f>IF('Raw Data'!A76&lt;&gt;"",AVERAGE('Raw Data'!BD76,'Raw Data'!BF76,'Raw Data'!BH76,'Raw Data'!BJ76,'Raw Data'!BL76),"")</f>
        <v/>
      </c>
      <c r="V89" s="11" t="str">
        <f>IF('Raw Data'!A76&lt;&gt;"",AVERAGE('Raw Data'!BE76,'Raw Data'!BG76,'Raw Data'!BI76,'Raw Data'!BK76,'Raw Data'!BM76),"")</f>
        <v/>
      </c>
      <c r="W89" s="11" t="str">
        <f t="shared" si="19"/>
        <v/>
      </c>
      <c r="X89" s="11" t="str">
        <f t="shared" si="20"/>
        <v/>
      </c>
      <c r="Y89" s="11" t="str">
        <f t="shared" si="21"/>
        <v/>
      </c>
      <c r="Z89" s="11" t="str">
        <f t="shared" si="22"/>
        <v/>
      </c>
      <c r="AA89" s="11" t="str">
        <f t="shared" si="23"/>
        <v/>
      </c>
      <c r="AB89" s="24" t="str">
        <f t="shared" si="24"/>
        <v/>
      </c>
    </row>
    <row r="90" spans="1:28" x14ac:dyDescent="0.25">
      <c r="A90" s="10" t="str">
        <f>IF('Raw Data'!A77&lt;&gt;"",'Raw Data'!A77,"")</f>
        <v/>
      </c>
      <c r="B90" s="10" t="str">
        <f>IF('Raw Data'!B77&lt;&gt;"",'Raw Data'!B77,"")</f>
        <v/>
      </c>
      <c r="C90" s="10" t="str">
        <f>IF('Raw Data'!C77&lt;&gt;"",'Raw Data'!C77,"")</f>
        <v/>
      </c>
      <c r="D90" s="10" t="str">
        <f>IF('Raw Data'!D77&lt;&gt;"",'Raw Data'!D77,"")</f>
        <v/>
      </c>
      <c r="E90" s="10" t="str">
        <f>IF('Raw Data'!E77&lt;&gt;"",'Raw Data'!E77,"")</f>
        <v/>
      </c>
      <c r="F90" s="14" t="str">
        <f>IF('Raw Data'!A77&lt;&gt;"",AVERAGE('Raw Data'!F77,'Raw Data'!H77,'Raw Data'!J77,'Raw Data'!L77,'Raw Data'!N77),"")</f>
        <v/>
      </c>
      <c r="G90" s="14" t="str">
        <f>IF('Raw Data'!A77&lt;&gt;"",AVERAGE('Raw Data'!G77,'Raw Data'!I77,'Raw Data'!K77,'Raw Data'!M77,'Raw Data'!O77),"")</f>
        <v/>
      </c>
      <c r="H90" s="14" t="str">
        <f t="shared" si="14"/>
        <v/>
      </c>
      <c r="I90" s="14" t="str">
        <f>IF('Raw Data'!A77&lt;&gt;"",AVERAGE('Raw Data'!P77,'Raw Data'!R77,'Raw Data'!T77,'Raw Data'!V77,'Raw Data'!X77),"")</f>
        <v/>
      </c>
      <c r="J90" s="14" t="str">
        <f>IF('Raw Data'!A77&lt;&gt;"",AVERAGE('Raw Data'!Q77,'Raw Data'!S77,'Raw Data'!U77,'Raw Data'!W77,'Raw Data'!Y77),"")</f>
        <v/>
      </c>
      <c r="K90" s="14" t="str">
        <f t="shared" si="15"/>
        <v/>
      </c>
      <c r="L90" s="14" t="str">
        <f>IF('Raw Data'!A77&lt;&gt;"",AVERAGE('Raw Data'!Z77,'Raw Data'!AB77,'Raw Data'!AD77,'Raw Data'!AF77,'Raw Data'!AH77),"")</f>
        <v/>
      </c>
      <c r="M90" s="14" t="str">
        <f>IF('Raw Data'!A77&lt;&gt;"",AVERAGE('Raw Data'!AA77,'Raw Data'!AC77,'Raw Data'!AE77,'Raw Data'!AG77,'Raw Data'!AI77),"")</f>
        <v/>
      </c>
      <c r="N90" s="14" t="str">
        <f t="shared" si="16"/>
        <v/>
      </c>
      <c r="O90" s="14" t="str">
        <f>IF('Raw Data'!A77&lt;&gt;"",AVERAGE('Raw Data'!AJ77,'Raw Data'!AL77,'Raw Data'!AN77,'Raw Data'!AP77,'Raw Data'!AR77),"")</f>
        <v/>
      </c>
      <c r="P90" s="14" t="str">
        <f>IF('Raw Data'!A77&lt;&gt;"",AVERAGE('Raw Data'!AK77,'Raw Data'!AM77,'Raw Data'!AO77,'Raw Data'!AQ77,'Raw Data'!AS77),"")</f>
        <v/>
      </c>
      <c r="Q90" s="14" t="str">
        <f t="shared" si="17"/>
        <v/>
      </c>
      <c r="R90" s="14" t="str">
        <f>IF('Raw Data'!A77&lt;&gt;"",AVERAGE('Raw Data'!AT77,'Raw Data'!AV77,'Raw Data'!AX77,'Raw Data'!AZ77,'Raw Data'!BB77),"")</f>
        <v/>
      </c>
      <c r="S90" s="14" t="str">
        <f>IF('Raw Data'!A77&lt;&gt;"",AVERAGE('Raw Data'!AU77,'Raw Data'!AW77,'Raw Data'!AY77,'Raw Data'!BA77,'Raw Data'!BC77),"")</f>
        <v/>
      </c>
      <c r="T90" s="14" t="str">
        <f t="shared" si="18"/>
        <v/>
      </c>
      <c r="U90" s="14" t="str">
        <f>IF('Raw Data'!A77&lt;&gt;"",AVERAGE('Raw Data'!BD77,'Raw Data'!BF77,'Raw Data'!BH77,'Raw Data'!BJ77,'Raw Data'!BL77),"")</f>
        <v/>
      </c>
      <c r="V90" s="14" t="str">
        <f>IF('Raw Data'!A77&lt;&gt;"",AVERAGE('Raw Data'!BE77,'Raw Data'!BG77,'Raw Data'!BI77,'Raw Data'!BK77,'Raw Data'!BM77),"")</f>
        <v/>
      </c>
      <c r="W90" s="14" t="str">
        <f t="shared" si="19"/>
        <v/>
      </c>
      <c r="X90" s="14" t="str">
        <f t="shared" si="20"/>
        <v/>
      </c>
      <c r="Y90" s="14" t="str">
        <f t="shared" si="21"/>
        <v/>
      </c>
      <c r="Z90" s="14" t="str">
        <f t="shared" si="22"/>
        <v/>
      </c>
      <c r="AA90" s="14" t="str">
        <f t="shared" si="23"/>
        <v/>
      </c>
      <c r="AB90" s="25" t="str">
        <f t="shared" si="24"/>
        <v/>
      </c>
    </row>
    <row r="91" spans="1:28" x14ac:dyDescent="0.25">
      <c r="A91" s="2" t="str">
        <f>IF('Raw Data'!A78&lt;&gt;"",'Raw Data'!A78,"")</f>
        <v/>
      </c>
      <c r="B91" s="2" t="str">
        <f>IF('Raw Data'!B78&lt;&gt;"",'Raw Data'!B78,"")</f>
        <v/>
      </c>
      <c r="C91" s="2" t="str">
        <f>IF('Raw Data'!C78&lt;&gt;"",'Raw Data'!C78,"")</f>
        <v/>
      </c>
      <c r="D91" s="2" t="str">
        <f>IF('Raw Data'!D78&lt;&gt;"",'Raw Data'!D78,"")</f>
        <v/>
      </c>
      <c r="E91" s="2" t="str">
        <f>IF('Raw Data'!E78&lt;&gt;"",'Raw Data'!E78,"")</f>
        <v/>
      </c>
      <c r="F91" s="11" t="str">
        <f>IF('Raw Data'!A78&lt;&gt;"",AVERAGE('Raw Data'!F78,'Raw Data'!H78,'Raw Data'!J78,'Raw Data'!L78,'Raw Data'!N78),"")</f>
        <v/>
      </c>
      <c r="G91" s="11" t="str">
        <f>IF('Raw Data'!A78&lt;&gt;"",AVERAGE('Raw Data'!G78,'Raw Data'!I78,'Raw Data'!K78,'Raw Data'!M78,'Raw Data'!O78),"")</f>
        <v/>
      </c>
      <c r="H91" s="11" t="str">
        <f t="shared" si="14"/>
        <v/>
      </c>
      <c r="I91" s="11" t="str">
        <f>IF('Raw Data'!A78&lt;&gt;"",AVERAGE('Raw Data'!P78,'Raw Data'!R78,'Raw Data'!T78,'Raw Data'!V78,'Raw Data'!X78),"")</f>
        <v/>
      </c>
      <c r="J91" s="11" t="str">
        <f>IF('Raw Data'!A78&lt;&gt;"",AVERAGE('Raw Data'!Q78,'Raw Data'!S78,'Raw Data'!U78,'Raw Data'!W78,'Raw Data'!Y78),"")</f>
        <v/>
      </c>
      <c r="K91" s="11" t="str">
        <f t="shared" si="15"/>
        <v/>
      </c>
      <c r="L91" s="11" t="str">
        <f>IF('Raw Data'!A78&lt;&gt;"",AVERAGE('Raw Data'!Z78,'Raw Data'!AB78,'Raw Data'!AD78,'Raw Data'!AF78,'Raw Data'!AH78),"")</f>
        <v/>
      </c>
      <c r="M91" s="11" t="str">
        <f>IF('Raw Data'!A78&lt;&gt;"",AVERAGE('Raw Data'!AA78,'Raw Data'!AC78,'Raw Data'!AE78,'Raw Data'!AG78,'Raw Data'!AI78),"")</f>
        <v/>
      </c>
      <c r="N91" s="11" t="str">
        <f t="shared" si="16"/>
        <v/>
      </c>
      <c r="O91" s="11" t="str">
        <f>IF('Raw Data'!A78&lt;&gt;"",AVERAGE('Raw Data'!AJ78,'Raw Data'!AL78,'Raw Data'!AN78,'Raw Data'!AP78,'Raw Data'!AR78),"")</f>
        <v/>
      </c>
      <c r="P91" s="11" t="str">
        <f>IF('Raw Data'!A78&lt;&gt;"",AVERAGE('Raw Data'!AK78,'Raw Data'!AM78,'Raw Data'!AO78,'Raw Data'!AQ78,'Raw Data'!AS78),"")</f>
        <v/>
      </c>
      <c r="Q91" s="11" t="str">
        <f t="shared" si="17"/>
        <v/>
      </c>
      <c r="R91" s="11" t="str">
        <f>IF('Raw Data'!A78&lt;&gt;"",AVERAGE('Raw Data'!AT78,'Raw Data'!AV78,'Raw Data'!AX78,'Raw Data'!AZ78,'Raw Data'!BB78),"")</f>
        <v/>
      </c>
      <c r="S91" s="11" t="str">
        <f>IF('Raw Data'!A78&lt;&gt;"",AVERAGE('Raw Data'!AU78,'Raw Data'!AW78,'Raw Data'!AY78,'Raw Data'!BA78,'Raw Data'!BC78),"")</f>
        <v/>
      </c>
      <c r="T91" s="11" t="str">
        <f t="shared" si="18"/>
        <v/>
      </c>
      <c r="U91" s="11" t="str">
        <f>IF('Raw Data'!A78&lt;&gt;"",AVERAGE('Raw Data'!BD78,'Raw Data'!BF78,'Raw Data'!BH78,'Raw Data'!BJ78,'Raw Data'!BL78),"")</f>
        <v/>
      </c>
      <c r="V91" s="11" t="str">
        <f>IF('Raw Data'!A78&lt;&gt;"",AVERAGE('Raw Data'!BE78,'Raw Data'!BG78,'Raw Data'!BI78,'Raw Data'!BK78,'Raw Data'!BM78),"")</f>
        <v/>
      </c>
      <c r="W91" s="11" t="str">
        <f t="shared" si="19"/>
        <v/>
      </c>
      <c r="X91" s="11" t="str">
        <f t="shared" si="20"/>
        <v/>
      </c>
      <c r="Y91" s="11" t="str">
        <f t="shared" si="21"/>
        <v/>
      </c>
      <c r="Z91" s="11" t="str">
        <f t="shared" si="22"/>
        <v/>
      </c>
      <c r="AA91" s="11" t="str">
        <f t="shared" si="23"/>
        <v/>
      </c>
      <c r="AB91" s="24" t="str">
        <f t="shared" si="24"/>
        <v/>
      </c>
    </row>
    <row r="92" spans="1:28" x14ac:dyDescent="0.25">
      <c r="A92" s="10" t="str">
        <f>IF('Raw Data'!A79&lt;&gt;"",'Raw Data'!A79,"")</f>
        <v/>
      </c>
      <c r="B92" s="10" t="str">
        <f>IF('Raw Data'!B79&lt;&gt;"",'Raw Data'!B79,"")</f>
        <v/>
      </c>
      <c r="C92" s="10" t="str">
        <f>IF('Raw Data'!C79&lt;&gt;"",'Raw Data'!C79,"")</f>
        <v/>
      </c>
      <c r="D92" s="10" t="str">
        <f>IF('Raw Data'!D79&lt;&gt;"",'Raw Data'!D79,"")</f>
        <v/>
      </c>
      <c r="E92" s="10" t="str">
        <f>IF('Raw Data'!E79&lt;&gt;"",'Raw Data'!E79,"")</f>
        <v/>
      </c>
      <c r="F92" s="14" t="str">
        <f>IF('Raw Data'!A79&lt;&gt;"",AVERAGE('Raw Data'!F79,'Raw Data'!H79,'Raw Data'!J79,'Raw Data'!L79,'Raw Data'!N79),"")</f>
        <v/>
      </c>
      <c r="G92" s="14" t="str">
        <f>IF('Raw Data'!A79&lt;&gt;"",AVERAGE('Raw Data'!G79,'Raw Data'!I79,'Raw Data'!K79,'Raw Data'!M79,'Raw Data'!O79),"")</f>
        <v/>
      </c>
      <c r="H92" s="14" t="str">
        <f t="shared" si="14"/>
        <v/>
      </c>
      <c r="I92" s="14" t="str">
        <f>IF('Raw Data'!A79&lt;&gt;"",AVERAGE('Raw Data'!P79,'Raw Data'!R79,'Raw Data'!T79,'Raw Data'!V79,'Raw Data'!X79),"")</f>
        <v/>
      </c>
      <c r="J92" s="14" t="str">
        <f>IF('Raw Data'!A79&lt;&gt;"",AVERAGE('Raw Data'!Q79,'Raw Data'!S79,'Raw Data'!U79,'Raw Data'!W79,'Raw Data'!Y79),"")</f>
        <v/>
      </c>
      <c r="K92" s="14" t="str">
        <f t="shared" si="15"/>
        <v/>
      </c>
      <c r="L92" s="14" t="str">
        <f>IF('Raw Data'!A79&lt;&gt;"",AVERAGE('Raw Data'!Z79,'Raw Data'!AB79,'Raw Data'!AD79,'Raw Data'!AF79,'Raw Data'!AH79),"")</f>
        <v/>
      </c>
      <c r="M92" s="14" t="str">
        <f>IF('Raw Data'!A79&lt;&gt;"",AVERAGE('Raw Data'!AA79,'Raw Data'!AC79,'Raw Data'!AE79,'Raw Data'!AG79,'Raw Data'!AI79),"")</f>
        <v/>
      </c>
      <c r="N92" s="14" t="str">
        <f t="shared" si="16"/>
        <v/>
      </c>
      <c r="O92" s="14" t="str">
        <f>IF('Raw Data'!A79&lt;&gt;"",AVERAGE('Raw Data'!AJ79,'Raw Data'!AL79,'Raw Data'!AN79,'Raw Data'!AP79,'Raw Data'!AR79),"")</f>
        <v/>
      </c>
      <c r="P92" s="14" t="str">
        <f>IF('Raw Data'!A79&lt;&gt;"",AVERAGE('Raw Data'!AK79,'Raw Data'!AM79,'Raw Data'!AO79,'Raw Data'!AQ79,'Raw Data'!AS79),"")</f>
        <v/>
      </c>
      <c r="Q92" s="14" t="str">
        <f t="shared" si="17"/>
        <v/>
      </c>
      <c r="R92" s="14" t="str">
        <f>IF('Raw Data'!A79&lt;&gt;"",AVERAGE('Raw Data'!AT79,'Raw Data'!AV79,'Raw Data'!AX79,'Raw Data'!AZ79,'Raw Data'!BB79),"")</f>
        <v/>
      </c>
      <c r="S92" s="14" t="str">
        <f>IF('Raw Data'!A79&lt;&gt;"",AVERAGE('Raw Data'!AU79,'Raw Data'!AW79,'Raw Data'!AY79,'Raw Data'!BA79,'Raw Data'!BC79),"")</f>
        <v/>
      </c>
      <c r="T92" s="14" t="str">
        <f t="shared" si="18"/>
        <v/>
      </c>
      <c r="U92" s="14" t="str">
        <f>IF('Raw Data'!A79&lt;&gt;"",AVERAGE('Raw Data'!BD79,'Raw Data'!BF79,'Raw Data'!BH79,'Raw Data'!BJ79,'Raw Data'!BL79),"")</f>
        <v/>
      </c>
      <c r="V92" s="14" t="str">
        <f>IF('Raw Data'!A79&lt;&gt;"",AVERAGE('Raw Data'!BE79,'Raw Data'!BG79,'Raw Data'!BI79,'Raw Data'!BK79,'Raw Data'!BM79),"")</f>
        <v/>
      </c>
      <c r="W92" s="14" t="str">
        <f t="shared" si="19"/>
        <v/>
      </c>
      <c r="X92" s="14" t="str">
        <f t="shared" si="20"/>
        <v/>
      </c>
      <c r="Y92" s="14" t="str">
        <f t="shared" si="21"/>
        <v/>
      </c>
      <c r="Z92" s="14" t="str">
        <f t="shared" si="22"/>
        <v/>
      </c>
      <c r="AA92" s="14" t="str">
        <f t="shared" si="23"/>
        <v/>
      </c>
      <c r="AB92" s="25" t="str">
        <f t="shared" si="24"/>
        <v/>
      </c>
    </row>
    <row r="93" spans="1:28" x14ac:dyDescent="0.25">
      <c r="A93" s="2" t="str">
        <f>IF('Raw Data'!A80&lt;&gt;"",'Raw Data'!A80,"")</f>
        <v/>
      </c>
      <c r="B93" s="2" t="str">
        <f>IF('Raw Data'!B80&lt;&gt;"",'Raw Data'!B80,"")</f>
        <v/>
      </c>
      <c r="C93" s="2" t="str">
        <f>IF('Raw Data'!C80&lt;&gt;"",'Raw Data'!C80,"")</f>
        <v/>
      </c>
      <c r="D93" s="2" t="str">
        <f>IF('Raw Data'!D80&lt;&gt;"",'Raw Data'!D80,"")</f>
        <v/>
      </c>
      <c r="E93" s="2" t="str">
        <f>IF('Raw Data'!E80&lt;&gt;"",'Raw Data'!E80,"")</f>
        <v/>
      </c>
      <c r="F93" s="11" t="str">
        <f>IF('Raw Data'!A80&lt;&gt;"",AVERAGE('Raw Data'!F80,'Raw Data'!H80,'Raw Data'!J80,'Raw Data'!L80,'Raw Data'!N80),"")</f>
        <v/>
      </c>
      <c r="G93" s="11" t="str">
        <f>IF('Raw Data'!A80&lt;&gt;"",AVERAGE('Raw Data'!G80,'Raw Data'!I80,'Raw Data'!K80,'Raw Data'!M80,'Raw Data'!O80),"")</f>
        <v/>
      </c>
      <c r="H93" s="11" t="str">
        <f t="shared" si="14"/>
        <v/>
      </c>
      <c r="I93" s="11" t="str">
        <f>IF('Raw Data'!A80&lt;&gt;"",AVERAGE('Raw Data'!P80,'Raw Data'!R80,'Raw Data'!T80,'Raw Data'!V80,'Raw Data'!X80),"")</f>
        <v/>
      </c>
      <c r="J93" s="11" t="str">
        <f>IF('Raw Data'!A80&lt;&gt;"",AVERAGE('Raw Data'!Q80,'Raw Data'!S80,'Raw Data'!U80,'Raw Data'!W80,'Raw Data'!Y80),"")</f>
        <v/>
      </c>
      <c r="K93" s="11" t="str">
        <f t="shared" si="15"/>
        <v/>
      </c>
      <c r="L93" s="11" t="str">
        <f>IF('Raw Data'!A80&lt;&gt;"",AVERAGE('Raw Data'!Z80,'Raw Data'!AB80,'Raw Data'!AD80,'Raw Data'!AF80,'Raw Data'!AH80),"")</f>
        <v/>
      </c>
      <c r="M93" s="11" t="str">
        <f>IF('Raw Data'!A80&lt;&gt;"",AVERAGE('Raw Data'!AA80,'Raw Data'!AC80,'Raw Data'!AE80,'Raw Data'!AG80,'Raw Data'!AI80),"")</f>
        <v/>
      </c>
      <c r="N93" s="11" t="str">
        <f t="shared" si="16"/>
        <v/>
      </c>
      <c r="O93" s="11" t="str">
        <f>IF('Raw Data'!A80&lt;&gt;"",AVERAGE('Raw Data'!AJ80,'Raw Data'!AL80,'Raw Data'!AN80,'Raw Data'!AP80,'Raw Data'!AR80),"")</f>
        <v/>
      </c>
      <c r="P93" s="11" t="str">
        <f>IF('Raw Data'!A80&lt;&gt;"",AVERAGE('Raw Data'!AK80,'Raw Data'!AM80,'Raw Data'!AO80,'Raw Data'!AQ80,'Raw Data'!AS80),"")</f>
        <v/>
      </c>
      <c r="Q93" s="11" t="str">
        <f t="shared" si="17"/>
        <v/>
      </c>
      <c r="R93" s="11" t="str">
        <f>IF('Raw Data'!A80&lt;&gt;"",AVERAGE('Raw Data'!AT80,'Raw Data'!AV80,'Raw Data'!AX80,'Raw Data'!AZ80,'Raw Data'!BB80),"")</f>
        <v/>
      </c>
      <c r="S93" s="11" t="str">
        <f>IF('Raw Data'!A80&lt;&gt;"",AVERAGE('Raw Data'!AU80,'Raw Data'!AW80,'Raw Data'!AY80,'Raw Data'!BA80,'Raw Data'!BC80),"")</f>
        <v/>
      </c>
      <c r="T93" s="11" t="str">
        <f t="shared" si="18"/>
        <v/>
      </c>
      <c r="U93" s="11" t="str">
        <f>IF('Raw Data'!A80&lt;&gt;"",AVERAGE('Raw Data'!BD80,'Raw Data'!BF80,'Raw Data'!BH80,'Raw Data'!BJ80,'Raw Data'!BL80),"")</f>
        <v/>
      </c>
      <c r="V93" s="11" t="str">
        <f>IF('Raw Data'!A80&lt;&gt;"",AVERAGE('Raw Data'!BE80,'Raw Data'!BG80,'Raw Data'!BI80,'Raw Data'!BK80,'Raw Data'!BM80),"")</f>
        <v/>
      </c>
      <c r="W93" s="11" t="str">
        <f t="shared" si="19"/>
        <v/>
      </c>
      <c r="X93" s="11" t="str">
        <f t="shared" si="20"/>
        <v/>
      </c>
      <c r="Y93" s="11" t="str">
        <f t="shared" si="21"/>
        <v/>
      </c>
      <c r="Z93" s="11" t="str">
        <f t="shared" si="22"/>
        <v/>
      </c>
      <c r="AA93" s="11" t="str">
        <f t="shared" si="23"/>
        <v/>
      </c>
      <c r="AB93" s="24" t="str">
        <f t="shared" si="24"/>
        <v/>
      </c>
    </row>
    <row r="94" spans="1:28" x14ac:dyDescent="0.25">
      <c r="A94" s="10" t="str">
        <f>IF('Raw Data'!A81&lt;&gt;"",'Raw Data'!A81,"")</f>
        <v/>
      </c>
      <c r="B94" s="10" t="str">
        <f>IF('Raw Data'!B81&lt;&gt;"",'Raw Data'!B81,"")</f>
        <v/>
      </c>
      <c r="C94" s="10" t="str">
        <f>IF('Raw Data'!C81&lt;&gt;"",'Raw Data'!C81,"")</f>
        <v/>
      </c>
      <c r="D94" s="10" t="str">
        <f>IF('Raw Data'!D81&lt;&gt;"",'Raw Data'!D81,"")</f>
        <v/>
      </c>
      <c r="E94" s="10" t="str">
        <f>IF('Raw Data'!E81&lt;&gt;"",'Raw Data'!E81,"")</f>
        <v/>
      </c>
      <c r="F94" s="14" t="str">
        <f>IF('Raw Data'!A81&lt;&gt;"",AVERAGE('Raw Data'!F81,'Raw Data'!H81,'Raw Data'!J81,'Raw Data'!L81,'Raw Data'!N81),"")</f>
        <v/>
      </c>
      <c r="G94" s="14" t="str">
        <f>IF('Raw Data'!A81&lt;&gt;"",AVERAGE('Raw Data'!G81,'Raw Data'!I81,'Raw Data'!K81,'Raw Data'!M81,'Raw Data'!O81),"")</f>
        <v/>
      </c>
      <c r="H94" s="14" t="str">
        <f t="shared" si="14"/>
        <v/>
      </c>
      <c r="I94" s="14" t="str">
        <f>IF('Raw Data'!A81&lt;&gt;"",AVERAGE('Raw Data'!P81,'Raw Data'!R81,'Raw Data'!T81,'Raw Data'!V81,'Raw Data'!X81),"")</f>
        <v/>
      </c>
      <c r="J94" s="14" t="str">
        <f>IF('Raw Data'!A81&lt;&gt;"",AVERAGE('Raw Data'!Q81,'Raw Data'!S81,'Raw Data'!U81,'Raw Data'!W81,'Raw Data'!Y81),"")</f>
        <v/>
      </c>
      <c r="K94" s="14" t="str">
        <f t="shared" si="15"/>
        <v/>
      </c>
      <c r="L94" s="14" t="str">
        <f>IF('Raw Data'!A81&lt;&gt;"",AVERAGE('Raw Data'!Z81,'Raw Data'!AB81,'Raw Data'!AD81,'Raw Data'!AF81,'Raw Data'!AH81),"")</f>
        <v/>
      </c>
      <c r="M94" s="14" t="str">
        <f>IF('Raw Data'!A81&lt;&gt;"",AVERAGE('Raw Data'!AA81,'Raw Data'!AC81,'Raw Data'!AE81,'Raw Data'!AG81,'Raw Data'!AI81),"")</f>
        <v/>
      </c>
      <c r="N94" s="14" t="str">
        <f t="shared" si="16"/>
        <v/>
      </c>
      <c r="O94" s="14" t="str">
        <f>IF('Raw Data'!A81&lt;&gt;"",AVERAGE('Raw Data'!AJ81,'Raw Data'!AL81,'Raw Data'!AN81,'Raw Data'!AP81,'Raw Data'!AR81),"")</f>
        <v/>
      </c>
      <c r="P94" s="14" t="str">
        <f>IF('Raw Data'!A81&lt;&gt;"",AVERAGE('Raw Data'!AK81,'Raw Data'!AM81,'Raw Data'!AO81,'Raw Data'!AQ81,'Raw Data'!AS81),"")</f>
        <v/>
      </c>
      <c r="Q94" s="14" t="str">
        <f t="shared" si="17"/>
        <v/>
      </c>
      <c r="R94" s="14" t="str">
        <f>IF('Raw Data'!A81&lt;&gt;"",AVERAGE('Raw Data'!AT81,'Raw Data'!AV81,'Raw Data'!AX81,'Raw Data'!AZ81,'Raw Data'!BB81),"")</f>
        <v/>
      </c>
      <c r="S94" s="14" t="str">
        <f>IF('Raw Data'!A81&lt;&gt;"",AVERAGE('Raw Data'!AU81,'Raw Data'!AW81,'Raw Data'!AY81,'Raw Data'!BA81,'Raw Data'!BC81),"")</f>
        <v/>
      </c>
      <c r="T94" s="14" t="str">
        <f t="shared" si="18"/>
        <v/>
      </c>
      <c r="U94" s="14" t="str">
        <f>IF('Raw Data'!A81&lt;&gt;"",AVERAGE('Raw Data'!BD81,'Raw Data'!BF81,'Raw Data'!BH81,'Raw Data'!BJ81,'Raw Data'!BL81),"")</f>
        <v/>
      </c>
      <c r="V94" s="14" t="str">
        <f>IF('Raw Data'!A81&lt;&gt;"",AVERAGE('Raw Data'!BE81,'Raw Data'!BG81,'Raw Data'!BI81,'Raw Data'!BK81,'Raw Data'!BM81),"")</f>
        <v/>
      </c>
      <c r="W94" s="14" t="str">
        <f t="shared" si="19"/>
        <v/>
      </c>
      <c r="X94" s="14" t="str">
        <f t="shared" si="20"/>
        <v/>
      </c>
      <c r="Y94" s="14" t="str">
        <f t="shared" si="21"/>
        <v/>
      </c>
      <c r="Z94" s="14" t="str">
        <f t="shared" si="22"/>
        <v/>
      </c>
      <c r="AA94" s="14" t="str">
        <f t="shared" si="23"/>
        <v/>
      </c>
      <c r="AB94" s="25" t="str">
        <f t="shared" si="24"/>
        <v/>
      </c>
    </row>
    <row r="95" spans="1:28" x14ac:dyDescent="0.25">
      <c r="A95" s="2" t="str">
        <f>IF('Raw Data'!A82&lt;&gt;"",'Raw Data'!A82,"")</f>
        <v/>
      </c>
      <c r="B95" s="2" t="str">
        <f>IF('Raw Data'!B82&lt;&gt;"",'Raw Data'!B82,"")</f>
        <v/>
      </c>
      <c r="C95" s="2" t="str">
        <f>IF('Raw Data'!C82&lt;&gt;"",'Raw Data'!C82,"")</f>
        <v/>
      </c>
      <c r="D95" s="2" t="str">
        <f>IF('Raw Data'!D82&lt;&gt;"",'Raw Data'!D82,"")</f>
        <v/>
      </c>
      <c r="E95" s="2" t="str">
        <f>IF('Raw Data'!E82&lt;&gt;"",'Raw Data'!E82,"")</f>
        <v/>
      </c>
      <c r="F95" s="11" t="str">
        <f>IF('Raw Data'!A82&lt;&gt;"",AVERAGE('Raw Data'!F82,'Raw Data'!H82,'Raw Data'!J82,'Raw Data'!L82,'Raw Data'!N82),"")</f>
        <v/>
      </c>
      <c r="G95" s="11" t="str">
        <f>IF('Raw Data'!A82&lt;&gt;"",AVERAGE('Raw Data'!G82,'Raw Data'!I82,'Raw Data'!K82,'Raw Data'!M82,'Raw Data'!O82),"")</f>
        <v/>
      </c>
      <c r="H95" s="11" t="str">
        <f t="shared" si="14"/>
        <v/>
      </c>
      <c r="I95" s="11" t="str">
        <f>IF('Raw Data'!A82&lt;&gt;"",AVERAGE('Raw Data'!P82,'Raw Data'!R82,'Raw Data'!T82,'Raw Data'!V82,'Raw Data'!X82),"")</f>
        <v/>
      </c>
      <c r="J95" s="11" t="str">
        <f>IF('Raw Data'!A82&lt;&gt;"",AVERAGE('Raw Data'!Q82,'Raw Data'!S82,'Raw Data'!U82,'Raw Data'!W82,'Raw Data'!Y82),"")</f>
        <v/>
      </c>
      <c r="K95" s="11" t="str">
        <f t="shared" si="15"/>
        <v/>
      </c>
      <c r="L95" s="11" t="str">
        <f>IF('Raw Data'!A82&lt;&gt;"",AVERAGE('Raw Data'!Z82,'Raw Data'!AB82,'Raw Data'!AD82,'Raw Data'!AF82,'Raw Data'!AH82),"")</f>
        <v/>
      </c>
      <c r="M95" s="11" t="str">
        <f>IF('Raw Data'!A82&lt;&gt;"",AVERAGE('Raw Data'!AA82,'Raw Data'!AC82,'Raw Data'!AE82,'Raw Data'!AG82,'Raw Data'!AI82),"")</f>
        <v/>
      </c>
      <c r="N95" s="11" t="str">
        <f t="shared" si="16"/>
        <v/>
      </c>
      <c r="O95" s="11" t="str">
        <f>IF('Raw Data'!A82&lt;&gt;"",AVERAGE('Raw Data'!AJ82,'Raw Data'!AL82,'Raw Data'!AN82,'Raw Data'!AP82,'Raw Data'!AR82),"")</f>
        <v/>
      </c>
      <c r="P95" s="11" t="str">
        <f>IF('Raw Data'!A82&lt;&gt;"",AVERAGE('Raw Data'!AK82,'Raw Data'!AM82,'Raw Data'!AO82,'Raw Data'!AQ82,'Raw Data'!AS82),"")</f>
        <v/>
      </c>
      <c r="Q95" s="11" t="str">
        <f t="shared" si="17"/>
        <v/>
      </c>
      <c r="R95" s="11" t="str">
        <f>IF('Raw Data'!A82&lt;&gt;"",AVERAGE('Raw Data'!AT82,'Raw Data'!AV82,'Raw Data'!AX82,'Raw Data'!AZ82,'Raw Data'!BB82),"")</f>
        <v/>
      </c>
      <c r="S95" s="11" t="str">
        <f>IF('Raw Data'!A82&lt;&gt;"",AVERAGE('Raw Data'!AU82,'Raw Data'!AW82,'Raw Data'!AY82,'Raw Data'!BA82,'Raw Data'!BC82),"")</f>
        <v/>
      </c>
      <c r="T95" s="11" t="str">
        <f t="shared" si="18"/>
        <v/>
      </c>
      <c r="U95" s="11" t="str">
        <f>IF('Raw Data'!A82&lt;&gt;"",AVERAGE('Raw Data'!BD82,'Raw Data'!BF82,'Raw Data'!BH82,'Raw Data'!BJ82,'Raw Data'!BL82),"")</f>
        <v/>
      </c>
      <c r="V95" s="11" t="str">
        <f>IF('Raw Data'!A82&lt;&gt;"",AVERAGE('Raw Data'!BE82,'Raw Data'!BG82,'Raw Data'!BI82,'Raw Data'!BK82,'Raw Data'!BM82),"")</f>
        <v/>
      </c>
      <c r="W95" s="11" t="str">
        <f t="shared" si="19"/>
        <v/>
      </c>
      <c r="X95" s="11" t="str">
        <f t="shared" si="20"/>
        <v/>
      </c>
      <c r="Y95" s="11" t="str">
        <f t="shared" si="21"/>
        <v/>
      </c>
      <c r="Z95" s="11" t="str">
        <f t="shared" si="22"/>
        <v/>
      </c>
      <c r="AA95" s="11" t="str">
        <f t="shared" si="23"/>
        <v/>
      </c>
      <c r="AB95" s="24" t="str">
        <f t="shared" si="24"/>
        <v/>
      </c>
    </row>
    <row r="96" spans="1:28" x14ac:dyDescent="0.25">
      <c r="A96" s="10" t="str">
        <f>IF('Raw Data'!A83&lt;&gt;"",'Raw Data'!A83,"")</f>
        <v/>
      </c>
      <c r="B96" s="10" t="str">
        <f>IF('Raw Data'!B83&lt;&gt;"",'Raw Data'!B83,"")</f>
        <v/>
      </c>
      <c r="C96" s="10" t="str">
        <f>IF('Raw Data'!C83&lt;&gt;"",'Raw Data'!C83,"")</f>
        <v/>
      </c>
      <c r="D96" s="10" t="str">
        <f>IF('Raw Data'!D83&lt;&gt;"",'Raw Data'!D83,"")</f>
        <v/>
      </c>
      <c r="E96" s="10" t="str">
        <f>IF('Raw Data'!E83&lt;&gt;"",'Raw Data'!E83,"")</f>
        <v/>
      </c>
      <c r="F96" s="14" t="str">
        <f>IF('Raw Data'!A83&lt;&gt;"",AVERAGE('Raw Data'!F83,'Raw Data'!H83,'Raw Data'!J83,'Raw Data'!L83,'Raw Data'!N83),"")</f>
        <v/>
      </c>
      <c r="G96" s="14" t="str">
        <f>IF('Raw Data'!A83&lt;&gt;"",AVERAGE('Raw Data'!G83,'Raw Data'!I83,'Raw Data'!K83,'Raw Data'!M83,'Raw Data'!O83),"")</f>
        <v/>
      </c>
      <c r="H96" s="14" t="str">
        <f t="shared" si="14"/>
        <v/>
      </c>
      <c r="I96" s="14" t="str">
        <f>IF('Raw Data'!A83&lt;&gt;"",AVERAGE('Raw Data'!P83,'Raw Data'!R83,'Raw Data'!T83,'Raw Data'!V83,'Raw Data'!X83),"")</f>
        <v/>
      </c>
      <c r="J96" s="14" t="str">
        <f>IF('Raw Data'!A83&lt;&gt;"",AVERAGE('Raw Data'!Q83,'Raw Data'!S83,'Raw Data'!U83,'Raw Data'!W83,'Raw Data'!Y83),"")</f>
        <v/>
      </c>
      <c r="K96" s="14" t="str">
        <f t="shared" si="15"/>
        <v/>
      </c>
      <c r="L96" s="14" t="str">
        <f>IF('Raw Data'!A83&lt;&gt;"",AVERAGE('Raw Data'!Z83,'Raw Data'!AB83,'Raw Data'!AD83,'Raw Data'!AF83,'Raw Data'!AH83),"")</f>
        <v/>
      </c>
      <c r="M96" s="14" t="str">
        <f>IF('Raw Data'!A83&lt;&gt;"",AVERAGE('Raw Data'!AA83,'Raw Data'!AC83,'Raw Data'!AE83,'Raw Data'!AG83,'Raw Data'!AI83),"")</f>
        <v/>
      </c>
      <c r="N96" s="14" t="str">
        <f t="shared" si="16"/>
        <v/>
      </c>
      <c r="O96" s="14" t="str">
        <f>IF('Raw Data'!A83&lt;&gt;"",AVERAGE('Raw Data'!AJ83,'Raw Data'!AL83,'Raw Data'!AN83,'Raw Data'!AP83,'Raw Data'!AR83),"")</f>
        <v/>
      </c>
      <c r="P96" s="14" t="str">
        <f>IF('Raw Data'!A83&lt;&gt;"",AVERAGE('Raw Data'!AK83,'Raw Data'!AM83,'Raw Data'!AO83,'Raw Data'!AQ83,'Raw Data'!AS83),"")</f>
        <v/>
      </c>
      <c r="Q96" s="14" t="str">
        <f t="shared" si="17"/>
        <v/>
      </c>
      <c r="R96" s="14" t="str">
        <f>IF('Raw Data'!A83&lt;&gt;"",AVERAGE('Raw Data'!AT83,'Raw Data'!AV83,'Raw Data'!AX83,'Raw Data'!AZ83,'Raw Data'!BB83),"")</f>
        <v/>
      </c>
      <c r="S96" s="14" t="str">
        <f>IF('Raw Data'!A83&lt;&gt;"",AVERAGE('Raw Data'!AU83,'Raw Data'!AW83,'Raw Data'!AY83,'Raw Data'!BA83,'Raw Data'!BC83),"")</f>
        <v/>
      </c>
      <c r="T96" s="14" t="str">
        <f t="shared" si="18"/>
        <v/>
      </c>
      <c r="U96" s="14" t="str">
        <f>IF('Raw Data'!A83&lt;&gt;"",AVERAGE('Raw Data'!BD83,'Raw Data'!BF83,'Raw Data'!BH83,'Raw Data'!BJ83,'Raw Data'!BL83),"")</f>
        <v/>
      </c>
      <c r="V96" s="14" t="str">
        <f>IF('Raw Data'!A83&lt;&gt;"",AVERAGE('Raw Data'!BE83,'Raw Data'!BG83,'Raw Data'!BI83,'Raw Data'!BK83,'Raw Data'!BM83),"")</f>
        <v/>
      </c>
      <c r="W96" s="14" t="str">
        <f t="shared" si="19"/>
        <v/>
      </c>
      <c r="X96" s="14" t="str">
        <f t="shared" si="20"/>
        <v/>
      </c>
      <c r="Y96" s="14" t="str">
        <f t="shared" si="21"/>
        <v/>
      </c>
      <c r="Z96" s="14" t="str">
        <f t="shared" si="22"/>
        <v/>
      </c>
      <c r="AA96" s="14" t="str">
        <f t="shared" si="23"/>
        <v/>
      </c>
      <c r="AB96" s="25" t="str">
        <f t="shared" si="24"/>
        <v/>
      </c>
    </row>
    <row r="97" spans="1:28" x14ac:dyDescent="0.25">
      <c r="A97" s="2" t="str">
        <f>IF('Raw Data'!A84&lt;&gt;"",'Raw Data'!A84,"")</f>
        <v/>
      </c>
      <c r="B97" s="2" t="str">
        <f>IF('Raw Data'!B84&lt;&gt;"",'Raw Data'!B84,"")</f>
        <v/>
      </c>
      <c r="C97" s="2" t="str">
        <f>IF('Raw Data'!C84&lt;&gt;"",'Raw Data'!C84,"")</f>
        <v/>
      </c>
      <c r="D97" s="2" t="str">
        <f>IF('Raw Data'!D84&lt;&gt;"",'Raw Data'!D84,"")</f>
        <v/>
      </c>
      <c r="E97" s="2" t="str">
        <f>IF('Raw Data'!E84&lt;&gt;"",'Raw Data'!E84,"")</f>
        <v/>
      </c>
      <c r="F97" s="11" t="str">
        <f>IF('Raw Data'!A84&lt;&gt;"",AVERAGE('Raw Data'!F84,'Raw Data'!H84,'Raw Data'!J84,'Raw Data'!L84,'Raw Data'!N84),"")</f>
        <v/>
      </c>
      <c r="G97" s="11" t="str">
        <f>IF('Raw Data'!A84&lt;&gt;"",AVERAGE('Raw Data'!G84,'Raw Data'!I84,'Raw Data'!K84,'Raw Data'!M84,'Raw Data'!O84),"")</f>
        <v/>
      </c>
      <c r="H97" s="11" t="str">
        <f t="shared" si="14"/>
        <v/>
      </c>
      <c r="I97" s="11" t="str">
        <f>IF('Raw Data'!A84&lt;&gt;"",AVERAGE('Raw Data'!P84,'Raw Data'!R84,'Raw Data'!T84,'Raw Data'!V84,'Raw Data'!X84),"")</f>
        <v/>
      </c>
      <c r="J97" s="11" t="str">
        <f>IF('Raw Data'!A84&lt;&gt;"",AVERAGE('Raw Data'!Q84,'Raw Data'!S84,'Raw Data'!U84,'Raw Data'!W84,'Raw Data'!Y84),"")</f>
        <v/>
      </c>
      <c r="K97" s="11" t="str">
        <f t="shared" si="15"/>
        <v/>
      </c>
      <c r="L97" s="11" t="str">
        <f>IF('Raw Data'!A84&lt;&gt;"",AVERAGE('Raw Data'!Z84,'Raw Data'!AB84,'Raw Data'!AD84,'Raw Data'!AF84,'Raw Data'!AH84),"")</f>
        <v/>
      </c>
      <c r="M97" s="11" t="str">
        <f>IF('Raw Data'!A84&lt;&gt;"",AVERAGE('Raw Data'!AA84,'Raw Data'!AC84,'Raw Data'!AE84,'Raw Data'!AG84,'Raw Data'!AI84),"")</f>
        <v/>
      </c>
      <c r="N97" s="11" t="str">
        <f t="shared" si="16"/>
        <v/>
      </c>
      <c r="O97" s="11" t="str">
        <f>IF('Raw Data'!A84&lt;&gt;"",AVERAGE('Raw Data'!AJ84,'Raw Data'!AL84,'Raw Data'!AN84,'Raw Data'!AP84,'Raw Data'!AR84),"")</f>
        <v/>
      </c>
      <c r="P97" s="11" t="str">
        <f>IF('Raw Data'!A84&lt;&gt;"",AVERAGE('Raw Data'!AK84,'Raw Data'!AM84,'Raw Data'!AO84,'Raw Data'!AQ84,'Raw Data'!AS84),"")</f>
        <v/>
      </c>
      <c r="Q97" s="11" t="str">
        <f t="shared" si="17"/>
        <v/>
      </c>
      <c r="R97" s="11" t="str">
        <f>IF('Raw Data'!A84&lt;&gt;"",AVERAGE('Raw Data'!AT84,'Raw Data'!AV84,'Raw Data'!AX84,'Raw Data'!AZ84,'Raw Data'!BB84),"")</f>
        <v/>
      </c>
      <c r="S97" s="11" t="str">
        <f>IF('Raw Data'!A84&lt;&gt;"",AVERAGE('Raw Data'!AU84,'Raw Data'!AW84,'Raw Data'!AY84,'Raw Data'!BA84,'Raw Data'!BC84),"")</f>
        <v/>
      </c>
      <c r="T97" s="11" t="str">
        <f t="shared" si="18"/>
        <v/>
      </c>
      <c r="U97" s="11" t="str">
        <f>IF('Raw Data'!A84&lt;&gt;"",AVERAGE('Raw Data'!BD84,'Raw Data'!BF84,'Raw Data'!BH84,'Raw Data'!BJ84,'Raw Data'!BL84),"")</f>
        <v/>
      </c>
      <c r="V97" s="11" t="str">
        <f>IF('Raw Data'!A84&lt;&gt;"",AVERAGE('Raw Data'!BE84,'Raw Data'!BG84,'Raw Data'!BI84,'Raw Data'!BK84,'Raw Data'!BM84),"")</f>
        <v/>
      </c>
      <c r="W97" s="11" t="str">
        <f t="shared" si="19"/>
        <v/>
      </c>
      <c r="X97" s="11" t="str">
        <f t="shared" si="20"/>
        <v/>
      </c>
      <c r="Y97" s="11" t="str">
        <f t="shared" si="21"/>
        <v/>
      </c>
      <c r="Z97" s="11" t="str">
        <f t="shared" si="22"/>
        <v/>
      </c>
      <c r="AA97" s="11" t="str">
        <f t="shared" si="23"/>
        <v/>
      </c>
      <c r="AB97" s="24" t="str">
        <f t="shared" si="24"/>
        <v/>
      </c>
    </row>
    <row r="98" spans="1:28" x14ac:dyDescent="0.25">
      <c r="A98" s="10" t="str">
        <f>IF('Raw Data'!A85&lt;&gt;"",'Raw Data'!A85,"")</f>
        <v/>
      </c>
      <c r="B98" s="10" t="str">
        <f>IF('Raw Data'!B85&lt;&gt;"",'Raw Data'!B85,"")</f>
        <v/>
      </c>
      <c r="C98" s="10" t="str">
        <f>IF('Raw Data'!C85&lt;&gt;"",'Raw Data'!C85,"")</f>
        <v/>
      </c>
      <c r="D98" s="10" t="str">
        <f>IF('Raw Data'!D85&lt;&gt;"",'Raw Data'!D85,"")</f>
        <v/>
      </c>
      <c r="E98" s="10" t="str">
        <f>IF('Raw Data'!E85&lt;&gt;"",'Raw Data'!E85,"")</f>
        <v/>
      </c>
      <c r="F98" s="14" t="str">
        <f>IF('Raw Data'!A85&lt;&gt;"",AVERAGE('Raw Data'!F85,'Raw Data'!H85,'Raw Data'!J85,'Raw Data'!L85,'Raw Data'!N85),"")</f>
        <v/>
      </c>
      <c r="G98" s="14" t="str">
        <f>IF('Raw Data'!A85&lt;&gt;"",AVERAGE('Raw Data'!G85,'Raw Data'!I85,'Raw Data'!K85,'Raw Data'!M85,'Raw Data'!O85),"")</f>
        <v/>
      </c>
      <c r="H98" s="14" t="str">
        <f t="shared" si="14"/>
        <v/>
      </c>
      <c r="I98" s="14" t="str">
        <f>IF('Raw Data'!A85&lt;&gt;"",AVERAGE('Raw Data'!P85,'Raw Data'!R85,'Raw Data'!T85,'Raw Data'!V85,'Raw Data'!X85),"")</f>
        <v/>
      </c>
      <c r="J98" s="14" t="str">
        <f>IF('Raw Data'!A85&lt;&gt;"",AVERAGE('Raw Data'!Q85,'Raw Data'!S85,'Raw Data'!U85,'Raw Data'!W85,'Raw Data'!Y85),"")</f>
        <v/>
      </c>
      <c r="K98" s="14" t="str">
        <f t="shared" si="15"/>
        <v/>
      </c>
      <c r="L98" s="14" t="str">
        <f>IF('Raw Data'!A85&lt;&gt;"",AVERAGE('Raw Data'!Z85,'Raw Data'!AB85,'Raw Data'!AD85,'Raw Data'!AF85,'Raw Data'!AH85),"")</f>
        <v/>
      </c>
      <c r="M98" s="14" t="str">
        <f>IF('Raw Data'!A85&lt;&gt;"",AVERAGE('Raw Data'!AA85,'Raw Data'!AC85,'Raw Data'!AE85,'Raw Data'!AG85,'Raw Data'!AI85),"")</f>
        <v/>
      </c>
      <c r="N98" s="14" t="str">
        <f t="shared" si="16"/>
        <v/>
      </c>
      <c r="O98" s="14" t="str">
        <f>IF('Raw Data'!A85&lt;&gt;"",AVERAGE('Raw Data'!AJ85,'Raw Data'!AL85,'Raw Data'!AN85,'Raw Data'!AP85,'Raw Data'!AR85),"")</f>
        <v/>
      </c>
      <c r="P98" s="14" t="str">
        <f>IF('Raw Data'!A85&lt;&gt;"",AVERAGE('Raw Data'!AK85,'Raw Data'!AM85,'Raw Data'!AO85,'Raw Data'!AQ85,'Raw Data'!AS85),"")</f>
        <v/>
      </c>
      <c r="Q98" s="14" t="str">
        <f t="shared" si="17"/>
        <v/>
      </c>
      <c r="R98" s="14" t="str">
        <f>IF('Raw Data'!A85&lt;&gt;"",AVERAGE('Raw Data'!AT85,'Raw Data'!AV85,'Raw Data'!AX85,'Raw Data'!AZ85,'Raw Data'!BB85),"")</f>
        <v/>
      </c>
      <c r="S98" s="14" t="str">
        <f>IF('Raw Data'!A85&lt;&gt;"",AVERAGE('Raw Data'!AU85,'Raw Data'!AW85,'Raw Data'!AY85,'Raw Data'!BA85,'Raw Data'!BC85),"")</f>
        <v/>
      </c>
      <c r="T98" s="14" t="str">
        <f t="shared" si="18"/>
        <v/>
      </c>
      <c r="U98" s="14" t="str">
        <f>IF('Raw Data'!A85&lt;&gt;"",AVERAGE('Raw Data'!BD85,'Raw Data'!BF85,'Raw Data'!BH85,'Raw Data'!BJ85,'Raw Data'!BL85),"")</f>
        <v/>
      </c>
      <c r="V98" s="14" t="str">
        <f>IF('Raw Data'!A85&lt;&gt;"",AVERAGE('Raw Data'!BE85,'Raw Data'!BG85,'Raw Data'!BI85,'Raw Data'!BK85,'Raw Data'!BM85),"")</f>
        <v/>
      </c>
      <c r="W98" s="14" t="str">
        <f t="shared" si="19"/>
        <v/>
      </c>
      <c r="X98" s="14" t="str">
        <f t="shared" si="20"/>
        <v/>
      </c>
      <c r="Y98" s="14" t="str">
        <f t="shared" si="21"/>
        <v/>
      </c>
      <c r="Z98" s="14" t="str">
        <f t="shared" si="22"/>
        <v/>
      </c>
      <c r="AA98" s="14" t="str">
        <f t="shared" si="23"/>
        <v/>
      </c>
      <c r="AB98" s="25" t="str">
        <f t="shared" si="24"/>
        <v/>
      </c>
    </row>
    <row r="99" spans="1:28" x14ac:dyDescent="0.25">
      <c r="A99" s="2" t="str">
        <f>IF('Raw Data'!A86&lt;&gt;"",'Raw Data'!A86,"")</f>
        <v/>
      </c>
      <c r="B99" s="2" t="str">
        <f>IF('Raw Data'!B86&lt;&gt;"",'Raw Data'!B86,"")</f>
        <v/>
      </c>
      <c r="C99" s="2" t="str">
        <f>IF('Raw Data'!C86&lt;&gt;"",'Raw Data'!C86,"")</f>
        <v/>
      </c>
      <c r="D99" s="2" t="str">
        <f>IF('Raw Data'!D86&lt;&gt;"",'Raw Data'!D86,"")</f>
        <v/>
      </c>
      <c r="E99" s="2" t="str">
        <f>IF('Raw Data'!E86&lt;&gt;"",'Raw Data'!E86,"")</f>
        <v/>
      </c>
      <c r="F99" s="11" t="str">
        <f>IF('Raw Data'!A86&lt;&gt;"",AVERAGE('Raw Data'!F86,'Raw Data'!H86,'Raw Data'!J86,'Raw Data'!L86,'Raw Data'!N86),"")</f>
        <v/>
      </c>
      <c r="G99" s="11" t="str">
        <f>IF('Raw Data'!A86&lt;&gt;"",AVERAGE('Raw Data'!G86,'Raw Data'!I86,'Raw Data'!K86,'Raw Data'!M86,'Raw Data'!O86),"")</f>
        <v/>
      </c>
      <c r="H99" s="11" t="str">
        <f t="shared" si="14"/>
        <v/>
      </c>
      <c r="I99" s="11" t="str">
        <f>IF('Raw Data'!A86&lt;&gt;"",AVERAGE('Raw Data'!P86,'Raw Data'!R86,'Raw Data'!T86,'Raw Data'!V86,'Raw Data'!X86),"")</f>
        <v/>
      </c>
      <c r="J99" s="11" t="str">
        <f>IF('Raw Data'!A86&lt;&gt;"",AVERAGE('Raw Data'!Q86,'Raw Data'!S86,'Raw Data'!U86,'Raw Data'!W86,'Raw Data'!Y86),"")</f>
        <v/>
      </c>
      <c r="K99" s="11" t="str">
        <f t="shared" si="15"/>
        <v/>
      </c>
      <c r="L99" s="11" t="str">
        <f>IF('Raw Data'!A86&lt;&gt;"",AVERAGE('Raw Data'!Z86,'Raw Data'!AB86,'Raw Data'!AD86,'Raw Data'!AF86,'Raw Data'!AH86),"")</f>
        <v/>
      </c>
      <c r="M99" s="11" t="str">
        <f>IF('Raw Data'!A86&lt;&gt;"",AVERAGE('Raw Data'!AA86,'Raw Data'!AC86,'Raw Data'!AE86,'Raw Data'!AG86,'Raw Data'!AI86),"")</f>
        <v/>
      </c>
      <c r="N99" s="11" t="str">
        <f t="shared" si="16"/>
        <v/>
      </c>
      <c r="O99" s="11" t="str">
        <f>IF('Raw Data'!A86&lt;&gt;"",AVERAGE('Raw Data'!AJ86,'Raw Data'!AL86,'Raw Data'!AN86,'Raw Data'!AP86,'Raw Data'!AR86),"")</f>
        <v/>
      </c>
      <c r="P99" s="11" t="str">
        <f>IF('Raw Data'!A86&lt;&gt;"",AVERAGE('Raw Data'!AK86,'Raw Data'!AM86,'Raw Data'!AO86,'Raw Data'!AQ86,'Raw Data'!AS86),"")</f>
        <v/>
      </c>
      <c r="Q99" s="11" t="str">
        <f t="shared" si="17"/>
        <v/>
      </c>
      <c r="R99" s="11" t="str">
        <f>IF('Raw Data'!A86&lt;&gt;"",AVERAGE('Raw Data'!AT86,'Raw Data'!AV86,'Raw Data'!AX86,'Raw Data'!AZ86,'Raw Data'!BB86),"")</f>
        <v/>
      </c>
      <c r="S99" s="11" t="str">
        <f>IF('Raw Data'!A86&lt;&gt;"",AVERAGE('Raw Data'!AU86,'Raw Data'!AW86,'Raw Data'!AY86,'Raw Data'!BA86,'Raw Data'!BC86),"")</f>
        <v/>
      </c>
      <c r="T99" s="11" t="str">
        <f t="shared" si="18"/>
        <v/>
      </c>
      <c r="U99" s="11" t="str">
        <f>IF('Raw Data'!A86&lt;&gt;"",AVERAGE('Raw Data'!BD86,'Raw Data'!BF86,'Raw Data'!BH86,'Raw Data'!BJ86,'Raw Data'!BL86),"")</f>
        <v/>
      </c>
      <c r="V99" s="11" t="str">
        <f>IF('Raw Data'!A86&lt;&gt;"",AVERAGE('Raw Data'!BE86,'Raw Data'!BG86,'Raw Data'!BI86,'Raw Data'!BK86,'Raw Data'!BM86),"")</f>
        <v/>
      </c>
      <c r="W99" s="11" t="str">
        <f t="shared" si="19"/>
        <v/>
      </c>
      <c r="X99" s="11" t="str">
        <f t="shared" si="20"/>
        <v/>
      </c>
      <c r="Y99" s="11" t="str">
        <f t="shared" si="21"/>
        <v/>
      </c>
      <c r="Z99" s="11" t="str">
        <f t="shared" si="22"/>
        <v/>
      </c>
      <c r="AA99" s="11" t="str">
        <f t="shared" si="23"/>
        <v/>
      </c>
      <c r="AB99" s="24" t="str">
        <f t="shared" si="24"/>
        <v/>
      </c>
    </row>
    <row r="100" spans="1:28" x14ac:dyDescent="0.25">
      <c r="A100" s="10" t="str">
        <f>IF('Raw Data'!A87&lt;&gt;"",'Raw Data'!A87,"")</f>
        <v/>
      </c>
      <c r="B100" s="10" t="str">
        <f>IF('Raw Data'!B87&lt;&gt;"",'Raw Data'!B87,"")</f>
        <v/>
      </c>
      <c r="C100" s="10" t="str">
        <f>IF('Raw Data'!C87&lt;&gt;"",'Raw Data'!C87,"")</f>
        <v/>
      </c>
      <c r="D100" s="10" t="str">
        <f>IF('Raw Data'!D87&lt;&gt;"",'Raw Data'!D87,"")</f>
        <v/>
      </c>
      <c r="E100" s="10" t="str">
        <f>IF('Raw Data'!E87&lt;&gt;"",'Raw Data'!E87,"")</f>
        <v/>
      </c>
      <c r="F100" s="14" t="str">
        <f>IF('Raw Data'!A87&lt;&gt;"",AVERAGE('Raw Data'!F87,'Raw Data'!H87,'Raw Data'!J87,'Raw Data'!L87,'Raw Data'!N87),"")</f>
        <v/>
      </c>
      <c r="G100" s="14" t="str">
        <f>IF('Raw Data'!A87&lt;&gt;"",AVERAGE('Raw Data'!G87,'Raw Data'!I87,'Raw Data'!K87,'Raw Data'!M87,'Raw Data'!O87),"")</f>
        <v/>
      </c>
      <c r="H100" s="14" t="str">
        <f t="shared" si="14"/>
        <v/>
      </c>
      <c r="I100" s="14" t="str">
        <f>IF('Raw Data'!A87&lt;&gt;"",AVERAGE('Raw Data'!P87,'Raw Data'!R87,'Raw Data'!T87,'Raw Data'!V87,'Raw Data'!X87),"")</f>
        <v/>
      </c>
      <c r="J100" s="14" t="str">
        <f>IF('Raw Data'!A87&lt;&gt;"",AVERAGE('Raw Data'!Q87,'Raw Data'!S87,'Raw Data'!U87,'Raw Data'!W87,'Raw Data'!Y87),"")</f>
        <v/>
      </c>
      <c r="K100" s="14" t="str">
        <f t="shared" si="15"/>
        <v/>
      </c>
      <c r="L100" s="14" t="str">
        <f>IF('Raw Data'!A87&lt;&gt;"",AVERAGE('Raw Data'!Z87,'Raw Data'!AB87,'Raw Data'!AD87,'Raw Data'!AF87,'Raw Data'!AH87),"")</f>
        <v/>
      </c>
      <c r="M100" s="14" t="str">
        <f>IF('Raw Data'!A87&lt;&gt;"",AVERAGE('Raw Data'!AA87,'Raw Data'!AC87,'Raw Data'!AE87,'Raw Data'!AG87,'Raw Data'!AI87),"")</f>
        <v/>
      </c>
      <c r="N100" s="14" t="str">
        <f t="shared" si="16"/>
        <v/>
      </c>
      <c r="O100" s="14" t="str">
        <f>IF('Raw Data'!A87&lt;&gt;"",AVERAGE('Raw Data'!AJ87,'Raw Data'!AL87,'Raw Data'!AN87,'Raw Data'!AP87,'Raw Data'!AR87),"")</f>
        <v/>
      </c>
      <c r="P100" s="14" t="str">
        <f>IF('Raw Data'!A87&lt;&gt;"",AVERAGE('Raw Data'!AK87,'Raw Data'!AM87,'Raw Data'!AO87,'Raw Data'!AQ87,'Raw Data'!AS87),"")</f>
        <v/>
      </c>
      <c r="Q100" s="14" t="str">
        <f t="shared" si="17"/>
        <v/>
      </c>
      <c r="R100" s="14" t="str">
        <f>IF('Raw Data'!A87&lt;&gt;"",AVERAGE('Raw Data'!AT87,'Raw Data'!AV87,'Raw Data'!AX87,'Raw Data'!AZ87,'Raw Data'!BB87),"")</f>
        <v/>
      </c>
      <c r="S100" s="14" t="str">
        <f>IF('Raw Data'!A87&lt;&gt;"",AVERAGE('Raw Data'!AU87,'Raw Data'!AW87,'Raw Data'!AY87,'Raw Data'!BA87,'Raw Data'!BC87),"")</f>
        <v/>
      </c>
      <c r="T100" s="14" t="str">
        <f t="shared" si="18"/>
        <v/>
      </c>
      <c r="U100" s="14" t="str">
        <f>IF('Raw Data'!A87&lt;&gt;"",AVERAGE('Raw Data'!BD87,'Raw Data'!BF87,'Raw Data'!BH87,'Raw Data'!BJ87,'Raw Data'!BL87),"")</f>
        <v/>
      </c>
      <c r="V100" s="14" t="str">
        <f>IF('Raw Data'!A87&lt;&gt;"",AVERAGE('Raw Data'!BE87,'Raw Data'!BG87,'Raw Data'!BI87,'Raw Data'!BK87,'Raw Data'!BM87),"")</f>
        <v/>
      </c>
      <c r="W100" s="14" t="str">
        <f t="shared" si="19"/>
        <v/>
      </c>
      <c r="X100" s="14" t="str">
        <f t="shared" si="20"/>
        <v/>
      </c>
      <c r="Y100" s="14" t="str">
        <f t="shared" si="21"/>
        <v/>
      </c>
      <c r="Z100" s="14" t="str">
        <f t="shared" si="22"/>
        <v/>
      </c>
      <c r="AA100" s="14" t="str">
        <f t="shared" si="23"/>
        <v/>
      </c>
      <c r="AB100" s="25" t="str">
        <f t="shared" si="24"/>
        <v/>
      </c>
    </row>
    <row r="101" spans="1:28" x14ac:dyDescent="0.25">
      <c r="A101" s="2" t="str">
        <f>IF('Raw Data'!A88&lt;&gt;"",'Raw Data'!A88,"")</f>
        <v/>
      </c>
      <c r="B101" s="2" t="str">
        <f>IF('Raw Data'!B88&lt;&gt;"",'Raw Data'!B88,"")</f>
        <v/>
      </c>
      <c r="C101" s="2" t="str">
        <f>IF('Raw Data'!C88&lt;&gt;"",'Raw Data'!C88,"")</f>
        <v/>
      </c>
      <c r="D101" s="2" t="str">
        <f>IF('Raw Data'!D88&lt;&gt;"",'Raw Data'!D88,"")</f>
        <v/>
      </c>
      <c r="E101" s="2" t="str">
        <f>IF('Raw Data'!E88&lt;&gt;"",'Raw Data'!E88,"")</f>
        <v/>
      </c>
      <c r="F101" s="11" t="str">
        <f>IF('Raw Data'!A88&lt;&gt;"",AVERAGE('Raw Data'!F88,'Raw Data'!H88,'Raw Data'!J88,'Raw Data'!L88,'Raw Data'!N88),"")</f>
        <v/>
      </c>
      <c r="G101" s="11" t="str">
        <f>IF('Raw Data'!A88&lt;&gt;"",AVERAGE('Raw Data'!G88,'Raw Data'!I88,'Raw Data'!K88,'Raw Data'!M88,'Raw Data'!O88),"")</f>
        <v/>
      </c>
      <c r="H101" s="11" t="str">
        <f t="shared" si="14"/>
        <v/>
      </c>
      <c r="I101" s="11" t="str">
        <f>IF('Raw Data'!A88&lt;&gt;"",AVERAGE('Raw Data'!P88,'Raw Data'!R88,'Raw Data'!T88,'Raw Data'!V88,'Raw Data'!X88),"")</f>
        <v/>
      </c>
      <c r="J101" s="11" t="str">
        <f>IF('Raw Data'!A88&lt;&gt;"",AVERAGE('Raw Data'!Q88,'Raw Data'!S88,'Raw Data'!U88,'Raw Data'!W88,'Raw Data'!Y88),"")</f>
        <v/>
      </c>
      <c r="K101" s="11" t="str">
        <f t="shared" si="15"/>
        <v/>
      </c>
      <c r="L101" s="11" t="str">
        <f>IF('Raw Data'!A88&lt;&gt;"",AVERAGE('Raw Data'!Z88,'Raw Data'!AB88,'Raw Data'!AD88,'Raw Data'!AF88,'Raw Data'!AH88),"")</f>
        <v/>
      </c>
      <c r="M101" s="11" t="str">
        <f>IF('Raw Data'!A88&lt;&gt;"",AVERAGE('Raw Data'!AA88,'Raw Data'!AC88,'Raw Data'!AE88,'Raw Data'!AG88,'Raw Data'!AI88),"")</f>
        <v/>
      </c>
      <c r="N101" s="11" t="str">
        <f t="shared" si="16"/>
        <v/>
      </c>
      <c r="O101" s="11" t="str">
        <f>IF('Raw Data'!A88&lt;&gt;"",AVERAGE('Raw Data'!AJ88,'Raw Data'!AL88,'Raw Data'!AN88,'Raw Data'!AP88,'Raw Data'!AR88),"")</f>
        <v/>
      </c>
      <c r="P101" s="11" t="str">
        <f>IF('Raw Data'!A88&lt;&gt;"",AVERAGE('Raw Data'!AK88,'Raw Data'!AM88,'Raw Data'!AO88,'Raw Data'!AQ88,'Raw Data'!AS88),"")</f>
        <v/>
      </c>
      <c r="Q101" s="11" t="str">
        <f t="shared" si="17"/>
        <v/>
      </c>
      <c r="R101" s="11" t="str">
        <f>IF('Raw Data'!A88&lt;&gt;"",AVERAGE('Raw Data'!AT88,'Raw Data'!AV88,'Raw Data'!AX88,'Raw Data'!AZ88,'Raw Data'!BB88),"")</f>
        <v/>
      </c>
      <c r="S101" s="11" t="str">
        <f>IF('Raw Data'!A88&lt;&gt;"",AVERAGE('Raw Data'!AU88,'Raw Data'!AW88,'Raw Data'!AY88,'Raw Data'!BA88,'Raw Data'!BC88),"")</f>
        <v/>
      </c>
      <c r="T101" s="11" t="str">
        <f t="shared" si="18"/>
        <v/>
      </c>
      <c r="U101" s="11" t="str">
        <f>IF('Raw Data'!A88&lt;&gt;"",AVERAGE('Raw Data'!BD88,'Raw Data'!BF88,'Raw Data'!BH88,'Raw Data'!BJ88,'Raw Data'!BL88),"")</f>
        <v/>
      </c>
      <c r="V101" s="11" t="str">
        <f>IF('Raw Data'!A88&lt;&gt;"",AVERAGE('Raw Data'!BE88,'Raw Data'!BG88,'Raw Data'!BI88,'Raw Data'!BK88,'Raw Data'!BM88),"")</f>
        <v/>
      </c>
      <c r="W101" s="11" t="str">
        <f t="shared" si="19"/>
        <v/>
      </c>
      <c r="X101" s="11" t="str">
        <f t="shared" si="20"/>
        <v/>
      </c>
      <c r="Y101" s="11" t="str">
        <f t="shared" si="21"/>
        <v/>
      </c>
      <c r="Z101" s="11" t="str">
        <f t="shared" si="22"/>
        <v/>
      </c>
      <c r="AA101" s="11" t="str">
        <f t="shared" si="23"/>
        <v/>
      </c>
      <c r="AB101" s="24" t="str">
        <f t="shared" si="24"/>
        <v/>
      </c>
    </row>
    <row r="102" spans="1:28" x14ac:dyDescent="0.25">
      <c r="A102" s="10" t="str">
        <f>IF('Raw Data'!A89&lt;&gt;"",'Raw Data'!A89,"")</f>
        <v/>
      </c>
      <c r="B102" s="10" t="str">
        <f>IF('Raw Data'!B89&lt;&gt;"",'Raw Data'!B89,"")</f>
        <v/>
      </c>
      <c r="C102" s="10" t="str">
        <f>IF('Raw Data'!C89&lt;&gt;"",'Raw Data'!C89,"")</f>
        <v/>
      </c>
      <c r="D102" s="10" t="str">
        <f>IF('Raw Data'!D89&lt;&gt;"",'Raw Data'!D89,"")</f>
        <v/>
      </c>
      <c r="E102" s="10" t="str">
        <f>IF('Raw Data'!E89&lt;&gt;"",'Raw Data'!E89,"")</f>
        <v/>
      </c>
      <c r="F102" s="14" t="str">
        <f>IF('Raw Data'!A89&lt;&gt;"",AVERAGE('Raw Data'!F89,'Raw Data'!H89,'Raw Data'!J89,'Raw Data'!L89,'Raw Data'!N89),"")</f>
        <v/>
      </c>
      <c r="G102" s="14" t="str">
        <f>IF('Raw Data'!A89&lt;&gt;"",AVERAGE('Raw Data'!G89,'Raw Data'!I89,'Raw Data'!K89,'Raw Data'!M89,'Raw Data'!O89),"")</f>
        <v/>
      </c>
      <c r="H102" s="14" t="str">
        <f t="shared" si="14"/>
        <v/>
      </c>
      <c r="I102" s="14" t="str">
        <f>IF('Raw Data'!A89&lt;&gt;"",AVERAGE('Raw Data'!P89,'Raw Data'!R89,'Raw Data'!T89,'Raw Data'!V89,'Raw Data'!X89),"")</f>
        <v/>
      </c>
      <c r="J102" s="14" t="str">
        <f>IF('Raw Data'!A89&lt;&gt;"",AVERAGE('Raw Data'!Q89,'Raw Data'!S89,'Raw Data'!U89,'Raw Data'!W89,'Raw Data'!Y89),"")</f>
        <v/>
      </c>
      <c r="K102" s="14" t="str">
        <f t="shared" si="15"/>
        <v/>
      </c>
      <c r="L102" s="14" t="str">
        <f>IF('Raw Data'!A89&lt;&gt;"",AVERAGE('Raw Data'!Z89,'Raw Data'!AB89,'Raw Data'!AD89,'Raw Data'!AF89,'Raw Data'!AH89),"")</f>
        <v/>
      </c>
      <c r="M102" s="14" t="str">
        <f>IF('Raw Data'!A89&lt;&gt;"",AVERAGE('Raw Data'!AA89,'Raw Data'!AC89,'Raw Data'!AE89,'Raw Data'!AG89,'Raw Data'!AI89),"")</f>
        <v/>
      </c>
      <c r="N102" s="14" t="str">
        <f t="shared" si="16"/>
        <v/>
      </c>
      <c r="O102" s="14" t="str">
        <f>IF('Raw Data'!A89&lt;&gt;"",AVERAGE('Raw Data'!AJ89,'Raw Data'!AL89,'Raw Data'!AN89,'Raw Data'!AP89,'Raw Data'!AR89),"")</f>
        <v/>
      </c>
      <c r="P102" s="14" t="str">
        <f>IF('Raw Data'!A89&lt;&gt;"",AVERAGE('Raw Data'!AK89,'Raw Data'!AM89,'Raw Data'!AO89,'Raw Data'!AQ89,'Raw Data'!AS89),"")</f>
        <v/>
      </c>
      <c r="Q102" s="14" t="str">
        <f t="shared" si="17"/>
        <v/>
      </c>
      <c r="R102" s="14" t="str">
        <f>IF('Raw Data'!A89&lt;&gt;"",AVERAGE('Raw Data'!AT89,'Raw Data'!AV89,'Raw Data'!AX89,'Raw Data'!AZ89,'Raw Data'!BB89),"")</f>
        <v/>
      </c>
      <c r="S102" s="14" t="str">
        <f>IF('Raw Data'!A89&lt;&gt;"",AVERAGE('Raw Data'!AU89,'Raw Data'!AW89,'Raw Data'!AY89,'Raw Data'!BA89,'Raw Data'!BC89),"")</f>
        <v/>
      </c>
      <c r="T102" s="14" t="str">
        <f t="shared" si="18"/>
        <v/>
      </c>
      <c r="U102" s="14" t="str">
        <f>IF('Raw Data'!A89&lt;&gt;"",AVERAGE('Raw Data'!BD89,'Raw Data'!BF89,'Raw Data'!BH89,'Raw Data'!BJ89,'Raw Data'!BL89),"")</f>
        <v/>
      </c>
      <c r="V102" s="14" t="str">
        <f>IF('Raw Data'!A89&lt;&gt;"",AVERAGE('Raw Data'!BE89,'Raw Data'!BG89,'Raw Data'!BI89,'Raw Data'!BK89,'Raw Data'!BM89),"")</f>
        <v/>
      </c>
      <c r="W102" s="14" t="str">
        <f t="shared" si="19"/>
        <v/>
      </c>
      <c r="X102" s="14" t="str">
        <f t="shared" si="20"/>
        <v/>
      </c>
      <c r="Y102" s="14" t="str">
        <f t="shared" si="21"/>
        <v/>
      </c>
      <c r="Z102" s="14" t="str">
        <f t="shared" si="22"/>
        <v/>
      </c>
      <c r="AA102" s="14" t="str">
        <f t="shared" si="23"/>
        <v/>
      </c>
      <c r="AB102" s="25" t="str">
        <f t="shared" si="24"/>
        <v/>
      </c>
    </row>
    <row r="103" spans="1:28" x14ac:dyDescent="0.25">
      <c r="A103" s="2" t="str">
        <f>IF('Raw Data'!A90&lt;&gt;"",'Raw Data'!A90,"")</f>
        <v/>
      </c>
      <c r="B103" s="2" t="str">
        <f>IF('Raw Data'!B90&lt;&gt;"",'Raw Data'!B90,"")</f>
        <v/>
      </c>
      <c r="C103" s="2" t="str">
        <f>IF('Raw Data'!C90&lt;&gt;"",'Raw Data'!C90,"")</f>
        <v/>
      </c>
      <c r="D103" s="2" t="str">
        <f>IF('Raw Data'!D90&lt;&gt;"",'Raw Data'!D90,"")</f>
        <v/>
      </c>
      <c r="E103" s="2" t="str">
        <f>IF('Raw Data'!E90&lt;&gt;"",'Raw Data'!E90,"")</f>
        <v/>
      </c>
      <c r="F103" s="11" t="str">
        <f>IF('Raw Data'!A90&lt;&gt;"",AVERAGE('Raw Data'!F90,'Raw Data'!H90,'Raw Data'!J90,'Raw Data'!L90,'Raw Data'!N90),"")</f>
        <v/>
      </c>
      <c r="G103" s="11" t="str">
        <f>IF('Raw Data'!A90&lt;&gt;"",AVERAGE('Raw Data'!G90,'Raw Data'!I90,'Raw Data'!K90,'Raw Data'!M90,'Raw Data'!O90),"")</f>
        <v/>
      </c>
      <c r="H103" s="11" t="str">
        <f t="shared" si="14"/>
        <v/>
      </c>
      <c r="I103" s="11" t="str">
        <f>IF('Raw Data'!A90&lt;&gt;"",AVERAGE('Raw Data'!P90,'Raw Data'!R90,'Raw Data'!T90,'Raw Data'!V90,'Raw Data'!X90),"")</f>
        <v/>
      </c>
      <c r="J103" s="11" t="str">
        <f>IF('Raw Data'!A90&lt;&gt;"",AVERAGE('Raw Data'!Q90,'Raw Data'!S90,'Raw Data'!U90,'Raw Data'!W90,'Raw Data'!Y90),"")</f>
        <v/>
      </c>
      <c r="K103" s="11" t="str">
        <f t="shared" si="15"/>
        <v/>
      </c>
      <c r="L103" s="11" t="str">
        <f>IF('Raw Data'!A90&lt;&gt;"",AVERAGE('Raw Data'!Z90,'Raw Data'!AB90,'Raw Data'!AD90,'Raw Data'!AF90,'Raw Data'!AH90),"")</f>
        <v/>
      </c>
      <c r="M103" s="11" t="str">
        <f>IF('Raw Data'!A90&lt;&gt;"",AVERAGE('Raw Data'!AA90,'Raw Data'!AC90,'Raw Data'!AE90,'Raw Data'!AG90,'Raw Data'!AI90),"")</f>
        <v/>
      </c>
      <c r="N103" s="11" t="str">
        <f t="shared" si="16"/>
        <v/>
      </c>
      <c r="O103" s="11" t="str">
        <f>IF('Raw Data'!A90&lt;&gt;"",AVERAGE('Raw Data'!AJ90,'Raw Data'!AL90,'Raw Data'!AN90,'Raw Data'!AP90,'Raw Data'!AR90),"")</f>
        <v/>
      </c>
      <c r="P103" s="11" t="str">
        <f>IF('Raw Data'!A90&lt;&gt;"",AVERAGE('Raw Data'!AK90,'Raw Data'!AM90,'Raw Data'!AO90,'Raw Data'!AQ90,'Raw Data'!AS90),"")</f>
        <v/>
      </c>
      <c r="Q103" s="11" t="str">
        <f t="shared" si="17"/>
        <v/>
      </c>
      <c r="R103" s="11" t="str">
        <f>IF('Raw Data'!A90&lt;&gt;"",AVERAGE('Raw Data'!AT90,'Raw Data'!AV90,'Raw Data'!AX90,'Raw Data'!AZ90,'Raw Data'!BB90),"")</f>
        <v/>
      </c>
      <c r="S103" s="11" t="str">
        <f>IF('Raw Data'!A90&lt;&gt;"",AVERAGE('Raw Data'!AU90,'Raw Data'!AW90,'Raw Data'!AY90,'Raw Data'!BA90,'Raw Data'!BC90),"")</f>
        <v/>
      </c>
      <c r="T103" s="11" t="str">
        <f t="shared" si="18"/>
        <v/>
      </c>
      <c r="U103" s="11" t="str">
        <f>IF('Raw Data'!A90&lt;&gt;"",AVERAGE('Raw Data'!BD90,'Raw Data'!BF90,'Raw Data'!BH90,'Raw Data'!BJ90,'Raw Data'!BL90),"")</f>
        <v/>
      </c>
      <c r="V103" s="11" t="str">
        <f>IF('Raw Data'!A90&lt;&gt;"",AVERAGE('Raw Data'!BE90,'Raw Data'!BG90,'Raw Data'!BI90,'Raw Data'!BK90,'Raw Data'!BM90),"")</f>
        <v/>
      </c>
      <c r="W103" s="11" t="str">
        <f t="shared" si="19"/>
        <v/>
      </c>
      <c r="X103" s="11" t="str">
        <f t="shared" si="20"/>
        <v/>
      </c>
      <c r="Y103" s="11" t="str">
        <f t="shared" si="21"/>
        <v/>
      </c>
      <c r="Z103" s="11" t="str">
        <f t="shared" si="22"/>
        <v/>
      </c>
      <c r="AA103" s="11" t="str">
        <f t="shared" si="23"/>
        <v/>
      </c>
      <c r="AB103" s="24" t="str">
        <f t="shared" si="24"/>
        <v/>
      </c>
    </row>
    <row r="104" spans="1:28" x14ac:dyDescent="0.25">
      <c r="A104" s="10" t="str">
        <f>IF('Raw Data'!A91&lt;&gt;"",'Raw Data'!A91,"")</f>
        <v/>
      </c>
      <c r="B104" s="10" t="str">
        <f>IF('Raw Data'!B91&lt;&gt;"",'Raw Data'!B91,"")</f>
        <v/>
      </c>
      <c r="C104" s="10" t="str">
        <f>IF('Raw Data'!C91&lt;&gt;"",'Raw Data'!C91,"")</f>
        <v/>
      </c>
      <c r="D104" s="10" t="str">
        <f>IF('Raw Data'!D91&lt;&gt;"",'Raw Data'!D91,"")</f>
        <v/>
      </c>
      <c r="E104" s="10" t="str">
        <f>IF('Raw Data'!E91&lt;&gt;"",'Raw Data'!E91,"")</f>
        <v/>
      </c>
      <c r="F104" s="14" t="str">
        <f>IF('Raw Data'!A91&lt;&gt;"",AVERAGE('Raw Data'!F91,'Raw Data'!H91,'Raw Data'!J91,'Raw Data'!L91,'Raw Data'!N91),"")</f>
        <v/>
      </c>
      <c r="G104" s="14" t="str">
        <f>IF('Raw Data'!A91&lt;&gt;"",AVERAGE('Raw Data'!G91,'Raw Data'!I91,'Raw Data'!K91,'Raw Data'!M91,'Raw Data'!O91),"")</f>
        <v/>
      </c>
      <c r="H104" s="14" t="str">
        <f t="shared" si="14"/>
        <v/>
      </c>
      <c r="I104" s="14" t="str">
        <f>IF('Raw Data'!A91&lt;&gt;"",AVERAGE('Raw Data'!P91,'Raw Data'!R91,'Raw Data'!T91,'Raw Data'!V91,'Raw Data'!X91),"")</f>
        <v/>
      </c>
      <c r="J104" s="14" t="str">
        <f>IF('Raw Data'!A91&lt;&gt;"",AVERAGE('Raw Data'!Q91,'Raw Data'!S91,'Raw Data'!U91,'Raw Data'!W91,'Raw Data'!Y91),"")</f>
        <v/>
      </c>
      <c r="K104" s="14" t="str">
        <f t="shared" si="15"/>
        <v/>
      </c>
      <c r="L104" s="14" t="str">
        <f>IF('Raw Data'!A91&lt;&gt;"",AVERAGE('Raw Data'!Z91,'Raw Data'!AB91,'Raw Data'!AD91,'Raw Data'!AF91,'Raw Data'!AH91),"")</f>
        <v/>
      </c>
      <c r="M104" s="14" t="str">
        <f>IF('Raw Data'!A91&lt;&gt;"",AVERAGE('Raw Data'!AA91,'Raw Data'!AC91,'Raw Data'!AE91,'Raw Data'!AG91,'Raw Data'!AI91),"")</f>
        <v/>
      </c>
      <c r="N104" s="14" t="str">
        <f t="shared" si="16"/>
        <v/>
      </c>
      <c r="O104" s="14" t="str">
        <f>IF('Raw Data'!A91&lt;&gt;"",AVERAGE('Raw Data'!AJ91,'Raw Data'!AL91,'Raw Data'!AN91,'Raw Data'!AP91,'Raw Data'!AR91),"")</f>
        <v/>
      </c>
      <c r="P104" s="14" t="str">
        <f>IF('Raw Data'!A91&lt;&gt;"",AVERAGE('Raw Data'!AK91,'Raw Data'!AM91,'Raw Data'!AO91,'Raw Data'!AQ91,'Raw Data'!AS91),"")</f>
        <v/>
      </c>
      <c r="Q104" s="14" t="str">
        <f t="shared" si="17"/>
        <v/>
      </c>
      <c r="R104" s="14" t="str">
        <f>IF('Raw Data'!A91&lt;&gt;"",AVERAGE('Raw Data'!AT91,'Raw Data'!AV91,'Raw Data'!AX91,'Raw Data'!AZ91,'Raw Data'!BB91),"")</f>
        <v/>
      </c>
      <c r="S104" s="14" t="str">
        <f>IF('Raw Data'!A91&lt;&gt;"",AVERAGE('Raw Data'!AU91,'Raw Data'!AW91,'Raw Data'!AY91,'Raw Data'!BA91,'Raw Data'!BC91),"")</f>
        <v/>
      </c>
      <c r="T104" s="14" t="str">
        <f t="shared" si="18"/>
        <v/>
      </c>
      <c r="U104" s="14" t="str">
        <f>IF('Raw Data'!A91&lt;&gt;"",AVERAGE('Raw Data'!BD91,'Raw Data'!BF91,'Raw Data'!BH91,'Raw Data'!BJ91,'Raw Data'!BL91),"")</f>
        <v/>
      </c>
      <c r="V104" s="14" t="str">
        <f>IF('Raw Data'!A91&lt;&gt;"",AVERAGE('Raw Data'!BE91,'Raw Data'!BG91,'Raw Data'!BI91,'Raw Data'!BK91,'Raw Data'!BM91),"")</f>
        <v/>
      </c>
      <c r="W104" s="14" t="str">
        <f t="shared" si="19"/>
        <v/>
      </c>
      <c r="X104" s="14" t="str">
        <f t="shared" si="20"/>
        <v/>
      </c>
      <c r="Y104" s="14" t="str">
        <f t="shared" si="21"/>
        <v/>
      </c>
      <c r="Z104" s="14" t="str">
        <f t="shared" si="22"/>
        <v/>
      </c>
      <c r="AA104" s="14" t="str">
        <f t="shared" si="23"/>
        <v/>
      </c>
      <c r="AB104" s="25" t="str">
        <f t="shared" si="24"/>
        <v/>
      </c>
    </row>
    <row r="105" spans="1:28" x14ac:dyDescent="0.25">
      <c r="A105" s="2" t="str">
        <f>IF('Raw Data'!A92&lt;&gt;"",'Raw Data'!A92,"")</f>
        <v/>
      </c>
      <c r="B105" s="2" t="str">
        <f>IF('Raw Data'!B92&lt;&gt;"",'Raw Data'!B92,"")</f>
        <v/>
      </c>
      <c r="C105" s="2" t="str">
        <f>IF('Raw Data'!C92&lt;&gt;"",'Raw Data'!C92,"")</f>
        <v/>
      </c>
      <c r="D105" s="2" t="str">
        <f>IF('Raw Data'!D92&lt;&gt;"",'Raw Data'!D92,"")</f>
        <v/>
      </c>
      <c r="E105" s="2" t="str">
        <f>IF('Raw Data'!E92&lt;&gt;"",'Raw Data'!E92,"")</f>
        <v/>
      </c>
      <c r="F105" s="11" t="str">
        <f>IF('Raw Data'!A92&lt;&gt;"",AVERAGE('Raw Data'!F92,'Raw Data'!H92,'Raw Data'!J92,'Raw Data'!L92,'Raw Data'!N92),"")</f>
        <v/>
      </c>
      <c r="G105" s="11" t="str">
        <f>IF('Raw Data'!A92&lt;&gt;"",AVERAGE('Raw Data'!G92,'Raw Data'!I92,'Raw Data'!K92,'Raw Data'!M92,'Raw Data'!O92),"")</f>
        <v/>
      </c>
      <c r="H105" s="11" t="str">
        <f t="shared" si="14"/>
        <v/>
      </c>
      <c r="I105" s="11" t="str">
        <f>IF('Raw Data'!A92&lt;&gt;"",AVERAGE('Raw Data'!P92,'Raw Data'!R92,'Raw Data'!T92,'Raw Data'!V92,'Raw Data'!X92),"")</f>
        <v/>
      </c>
      <c r="J105" s="11" t="str">
        <f>IF('Raw Data'!A92&lt;&gt;"",AVERAGE('Raw Data'!Q92,'Raw Data'!S92,'Raw Data'!U92,'Raw Data'!W92,'Raw Data'!Y92),"")</f>
        <v/>
      </c>
      <c r="K105" s="11" t="str">
        <f t="shared" si="15"/>
        <v/>
      </c>
      <c r="L105" s="11" t="str">
        <f>IF('Raw Data'!A92&lt;&gt;"",AVERAGE('Raw Data'!Z92,'Raw Data'!AB92,'Raw Data'!AD92,'Raw Data'!AF92,'Raw Data'!AH92),"")</f>
        <v/>
      </c>
      <c r="M105" s="11" t="str">
        <f>IF('Raw Data'!A92&lt;&gt;"",AVERAGE('Raw Data'!AA92,'Raw Data'!AC92,'Raw Data'!AE92,'Raw Data'!AG92,'Raw Data'!AI92),"")</f>
        <v/>
      </c>
      <c r="N105" s="11" t="str">
        <f t="shared" si="16"/>
        <v/>
      </c>
      <c r="O105" s="11" t="str">
        <f>IF('Raw Data'!A92&lt;&gt;"",AVERAGE('Raw Data'!AJ92,'Raw Data'!AL92,'Raw Data'!AN92,'Raw Data'!AP92,'Raw Data'!AR92),"")</f>
        <v/>
      </c>
      <c r="P105" s="11" t="str">
        <f>IF('Raw Data'!A92&lt;&gt;"",AVERAGE('Raw Data'!AK92,'Raw Data'!AM92,'Raw Data'!AO92,'Raw Data'!AQ92,'Raw Data'!AS92),"")</f>
        <v/>
      </c>
      <c r="Q105" s="11" t="str">
        <f t="shared" si="17"/>
        <v/>
      </c>
      <c r="R105" s="11" t="str">
        <f>IF('Raw Data'!A92&lt;&gt;"",AVERAGE('Raw Data'!AT92,'Raw Data'!AV92,'Raw Data'!AX92,'Raw Data'!AZ92,'Raw Data'!BB92),"")</f>
        <v/>
      </c>
      <c r="S105" s="11" t="str">
        <f>IF('Raw Data'!A92&lt;&gt;"",AVERAGE('Raw Data'!AU92,'Raw Data'!AW92,'Raw Data'!AY92,'Raw Data'!BA92,'Raw Data'!BC92),"")</f>
        <v/>
      </c>
      <c r="T105" s="11" t="str">
        <f t="shared" si="18"/>
        <v/>
      </c>
      <c r="U105" s="11" t="str">
        <f>IF('Raw Data'!A92&lt;&gt;"",AVERAGE('Raw Data'!BD92,'Raw Data'!BF92,'Raw Data'!BH92,'Raw Data'!BJ92,'Raw Data'!BL92),"")</f>
        <v/>
      </c>
      <c r="V105" s="11" t="str">
        <f>IF('Raw Data'!A92&lt;&gt;"",AVERAGE('Raw Data'!BE92,'Raw Data'!BG92,'Raw Data'!BI92,'Raw Data'!BK92,'Raw Data'!BM92),"")</f>
        <v/>
      </c>
      <c r="W105" s="11" t="str">
        <f t="shared" si="19"/>
        <v/>
      </c>
      <c r="X105" s="11" t="str">
        <f t="shared" si="20"/>
        <v/>
      </c>
      <c r="Y105" s="11" t="str">
        <f t="shared" si="21"/>
        <v/>
      </c>
      <c r="Z105" s="11" t="str">
        <f t="shared" si="22"/>
        <v/>
      </c>
      <c r="AA105" s="11" t="str">
        <f t="shared" si="23"/>
        <v/>
      </c>
      <c r="AB105" s="24" t="str">
        <f t="shared" si="24"/>
        <v/>
      </c>
    </row>
    <row r="106" spans="1:28" x14ac:dyDescent="0.25">
      <c r="A106" s="10" t="str">
        <f>IF('Raw Data'!A93&lt;&gt;"",'Raw Data'!A93,"")</f>
        <v/>
      </c>
      <c r="B106" s="10" t="str">
        <f>IF('Raw Data'!B93&lt;&gt;"",'Raw Data'!B93,"")</f>
        <v/>
      </c>
      <c r="C106" s="10" t="str">
        <f>IF('Raw Data'!C93&lt;&gt;"",'Raw Data'!C93,"")</f>
        <v/>
      </c>
      <c r="D106" s="10" t="str">
        <f>IF('Raw Data'!D93&lt;&gt;"",'Raw Data'!D93,"")</f>
        <v/>
      </c>
      <c r="E106" s="10" t="str">
        <f>IF('Raw Data'!E93&lt;&gt;"",'Raw Data'!E93,"")</f>
        <v/>
      </c>
      <c r="F106" s="14" t="str">
        <f>IF('Raw Data'!A93&lt;&gt;"",AVERAGE('Raw Data'!F93,'Raw Data'!H93,'Raw Data'!J93,'Raw Data'!L93,'Raw Data'!N93),"")</f>
        <v/>
      </c>
      <c r="G106" s="14" t="str">
        <f>IF('Raw Data'!A93&lt;&gt;"",AVERAGE('Raw Data'!G93,'Raw Data'!I93,'Raw Data'!K93,'Raw Data'!M93,'Raw Data'!O93),"")</f>
        <v/>
      </c>
      <c r="H106" s="14" t="str">
        <f t="shared" si="14"/>
        <v/>
      </c>
      <c r="I106" s="14" t="str">
        <f>IF('Raw Data'!A93&lt;&gt;"",AVERAGE('Raw Data'!P93,'Raw Data'!R93,'Raw Data'!T93,'Raw Data'!V93,'Raw Data'!X93),"")</f>
        <v/>
      </c>
      <c r="J106" s="14" t="str">
        <f>IF('Raw Data'!A93&lt;&gt;"",AVERAGE('Raw Data'!Q93,'Raw Data'!S93,'Raw Data'!U93,'Raw Data'!W93,'Raw Data'!Y93),"")</f>
        <v/>
      </c>
      <c r="K106" s="14" t="str">
        <f t="shared" si="15"/>
        <v/>
      </c>
      <c r="L106" s="14" t="str">
        <f>IF('Raw Data'!A93&lt;&gt;"",AVERAGE('Raw Data'!Z93,'Raw Data'!AB93,'Raw Data'!AD93,'Raw Data'!AF93,'Raw Data'!AH93),"")</f>
        <v/>
      </c>
      <c r="M106" s="14" t="str">
        <f>IF('Raw Data'!A93&lt;&gt;"",AVERAGE('Raw Data'!AA93,'Raw Data'!AC93,'Raw Data'!AE93,'Raw Data'!AG93,'Raw Data'!AI93),"")</f>
        <v/>
      </c>
      <c r="N106" s="14" t="str">
        <f t="shared" si="16"/>
        <v/>
      </c>
      <c r="O106" s="14" t="str">
        <f>IF('Raw Data'!A93&lt;&gt;"",AVERAGE('Raw Data'!AJ93,'Raw Data'!AL93,'Raw Data'!AN93,'Raw Data'!AP93,'Raw Data'!AR93),"")</f>
        <v/>
      </c>
      <c r="P106" s="14" t="str">
        <f>IF('Raw Data'!A93&lt;&gt;"",AVERAGE('Raw Data'!AK93,'Raw Data'!AM93,'Raw Data'!AO93,'Raw Data'!AQ93,'Raw Data'!AS93),"")</f>
        <v/>
      </c>
      <c r="Q106" s="14" t="str">
        <f t="shared" si="17"/>
        <v/>
      </c>
      <c r="R106" s="14" t="str">
        <f>IF('Raw Data'!A93&lt;&gt;"",AVERAGE('Raw Data'!AT93,'Raw Data'!AV93,'Raw Data'!AX93,'Raw Data'!AZ93,'Raw Data'!BB93),"")</f>
        <v/>
      </c>
      <c r="S106" s="14" t="str">
        <f>IF('Raw Data'!A93&lt;&gt;"",AVERAGE('Raw Data'!AU93,'Raw Data'!AW93,'Raw Data'!AY93,'Raw Data'!BA93,'Raw Data'!BC93),"")</f>
        <v/>
      </c>
      <c r="T106" s="14" t="str">
        <f t="shared" si="18"/>
        <v/>
      </c>
      <c r="U106" s="14" t="str">
        <f>IF('Raw Data'!A93&lt;&gt;"",AVERAGE('Raw Data'!BD93,'Raw Data'!BF93,'Raw Data'!BH93,'Raw Data'!BJ93,'Raw Data'!BL93),"")</f>
        <v/>
      </c>
      <c r="V106" s="14" t="str">
        <f>IF('Raw Data'!A93&lt;&gt;"",AVERAGE('Raw Data'!BE93,'Raw Data'!BG93,'Raw Data'!BI93,'Raw Data'!BK93,'Raw Data'!BM93),"")</f>
        <v/>
      </c>
      <c r="W106" s="14" t="str">
        <f t="shared" si="19"/>
        <v/>
      </c>
      <c r="X106" s="14" t="str">
        <f t="shared" si="20"/>
        <v/>
      </c>
      <c r="Y106" s="14" t="str">
        <f t="shared" si="21"/>
        <v/>
      </c>
      <c r="Z106" s="14" t="str">
        <f t="shared" si="22"/>
        <v/>
      </c>
      <c r="AA106" s="14" t="str">
        <f t="shared" si="23"/>
        <v/>
      </c>
      <c r="AB106" s="25" t="str">
        <f t="shared" si="24"/>
        <v/>
      </c>
    </row>
    <row r="107" spans="1:28" x14ac:dyDescent="0.25">
      <c r="A107" s="2" t="str">
        <f>IF('Raw Data'!A94&lt;&gt;"",'Raw Data'!A94,"")</f>
        <v/>
      </c>
      <c r="B107" s="2" t="str">
        <f>IF('Raw Data'!B94&lt;&gt;"",'Raw Data'!B94,"")</f>
        <v/>
      </c>
      <c r="C107" s="2" t="str">
        <f>IF('Raw Data'!C94&lt;&gt;"",'Raw Data'!C94,"")</f>
        <v/>
      </c>
      <c r="D107" s="2" t="str">
        <f>IF('Raw Data'!D94&lt;&gt;"",'Raw Data'!D94,"")</f>
        <v/>
      </c>
      <c r="E107" s="2" t="str">
        <f>IF('Raw Data'!E94&lt;&gt;"",'Raw Data'!E94,"")</f>
        <v/>
      </c>
      <c r="F107" s="11" t="str">
        <f>IF('Raw Data'!A94&lt;&gt;"",AVERAGE('Raw Data'!F94,'Raw Data'!H94,'Raw Data'!J94,'Raw Data'!L94,'Raw Data'!N94),"")</f>
        <v/>
      </c>
      <c r="G107" s="11" t="str">
        <f>IF('Raw Data'!A94&lt;&gt;"",AVERAGE('Raw Data'!G94,'Raw Data'!I94,'Raw Data'!K94,'Raw Data'!M94,'Raw Data'!O94),"")</f>
        <v/>
      </c>
      <c r="H107" s="11" t="str">
        <f t="shared" si="14"/>
        <v/>
      </c>
      <c r="I107" s="11" t="str">
        <f>IF('Raw Data'!A94&lt;&gt;"",AVERAGE('Raw Data'!P94,'Raw Data'!R94,'Raw Data'!T94,'Raw Data'!V94,'Raw Data'!X94),"")</f>
        <v/>
      </c>
      <c r="J107" s="11" t="str">
        <f>IF('Raw Data'!A94&lt;&gt;"",AVERAGE('Raw Data'!Q94,'Raw Data'!S94,'Raw Data'!U94,'Raw Data'!W94,'Raw Data'!Y94),"")</f>
        <v/>
      </c>
      <c r="K107" s="11" t="str">
        <f t="shared" si="15"/>
        <v/>
      </c>
      <c r="L107" s="11" t="str">
        <f>IF('Raw Data'!A94&lt;&gt;"",AVERAGE('Raw Data'!Z94,'Raw Data'!AB94,'Raw Data'!AD94,'Raw Data'!AF94,'Raw Data'!AH94),"")</f>
        <v/>
      </c>
      <c r="M107" s="11" t="str">
        <f>IF('Raw Data'!A94&lt;&gt;"",AVERAGE('Raw Data'!AA94,'Raw Data'!AC94,'Raw Data'!AE94,'Raw Data'!AG94,'Raw Data'!AI94),"")</f>
        <v/>
      </c>
      <c r="N107" s="11" t="str">
        <f t="shared" si="16"/>
        <v/>
      </c>
      <c r="O107" s="11" t="str">
        <f>IF('Raw Data'!A94&lt;&gt;"",AVERAGE('Raw Data'!AJ94,'Raw Data'!AL94,'Raw Data'!AN94,'Raw Data'!AP94,'Raw Data'!AR94),"")</f>
        <v/>
      </c>
      <c r="P107" s="11" t="str">
        <f>IF('Raw Data'!A94&lt;&gt;"",AVERAGE('Raw Data'!AK94,'Raw Data'!AM94,'Raw Data'!AO94,'Raw Data'!AQ94,'Raw Data'!AS94),"")</f>
        <v/>
      </c>
      <c r="Q107" s="11" t="str">
        <f t="shared" si="17"/>
        <v/>
      </c>
      <c r="R107" s="11" t="str">
        <f>IF('Raw Data'!A94&lt;&gt;"",AVERAGE('Raw Data'!AT94,'Raw Data'!AV94,'Raw Data'!AX94,'Raw Data'!AZ94,'Raw Data'!BB94),"")</f>
        <v/>
      </c>
      <c r="S107" s="11" t="str">
        <f>IF('Raw Data'!A94&lt;&gt;"",AVERAGE('Raw Data'!AU94,'Raw Data'!AW94,'Raw Data'!AY94,'Raw Data'!BA94,'Raw Data'!BC94),"")</f>
        <v/>
      </c>
      <c r="T107" s="11" t="str">
        <f t="shared" si="18"/>
        <v/>
      </c>
      <c r="U107" s="11" t="str">
        <f>IF('Raw Data'!A94&lt;&gt;"",AVERAGE('Raw Data'!BD94,'Raw Data'!BF94,'Raw Data'!BH94,'Raw Data'!BJ94,'Raw Data'!BL94),"")</f>
        <v/>
      </c>
      <c r="V107" s="11" t="str">
        <f>IF('Raw Data'!A94&lt;&gt;"",AVERAGE('Raw Data'!BE94,'Raw Data'!BG94,'Raw Data'!BI94,'Raw Data'!BK94,'Raw Data'!BM94),"")</f>
        <v/>
      </c>
      <c r="W107" s="11" t="str">
        <f t="shared" si="19"/>
        <v/>
      </c>
      <c r="X107" s="11" t="str">
        <f t="shared" si="20"/>
        <v/>
      </c>
      <c r="Y107" s="11" t="str">
        <f t="shared" si="21"/>
        <v/>
      </c>
      <c r="Z107" s="11" t="str">
        <f t="shared" si="22"/>
        <v/>
      </c>
      <c r="AA107" s="11" t="str">
        <f t="shared" si="23"/>
        <v/>
      </c>
      <c r="AB107" s="24" t="str">
        <f t="shared" si="24"/>
        <v/>
      </c>
    </row>
    <row r="108" spans="1:28" x14ac:dyDescent="0.25">
      <c r="A108" s="10" t="str">
        <f>IF('Raw Data'!A95&lt;&gt;"",'Raw Data'!A95,"")</f>
        <v/>
      </c>
      <c r="B108" s="10" t="str">
        <f>IF('Raw Data'!B95&lt;&gt;"",'Raw Data'!B95,"")</f>
        <v/>
      </c>
      <c r="C108" s="10" t="str">
        <f>IF('Raw Data'!C95&lt;&gt;"",'Raw Data'!C95,"")</f>
        <v/>
      </c>
      <c r="D108" s="10" t="str">
        <f>IF('Raw Data'!D95&lt;&gt;"",'Raw Data'!D95,"")</f>
        <v/>
      </c>
      <c r="E108" s="10" t="str">
        <f>IF('Raw Data'!E95&lt;&gt;"",'Raw Data'!E95,"")</f>
        <v/>
      </c>
      <c r="F108" s="14" t="str">
        <f>IF('Raw Data'!A95&lt;&gt;"",AVERAGE('Raw Data'!F95,'Raw Data'!H95,'Raw Data'!J95,'Raw Data'!L95,'Raw Data'!N95),"")</f>
        <v/>
      </c>
      <c r="G108" s="14" t="str">
        <f>IF('Raw Data'!A95&lt;&gt;"",AVERAGE('Raw Data'!G95,'Raw Data'!I95,'Raw Data'!K95,'Raw Data'!M95,'Raw Data'!O95),"")</f>
        <v/>
      </c>
      <c r="H108" s="14" t="str">
        <f t="shared" si="14"/>
        <v/>
      </c>
      <c r="I108" s="14" t="str">
        <f>IF('Raw Data'!A95&lt;&gt;"",AVERAGE('Raw Data'!P95,'Raw Data'!R95,'Raw Data'!T95,'Raw Data'!V95,'Raw Data'!X95),"")</f>
        <v/>
      </c>
      <c r="J108" s="14" t="str">
        <f>IF('Raw Data'!A95&lt;&gt;"",AVERAGE('Raw Data'!Q95,'Raw Data'!S95,'Raw Data'!U95,'Raw Data'!W95,'Raw Data'!Y95),"")</f>
        <v/>
      </c>
      <c r="K108" s="14" t="str">
        <f t="shared" si="15"/>
        <v/>
      </c>
      <c r="L108" s="14" t="str">
        <f>IF('Raw Data'!A95&lt;&gt;"",AVERAGE('Raw Data'!Z95,'Raw Data'!AB95,'Raw Data'!AD95,'Raw Data'!AF95,'Raw Data'!AH95),"")</f>
        <v/>
      </c>
      <c r="M108" s="14" t="str">
        <f>IF('Raw Data'!A95&lt;&gt;"",AVERAGE('Raw Data'!AA95,'Raw Data'!AC95,'Raw Data'!AE95,'Raw Data'!AG95,'Raw Data'!AI95),"")</f>
        <v/>
      </c>
      <c r="N108" s="14" t="str">
        <f t="shared" si="16"/>
        <v/>
      </c>
      <c r="O108" s="14" t="str">
        <f>IF('Raw Data'!A95&lt;&gt;"",AVERAGE('Raw Data'!AJ95,'Raw Data'!AL95,'Raw Data'!AN95,'Raw Data'!AP95,'Raw Data'!AR95),"")</f>
        <v/>
      </c>
      <c r="P108" s="14" t="str">
        <f>IF('Raw Data'!A95&lt;&gt;"",AVERAGE('Raw Data'!AK95,'Raw Data'!AM95,'Raw Data'!AO95,'Raw Data'!AQ95,'Raw Data'!AS95),"")</f>
        <v/>
      </c>
      <c r="Q108" s="14" t="str">
        <f t="shared" si="17"/>
        <v/>
      </c>
      <c r="R108" s="14" t="str">
        <f>IF('Raw Data'!A95&lt;&gt;"",AVERAGE('Raw Data'!AT95,'Raw Data'!AV95,'Raw Data'!AX95,'Raw Data'!AZ95,'Raw Data'!BB95),"")</f>
        <v/>
      </c>
      <c r="S108" s="14" t="str">
        <f>IF('Raw Data'!A95&lt;&gt;"",AVERAGE('Raw Data'!AU95,'Raw Data'!AW95,'Raw Data'!AY95,'Raw Data'!BA95,'Raw Data'!BC95),"")</f>
        <v/>
      </c>
      <c r="T108" s="14" t="str">
        <f t="shared" si="18"/>
        <v/>
      </c>
      <c r="U108" s="14" t="str">
        <f>IF('Raw Data'!A95&lt;&gt;"",AVERAGE('Raw Data'!BD95,'Raw Data'!BF95,'Raw Data'!BH95,'Raw Data'!BJ95,'Raw Data'!BL95),"")</f>
        <v/>
      </c>
      <c r="V108" s="14" t="str">
        <f>IF('Raw Data'!A95&lt;&gt;"",AVERAGE('Raw Data'!BE95,'Raw Data'!BG95,'Raw Data'!BI95,'Raw Data'!BK95,'Raw Data'!BM95),"")</f>
        <v/>
      </c>
      <c r="W108" s="14" t="str">
        <f t="shared" si="19"/>
        <v/>
      </c>
      <c r="X108" s="14" t="str">
        <f t="shared" si="20"/>
        <v/>
      </c>
      <c r="Y108" s="14" t="str">
        <f t="shared" si="21"/>
        <v/>
      </c>
      <c r="Z108" s="14" t="str">
        <f t="shared" si="22"/>
        <v/>
      </c>
      <c r="AA108" s="14" t="str">
        <f t="shared" si="23"/>
        <v/>
      </c>
      <c r="AB108" s="25" t="str">
        <f t="shared" si="24"/>
        <v/>
      </c>
    </row>
    <row r="109" spans="1:28" x14ac:dyDescent="0.25">
      <c r="A109" s="2" t="str">
        <f>IF('Raw Data'!A96&lt;&gt;"",'Raw Data'!A96,"")</f>
        <v/>
      </c>
      <c r="B109" s="2" t="str">
        <f>IF('Raw Data'!B96&lt;&gt;"",'Raw Data'!B96,"")</f>
        <v/>
      </c>
      <c r="C109" s="2" t="str">
        <f>IF('Raw Data'!C96&lt;&gt;"",'Raw Data'!C96,"")</f>
        <v/>
      </c>
      <c r="D109" s="2" t="str">
        <f>IF('Raw Data'!D96&lt;&gt;"",'Raw Data'!D96,"")</f>
        <v/>
      </c>
      <c r="E109" s="2" t="str">
        <f>IF('Raw Data'!E96&lt;&gt;"",'Raw Data'!E96,"")</f>
        <v/>
      </c>
      <c r="F109" s="11" t="str">
        <f>IF('Raw Data'!A96&lt;&gt;"",AVERAGE('Raw Data'!F96,'Raw Data'!H96,'Raw Data'!J96,'Raw Data'!L96,'Raw Data'!N96),"")</f>
        <v/>
      </c>
      <c r="G109" s="11" t="str">
        <f>IF('Raw Data'!A96&lt;&gt;"",AVERAGE('Raw Data'!G96,'Raw Data'!I96,'Raw Data'!K96,'Raw Data'!M96,'Raw Data'!O96),"")</f>
        <v/>
      </c>
      <c r="H109" s="11" t="str">
        <f t="shared" si="14"/>
        <v/>
      </c>
      <c r="I109" s="11" t="str">
        <f>IF('Raw Data'!A96&lt;&gt;"",AVERAGE('Raw Data'!P96,'Raw Data'!R96,'Raw Data'!T96,'Raw Data'!V96,'Raw Data'!X96),"")</f>
        <v/>
      </c>
      <c r="J109" s="11" t="str">
        <f>IF('Raw Data'!A96&lt;&gt;"",AVERAGE('Raw Data'!Q96,'Raw Data'!S96,'Raw Data'!U96,'Raw Data'!W96,'Raw Data'!Y96),"")</f>
        <v/>
      </c>
      <c r="K109" s="11" t="str">
        <f t="shared" si="15"/>
        <v/>
      </c>
      <c r="L109" s="11" t="str">
        <f>IF('Raw Data'!A96&lt;&gt;"",AVERAGE('Raw Data'!Z96,'Raw Data'!AB96,'Raw Data'!AD96,'Raw Data'!AF96,'Raw Data'!AH96),"")</f>
        <v/>
      </c>
      <c r="M109" s="11" t="str">
        <f>IF('Raw Data'!A96&lt;&gt;"",AVERAGE('Raw Data'!AA96,'Raw Data'!AC96,'Raw Data'!AE96,'Raw Data'!AG96,'Raw Data'!AI96),"")</f>
        <v/>
      </c>
      <c r="N109" s="11" t="str">
        <f t="shared" si="16"/>
        <v/>
      </c>
      <c r="O109" s="11" t="str">
        <f>IF('Raw Data'!A96&lt;&gt;"",AVERAGE('Raw Data'!AJ96,'Raw Data'!AL96,'Raw Data'!AN96,'Raw Data'!AP96,'Raw Data'!AR96),"")</f>
        <v/>
      </c>
      <c r="P109" s="11" t="str">
        <f>IF('Raw Data'!A96&lt;&gt;"",AVERAGE('Raw Data'!AK96,'Raw Data'!AM96,'Raw Data'!AO96,'Raw Data'!AQ96,'Raw Data'!AS96),"")</f>
        <v/>
      </c>
      <c r="Q109" s="11" t="str">
        <f t="shared" si="17"/>
        <v/>
      </c>
      <c r="R109" s="11" t="str">
        <f>IF('Raw Data'!A96&lt;&gt;"",AVERAGE('Raw Data'!AT96,'Raw Data'!AV96,'Raw Data'!AX96,'Raw Data'!AZ96,'Raw Data'!BB96),"")</f>
        <v/>
      </c>
      <c r="S109" s="11" t="str">
        <f>IF('Raw Data'!A96&lt;&gt;"",AVERAGE('Raw Data'!AU96,'Raw Data'!AW96,'Raw Data'!AY96,'Raw Data'!BA96,'Raw Data'!BC96),"")</f>
        <v/>
      </c>
      <c r="T109" s="11" t="str">
        <f t="shared" si="18"/>
        <v/>
      </c>
      <c r="U109" s="11" t="str">
        <f>IF('Raw Data'!A96&lt;&gt;"",AVERAGE('Raw Data'!BD96,'Raw Data'!BF96,'Raw Data'!BH96,'Raw Data'!BJ96,'Raw Data'!BL96),"")</f>
        <v/>
      </c>
      <c r="V109" s="11" t="str">
        <f>IF('Raw Data'!A96&lt;&gt;"",AVERAGE('Raw Data'!BE96,'Raw Data'!BG96,'Raw Data'!BI96,'Raw Data'!BK96,'Raw Data'!BM96),"")</f>
        <v/>
      </c>
      <c r="W109" s="11" t="str">
        <f t="shared" si="19"/>
        <v/>
      </c>
      <c r="X109" s="11" t="str">
        <f t="shared" si="20"/>
        <v/>
      </c>
      <c r="Y109" s="11" t="str">
        <f t="shared" si="21"/>
        <v/>
      </c>
      <c r="Z109" s="11" t="str">
        <f t="shared" si="22"/>
        <v/>
      </c>
      <c r="AA109" s="11" t="str">
        <f t="shared" si="23"/>
        <v/>
      </c>
      <c r="AB109" s="24" t="str">
        <f t="shared" si="24"/>
        <v/>
      </c>
    </row>
    <row r="110" spans="1:28" x14ac:dyDescent="0.25">
      <c r="A110" s="10" t="str">
        <f>IF('Raw Data'!A97&lt;&gt;"",'Raw Data'!A97,"")</f>
        <v/>
      </c>
      <c r="B110" s="10" t="str">
        <f>IF('Raw Data'!B97&lt;&gt;"",'Raw Data'!B97,"")</f>
        <v/>
      </c>
      <c r="C110" s="10" t="str">
        <f>IF('Raw Data'!C97&lt;&gt;"",'Raw Data'!C97,"")</f>
        <v/>
      </c>
      <c r="D110" s="10" t="str">
        <f>IF('Raw Data'!D97&lt;&gt;"",'Raw Data'!D97,"")</f>
        <v/>
      </c>
      <c r="E110" s="10" t="str">
        <f>IF('Raw Data'!E97&lt;&gt;"",'Raw Data'!E97,"")</f>
        <v/>
      </c>
      <c r="F110" s="14" t="str">
        <f>IF('Raw Data'!A97&lt;&gt;"",AVERAGE('Raw Data'!F97,'Raw Data'!H97,'Raw Data'!J97,'Raw Data'!L97,'Raw Data'!N97),"")</f>
        <v/>
      </c>
      <c r="G110" s="14" t="str">
        <f>IF('Raw Data'!A97&lt;&gt;"",AVERAGE('Raw Data'!G97,'Raw Data'!I97,'Raw Data'!K97,'Raw Data'!M97,'Raw Data'!O97),"")</f>
        <v/>
      </c>
      <c r="H110" s="14" t="str">
        <f t="shared" si="14"/>
        <v/>
      </c>
      <c r="I110" s="14" t="str">
        <f>IF('Raw Data'!A97&lt;&gt;"",AVERAGE('Raw Data'!P97,'Raw Data'!R97,'Raw Data'!T97,'Raw Data'!V97,'Raw Data'!X97),"")</f>
        <v/>
      </c>
      <c r="J110" s="14" t="str">
        <f>IF('Raw Data'!A97&lt;&gt;"",AVERAGE('Raw Data'!Q97,'Raw Data'!S97,'Raw Data'!U97,'Raw Data'!W97,'Raw Data'!Y97),"")</f>
        <v/>
      </c>
      <c r="K110" s="14" t="str">
        <f t="shared" si="15"/>
        <v/>
      </c>
      <c r="L110" s="14" t="str">
        <f>IF('Raw Data'!A97&lt;&gt;"",AVERAGE('Raw Data'!Z97,'Raw Data'!AB97,'Raw Data'!AD97,'Raw Data'!AF97,'Raw Data'!AH97),"")</f>
        <v/>
      </c>
      <c r="M110" s="14" t="str">
        <f>IF('Raw Data'!A97&lt;&gt;"",AVERAGE('Raw Data'!AA97,'Raw Data'!AC97,'Raw Data'!AE97,'Raw Data'!AG97,'Raw Data'!AI97),"")</f>
        <v/>
      </c>
      <c r="N110" s="14" t="str">
        <f t="shared" si="16"/>
        <v/>
      </c>
      <c r="O110" s="14" t="str">
        <f>IF('Raw Data'!A97&lt;&gt;"",AVERAGE('Raw Data'!AJ97,'Raw Data'!AL97,'Raw Data'!AN97,'Raw Data'!AP97,'Raw Data'!AR97),"")</f>
        <v/>
      </c>
      <c r="P110" s="14" t="str">
        <f>IF('Raw Data'!A97&lt;&gt;"",AVERAGE('Raw Data'!AK97,'Raw Data'!AM97,'Raw Data'!AO97,'Raw Data'!AQ97,'Raw Data'!AS97),"")</f>
        <v/>
      </c>
      <c r="Q110" s="14" t="str">
        <f t="shared" si="17"/>
        <v/>
      </c>
      <c r="R110" s="14" t="str">
        <f>IF('Raw Data'!A97&lt;&gt;"",AVERAGE('Raw Data'!AT97,'Raw Data'!AV97,'Raw Data'!AX97,'Raw Data'!AZ97,'Raw Data'!BB97),"")</f>
        <v/>
      </c>
      <c r="S110" s="14" t="str">
        <f>IF('Raw Data'!A97&lt;&gt;"",AVERAGE('Raw Data'!AU97,'Raw Data'!AW97,'Raw Data'!AY97,'Raw Data'!BA97,'Raw Data'!BC97),"")</f>
        <v/>
      </c>
      <c r="T110" s="14" t="str">
        <f t="shared" si="18"/>
        <v/>
      </c>
      <c r="U110" s="14" t="str">
        <f>IF('Raw Data'!A97&lt;&gt;"",AVERAGE('Raw Data'!BD97,'Raw Data'!BF97,'Raw Data'!BH97,'Raw Data'!BJ97,'Raw Data'!BL97),"")</f>
        <v/>
      </c>
      <c r="V110" s="14" t="str">
        <f>IF('Raw Data'!A97&lt;&gt;"",AVERAGE('Raw Data'!BE97,'Raw Data'!BG97,'Raw Data'!BI97,'Raw Data'!BK97,'Raw Data'!BM97),"")</f>
        <v/>
      </c>
      <c r="W110" s="14" t="str">
        <f t="shared" si="19"/>
        <v/>
      </c>
      <c r="X110" s="14" t="str">
        <f t="shared" si="20"/>
        <v/>
      </c>
      <c r="Y110" s="14" t="str">
        <f t="shared" si="21"/>
        <v/>
      </c>
      <c r="Z110" s="14" t="str">
        <f t="shared" si="22"/>
        <v/>
      </c>
      <c r="AA110" s="14" t="str">
        <f t="shared" si="23"/>
        <v/>
      </c>
      <c r="AB110" s="25" t="str">
        <f t="shared" si="24"/>
        <v/>
      </c>
    </row>
    <row r="111" spans="1:28" x14ac:dyDescent="0.25">
      <c r="A111" s="2" t="str">
        <f>IF('Raw Data'!A98&lt;&gt;"",'Raw Data'!A98,"")</f>
        <v/>
      </c>
      <c r="B111" s="2" t="str">
        <f>IF('Raw Data'!B98&lt;&gt;"",'Raw Data'!B98,"")</f>
        <v/>
      </c>
      <c r="C111" s="2" t="str">
        <f>IF('Raw Data'!C98&lt;&gt;"",'Raw Data'!C98,"")</f>
        <v/>
      </c>
      <c r="D111" s="2" t="str">
        <f>IF('Raw Data'!D98&lt;&gt;"",'Raw Data'!D98,"")</f>
        <v/>
      </c>
      <c r="E111" s="2" t="str">
        <f>IF('Raw Data'!E98&lt;&gt;"",'Raw Data'!E98,"")</f>
        <v/>
      </c>
      <c r="F111" s="11" t="str">
        <f>IF('Raw Data'!A98&lt;&gt;"",AVERAGE('Raw Data'!F98,'Raw Data'!H98,'Raw Data'!J98,'Raw Data'!L98,'Raw Data'!N98),"")</f>
        <v/>
      </c>
      <c r="G111" s="11" t="str">
        <f>IF('Raw Data'!A98&lt;&gt;"",AVERAGE('Raw Data'!G98,'Raw Data'!I98,'Raw Data'!K98,'Raw Data'!M98,'Raw Data'!O98),"")</f>
        <v/>
      </c>
      <c r="H111" s="11" t="str">
        <f t="shared" si="14"/>
        <v/>
      </c>
      <c r="I111" s="11" t="str">
        <f>IF('Raw Data'!A98&lt;&gt;"",AVERAGE('Raw Data'!P98,'Raw Data'!R98,'Raw Data'!T98,'Raw Data'!V98,'Raw Data'!X98),"")</f>
        <v/>
      </c>
      <c r="J111" s="11" t="str">
        <f>IF('Raw Data'!A98&lt;&gt;"",AVERAGE('Raw Data'!Q98,'Raw Data'!S98,'Raw Data'!U98,'Raw Data'!W98,'Raw Data'!Y98),"")</f>
        <v/>
      </c>
      <c r="K111" s="11" t="str">
        <f t="shared" si="15"/>
        <v/>
      </c>
      <c r="L111" s="11" t="str">
        <f>IF('Raw Data'!A98&lt;&gt;"",AVERAGE('Raw Data'!Z98,'Raw Data'!AB98,'Raw Data'!AD98,'Raw Data'!AF98,'Raw Data'!AH98),"")</f>
        <v/>
      </c>
      <c r="M111" s="11" t="str">
        <f>IF('Raw Data'!A98&lt;&gt;"",AVERAGE('Raw Data'!AA98,'Raw Data'!AC98,'Raw Data'!AE98,'Raw Data'!AG98,'Raw Data'!AI98),"")</f>
        <v/>
      </c>
      <c r="N111" s="11" t="str">
        <f t="shared" si="16"/>
        <v/>
      </c>
      <c r="O111" s="11" t="str">
        <f>IF('Raw Data'!A98&lt;&gt;"",AVERAGE('Raw Data'!AJ98,'Raw Data'!AL98,'Raw Data'!AN98,'Raw Data'!AP98,'Raw Data'!AR98),"")</f>
        <v/>
      </c>
      <c r="P111" s="11" t="str">
        <f>IF('Raw Data'!A98&lt;&gt;"",AVERAGE('Raw Data'!AK98,'Raw Data'!AM98,'Raw Data'!AO98,'Raw Data'!AQ98,'Raw Data'!AS98),"")</f>
        <v/>
      </c>
      <c r="Q111" s="11" t="str">
        <f t="shared" si="17"/>
        <v/>
      </c>
      <c r="R111" s="11" t="str">
        <f>IF('Raw Data'!A98&lt;&gt;"",AVERAGE('Raw Data'!AT98,'Raw Data'!AV98,'Raw Data'!AX98,'Raw Data'!AZ98,'Raw Data'!BB98),"")</f>
        <v/>
      </c>
      <c r="S111" s="11" t="str">
        <f>IF('Raw Data'!A98&lt;&gt;"",AVERAGE('Raw Data'!AU98,'Raw Data'!AW98,'Raw Data'!AY98,'Raw Data'!BA98,'Raw Data'!BC98),"")</f>
        <v/>
      </c>
      <c r="T111" s="11" t="str">
        <f t="shared" si="18"/>
        <v/>
      </c>
      <c r="U111" s="11" t="str">
        <f>IF('Raw Data'!A98&lt;&gt;"",AVERAGE('Raw Data'!BD98,'Raw Data'!BF98,'Raw Data'!BH98,'Raw Data'!BJ98,'Raw Data'!BL98),"")</f>
        <v/>
      </c>
      <c r="V111" s="11" t="str">
        <f>IF('Raw Data'!A98&lt;&gt;"",AVERAGE('Raw Data'!BE98,'Raw Data'!BG98,'Raw Data'!BI98,'Raw Data'!BK98,'Raw Data'!BM98),"")</f>
        <v/>
      </c>
      <c r="W111" s="11" t="str">
        <f t="shared" si="19"/>
        <v/>
      </c>
      <c r="X111" s="11" t="str">
        <f t="shared" si="20"/>
        <v/>
      </c>
      <c r="Y111" s="11" t="str">
        <f t="shared" si="21"/>
        <v/>
      </c>
      <c r="Z111" s="11" t="str">
        <f t="shared" si="22"/>
        <v/>
      </c>
      <c r="AA111" s="11" t="str">
        <f t="shared" si="23"/>
        <v/>
      </c>
      <c r="AB111" s="24" t="str">
        <f t="shared" si="24"/>
        <v/>
      </c>
    </row>
    <row r="112" spans="1:28" x14ac:dyDescent="0.25">
      <c r="A112" s="10" t="str">
        <f>IF('Raw Data'!A99&lt;&gt;"",'Raw Data'!A99,"")</f>
        <v/>
      </c>
      <c r="B112" s="10" t="str">
        <f>IF('Raw Data'!B99&lt;&gt;"",'Raw Data'!B99,"")</f>
        <v/>
      </c>
      <c r="C112" s="10" t="str">
        <f>IF('Raw Data'!C99&lt;&gt;"",'Raw Data'!C99,"")</f>
        <v/>
      </c>
      <c r="D112" s="10" t="str">
        <f>IF('Raw Data'!D99&lt;&gt;"",'Raw Data'!D99,"")</f>
        <v/>
      </c>
      <c r="E112" s="10" t="str">
        <f>IF('Raw Data'!E99&lt;&gt;"",'Raw Data'!E99,"")</f>
        <v/>
      </c>
      <c r="F112" s="14" t="str">
        <f>IF('Raw Data'!A99&lt;&gt;"",AVERAGE('Raw Data'!F99,'Raw Data'!H99,'Raw Data'!J99,'Raw Data'!L99,'Raw Data'!N99),"")</f>
        <v/>
      </c>
      <c r="G112" s="14" t="str">
        <f>IF('Raw Data'!A99&lt;&gt;"",AVERAGE('Raw Data'!G99,'Raw Data'!I99,'Raw Data'!K99,'Raw Data'!M99,'Raw Data'!O99),"")</f>
        <v/>
      </c>
      <c r="H112" s="14" t="str">
        <f t="shared" si="14"/>
        <v/>
      </c>
      <c r="I112" s="14" t="str">
        <f>IF('Raw Data'!A99&lt;&gt;"",AVERAGE('Raw Data'!P99,'Raw Data'!R99,'Raw Data'!T99,'Raw Data'!V99,'Raw Data'!X99),"")</f>
        <v/>
      </c>
      <c r="J112" s="14" t="str">
        <f>IF('Raw Data'!A99&lt;&gt;"",AVERAGE('Raw Data'!Q99,'Raw Data'!S99,'Raw Data'!U99,'Raw Data'!W99,'Raw Data'!Y99),"")</f>
        <v/>
      </c>
      <c r="K112" s="14" t="str">
        <f t="shared" si="15"/>
        <v/>
      </c>
      <c r="L112" s="14" t="str">
        <f>IF('Raw Data'!A99&lt;&gt;"",AVERAGE('Raw Data'!Z99,'Raw Data'!AB99,'Raw Data'!AD99,'Raw Data'!AF99,'Raw Data'!AH99),"")</f>
        <v/>
      </c>
      <c r="M112" s="14" t="str">
        <f>IF('Raw Data'!A99&lt;&gt;"",AVERAGE('Raw Data'!AA99,'Raw Data'!AC99,'Raw Data'!AE99,'Raw Data'!AG99,'Raw Data'!AI99),"")</f>
        <v/>
      </c>
      <c r="N112" s="14" t="str">
        <f t="shared" si="16"/>
        <v/>
      </c>
      <c r="O112" s="14" t="str">
        <f>IF('Raw Data'!A99&lt;&gt;"",AVERAGE('Raw Data'!AJ99,'Raw Data'!AL99,'Raw Data'!AN99,'Raw Data'!AP99,'Raw Data'!AR99),"")</f>
        <v/>
      </c>
      <c r="P112" s="14" t="str">
        <f>IF('Raw Data'!A99&lt;&gt;"",AVERAGE('Raw Data'!AK99,'Raw Data'!AM99,'Raw Data'!AO99,'Raw Data'!AQ99,'Raw Data'!AS99),"")</f>
        <v/>
      </c>
      <c r="Q112" s="14" t="str">
        <f t="shared" si="17"/>
        <v/>
      </c>
      <c r="R112" s="14" t="str">
        <f>IF('Raw Data'!A99&lt;&gt;"",AVERAGE('Raw Data'!AT99,'Raw Data'!AV99,'Raw Data'!AX99,'Raw Data'!AZ99,'Raw Data'!BB99),"")</f>
        <v/>
      </c>
      <c r="S112" s="14" t="str">
        <f>IF('Raw Data'!A99&lt;&gt;"",AVERAGE('Raw Data'!AU99,'Raw Data'!AW99,'Raw Data'!AY99,'Raw Data'!BA99,'Raw Data'!BC99),"")</f>
        <v/>
      </c>
      <c r="T112" s="14" t="str">
        <f t="shared" si="18"/>
        <v/>
      </c>
      <c r="U112" s="14" t="str">
        <f>IF('Raw Data'!A99&lt;&gt;"",AVERAGE('Raw Data'!BD99,'Raw Data'!BF99,'Raw Data'!BH99,'Raw Data'!BJ99,'Raw Data'!BL99),"")</f>
        <v/>
      </c>
      <c r="V112" s="14" t="str">
        <f>IF('Raw Data'!A99&lt;&gt;"",AVERAGE('Raw Data'!BE99,'Raw Data'!BG99,'Raw Data'!BI99,'Raw Data'!BK99,'Raw Data'!BM99),"")</f>
        <v/>
      </c>
      <c r="W112" s="14" t="str">
        <f t="shared" si="19"/>
        <v/>
      </c>
      <c r="X112" s="14" t="str">
        <f t="shared" si="20"/>
        <v/>
      </c>
      <c r="Y112" s="14" t="str">
        <f t="shared" si="21"/>
        <v/>
      </c>
      <c r="Z112" s="14" t="str">
        <f t="shared" si="22"/>
        <v/>
      </c>
      <c r="AA112" s="14" t="str">
        <f t="shared" si="23"/>
        <v/>
      </c>
      <c r="AB112" s="25" t="str">
        <f t="shared" si="24"/>
        <v/>
      </c>
    </row>
    <row r="113" spans="1:28" x14ac:dyDescent="0.25">
      <c r="A113" s="2" t="str">
        <f>IF('Raw Data'!A100&lt;&gt;"",'Raw Data'!A100,"")</f>
        <v/>
      </c>
      <c r="B113" s="2" t="str">
        <f>IF('Raw Data'!B100&lt;&gt;"",'Raw Data'!B100,"")</f>
        <v/>
      </c>
      <c r="C113" s="2" t="str">
        <f>IF('Raw Data'!C100&lt;&gt;"",'Raw Data'!C100,"")</f>
        <v/>
      </c>
      <c r="D113" s="2" t="str">
        <f>IF('Raw Data'!D100&lt;&gt;"",'Raw Data'!D100,"")</f>
        <v/>
      </c>
      <c r="E113" s="2" t="str">
        <f>IF('Raw Data'!E100&lt;&gt;"",'Raw Data'!E100,"")</f>
        <v/>
      </c>
      <c r="F113" s="11" t="str">
        <f>IF('Raw Data'!A100&lt;&gt;"",AVERAGE('Raw Data'!F100,'Raw Data'!H100,'Raw Data'!J100,'Raw Data'!L100,'Raw Data'!N100),"")</f>
        <v/>
      </c>
      <c r="G113" s="11" t="str">
        <f>IF('Raw Data'!A100&lt;&gt;"",AVERAGE('Raw Data'!G100,'Raw Data'!I100,'Raw Data'!K100,'Raw Data'!M100,'Raw Data'!O100),"")</f>
        <v/>
      </c>
      <c r="H113" s="11" t="str">
        <f t="shared" si="14"/>
        <v/>
      </c>
      <c r="I113" s="11" t="str">
        <f>IF('Raw Data'!A100&lt;&gt;"",AVERAGE('Raw Data'!P100,'Raw Data'!R100,'Raw Data'!T100,'Raw Data'!V100,'Raw Data'!X100),"")</f>
        <v/>
      </c>
      <c r="J113" s="11" t="str">
        <f>IF('Raw Data'!A100&lt;&gt;"",AVERAGE('Raw Data'!Q100,'Raw Data'!S100,'Raw Data'!U100,'Raw Data'!W100,'Raw Data'!Y100),"")</f>
        <v/>
      </c>
      <c r="K113" s="11" t="str">
        <f t="shared" si="15"/>
        <v/>
      </c>
      <c r="L113" s="11" t="str">
        <f>IF('Raw Data'!A100&lt;&gt;"",AVERAGE('Raw Data'!Z100,'Raw Data'!AB100,'Raw Data'!AD100,'Raw Data'!AF100,'Raw Data'!AH100),"")</f>
        <v/>
      </c>
      <c r="M113" s="11" t="str">
        <f>IF('Raw Data'!A100&lt;&gt;"",AVERAGE('Raw Data'!AA100,'Raw Data'!AC100,'Raw Data'!AE100,'Raw Data'!AG100,'Raw Data'!AI100),"")</f>
        <v/>
      </c>
      <c r="N113" s="11" t="str">
        <f t="shared" si="16"/>
        <v/>
      </c>
      <c r="O113" s="11" t="str">
        <f>IF('Raw Data'!A100&lt;&gt;"",AVERAGE('Raw Data'!AJ100,'Raw Data'!AL100,'Raw Data'!AN100,'Raw Data'!AP100,'Raw Data'!AR100),"")</f>
        <v/>
      </c>
      <c r="P113" s="11" t="str">
        <f>IF('Raw Data'!A100&lt;&gt;"",AVERAGE('Raw Data'!AK100,'Raw Data'!AM100,'Raw Data'!AO100,'Raw Data'!AQ100,'Raw Data'!AS100),"")</f>
        <v/>
      </c>
      <c r="Q113" s="11" t="str">
        <f t="shared" si="17"/>
        <v/>
      </c>
      <c r="R113" s="11" t="str">
        <f>IF('Raw Data'!A100&lt;&gt;"",AVERAGE('Raw Data'!AT100,'Raw Data'!AV100,'Raw Data'!AX100,'Raw Data'!AZ100,'Raw Data'!BB100),"")</f>
        <v/>
      </c>
      <c r="S113" s="11" t="str">
        <f>IF('Raw Data'!A100&lt;&gt;"",AVERAGE('Raw Data'!AU100,'Raw Data'!AW100,'Raw Data'!AY100,'Raw Data'!BA100,'Raw Data'!BC100),"")</f>
        <v/>
      </c>
      <c r="T113" s="11" t="str">
        <f t="shared" si="18"/>
        <v/>
      </c>
      <c r="U113" s="11" t="str">
        <f>IF('Raw Data'!A100&lt;&gt;"",AVERAGE('Raw Data'!BD100,'Raw Data'!BF100,'Raw Data'!BH100,'Raw Data'!BJ100,'Raw Data'!BL100),"")</f>
        <v/>
      </c>
      <c r="V113" s="11" t="str">
        <f>IF('Raw Data'!A100&lt;&gt;"",AVERAGE('Raw Data'!BE100,'Raw Data'!BG100,'Raw Data'!BI100,'Raw Data'!BK100,'Raw Data'!BM100),"")</f>
        <v/>
      </c>
      <c r="W113" s="11" t="str">
        <f t="shared" si="19"/>
        <v/>
      </c>
      <c r="X113" s="11" t="str">
        <f t="shared" si="20"/>
        <v/>
      </c>
      <c r="Y113" s="11" t="str">
        <f t="shared" si="21"/>
        <v/>
      </c>
      <c r="Z113" s="11" t="str">
        <f t="shared" si="22"/>
        <v/>
      </c>
      <c r="AA113" s="11" t="str">
        <f t="shared" si="23"/>
        <v/>
      </c>
      <c r="AB113" s="24" t="str">
        <f t="shared" si="24"/>
        <v/>
      </c>
    </row>
    <row r="114" spans="1:28" x14ac:dyDescent="0.25">
      <c r="A114" s="10" t="str">
        <f>IF('Raw Data'!A101&lt;&gt;"",'Raw Data'!A101,"")</f>
        <v/>
      </c>
      <c r="B114" s="10" t="str">
        <f>IF('Raw Data'!B101&lt;&gt;"",'Raw Data'!B101,"")</f>
        <v/>
      </c>
      <c r="C114" s="10" t="str">
        <f>IF('Raw Data'!C101&lt;&gt;"",'Raw Data'!C101,"")</f>
        <v/>
      </c>
      <c r="D114" s="10" t="str">
        <f>IF('Raw Data'!D101&lt;&gt;"",'Raw Data'!D101,"")</f>
        <v/>
      </c>
      <c r="E114" s="10" t="str">
        <f>IF('Raw Data'!E101&lt;&gt;"",'Raw Data'!E101,"")</f>
        <v/>
      </c>
      <c r="F114" s="14" t="str">
        <f>IF('Raw Data'!A101&lt;&gt;"",AVERAGE('Raw Data'!F101,'Raw Data'!H101,'Raw Data'!J101,'Raw Data'!L101,'Raw Data'!N101),"")</f>
        <v/>
      </c>
      <c r="G114" s="14" t="str">
        <f>IF('Raw Data'!A101&lt;&gt;"",AVERAGE('Raw Data'!G101,'Raw Data'!I101,'Raw Data'!K101,'Raw Data'!M101,'Raw Data'!O101),"")</f>
        <v/>
      </c>
      <c r="H114" s="14" t="str">
        <f t="shared" si="14"/>
        <v/>
      </c>
      <c r="I114" s="14" t="str">
        <f>IF('Raw Data'!A101&lt;&gt;"",AVERAGE('Raw Data'!P101,'Raw Data'!R101,'Raw Data'!T101,'Raw Data'!V101,'Raw Data'!X101),"")</f>
        <v/>
      </c>
      <c r="J114" s="14" t="str">
        <f>IF('Raw Data'!A101&lt;&gt;"",AVERAGE('Raw Data'!Q101,'Raw Data'!S101,'Raw Data'!U101,'Raw Data'!W101,'Raw Data'!Y101),"")</f>
        <v/>
      </c>
      <c r="K114" s="14" t="str">
        <f t="shared" si="15"/>
        <v/>
      </c>
      <c r="L114" s="14" t="str">
        <f>IF('Raw Data'!A101&lt;&gt;"",AVERAGE('Raw Data'!Z101,'Raw Data'!AB101,'Raw Data'!AD101,'Raw Data'!AF101,'Raw Data'!AH101),"")</f>
        <v/>
      </c>
      <c r="M114" s="14" t="str">
        <f>IF('Raw Data'!A101&lt;&gt;"",AVERAGE('Raw Data'!AA101,'Raw Data'!AC101,'Raw Data'!AE101,'Raw Data'!AG101,'Raw Data'!AI101),"")</f>
        <v/>
      </c>
      <c r="N114" s="14" t="str">
        <f t="shared" si="16"/>
        <v/>
      </c>
      <c r="O114" s="14" t="str">
        <f>IF('Raw Data'!A101&lt;&gt;"",AVERAGE('Raw Data'!AJ101,'Raw Data'!AL101,'Raw Data'!AN101,'Raw Data'!AP101,'Raw Data'!AR101),"")</f>
        <v/>
      </c>
      <c r="P114" s="14" t="str">
        <f>IF('Raw Data'!A101&lt;&gt;"",AVERAGE('Raw Data'!AK101,'Raw Data'!AM101,'Raw Data'!AO101,'Raw Data'!AQ101,'Raw Data'!AS101),"")</f>
        <v/>
      </c>
      <c r="Q114" s="14" t="str">
        <f t="shared" si="17"/>
        <v/>
      </c>
      <c r="R114" s="14" t="str">
        <f>IF('Raw Data'!A101&lt;&gt;"",AVERAGE('Raw Data'!AT101,'Raw Data'!AV101,'Raw Data'!AX101,'Raw Data'!AZ101,'Raw Data'!BB101),"")</f>
        <v/>
      </c>
      <c r="S114" s="14" t="str">
        <f>IF('Raw Data'!A101&lt;&gt;"",AVERAGE('Raw Data'!AU101,'Raw Data'!AW101,'Raw Data'!AY101,'Raw Data'!BA101,'Raw Data'!BC101),"")</f>
        <v/>
      </c>
      <c r="T114" s="14" t="str">
        <f t="shared" si="18"/>
        <v/>
      </c>
      <c r="U114" s="14" t="str">
        <f>IF('Raw Data'!A101&lt;&gt;"",AVERAGE('Raw Data'!BD101,'Raw Data'!BF101,'Raw Data'!BH101,'Raw Data'!BJ101,'Raw Data'!BL101),"")</f>
        <v/>
      </c>
      <c r="V114" s="14" t="str">
        <f>IF('Raw Data'!A101&lt;&gt;"",AVERAGE('Raw Data'!BE101,'Raw Data'!BG101,'Raw Data'!BI101,'Raw Data'!BK101,'Raw Data'!BM101),"")</f>
        <v/>
      </c>
      <c r="W114" s="14" t="str">
        <f t="shared" si="19"/>
        <v/>
      </c>
      <c r="X114" s="14" t="str">
        <f t="shared" si="20"/>
        <v/>
      </c>
      <c r="Y114" s="14" t="str">
        <f t="shared" si="21"/>
        <v/>
      </c>
      <c r="Z114" s="14" t="str">
        <f t="shared" si="22"/>
        <v/>
      </c>
      <c r="AA114" s="14" t="str">
        <f t="shared" si="23"/>
        <v/>
      </c>
      <c r="AB114" s="25" t="str">
        <f t="shared" si="24"/>
        <v/>
      </c>
    </row>
    <row r="115" spans="1:28" x14ac:dyDescent="0.25">
      <c r="A115" s="2" t="str">
        <f>IF('Raw Data'!A102&lt;&gt;"",'Raw Data'!A102,"")</f>
        <v/>
      </c>
      <c r="B115" s="2" t="str">
        <f>IF('Raw Data'!B102&lt;&gt;"",'Raw Data'!B102,"")</f>
        <v/>
      </c>
      <c r="C115" s="2" t="str">
        <f>IF('Raw Data'!C102&lt;&gt;"",'Raw Data'!C102,"")</f>
        <v/>
      </c>
      <c r="D115" s="2" t="str">
        <f>IF('Raw Data'!D102&lt;&gt;"",'Raw Data'!D102,"")</f>
        <v/>
      </c>
      <c r="E115" s="2" t="str">
        <f>IF('Raw Data'!E102&lt;&gt;"",'Raw Data'!E102,"")</f>
        <v/>
      </c>
      <c r="F115" s="11" t="str">
        <f>IF('Raw Data'!A102&lt;&gt;"",AVERAGE('Raw Data'!F102,'Raw Data'!H102,'Raw Data'!J102,'Raw Data'!L102,'Raw Data'!N102),"")</f>
        <v/>
      </c>
      <c r="G115" s="11" t="str">
        <f>IF('Raw Data'!A102&lt;&gt;"",AVERAGE('Raw Data'!G102,'Raw Data'!I102,'Raw Data'!K102,'Raw Data'!M102,'Raw Data'!O102),"")</f>
        <v/>
      </c>
      <c r="H115" s="11" t="str">
        <f t="shared" si="14"/>
        <v/>
      </c>
      <c r="I115" s="11" t="str">
        <f>IF('Raw Data'!A102&lt;&gt;"",AVERAGE('Raw Data'!P102,'Raw Data'!R102,'Raw Data'!T102,'Raw Data'!V102,'Raw Data'!X102),"")</f>
        <v/>
      </c>
      <c r="J115" s="11" t="str">
        <f>IF('Raw Data'!A102&lt;&gt;"",AVERAGE('Raw Data'!Q102,'Raw Data'!S102,'Raw Data'!U102,'Raw Data'!W102,'Raw Data'!Y102),"")</f>
        <v/>
      </c>
      <c r="K115" s="11" t="str">
        <f t="shared" si="15"/>
        <v/>
      </c>
      <c r="L115" s="11" t="str">
        <f>IF('Raw Data'!A102&lt;&gt;"",AVERAGE('Raw Data'!Z102,'Raw Data'!AB102,'Raw Data'!AD102,'Raw Data'!AF102,'Raw Data'!AH102),"")</f>
        <v/>
      </c>
      <c r="M115" s="11" t="str">
        <f>IF('Raw Data'!A102&lt;&gt;"",AVERAGE('Raw Data'!AA102,'Raw Data'!AC102,'Raw Data'!AE102,'Raw Data'!AG102,'Raw Data'!AI102),"")</f>
        <v/>
      </c>
      <c r="N115" s="11" t="str">
        <f t="shared" si="16"/>
        <v/>
      </c>
      <c r="O115" s="11" t="str">
        <f>IF('Raw Data'!A102&lt;&gt;"",AVERAGE('Raw Data'!AJ102,'Raw Data'!AL102,'Raw Data'!AN102,'Raw Data'!AP102,'Raw Data'!AR102),"")</f>
        <v/>
      </c>
      <c r="P115" s="11" t="str">
        <f>IF('Raw Data'!A102&lt;&gt;"",AVERAGE('Raw Data'!AK102,'Raw Data'!AM102,'Raw Data'!AO102,'Raw Data'!AQ102,'Raw Data'!AS102),"")</f>
        <v/>
      </c>
      <c r="Q115" s="11" t="str">
        <f t="shared" si="17"/>
        <v/>
      </c>
      <c r="R115" s="11" t="str">
        <f>IF('Raw Data'!A102&lt;&gt;"",AVERAGE('Raw Data'!AT102,'Raw Data'!AV102,'Raw Data'!AX102,'Raw Data'!AZ102,'Raw Data'!BB102),"")</f>
        <v/>
      </c>
      <c r="S115" s="11" t="str">
        <f>IF('Raw Data'!A102&lt;&gt;"",AVERAGE('Raw Data'!AU102,'Raw Data'!AW102,'Raw Data'!AY102,'Raw Data'!BA102,'Raw Data'!BC102),"")</f>
        <v/>
      </c>
      <c r="T115" s="11" t="str">
        <f t="shared" si="18"/>
        <v/>
      </c>
      <c r="U115" s="11" t="str">
        <f>IF('Raw Data'!A102&lt;&gt;"",AVERAGE('Raw Data'!BD102,'Raw Data'!BF102,'Raw Data'!BH102,'Raw Data'!BJ102,'Raw Data'!BL102),"")</f>
        <v/>
      </c>
      <c r="V115" s="11" t="str">
        <f>IF('Raw Data'!A102&lt;&gt;"",AVERAGE('Raw Data'!BE102,'Raw Data'!BG102,'Raw Data'!BI102,'Raw Data'!BK102,'Raw Data'!BM102),"")</f>
        <v/>
      </c>
      <c r="W115" s="11" t="str">
        <f t="shared" si="19"/>
        <v/>
      </c>
      <c r="X115" s="11" t="str">
        <f t="shared" si="20"/>
        <v/>
      </c>
      <c r="Y115" s="11" t="str">
        <f t="shared" si="21"/>
        <v/>
      </c>
      <c r="Z115" s="11" t="str">
        <f t="shared" si="22"/>
        <v/>
      </c>
      <c r="AA115" s="11" t="str">
        <f t="shared" si="23"/>
        <v/>
      </c>
      <c r="AB115" s="24" t="str">
        <f t="shared" si="24"/>
        <v/>
      </c>
    </row>
    <row r="116" spans="1:28" x14ac:dyDescent="0.25">
      <c r="A116" s="10" t="str">
        <f>IF('Raw Data'!A103&lt;&gt;"",'Raw Data'!A103,"")</f>
        <v/>
      </c>
      <c r="B116" s="10" t="str">
        <f>IF('Raw Data'!B103&lt;&gt;"",'Raw Data'!B103,"")</f>
        <v/>
      </c>
      <c r="C116" s="10" t="str">
        <f>IF('Raw Data'!C103&lt;&gt;"",'Raw Data'!C103,"")</f>
        <v/>
      </c>
      <c r="D116" s="10" t="str">
        <f>IF('Raw Data'!D103&lt;&gt;"",'Raw Data'!D103,"")</f>
        <v/>
      </c>
      <c r="E116" s="10" t="str">
        <f>IF('Raw Data'!E103&lt;&gt;"",'Raw Data'!E103,"")</f>
        <v/>
      </c>
      <c r="F116" s="14" t="str">
        <f>IF('Raw Data'!A103&lt;&gt;"",AVERAGE('Raw Data'!F103,'Raw Data'!H103,'Raw Data'!J103,'Raw Data'!L103,'Raw Data'!N103),"")</f>
        <v/>
      </c>
      <c r="G116" s="14" t="str">
        <f>IF('Raw Data'!A103&lt;&gt;"",AVERAGE('Raw Data'!G103,'Raw Data'!I103,'Raw Data'!K103,'Raw Data'!M103,'Raw Data'!O103),"")</f>
        <v/>
      </c>
      <c r="H116" s="14" t="str">
        <f t="shared" si="14"/>
        <v/>
      </c>
      <c r="I116" s="14" t="str">
        <f>IF('Raw Data'!A103&lt;&gt;"",AVERAGE('Raw Data'!P103,'Raw Data'!R103,'Raw Data'!T103,'Raw Data'!V103,'Raw Data'!X103),"")</f>
        <v/>
      </c>
      <c r="J116" s="14" t="str">
        <f>IF('Raw Data'!A103&lt;&gt;"",AVERAGE('Raw Data'!Q103,'Raw Data'!S103,'Raw Data'!U103,'Raw Data'!W103,'Raw Data'!Y103),"")</f>
        <v/>
      </c>
      <c r="K116" s="14" t="str">
        <f t="shared" si="15"/>
        <v/>
      </c>
      <c r="L116" s="14" t="str">
        <f>IF('Raw Data'!A103&lt;&gt;"",AVERAGE('Raw Data'!Z103,'Raw Data'!AB103,'Raw Data'!AD103,'Raw Data'!AF103,'Raw Data'!AH103),"")</f>
        <v/>
      </c>
      <c r="M116" s="14" t="str">
        <f>IF('Raw Data'!A103&lt;&gt;"",AVERAGE('Raw Data'!AA103,'Raw Data'!AC103,'Raw Data'!AE103,'Raw Data'!AG103,'Raw Data'!AI103),"")</f>
        <v/>
      </c>
      <c r="N116" s="14" t="str">
        <f t="shared" si="16"/>
        <v/>
      </c>
      <c r="O116" s="14" t="str">
        <f>IF('Raw Data'!A103&lt;&gt;"",AVERAGE('Raw Data'!AJ103,'Raw Data'!AL103,'Raw Data'!AN103,'Raw Data'!AP103,'Raw Data'!AR103),"")</f>
        <v/>
      </c>
      <c r="P116" s="14" t="str">
        <f>IF('Raw Data'!A103&lt;&gt;"",AVERAGE('Raw Data'!AK103,'Raw Data'!AM103,'Raw Data'!AO103,'Raw Data'!AQ103,'Raw Data'!AS103),"")</f>
        <v/>
      </c>
      <c r="Q116" s="14" t="str">
        <f t="shared" si="17"/>
        <v/>
      </c>
      <c r="R116" s="14" t="str">
        <f>IF('Raw Data'!A103&lt;&gt;"",AVERAGE('Raw Data'!AT103,'Raw Data'!AV103,'Raw Data'!AX103,'Raw Data'!AZ103,'Raw Data'!BB103),"")</f>
        <v/>
      </c>
      <c r="S116" s="14" t="str">
        <f>IF('Raw Data'!A103&lt;&gt;"",AVERAGE('Raw Data'!AU103,'Raw Data'!AW103,'Raw Data'!AY103,'Raw Data'!BA103,'Raw Data'!BC103),"")</f>
        <v/>
      </c>
      <c r="T116" s="14" t="str">
        <f t="shared" si="18"/>
        <v/>
      </c>
      <c r="U116" s="14" t="str">
        <f>IF('Raw Data'!A103&lt;&gt;"",AVERAGE('Raw Data'!BD103,'Raw Data'!BF103,'Raw Data'!BH103,'Raw Data'!BJ103,'Raw Data'!BL103),"")</f>
        <v/>
      </c>
      <c r="V116" s="14" t="str">
        <f>IF('Raw Data'!A103&lt;&gt;"",AVERAGE('Raw Data'!BE103,'Raw Data'!BG103,'Raw Data'!BI103,'Raw Data'!BK103,'Raw Data'!BM103),"")</f>
        <v/>
      </c>
      <c r="W116" s="14" t="str">
        <f t="shared" si="19"/>
        <v/>
      </c>
      <c r="X116" s="14" t="str">
        <f t="shared" si="20"/>
        <v/>
      </c>
      <c r="Y116" s="14" t="str">
        <f t="shared" si="21"/>
        <v/>
      </c>
      <c r="Z116" s="14" t="str">
        <f t="shared" si="22"/>
        <v/>
      </c>
      <c r="AA116" s="14" t="str">
        <f t="shared" si="23"/>
        <v/>
      </c>
      <c r="AB116" s="25" t="str">
        <f t="shared" si="24"/>
        <v/>
      </c>
    </row>
    <row r="117" spans="1:28" x14ac:dyDescent="0.25">
      <c r="A117" s="2" t="str">
        <f>IF('Raw Data'!A104&lt;&gt;"",'Raw Data'!A104,"")</f>
        <v/>
      </c>
      <c r="B117" s="2" t="str">
        <f>IF('Raw Data'!B104&lt;&gt;"",'Raw Data'!B104,"")</f>
        <v/>
      </c>
      <c r="C117" s="2" t="str">
        <f>IF('Raw Data'!C104&lt;&gt;"",'Raw Data'!C104,"")</f>
        <v/>
      </c>
      <c r="D117" s="2" t="str">
        <f>IF('Raw Data'!D104&lt;&gt;"",'Raw Data'!D104,"")</f>
        <v/>
      </c>
      <c r="E117" s="2" t="str">
        <f>IF('Raw Data'!E104&lt;&gt;"",'Raw Data'!E104,"")</f>
        <v/>
      </c>
      <c r="F117" s="11" t="str">
        <f>IF('Raw Data'!A104&lt;&gt;"",AVERAGE('Raw Data'!F104,'Raw Data'!H104,'Raw Data'!J104,'Raw Data'!L104,'Raw Data'!N104),"")</f>
        <v/>
      </c>
      <c r="G117" s="11" t="str">
        <f>IF('Raw Data'!A104&lt;&gt;"",AVERAGE('Raw Data'!G104,'Raw Data'!I104,'Raw Data'!K104,'Raw Data'!M104,'Raw Data'!O104),"")</f>
        <v/>
      </c>
      <c r="H117" s="11" t="str">
        <f t="shared" si="14"/>
        <v/>
      </c>
      <c r="I117" s="11" t="str">
        <f>IF('Raw Data'!A104&lt;&gt;"",AVERAGE('Raw Data'!P104,'Raw Data'!R104,'Raw Data'!T104,'Raw Data'!V104,'Raw Data'!X104),"")</f>
        <v/>
      </c>
      <c r="J117" s="11" t="str">
        <f>IF('Raw Data'!A104&lt;&gt;"",AVERAGE('Raw Data'!Q104,'Raw Data'!S104,'Raw Data'!U104,'Raw Data'!W104,'Raw Data'!Y104),"")</f>
        <v/>
      </c>
      <c r="K117" s="11" t="str">
        <f t="shared" si="15"/>
        <v/>
      </c>
      <c r="L117" s="11" t="str">
        <f>IF('Raw Data'!A104&lt;&gt;"",AVERAGE('Raw Data'!Z104,'Raw Data'!AB104,'Raw Data'!AD104,'Raw Data'!AF104,'Raw Data'!AH104),"")</f>
        <v/>
      </c>
      <c r="M117" s="11" t="str">
        <f>IF('Raw Data'!A104&lt;&gt;"",AVERAGE('Raw Data'!AA104,'Raw Data'!AC104,'Raw Data'!AE104,'Raw Data'!AG104,'Raw Data'!AI104),"")</f>
        <v/>
      </c>
      <c r="N117" s="11" t="str">
        <f t="shared" si="16"/>
        <v/>
      </c>
      <c r="O117" s="11" t="str">
        <f>IF('Raw Data'!A104&lt;&gt;"",AVERAGE('Raw Data'!AJ104,'Raw Data'!AL104,'Raw Data'!AN104,'Raw Data'!AP104,'Raw Data'!AR104),"")</f>
        <v/>
      </c>
      <c r="P117" s="11" t="str">
        <f>IF('Raw Data'!A104&lt;&gt;"",AVERAGE('Raw Data'!AK104,'Raw Data'!AM104,'Raw Data'!AO104,'Raw Data'!AQ104,'Raw Data'!AS104),"")</f>
        <v/>
      </c>
      <c r="Q117" s="11" t="str">
        <f t="shared" si="17"/>
        <v/>
      </c>
      <c r="R117" s="11" t="str">
        <f>IF('Raw Data'!A104&lt;&gt;"",AVERAGE('Raw Data'!AT104,'Raw Data'!AV104,'Raw Data'!AX104,'Raw Data'!AZ104,'Raw Data'!BB104),"")</f>
        <v/>
      </c>
      <c r="S117" s="11" t="str">
        <f>IF('Raw Data'!A104&lt;&gt;"",AVERAGE('Raw Data'!AU104,'Raw Data'!AW104,'Raw Data'!AY104,'Raw Data'!BA104,'Raw Data'!BC104),"")</f>
        <v/>
      </c>
      <c r="T117" s="11" t="str">
        <f t="shared" si="18"/>
        <v/>
      </c>
      <c r="U117" s="11" t="str">
        <f>IF('Raw Data'!A104&lt;&gt;"",AVERAGE('Raw Data'!BD104,'Raw Data'!BF104,'Raw Data'!BH104,'Raw Data'!BJ104,'Raw Data'!BL104),"")</f>
        <v/>
      </c>
      <c r="V117" s="11" t="str">
        <f>IF('Raw Data'!A104&lt;&gt;"",AVERAGE('Raw Data'!BE104,'Raw Data'!BG104,'Raw Data'!BI104,'Raw Data'!BK104,'Raw Data'!BM104),"")</f>
        <v/>
      </c>
      <c r="W117" s="11" t="str">
        <f t="shared" si="19"/>
        <v/>
      </c>
      <c r="X117" s="11" t="str">
        <f t="shared" si="20"/>
        <v/>
      </c>
      <c r="Y117" s="11" t="str">
        <f t="shared" si="21"/>
        <v/>
      </c>
      <c r="Z117" s="11" t="str">
        <f t="shared" si="22"/>
        <v/>
      </c>
      <c r="AA117" s="11" t="str">
        <f t="shared" si="23"/>
        <v/>
      </c>
      <c r="AB117" s="24" t="str">
        <f t="shared" si="24"/>
        <v/>
      </c>
    </row>
    <row r="118" spans="1:28" x14ac:dyDescent="0.25">
      <c r="A118" s="10" t="str">
        <f>IF('Raw Data'!A105&lt;&gt;"",'Raw Data'!A105,"")</f>
        <v/>
      </c>
      <c r="B118" s="10" t="str">
        <f>IF('Raw Data'!B105&lt;&gt;"",'Raw Data'!B105,"")</f>
        <v/>
      </c>
      <c r="C118" s="10" t="str">
        <f>IF('Raw Data'!C105&lt;&gt;"",'Raw Data'!C105,"")</f>
        <v/>
      </c>
      <c r="D118" s="10" t="str">
        <f>IF('Raw Data'!D105&lt;&gt;"",'Raw Data'!D105,"")</f>
        <v/>
      </c>
      <c r="E118" s="10" t="str">
        <f>IF('Raw Data'!E105&lt;&gt;"",'Raw Data'!E105,"")</f>
        <v/>
      </c>
      <c r="F118" s="14" t="str">
        <f>IF('Raw Data'!A105&lt;&gt;"",AVERAGE('Raw Data'!F105,'Raw Data'!H105,'Raw Data'!J105,'Raw Data'!L105,'Raw Data'!N105),"")</f>
        <v/>
      </c>
      <c r="G118" s="14" t="str">
        <f>IF('Raw Data'!A105&lt;&gt;"",AVERAGE('Raw Data'!G105,'Raw Data'!I105,'Raw Data'!K105,'Raw Data'!M105,'Raw Data'!O105),"")</f>
        <v/>
      </c>
      <c r="H118" s="14" t="str">
        <f t="shared" si="14"/>
        <v/>
      </c>
      <c r="I118" s="14" t="str">
        <f>IF('Raw Data'!A105&lt;&gt;"",AVERAGE('Raw Data'!P105,'Raw Data'!R105,'Raw Data'!T105,'Raw Data'!V105,'Raw Data'!X105),"")</f>
        <v/>
      </c>
      <c r="J118" s="14" t="str">
        <f>IF('Raw Data'!A105&lt;&gt;"",AVERAGE('Raw Data'!Q105,'Raw Data'!S105,'Raw Data'!U105,'Raw Data'!W105,'Raw Data'!Y105),"")</f>
        <v/>
      </c>
      <c r="K118" s="14" t="str">
        <f t="shared" si="15"/>
        <v/>
      </c>
      <c r="L118" s="14" t="str">
        <f>IF('Raw Data'!A105&lt;&gt;"",AVERAGE('Raw Data'!Z105,'Raw Data'!AB105,'Raw Data'!AD105,'Raw Data'!AF105,'Raw Data'!AH105),"")</f>
        <v/>
      </c>
      <c r="M118" s="14" t="str">
        <f>IF('Raw Data'!A105&lt;&gt;"",AVERAGE('Raw Data'!AA105,'Raw Data'!AC105,'Raw Data'!AE105,'Raw Data'!AG105,'Raw Data'!AI105),"")</f>
        <v/>
      </c>
      <c r="N118" s="14" t="str">
        <f t="shared" si="16"/>
        <v/>
      </c>
      <c r="O118" s="14" t="str">
        <f>IF('Raw Data'!A105&lt;&gt;"",AVERAGE('Raw Data'!AJ105,'Raw Data'!AL105,'Raw Data'!AN105,'Raw Data'!AP105,'Raw Data'!AR105),"")</f>
        <v/>
      </c>
      <c r="P118" s="14" t="str">
        <f>IF('Raw Data'!A105&lt;&gt;"",AVERAGE('Raw Data'!AK105,'Raw Data'!AM105,'Raw Data'!AO105,'Raw Data'!AQ105,'Raw Data'!AS105),"")</f>
        <v/>
      </c>
      <c r="Q118" s="14" t="str">
        <f t="shared" si="17"/>
        <v/>
      </c>
      <c r="R118" s="14" t="str">
        <f>IF('Raw Data'!A105&lt;&gt;"",AVERAGE('Raw Data'!AT105,'Raw Data'!AV105,'Raw Data'!AX105,'Raw Data'!AZ105,'Raw Data'!BB105),"")</f>
        <v/>
      </c>
      <c r="S118" s="14" t="str">
        <f>IF('Raw Data'!A105&lt;&gt;"",AVERAGE('Raw Data'!AU105,'Raw Data'!AW105,'Raw Data'!AY105,'Raw Data'!BA105,'Raw Data'!BC105),"")</f>
        <v/>
      </c>
      <c r="T118" s="14" t="str">
        <f t="shared" si="18"/>
        <v/>
      </c>
      <c r="U118" s="14" t="str">
        <f>IF('Raw Data'!A105&lt;&gt;"",AVERAGE('Raw Data'!BD105,'Raw Data'!BF105,'Raw Data'!BH105,'Raw Data'!BJ105,'Raw Data'!BL105),"")</f>
        <v/>
      </c>
      <c r="V118" s="14" t="str">
        <f>IF('Raw Data'!A105&lt;&gt;"",AVERAGE('Raw Data'!BE105,'Raw Data'!BG105,'Raw Data'!BI105,'Raw Data'!BK105,'Raw Data'!BM105),"")</f>
        <v/>
      </c>
      <c r="W118" s="14" t="str">
        <f t="shared" si="19"/>
        <v/>
      </c>
      <c r="X118" s="14" t="str">
        <f t="shared" si="20"/>
        <v/>
      </c>
      <c r="Y118" s="14" t="str">
        <f t="shared" si="21"/>
        <v/>
      </c>
      <c r="Z118" s="14" t="str">
        <f t="shared" si="22"/>
        <v/>
      </c>
      <c r="AA118" s="14" t="str">
        <f t="shared" si="23"/>
        <v/>
      </c>
      <c r="AB118" s="25" t="str">
        <f t="shared" si="24"/>
        <v/>
      </c>
    </row>
    <row r="119" spans="1:28" x14ac:dyDescent="0.25">
      <c r="A119" s="2" t="str">
        <f>IF('Raw Data'!A106&lt;&gt;"",'Raw Data'!A106,"")</f>
        <v/>
      </c>
      <c r="B119" s="2" t="str">
        <f>IF('Raw Data'!B106&lt;&gt;"",'Raw Data'!B106,"")</f>
        <v/>
      </c>
      <c r="C119" s="2" t="str">
        <f>IF('Raw Data'!C106&lt;&gt;"",'Raw Data'!C106,"")</f>
        <v/>
      </c>
      <c r="D119" s="2" t="str">
        <f>IF('Raw Data'!D106&lt;&gt;"",'Raw Data'!D106,"")</f>
        <v/>
      </c>
      <c r="E119" s="2" t="str">
        <f>IF('Raw Data'!E106&lt;&gt;"",'Raw Data'!E106,"")</f>
        <v/>
      </c>
      <c r="F119" s="11" t="str">
        <f>IF('Raw Data'!A106&lt;&gt;"",AVERAGE('Raw Data'!F106,'Raw Data'!H106,'Raw Data'!J106,'Raw Data'!L106,'Raw Data'!N106),"")</f>
        <v/>
      </c>
      <c r="G119" s="11" t="str">
        <f>IF('Raw Data'!A106&lt;&gt;"",AVERAGE('Raw Data'!G106,'Raw Data'!I106,'Raw Data'!K106,'Raw Data'!M106,'Raw Data'!O106),"")</f>
        <v/>
      </c>
      <c r="H119" s="11" t="str">
        <f t="shared" si="14"/>
        <v/>
      </c>
      <c r="I119" s="11" t="str">
        <f>IF('Raw Data'!A106&lt;&gt;"",AVERAGE('Raw Data'!P106,'Raw Data'!R106,'Raw Data'!T106,'Raw Data'!V106,'Raw Data'!X106),"")</f>
        <v/>
      </c>
      <c r="J119" s="11" t="str">
        <f>IF('Raw Data'!A106&lt;&gt;"",AVERAGE('Raw Data'!Q106,'Raw Data'!S106,'Raw Data'!U106,'Raw Data'!W106,'Raw Data'!Y106),"")</f>
        <v/>
      </c>
      <c r="K119" s="11" t="str">
        <f t="shared" si="15"/>
        <v/>
      </c>
      <c r="L119" s="11" t="str">
        <f>IF('Raw Data'!A106&lt;&gt;"",AVERAGE('Raw Data'!Z106,'Raw Data'!AB106,'Raw Data'!AD106,'Raw Data'!AF106,'Raw Data'!AH106),"")</f>
        <v/>
      </c>
      <c r="M119" s="11" t="str">
        <f>IF('Raw Data'!A106&lt;&gt;"",AVERAGE('Raw Data'!AA106,'Raw Data'!AC106,'Raw Data'!AE106,'Raw Data'!AG106,'Raw Data'!AI106),"")</f>
        <v/>
      </c>
      <c r="N119" s="11" t="str">
        <f t="shared" si="16"/>
        <v/>
      </c>
      <c r="O119" s="11" t="str">
        <f>IF('Raw Data'!A106&lt;&gt;"",AVERAGE('Raw Data'!AJ106,'Raw Data'!AL106,'Raw Data'!AN106,'Raw Data'!AP106,'Raw Data'!AR106),"")</f>
        <v/>
      </c>
      <c r="P119" s="11" t="str">
        <f>IF('Raw Data'!A106&lt;&gt;"",AVERAGE('Raw Data'!AK106,'Raw Data'!AM106,'Raw Data'!AO106,'Raw Data'!AQ106,'Raw Data'!AS106),"")</f>
        <v/>
      </c>
      <c r="Q119" s="11" t="str">
        <f t="shared" si="17"/>
        <v/>
      </c>
      <c r="R119" s="11" t="str">
        <f>IF('Raw Data'!A106&lt;&gt;"",AVERAGE('Raw Data'!AT106,'Raw Data'!AV106,'Raw Data'!AX106,'Raw Data'!AZ106,'Raw Data'!BB106),"")</f>
        <v/>
      </c>
      <c r="S119" s="11" t="str">
        <f>IF('Raw Data'!A106&lt;&gt;"",AVERAGE('Raw Data'!AU106,'Raw Data'!AW106,'Raw Data'!AY106,'Raw Data'!BA106,'Raw Data'!BC106),"")</f>
        <v/>
      </c>
      <c r="T119" s="11" t="str">
        <f t="shared" si="18"/>
        <v/>
      </c>
      <c r="U119" s="11" t="str">
        <f>IF('Raw Data'!A106&lt;&gt;"",AVERAGE('Raw Data'!BD106,'Raw Data'!BF106,'Raw Data'!BH106,'Raw Data'!BJ106,'Raw Data'!BL106),"")</f>
        <v/>
      </c>
      <c r="V119" s="11" t="str">
        <f>IF('Raw Data'!A106&lt;&gt;"",AVERAGE('Raw Data'!BE106,'Raw Data'!BG106,'Raw Data'!BI106,'Raw Data'!BK106,'Raw Data'!BM106),"")</f>
        <v/>
      </c>
      <c r="W119" s="11" t="str">
        <f t="shared" si="19"/>
        <v/>
      </c>
      <c r="X119" s="11" t="str">
        <f t="shared" si="20"/>
        <v/>
      </c>
      <c r="Y119" s="11" t="str">
        <f t="shared" si="21"/>
        <v/>
      </c>
      <c r="Z119" s="11" t="str">
        <f t="shared" si="22"/>
        <v/>
      </c>
      <c r="AA119" s="11" t="str">
        <f t="shared" si="23"/>
        <v/>
      </c>
      <c r="AB119" s="24" t="str">
        <f t="shared" si="24"/>
        <v/>
      </c>
    </row>
    <row r="120" spans="1:28" x14ac:dyDescent="0.25">
      <c r="A120" s="10" t="str">
        <f>IF('Raw Data'!A107&lt;&gt;"",'Raw Data'!A107,"")</f>
        <v/>
      </c>
      <c r="B120" s="10" t="str">
        <f>IF('Raw Data'!B107&lt;&gt;"",'Raw Data'!B107,"")</f>
        <v/>
      </c>
      <c r="C120" s="10" t="str">
        <f>IF('Raw Data'!C107&lt;&gt;"",'Raw Data'!C107,"")</f>
        <v/>
      </c>
      <c r="D120" s="10" t="str">
        <f>IF('Raw Data'!D107&lt;&gt;"",'Raw Data'!D107,"")</f>
        <v/>
      </c>
      <c r="E120" s="10" t="str">
        <f>IF('Raw Data'!E107&lt;&gt;"",'Raw Data'!E107,"")</f>
        <v/>
      </c>
      <c r="F120" s="14" t="str">
        <f>IF('Raw Data'!A107&lt;&gt;"",AVERAGE('Raw Data'!F107,'Raw Data'!H107,'Raw Data'!J107,'Raw Data'!L107,'Raw Data'!N107),"")</f>
        <v/>
      </c>
      <c r="G120" s="14" t="str">
        <f>IF('Raw Data'!A107&lt;&gt;"",AVERAGE('Raw Data'!G107,'Raw Data'!I107,'Raw Data'!K107,'Raw Data'!M107,'Raw Data'!O107),"")</f>
        <v/>
      </c>
      <c r="H120" s="14" t="str">
        <f t="shared" si="14"/>
        <v/>
      </c>
      <c r="I120" s="14" t="str">
        <f>IF('Raw Data'!A107&lt;&gt;"",AVERAGE('Raw Data'!P107,'Raw Data'!R107,'Raw Data'!T107,'Raw Data'!V107,'Raw Data'!X107),"")</f>
        <v/>
      </c>
      <c r="J120" s="14" t="str">
        <f>IF('Raw Data'!A107&lt;&gt;"",AVERAGE('Raw Data'!Q107,'Raw Data'!S107,'Raw Data'!U107,'Raw Data'!W107,'Raw Data'!Y107),"")</f>
        <v/>
      </c>
      <c r="K120" s="14" t="str">
        <f t="shared" si="15"/>
        <v/>
      </c>
      <c r="L120" s="14" t="str">
        <f>IF('Raw Data'!A107&lt;&gt;"",AVERAGE('Raw Data'!Z107,'Raw Data'!AB107,'Raw Data'!AD107,'Raw Data'!AF107,'Raw Data'!AH107),"")</f>
        <v/>
      </c>
      <c r="M120" s="14" t="str">
        <f>IF('Raw Data'!A107&lt;&gt;"",AVERAGE('Raw Data'!AA107,'Raw Data'!AC107,'Raw Data'!AE107,'Raw Data'!AG107,'Raw Data'!AI107),"")</f>
        <v/>
      </c>
      <c r="N120" s="14" t="str">
        <f t="shared" si="16"/>
        <v/>
      </c>
      <c r="O120" s="14" t="str">
        <f>IF('Raw Data'!A107&lt;&gt;"",AVERAGE('Raw Data'!AJ107,'Raw Data'!AL107,'Raw Data'!AN107,'Raw Data'!AP107,'Raw Data'!AR107),"")</f>
        <v/>
      </c>
      <c r="P120" s="14" t="str">
        <f>IF('Raw Data'!A107&lt;&gt;"",AVERAGE('Raw Data'!AK107,'Raw Data'!AM107,'Raw Data'!AO107,'Raw Data'!AQ107,'Raw Data'!AS107),"")</f>
        <v/>
      </c>
      <c r="Q120" s="14" t="str">
        <f t="shared" si="17"/>
        <v/>
      </c>
      <c r="R120" s="14" t="str">
        <f>IF('Raw Data'!A107&lt;&gt;"",AVERAGE('Raw Data'!AT107,'Raw Data'!AV107,'Raw Data'!AX107,'Raw Data'!AZ107,'Raw Data'!BB107),"")</f>
        <v/>
      </c>
      <c r="S120" s="14" t="str">
        <f>IF('Raw Data'!A107&lt;&gt;"",AVERAGE('Raw Data'!AU107,'Raw Data'!AW107,'Raw Data'!AY107,'Raw Data'!BA107,'Raw Data'!BC107),"")</f>
        <v/>
      </c>
      <c r="T120" s="14" t="str">
        <f t="shared" si="18"/>
        <v/>
      </c>
      <c r="U120" s="14" t="str">
        <f>IF('Raw Data'!A107&lt;&gt;"",AVERAGE('Raw Data'!BD107,'Raw Data'!BF107,'Raw Data'!BH107,'Raw Data'!BJ107,'Raw Data'!BL107),"")</f>
        <v/>
      </c>
      <c r="V120" s="14" t="str">
        <f>IF('Raw Data'!A107&lt;&gt;"",AVERAGE('Raw Data'!BE107,'Raw Data'!BG107,'Raw Data'!BI107,'Raw Data'!BK107,'Raw Data'!BM107),"")</f>
        <v/>
      </c>
      <c r="W120" s="14" t="str">
        <f t="shared" si="19"/>
        <v/>
      </c>
      <c r="X120" s="14" t="str">
        <f t="shared" si="20"/>
        <v/>
      </c>
      <c r="Y120" s="14" t="str">
        <f t="shared" si="21"/>
        <v/>
      </c>
      <c r="Z120" s="14" t="str">
        <f t="shared" si="22"/>
        <v/>
      </c>
      <c r="AA120" s="14" t="str">
        <f t="shared" si="23"/>
        <v/>
      </c>
      <c r="AB120" s="25" t="str">
        <f t="shared" si="24"/>
        <v/>
      </c>
    </row>
    <row r="121" spans="1:28" x14ac:dyDescent="0.25">
      <c r="A121" s="2" t="str">
        <f>IF('Raw Data'!A108&lt;&gt;"",'Raw Data'!A108,"")</f>
        <v/>
      </c>
      <c r="B121" s="2" t="str">
        <f>IF('Raw Data'!B108&lt;&gt;"",'Raw Data'!B108,"")</f>
        <v/>
      </c>
      <c r="C121" s="2" t="str">
        <f>IF('Raw Data'!C108&lt;&gt;"",'Raw Data'!C108,"")</f>
        <v/>
      </c>
      <c r="D121" s="2" t="str">
        <f>IF('Raw Data'!D108&lt;&gt;"",'Raw Data'!D108,"")</f>
        <v/>
      </c>
      <c r="E121" s="2" t="str">
        <f>IF('Raw Data'!E108&lt;&gt;"",'Raw Data'!E108,"")</f>
        <v/>
      </c>
      <c r="F121" s="11" t="str">
        <f>IF('Raw Data'!A108&lt;&gt;"",AVERAGE('Raw Data'!F108,'Raw Data'!H108,'Raw Data'!J108,'Raw Data'!L108,'Raw Data'!N108),"")</f>
        <v/>
      </c>
      <c r="G121" s="11" t="str">
        <f>IF('Raw Data'!A108&lt;&gt;"",AVERAGE('Raw Data'!G108,'Raw Data'!I108,'Raw Data'!K108,'Raw Data'!M108,'Raw Data'!O108),"")</f>
        <v/>
      </c>
      <c r="H121" s="11" t="str">
        <f t="shared" si="14"/>
        <v/>
      </c>
      <c r="I121" s="11" t="str">
        <f>IF('Raw Data'!A108&lt;&gt;"",AVERAGE('Raw Data'!P108,'Raw Data'!R108,'Raw Data'!T108,'Raw Data'!V108,'Raw Data'!X108),"")</f>
        <v/>
      </c>
      <c r="J121" s="11" t="str">
        <f>IF('Raw Data'!A108&lt;&gt;"",AVERAGE('Raw Data'!Q108,'Raw Data'!S108,'Raw Data'!U108,'Raw Data'!W108,'Raw Data'!Y108),"")</f>
        <v/>
      </c>
      <c r="K121" s="11" t="str">
        <f t="shared" si="15"/>
        <v/>
      </c>
      <c r="L121" s="11" t="str">
        <f>IF('Raw Data'!A108&lt;&gt;"",AVERAGE('Raw Data'!Z108,'Raw Data'!AB108,'Raw Data'!AD108,'Raw Data'!AF108,'Raw Data'!AH108),"")</f>
        <v/>
      </c>
      <c r="M121" s="11" t="str">
        <f>IF('Raw Data'!A108&lt;&gt;"",AVERAGE('Raw Data'!AA108,'Raw Data'!AC108,'Raw Data'!AE108,'Raw Data'!AG108,'Raw Data'!AI108),"")</f>
        <v/>
      </c>
      <c r="N121" s="11" t="str">
        <f t="shared" si="16"/>
        <v/>
      </c>
      <c r="O121" s="11" t="str">
        <f>IF('Raw Data'!A108&lt;&gt;"",AVERAGE('Raw Data'!AJ108,'Raw Data'!AL108,'Raw Data'!AN108,'Raw Data'!AP108,'Raw Data'!AR108),"")</f>
        <v/>
      </c>
      <c r="P121" s="11" t="str">
        <f>IF('Raw Data'!A108&lt;&gt;"",AVERAGE('Raw Data'!AK108,'Raw Data'!AM108,'Raw Data'!AO108,'Raw Data'!AQ108,'Raw Data'!AS108),"")</f>
        <v/>
      </c>
      <c r="Q121" s="11" t="str">
        <f t="shared" si="17"/>
        <v/>
      </c>
      <c r="R121" s="11" t="str">
        <f>IF('Raw Data'!A108&lt;&gt;"",AVERAGE('Raw Data'!AT108,'Raw Data'!AV108,'Raw Data'!AX108,'Raw Data'!AZ108,'Raw Data'!BB108),"")</f>
        <v/>
      </c>
      <c r="S121" s="11" t="str">
        <f>IF('Raw Data'!A108&lt;&gt;"",AVERAGE('Raw Data'!AU108,'Raw Data'!AW108,'Raw Data'!AY108,'Raw Data'!BA108,'Raw Data'!BC108),"")</f>
        <v/>
      </c>
      <c r="T121" s="11" t="str">
        <f t="shared" si="18"/>
        <v/>
      </c>
      <c r="U121" s="11" t="str">
        <f>IF('Raw Data'!A108&lt;&gt;"",AVERAGE('Raw Data'!BD108,'Raw Data'!BF108,'Raw Data'!BH108,'Raw Data'!BJ108,'Raw Data'!BL108),"")</f>
        <v/>
      </c>
      <c r="V121" s="11" t="str">
        <f>IF('Raw Data'!A108&lt;&gt;"",AVERAGE('Raw Data'!BE108,'Raw Data'!BG108,'Raw Data'!BI108,'Raw Data'!BK108,'Raw Data'!BM108),"")</f>
        <v/>
      </c>
      <c r="W121" s="11" t="str">
        <f t="shared" si="19"/>
        <v/>
      </c>
      <c r="X121" s="11" t="str">
        <f t="shared" si="20"/>
        <v/>
      </c>
      <c r="Y121" s="11" t="str">
        <f t="shared" si="21"/>
        <v/>
      </c>
      <c r="Z121" s="11" t="str">
        <f t="shared" si="22"/>
        <v/>
      </c>
      <c r="AA121" s="11" t="str">
        <f t="shared" si="23"/>
        <v/>
      </c>
      <c r="AB121" s="24" t="str">
        <f t="shared" si="24"/>
        <v/>
      </c>
    </row>
    <row r="122" spans="1:28" x14ac:dyDescent="0.25">
      <c r="A122" s="10" t="str">
        <f>IF('Raw Data'!A109&lt;&gt;"",'Raw Data'!A109,"")</f>
        <v/>
      </c>
      <c r="B122" s="10" t="str">
        <f>IF('Raw Data'!B109&lt;&gt;"",'Raw Data'!B109,"")</f>
        <v/>
      </c>
      <c r="C122" s="10" t="str">
        <f>IF('Raw Data'!C109&lt;&gt;"",'Raw Data'!C109,"")</f>
        <v/>
      </c>
      <c r="D122" s="10" t="str">
        <f>IF('Raw Data'!D109&lt;&gt;"",'Raw Data'!D109,"")</f>
        <v/>
      </c>
      <c r="E122" s="10" t="str">
        <f>IF('Raw Data'!E109&lt;&gt;"",'Raw Data'!E109,"")</f>
        <v/>
      </c>
      <c r="F122" s="14" t="str">
        <f>IF('Raw Data'!A109&lt;&gt;"",AVERAGE('Raw Data'!F109,'Raw Data'!H109,'Raw Data'!J109,'Raw Data'!L109,'Raw Data'!N109),"")</f>
        <v/>
      </c>
      <c r="G122" s="14" t="str">
        <f>IF('Raw Data'!A109&lt;&gt;"",AVERAGE('Raw Data'!G109,'Raw Data'!I109,'Raw Data'!K109,'Raw Data'!M109,'Raw Data'!O109),"")</f>
        <v/>
      </c>
      <c r="H122" s="14" t="str">
        <f t="shared" si="14"/>
        <v/>
      </c>
      <c r="I122" s="14" t="str">
        <f>IF('Raw Data'!A109&lt;&gt;"",AVERAGE('Raw Data'!P109,'Raw Data'!R109,'Raw Data'!T109,'Raw Data'!V109,'Raw Data'!X109),"")</f>
        <v/>
      </c>
      <c r="J122" s="14" t="str">
        <f>IF('Raw Data'!A109&lt;&gt;"",AVERAGE('Raw Data'!Q109,'Raw Data'!S109,'Raw Data'!U109,'Raw Data'!W109,'Raw Data'!Y109),"")</f>
        <v/>
      </c>
      <c r="K122" s="14" t="str">
        <f t="shared" si="15"/>
        <v/>
      </c>
      <c r="L122" s="14" t="str">
        <f>IF('Raw Data'!A109&lt;&gt;"",AVERAGE('Raw Data'!Z109,'Raw Data'!AB109,'Raw Data'!AD109,'Raw Data'!AF109,'Raw Data'!AH109),"")</f>
        <v/>
      </c>
      <c r="M122" s="14" t="str">
        <f>IF('Raw Data'!A109&lt;&gt;"",AVERAGE('Raw Data'!AA109,'Raw Data'!AC109,'Raw Data'!AE109,'Raw Data'!AG109,'Raw Data'!AI109),"")</f>
        <v/>
      </c>
      <c r="N122" s="14" t="str">
        <f t="shared" si="16"/>
        <v/>
      </c>
      <c r="O122" s="14" t="str">
        <f>IF('Raw Data'!A109&lt;&gt;"",AVERAGE('Raw Data'!AJ109,'Raw Data'!AL109,'Raw Data'!AN109,'Raw Data'!AP109,'Raw Data'!AR109),"")</f>
        <v/>
      </c>
      <c r="P122" s="14" t="str">
        <f>IF('Raw Data'!A109&lt;&gt;"",AVERAGE('Raw Data'!AK109,'Raw Data'!AM109,'Raw Data'!AO109,'Raw Data'!AQ109,'Raw Data'!AS109),"")</f>
        <v/>
      </c>
      <c r="Q122" s="14" t="str">
        <f t="shared" si="17"/>
        <v/>
      </c>
      <c r="R122" s="14" t="str">
        <f>IF('Raw Data'!A109&lt;&gt;"",AVERAGE('Raw Data'!AT109,'Raw Data'!AV109,'Raw Data'!AX109,'Raw Data'!AZ109,'Raw Data'!BB109),"")</f>
        <v/>
      </c>
      <c r="S122" s="14" t="str">
        <f>IF('Raw Data'!A109&lt;&gt;"",AVERAGE('Raw Data'!AU109,'Raw Data'!AW109,'Raw Data'!AY109,'Raw Data'!BA109,'Raw Data'!BC109),"")</f>
        <v/>
      </c>
      <c r="T122" s="14" t="str">
        <f t="shared" si="18"/>
        <v/>
      </c>
      <c r="U122" s="14" t="str">
        <f>IF('Raw Data'!A109&lt;&gt;"",AVERAGE('Raw Data'!BD109,'Raw Data'!BF109,'Raw Data'!BH109,'Raw Data'!BJ109,'Raw Data'!BL109),"")</f>
        <v/>
      </c>
      <c r="V122" s="14" t="str">
        <f>IF('Raw Data'!A109&lt;&gt;"",AVERAGE('Raw Data'!BE109,'Raw Data'!BG109,'Raw Data'!BI109,'Raw Data'!BK109,'Raw Data'!BM109),"")</f>
        <v/>
      </c>
      <c r="W122" s="14" t="str">
        <f t="shared" si="19"/>
        <v/>
      </c>
      <c r="X122" s="14" t="str">
        <f t="shared" si="20"/>
        <v/>
      </c>
      <c r="Y122" s="14" t="str">
        <f t="shared" si="21"/>
        <v/>
      </c>
      <c r="Z122" s="14" t="str">
        <f t="shared" si="22"/>
        <v/>
      </c>
      <c r="AA122" s="14" t="str">
        <f t="shared" si="23"/>
        <v/>
      </c>
      <c r="AB122" s="25" t="str">
        <f t="shared" si="24"/>
        <v/>
      </c>
    </row>
    <row r="123" spans="1:28" x14ac:dyDescent="0.25">
      <c r="A123" s="2" t="str">
        <f>IF('Raw Data'!A110&lt;&gt;"",'Raw Data'!A110,"")</f>
        <v/>
      </c>
      <c r="B123" s="2" t="str">
        <f>IF('Raw Data'!B110&lt;&gt;"",'Raw Data'!B110,"")</f>
        <v/>
      </c>
      <c r="C123" s="2" t="str">
        <f>IF('Raw Data'!C110&lt;&gt;"",'Raw Data'!C110,"")</f>
        <v/>
      </c>
      <c r="D123" s="2" t="str">
        <f>IF('Raw Data'!D110&lt;&gt;"",'Raw Data'!D110,"")</f>
        <v/>
      </c>
      <c r="E123" s="2" t="str">
        <f>IF('Raw Data'!E110&lt;&gt;"",'Raw Data'!E110,"")</f>
        <v/>
      </c>
      <c r="F123" s="11" t="str">
        <f>IF('Raw Data'!A110&lt;&gt;"",AVERAGE('Raw Data'!F110,'Raw Data'!H110,'Raw Data'!J110,'Raw Data'!L110,'Raw Data'!N110),"")</f>
        <v/>
      </c>
      <c r="G123" s="11" t="str">
        <f>IF('Raw Data'!A110&lt;&gt;"",AVERAGE('Raw Data'!G110,'Raw Data'!I110,'Raw Data'!K110,'Raw Data'!M110,'Raw Data'!O110),"")</f>
        <v/>
      </c>
      <c r="H123" s="11" t="str">
        <f t="shared" si="14"/>
        <v/>
      </c>
      <c r="I123" s="11" t="str">
        <f>IF('Raw Data'!A110&lt;&gt;"",AVERAGE('Raw Data'!P110,'Raw Data'!R110,'Raw Data'!T110,'Raw Data'!V110,'Raw Data'!X110),"")</f>
        <v/>
      </c>
      <c r="J123" s="11" t="str">
        <f>IF('Raw Data'!A110&lt;&gt;"",AVERAGE('Raw Data'!Q110,'Raw Data'!S110,'Raw Data'!U110,'Raw Data'!W110,'Raw Data'!Y110),"")</f>
        <v/>
      </c>
      <c r="K123" s="11" t="str">
        <f t="shared" si="15"/>
        <v/>
      </c>
      <c r="L123" s="11" t="str">
        <f>IF('Raw Data'!A110&lt;&gt;"",AVERAGE('Raw Data'!Z110,'Raw Data'!AB110,'Raw Data'!AD110,'Raw Data'!AF110,'Raw Data'!AH110),"")</f>
        <v/>
      </c>
      <c r="M123" s="11" t="str">
        <f>IF('Raw Data'!A110&lt;&gt;"",AVERAGE('Raw Data'!AA110,'Raw Data'!AC110,'Raw Data'!AE110,'Raw Data'!AG110,'Raw Data'!AI110),"")</f>
        <v/>
      </c>
      <c r="N123" s="11" t="str">
        <f t="shared" si="16"/>
        <v/>
      </c>
      <c r="O123" s="11" t="str">
        <f>IF('Raw Data'!A110&lt;&gt;"",AVERAGE('Raw Data'!AJ110,'Raw Data'!AL110,'Raw Data'!AN110,'Raw Data'!AP110,'Raw Data'!AR110),"")</f>
        <v/>
      </c>
      <c r="P123" s="11" t="str">
        <f>IF('Raw Data'!A110&lt;&gt;"",AVERAGE('Raw Data'!AK110,'Raw Data'!AM110,'Raw Data'!AO110,'Raw Data'!AQ110,'Raw Data'!AS110),"")</f>
        <v/>
      </c>
      <c r="Q123" s="11" t="str">
        <f t="shared" si="17"/>
        <v/>
      </c>
      <c r="R123" s="11" t="str">
        <f>IF('Raw Data'!A110&lt;&gt;"",AVERAGE('Raw Data'!AT110,'Raw Data'!AV110,'Raw Data'!AX110,'Raw Data'!AZ110,'Raw Data'!BB110),"")</f>
        <v/>
      </c>
      <c r="S123" s="11" t="str">
        <f>IF('Raw Data'!A110&lt;&gt;"",AVERAGE('Raw Data'!AU110,'Raw Data'!AW110,'Raw Data'!AY110,'Raw Data'!BA110,'Raw Data'!BC110),"")</f>
        <v/>
      </c>
      <c r="T123" s="11" t="str">
        <f t="shared" si="18"/>
        <v/>
      </c>
      <c r="U123" s="11" t="str">
        <f>IF('Raw Data'!A110&lt;&gt;"",AVERAGE('Raw Data'!BD110,'Raw Data'!BF110,'Raw Data'!BH110,'Raw Data'!BJ110,'Raw Data'!BL110),"")</f>
        <v/>
      </c>
      <c r="V123" s="11" t="str">
        <f>IF('Raw Data'!A110&lt;&gt;"",AVERAGE('Raw Data'!BE110,'Raw Data'!BG110,'Raw Data'!BI110,'Raw Data'!BK110,'Raw Data'!BM110),"")</f>
        <v/>
      </c>
      <c r="W123" s="11" t="str">
        <f t="shared" si="19"/>
        <v/>
      </c>
      <c r="X123" s="11" t="str">
        <f t="shared" si="20"/>
        <v/>
      </c>
      <c r="Y123" s="11" t="str">
        <f t="shared" si="21"/>
        <v/>
      </c>
      <c r="Z123" s="11" t="str">
        <f t="shared" si="22"/>
        <v/>
      </c>
      <c r="AA123" s="11" t="str">
        <f t="shared" si="23"/>
        <v/>
      </c>
      <c r="AB123" s="24" t="str">
        <f t="shared" si="24"/>
        <v/>
      </c>
    </row>
    <row r="124" spans="1:28" x14ac:dyDescent="0.25">
      <c r="A124" s="10" t="str">
        <f>IF('Raw Data'!A111&lt;&gt;"",'Raw Data'!A111,"")</f>
        <v/>
      </c>
      <c r="B124" s="10" t="str">
        <f>IF('Raw Data'!B111&lt;&gt;"",'Raw Data'!B111,"")</f>
        <v/>
      </c>
      <c r="C124" s="10" t="str">
        <f>IF('Raw Data'!C111&lt;&gt;"",'Raw Data'!C111,"")</f>
        <v/>
      </c>
      <c r="D124" s="10" t="str">
        <f>IF('Raw Data'!D111&lt;&gt;"",'Raw Data'!D111,"")</f>
        <v/>
      </c>
      <c r="E124" s="10" t="str">
        <f>IF('Raw Data'!E111&lt;&gt;"",'Raw Data'!E111,"")</f>
        <v/>
      </c>
      <c r="F124" s="14" t="str">
        <f>IF('Raw Data'!A111&lt;&gt;"",AVERAGE('Raw Data'!F111,'Raw Data'!H111,'Raw Data'!J111,'Raw Data'!L111,'Raw Data'!N111),"")</f>
        <v/>
      </c>
      <c r="G124" s="14" t="str">
        <f>IF('Raw Data'!A111&lt;&gt;"",AVERAGE('Raw Data'!G111,'Raw Data'!I111,'Raw Data'!K111,'Raw Data'!M111,'Raw Data'!O111),"")</f>
        <v/>
      </c>
      <c r="H124" s="14" t="str">
        <f t="shared" si="14"/>
        <v/>
      </c>
      <c r="I124" s="14" t="str">
        <f>IF('Raw Data'!A111&lt;&gt;"",AVERAGE('Raw Data'!P111,'Raw Data'!R111,'Raw Data'!T111,'Raw Data'!V111,'Raw Data'!X111),"")</f>
        <v/>
      </c>
      <c r="J124" s="14" t="str">
        <f>IF('Raw Data'!A111&lt;&gt;"",AVERAGE('Raw Data'!Q111,'Raw Data'!S111,'Raw Data'!U111,'Raw Data'!W111,'Raw Data'!Y111),"")</f>
        <v/>
      </c>
      <c r="K124" s="14" t="str">
        <f t="shared" si="15"/>
        <v/>
      </c>
      <c r="L124" s="14" t="str">
        <f>IF('Raw Data'!A111&lt;&gt;"",AVERAGE('Raw Data'!Z111,'Raw Data'!AB111,'Raw Data'!AD111,'Raw Data'!AF111,'Raw Data'!AH111),"")</f>
        <v/>
      </c>
      <c r="M124" s="14" t="str">
        <f>IF('Raw Data'!A111&lt;&gt;"",AVERAGE('Raw Data'!AA111,'Raw Data'!AC111,'Raw Data'!AE111,'Raw Data'!AG111,'Raw Data'!AI111),"")</f>
        <v/>
      </c>
      <c r="N124" s="14" t="str">
        <f t="shared" si="16"/>
        <v/>
      </c>
      <c r="O124" s="14" t="str">
        <f>IF('Raw Data'!A111&lt;&gt;"",AVERAGE('Raw Data'!AJ111,'Raw Data'!AL111,'Raw Data'!AN111,'Raw Data'!AP111,'Raw Data'!AR111),"")</f>
        <v/>
      </c>
      <c r="P124" s="14" t="str">
        <f>IF('Raw Data'!A111&lt;&gt;"",AVERAGE('Raw Data'!AK111,'Raw Data'!AM111,'Raw Data'!AO111,'Raw Data'!AQ111,'Raw Data'!AS111),"")</f>
        <v/>
      </c>
      <c r="Q124" s="14" t="str">
        <f t="shared" si="17"/>
        <v/>
      </c>
      <c r="R124" s="14" t="str">
        <f>IF('Raw Data'!A111&lt;&gt;"",AVERAGE('Raw Data'!AT111,'Raw Data'!AV111,'Raw Data'!AX111,'Raw Data'!AZ111,'Raw Data'!BB111),"")</f>
        <v/>
      </c>
      <c r="S124" s="14" t="str">
        <f>IF('Raw Data'!A111&lt;&gt;"",AVERAGE('Raw Data'!AU111,'Raw Data'!AW111,'Raw Data'!AY111,'Raw Data'!BA111,'Raw Data'!BC111),"")</f>
        <v/>
      </c>
      <c r="T124" s="14" t="str">
        <f t="shared" si="18"/>
        <v/>
      </c>
      <c r="U124" s="14" t="str">
        <f>IF('Raw Data'!A111&lt;&gt;"",AVERAGE('Raw Data'!BD111,'Raw Data'!BF111,'Raw Data'!BH111,'Raw Data'!BJ111,'Raw Data'!BL111),"")</f>
        <v/>
      </c>
      <c r="V124" s="14" t="str">
        <f>IF('Raw Data'!A111&lt;&gt;"",AVERAGE('Raw Data'!BE111,'Raw Data'!BG111,'Raw Data'!BI111,'Raw Data'!BK111,'Raw Data'!BM111),"")</f>
        <v/>
      </c>
      <c r="W124" s="14" t="str">
        <f t="shared" si="19"/>
        <v/>
      </c>
      <c r="X124" s="14" t="str">
        <f t="shared" si="20"/>
        <v/>
      </c>
      <c r="Y124" s="14" t="str">
        <f t="shared" si="21"/>
        <v/>
      </c>
      <c r="Z124" s="14" t="str">
        <f t="shared" si="22"/>
        <v/>
      </c>
      <c r="AA124" s="14" t="str">
        <f t="shared" si="23"/>
        <v/>
      </c>
      <c r="AB124" s="25" t="str">
        <f t="shared" si="24"/>
        <v/>
      </c>
    </row>
    <row r="125" spans="1:28" x14ac:dyDescent="0.25">
      <c r="A125" s="2" t="str">
        <f>IF('Raw Data'!A112&lt;&gt;"",'Raw Data'!A112,"")</f>
        <v/>
      </c>
      <c r="B125" s="2" t="str">
        <f>IF('Raw Data'!B112&lt;&gt;"",'Raw Data'!B112,"")</f>
        <v/>
      </c>
      <c r="C125" s="2" t="str">
        <f>IF('Raw Data'!C112&lt;&gt;"",'Raw Data'!C112,"")</f>
        <v/>
      </c>
      <c r="D125" s="2" t="str">
        <f>IF('Raw Data'!D112&lt;&gt;"",'Raw Data'!D112,"")</f>
        <v/>
      </c>
      <c r="E125" s="2" t="str">
        <f>IF('Raw Data'!E112&lt;&gt;"",'Raw Data'!E112,"")</f>
        <v/>
      </c>
      <c r="F125" s="11" t="str">
        <f>IF('Raw Data'!A112&lt;&gt;"",AVERAGE('Raw Data'!F112,'Raw Data'!H112,'Raw Data'!J112,'Raw Data'!L112,'Raw Data'!N112),"")</f>
        <v/>
      </c>
      <c r="G125" s="11" t="str">
        <f>IF('Raw Data'!A112&lt;&gt;"",AVERAGE('Raw Data'!G112,'Raw Data'!I112,'Raw Data'!K112,'Raw Data'!M112,'Raw Data'!O112),"")</f>
        <v/>
      </c>
      <c r="H125" s="11" t="str">
        <f t="shared" si="14"/>
        <v/>
      </c>
      <c r="I125" s="11" t="str">
        <f>IF('Raw Data'!A112&lt;&gt;"",AVERAGE('Raw Data'!P112,'Raw Data'!R112,'Raw Data'!T112,'Raw Data'!V112,'Raw Data'!X112),"")</f>
        <v/>
      </c>
      <c r="J125" s="11" t="str">
        <f>IF('Raw Data'!A112&lt;&gt;"",AVERAGE('Raw Data'!Q112,'Raw Data'!S112,'Raw Data'!U112,'Raw Data'!W112,'Raw Data'!Y112),"")</f>
        <v/>
      </c>
      <c r="K125" s="11" t="str">
        <f t="shared" si="15"/>
        <v/>
      </c>
      <c r="L125" s="11" t="str">
        <f>IF('Raw Data'!A112&lt;&gt;"",AVERAGE('Raw Data'!Z112,'Raw Data'!AB112,'Raw Data'!AD112,'Raw Data'!AF112,'Raw Data'!AH112),"")</f>
        <v/>
      </c>
      <c r="M125" s="11" t="str">
        <f>IF('Raw Data'!A112&lt;&gt;"",AVERAGE('Raw Data'!AA112,'Raw Data'!AC112,'Raw Data'!AE112,'Raw Data'!AG112,'Raw Data'!AI112),"")</f>
        <v/>
      </c>
      <c r="N125" s="11" t="str">
        <f t="shared" si="16"/>
        <v/>
      </c>
      <c r="O125" s="11" t="str">
        <f>IF('Raw Data'!A112&lt;&gt;"",AVERAGE('Raw Data'!AJ112,'Raw Data'!AL112,'Raw Data'!AN112,'Raw Data'!AP112,'Raw Data'!AR112),"")</f>
        <v/>
      </c>
      <c r="P125" s="11" t="str">
        <f>IF('Raw Data'!A112&lt;&gt;"",AVERAGE('Raw Data'!AK112,'Raw Data'!AM112,'Raw Data'!AO112,'Raw Data'!AQ112,'Raw Data'!AS112),"")</f>
        <v/>
      </c>
      <c r="Q125" s="11" t="str">
        <f t="shared" si="17"/>
        <v/>
      </c>
      <c r="R125" s="11" t="str">
        <f>IF('Raw Data'!A112&lt;&gt;"",AVERAGE('Raw Data'!AT112,'Raw Data'!AV112,'Raw Data'!AX112,'Raw Data'!AZ112,'Raw Data'!BB112),"")</f>
        <v/>
      </c>
      <c r="S125" s="11" t="str">
        <f>IF('Raw Data'!A112&lt;&gt;"",AVERAGE('Raw Data'!AU112,'Raw Data'!AW112,'Raw Data'!AY112,'Raw Data'!BA112,'Raw Data'!BC112),"")</f>
        <v/>
      </c>
      <c r="T125" s="11" t="str">
        <f t="shared" si="18"/>
        <v/>
      </c>
      <c r="U125" s="11" t="str">
        <f>IF('Raw Data'!A112&lt;&gt;"",AVERAGE('Raw Data'!BD112,'Raw Data'!BF112,'Raw Data'!BH112,'Raw Data'!BJ112,'Raw Data'!BL112),"")</f>
        <v/>
      </c>
      <c r="V125" s="11" t="str">
        <f>IF('Raw Data'!A112&lt;&gt;"",AVERAGE('Raw Data'!BE112,'Raw Data'!BG112,'Raw Data'!BI112,'Raw Data'!BK112,'Raw Data'!BM112),"")</f>
        <v/>
      </c>
      <c r="W125" s="11" t="str">
        <f t="shared" si="19"/>
        <v/>
      </c>
      <c r="X125" s="11" t="str">
        <f t="shared" si="20"/>
        <v/>
      </c>
      <c r="Y125" s="11" t="str">
        <f t="shared" si="21"/>
        <v/>
      </c>
      <c r="Z125" s="11" t="str">
        <f t="shared" si="22"/>
        <v/>
      </c>
      <c r="AA125" s="11" t="str">
        <f t="shared" si="23"/>
        <v/>
      </c>
      <c r="AB125" s="24" t="str">
        <f t="shared" si="24"/>
        <v/>
      </c>
    </row>
    <row r="126" spans="1:28" x14ac:dyDescent="0.25">
      <c r="A126" s="10" t="str">
        <f>IF('Raw Data'!A113&lt;&gt;"",'Raw Data'!A113,"")</f>
        <v/>
      </c>
      <c r="B126" s="10" t="str">
        <f>IF('Raw Data'!B113&lt;&gt;"",'Raw Data'!B113,"")</f>
        <v/>
      </c>
      <c r="C126" s="10" t="str">
        <f>IF('Raw Data'!C113&lt;&gt;"",'Raw Data'!C113,"")</f>
        <v/>
      </c>
      <c r="D126" s="10" t="str">
        <f>IF('Raw Data'!D113&lt;&gt;"",'Raw Data'!D113,"")</f>
        <v/>
      </c>
      <c r="E126" s="10" t="str">
        <f>IF('Raw Data'!E113&lt;&gt;"",'Raw Data'!E113,"")</f>
        <v/>
      </c>
      <c r="F126" s="14" t="str">
        <f>IF('Raw Data'!A113&lt;&gt;"",AVERAGE('Raw Data'!F113,'Raw Data'!H113,'Raw Data'!J113,'Raw Data'!L113,'Raw Data'!N113),"")</f>
        <v/>
      </c>
      <c r="G126" s="14" t="str">
        <f>IF('Raw Data'!A113&lt;&gt;"",AVERAGE('Raw Data'!G113,'Raw Data'!I113,'Raw Data'!K113,'Raw Data'!M113,'Raw Data'!O113),"")</f>
        <v/>
      </c>
      <c r="H126" s="14" t="str">
        <f t="shared" si="14"/>
        <v/>
      </c>
      <c r="I126" s="14" t="str">
        <f>IF('Raw Data'!A113&lt;&gt;"",AVERAGE('Raw Data'!P113,'Raw Data'!R113,'Raw Data'!T113,'Raw Data'!V113,'Raw Data'!X113),"")</f>
        <v/>
      </c>
      <c r="J126" s="14" t="str">
        <f>IF('Raw Data'!A113&lt;&gt;"",AVERAGE('Raw Data'!Q113,'Raw Data'!S113,'Raw Data'!U113,'Raw Data'!W113,'Raw Data'!Y113),"")</f>
        <v/>
      </c>
      <c r="K126" s="14" t="str">
        <f t="shared" si="15"/>
        <v/>
      </c>
      <c r="L126" s="14" t="str">
        <f>IF('Raw Data'!A113&lt;&gt;"",AVERAGE('Raw Data'!Z113,'Raw Data'!AB113,'Raw Data'!AD113,'Raw Data'!AF113,'Raw Data'!AH113),"")</f>
        <v/>
      </c>
      <c r="M126" s="14" t="str">
        <f>IF('Raw Data'!A113&lt;&gt;"",AVERAGE('Raw Data'!AA113,'Raw Data'!AC113,'Raw Data'!AE113,'Raw Data'!AG113,'Raw Data'!AI113),"")</f>
        <v/>
      </c>
      <c r="N126" s="14" t="str">
        <f t="shared" si="16"/>
        <v/>
      </c>
      <c r="O126" s="14" t="str">
        <f>IF('Raw Data'!A113&lt;&gt;"",AVERAGE('Raw Data'!AJ113,'Raw Data'!AL113,'Raw Data'!AN113,'Raw Data'!AP113,'Raw Data'!AR113),"")</f>
        <v/>
      </c>
      <c r="P126" s="14" t="str">
        <f>IF('Raw Data'!A113&lt;&gt;"",AVERAGE('Raw Data'!AK113,'Raw Data'!AM113,'Raw Data'!AO113,'Raw Data'!AQ113,'Raw Data'!AS113),"")</f>
        <v/>
      </c>
      <c r="Q126" s="14" t="str">
        <f t="shared" si="17"/>
        <v/>
      </c>
      <c r="R126" s="14" t="str">
        <f>IF('Raw Data'!A113&lt;&gt;"",AVERAGE('Raw Data'!AT113,'Raw Data'!AV113,'Raw Data'!AX113,'Raw Data'!AZ113,'Raw Data'!BB113),"")</f>
        <v/>
      </c>
      <c r="S126" s="14" t="str">
        <f>IF('Raw Data'!A113&lt;&gt;"",AVERAGE('Raw Data'!AU113,'Raw Data'!AW113,'Raw Data'!AY113,'Raw Data'!BA113,'Raw Data'!BC113),"")</f>
        <v/>
      </c>
      <c r="T126" s="14" t="str">
        <f t="shared" si="18"/>
        <v/>
      </c>
      <c r="U126" s="14" t="str">
        <f>IF('Raw Data'!A113&lt;&gt;"",AVERAGE('Raw Data'!BD113,'Raw Data'!BF113,'Raw Data'!BH113,'Raw Data'!BJ113,'Raw Data'!BL113),"")</f>
        <v/>
      </c>
      <c r="V126" s="14" t="str">
        <f>IF('Raw Data'!A113&lt;&gt;"",AVERAGE('Raw Data'!BE113,'Raw Data'!BG113,'Raw Data'!BI113,'Raw Data'!BK113,'Raw Data'!BM113),"")</f>
        <v/>
      </c>
      <c r="W126" s="14" t="str">
        <f t="shared" si="19"/>
        <v/>
      </c>
      <c r="X126" s="14" t="str">
        <f t="shared" si="20"/>
        <v/>
      </c>
      <c r="Y126" s="14" t="str">
        <f t="shared" si="21"/>
        <v/>
      </c>
      <c r="Z126" s="14" t="str">
        <f t="shared" si="22"/>
        <v/>
      </c>
      <c r="AA126" s="14" t="str">
        <f t="shared" si="23"/>
        <v/>
      </c>
      <c r="AB126" s="25" t="str">
        <f t="shared" si="24"/>
        <v/>
      </c>
    </row>
    <row r="127" spans="1:28" x14ac:dyDescent="0.25">
      <c r="A127" s="2" t="str">
        <f>IF('Raw Data'!A114&lt;&gt;"",'Raw Data'!A114,"")</f>
        <v/>
      </c>
      <c r="B127" s="2" t="str">
        <f>IF('Raw Data'!B114&lt;&gt;"",'Raw Data'!B114,"")</f>
        <v/>
      </c>
      <c r="C127" s="2" t="str">
        <f>IF('Raw Data'!C114&lt;&gt;"",'Raw Data'!C114,"")</f>
        <v/>
      </c>
      <c r="D127" s="2" t="str">
        <f>IF('Raw Data'!D114&lt;&gt;"",'Raw Data'!D114,"")</f>
        <v/>
      </c>
      <c r="E127" s="2" t="str">
        <f>IF('Raw Data'!E114&lt;&gt;"",'Raw Data'!E114,"")</f>
        <v/>
      </c>
      <c r="F127" s="11" t="str">
        <f>IF('Raw Data'!A114&lt;&gt;"",AVERAGE('Raw Data'!F114,'Raw Data'!H114,'Raw Data'!J114,'Raw Data'!L114,'Raw Data'!N114),"")</f>
        <v/>
      </c>
      <c r="G127" s="11" t="str">
        <f>IF('Raw Data'!A114&lt;&gt;"",AVERAGE('Raw Data'!G114,'Raw Data'!I114,'Raw Data'!K114,'Raw Data'!M114,'Raw Data'!O114),"")</f>
        <v/>
      </c>
      <c r="H127" s="11" t="str">
        <f t="shared" si="14"/>
        <v/>
      </c>
      <c r="I127" s="11" t="str">
        <f>IF('Raw Data'!A114&lt;&gt;"",AVERAGE('Raw Data'!P114,'Raw Data'!R114,'Raw Data'!T114,'Raw Data'!V114,'Raw Data'!X114),"")</f>
        <v/>
      </c>
      <c r="J127" s="11" t="str">
        <f>IF('Raw Data'!A114&lt;&gt;"",AVERAGE('Raw Data'!Q114,'Raw Data'!S114,'Raw Data'!U114,'Raw Data'!W114,'Raw Data'!Y114),"")</f>
        <v/>
      </c>
      <c r="K127" s="11" t="str">
        <f t="shared" si="15"/>
        <v/>
      </c>
      <c r="L127" s="11" t="str">
        <f>IF('Raw Data'!A114&lt;&gt;"",AVERAGE('Raw Data'!Z114,'Raw Data'!AB114,'Raw Data'!AD114,'Raw Data'!AF114,'Raw Data'!AH114),"")</f>
        <v/>
      </c>
      <c r="M127" s="11" t="str">
        <f>IF('Raw Data'!A114&lt;&gt;"",AVERAGE('Raw Data'!AA114,'Raw Data'!AC114,'Raw Data'!AE114,'Raw Data'!AG114,'Raw Data'!AI114),"")</f>
        <v/>
      </c>
      <c r="N127" s="11" t="str">
        <f t="shared" si="16"/>
        <v/>
      </c>
      <c r="O127" s="11" t="str">
        <f>IF('Raw Data'!A114&lt;&gt;"",AVERAGE('Raw Data'!AJ114,'Raw Data'!AL114,'Raw Data'!AN114,'Raw Data'!AP114,'Raw Data'!AR114),"")</f>
        <v/>
      </c>
      <c r="P127" s="11" t="str">
        <f>IF('Raw Data'!A114&lt;&gt;"",AVERAGE('Raw Data'!AK114,'Raw Data'!AM114,'Raw Data'!AO114,'Raw Data'!AQ114,'Raw Data'!AS114),"")</f>
        <v/>
      </c>
      <c r="Q127" s="11" t="str">
        <f t="shared" si="17"/>
        <v/>
      </c>
      <c r="R127" s="11" t="str">
        <f>IF('Raw Data'!A114&lt;&gt;"",AVERAGE('Raw Data'!AT114,'Raw Data'!AV114,'Raw Data'!AX114,'Raw Data'!AZ114,'Raw Data'!BB114),"")</f>
        <v/>
      </c>
      <c r="S127" s="11" t="str">
        <f>IF('Raw Data'!A114&lt;&gt;"",AVERAGE('Raw Data'!AU114,'Raw Data'!AW114,'Raw Data'!AY114,'Raw Data'!BA114,'Raw Data'!BC114),"")</f>
        <v/>
      </c>
      <c r="T127" s="11" t="str">
        <f t="shared" si="18"/>
        <v/>
      </c>
      <c r="U127" s="11" t="str">
        <f>IF('Raw Data'!A114&lt;&gt;"",AVERAGE('Raw Data'!BD114,'Raw Data'!BF114,'Raw Data'!BH114,'Raw Data'!BJ114,'Raw Data'!BL114),"")</f>
        <v/>
      </c>
      <c r="V127" s="11" t="str">
        <f>IF('Raw Data'!A114&lt;&gt;"",AVERAGE('Raw Data'!BE114,'Raw Data'!BG114,'Raw Data'!BI114,'Raw Data'!BK114,'Raw Data'!BM114),"")</f>
        <v/>
      </c>
      <c r="W127" s="11" t="str">
        <f t="shared" si="19"/>
        <v/>
      </c>
      <c r="X127" s="11" t="str">
        <f t="shared" si="20"/>
        <v/>
      </c>
      <c r="Y127" s="11" t="str">
        <f t="shared" si="21"/>
        <v/>
      </c>
      <c r="Z127" s="11" t="str">
        <f t="shared" si="22"/>
        <v/>
      </c>
      <c r="AA127" s="11" t="str">
        <f t="shared" si="23"/>
        <v/>
      </c>
      <c r="AB127" s="24" t="str">
        <f t="shared" si="24"/>
        <v/>
      </c>
    </row>
    <row r="128" spans="1:28" x14ac:dyDescent="0.25">
      <c r="A128" s="10" t="str">
        <f>IF('Raw Data'!A115&lt;&gt;"",'Raw Data'!A115,"")</f>
        <v/>
      </c>
      <c r="B128" s="10" t="str">
        <f>IF('Raw Data'!B115&lt;&gt;"",'Raw Data'!B115,"")</f>
        <v/>
      </c>
      <c r="C128" s="10" t="str">
        <f>IF('Raw Data'!C115&lt;&gt;"",'Raw Data'!C115,"")</f>
        <v/>
      </c>
      <c r="D128" s="10" t="str">
        <f>IF('Raw Data'!D115&lt;&gt;"",'Raw Data'!D115,"")</f>
        <v/>
      </c>
      <c r="E128" s="10" t="str">
        <f>IF('Raw Data'!E115&lt;&gt;"",'Raw Data'!E115,"")</f>
        <v/>
      </c>
      <c r="F128" s="14" t="str">
        <f>IF('Raw Data'!A115&lt;&gt;"",AVERAGE('Raw Data'!F115,'Raw Data'!H115,'Raw Data'!J115,'Raw Data'!L115,'Raw Data'!N115),"")</f>
        <v/>
      </c>
      <c r="G128" s="14" t="str">
        <f>IF('Raw Data'!A115&lt;&gt;"",AVERAGE('Raw Data'!G115,'Raw Data'!I115,'Raw Data'!K115,'Raw Data'!M115,'Raw Data'!O115),"")</f>
        <v/>
      </c>
      <c r="H128" s="14" t="str">
        <f t="shared" si="14"/>
        <v/>
      </c>
      <c r="I128" s="14" t="str">
        <f>IF('Raw Data'!A115&lt;&gt;"",AVERAGE('Raw Data'!P115,'Raw Data'!R115,'Raw Data'!T115,'Raw Data'!V115,'Raw Data'!X115),"")</f>
        <v/>
      </c>
      <c r="J128" s="14" t="str">
        <f>IF('Raw Data'!A115&lt;&gt;"",AVERAGE('Raw Data'!Q115,'Raw Data'!S115,'Raw Data'!U115,'Raw Data'!W115,'Raw Data'!Y115),"")</f>
        <v/>
      </c>
      <c r="K128" s="14" t="str">
        <f t="shared" si="15"/>
        <v/>
      </c>
      <c r="L128" s="14" t="str">
        <f>IF('Raw Data'!A115&lt;&gt;"",AVERAGE('Raw Data'!Z115,'Raw Data'!AB115,'Raw Data'!AD115,'Raw Data'!AF115,'Raw Data'!AH115),"")</f>
        <v/>
      </c>
      <c r="M128" s="14" t="str">
        <f>IF('Raw Data'!A115&lt;&gt;"",AVERAGE('Raw Data'!AA115,'Raw Data'!AC115,'Raw Data'!AE115,'Raw Data'!AG115,'Raw Data'!AI115),"")</f>
        <v/>
      </c>
      <c r="N128" s="14" t="str">
        <f t="shared" si="16"/>
        <v/>
      </c>
      <c r="O128" s="14" t="str">
        <f>IF('Raw Data'!A115&lt;&gt;"",AVERAGE('Raw Data'!AJ115,'Raw Data'!AL115,'Raw Data'!AN115,'Raw Data'!AP115,'Raw Data'!AR115),"")</f>
        <v/>
      </c>
      <c r="P128" s="14" t="str">
        <f>IF('Raw Data'!A115&lt;&gt;"",AVERAGE('Raw Data'!AK115,'Raw Data'!AM115,'Raw Data'!AO115,'Raw Data'!AQ115,'Raw Data'!AS115),"")</f>
        <v/>
      </c>
      <c r="Q128" s="14" t="str">
        <f t="shared" si="17"/>
        <v/>
      </c>
      <c r="R128" s="14" t="str">
        <f>IF('Raw Data'!A115&lt;&gt;"",AVERAGE('Raw Data'!AT115,'Raw Data'!AV115,'Raw Data'!AX115,'Raw Data'!AZ115,'Raw Data'!BB115),"")</f>
        <v/>
      </c>
      <c r="S128" s="14" t="str">
        <f>IF('Raw Data'!A115&lt;&gt;"",AVERAGE('Raw Data'!AU115,'Raw Data'!AW115,'Raw Data'!AY115,'Raw Data'!BA115,'Raw Data'!BC115),"")</f>
        <v/>
      </c>
      <c r="T128" s="14" t="str">
        <f t="shared" si="18"/>
        <v/>
      </c>
      <c r="U128" s="14" t="str">
        <f>IF('Raw Data'!A115&lt;&gt;"",AVERAGE('Raw Data'!BD115,'Raw Data'!BF115,'Raw Data'!BH115,'Raw Data'!BJ115,'Raw Data'!BL115),"")</f>
        <v/>
      </c>
      <c r="V128" s="14" t="str">
        <f>IF('Raw Data'!A115&lt;&gt;"",AVERAGE('Raw Data'!BE115,'Raw Data'!BG115,'Raw Data'!BI115,'Raw Data'!BK115,'Raw Data'!BM115),"")</f>
        <v/>
      </c>
      <c r="W128" s="14" t="str">
        <f t="shared" si="19"/>
        <v/>
      </c>
      <c r="X128" s="14" t="str">
        <f t="shared" si="20"/>
        <v/>
      </c>
      <c r="Y128" s="14" t="str">
        <f t="shared" si="21"/>
        <v/>
      </c>
      <c r="Z128" s="14" t="str">
        <f t="shared" si="22"/>
        <v/>
      </c>
      <c r="AA128" s="14" t="str">
        <f t="shared" si="23"/>
        <v/>
      </c>
      <c r="AB128" s="25" t="str">
        <f t="shared" si="24"/>
        <v/>
      </c>
    </row>
    <row r="129" spans="1:28" x14ac:dyDescent="0.25">
      <c r="A129" s="2" t="str">
        <f>IF('Raw Data'!A116&lt;&gt;"",'Raw Data'!A116,"")</f>
        <v/>
      </c>
      <c r="B129" s="2" t="str">
        <f>IF('Raw Data'!B116&lt;&gt;"",'Raw Data'!B116,"")</f>
        <v/>
      </c>
      <c r="C129" s="2" t="str">
        <f>IF('Raw Data'!C116&lt;&gt;"",'Raw Data'!C116,"")</f>
        <v/>
      </c>
      <c r="D129" s="2" t="str">
        <f>IF('Raw Data'!D116&lt;&gt;"",'Raw Data'!D116,"")</f>
        <v/>
      </c>
      <c r="E129" s="2" t="str">
        <f>IF('Raw Data'!E116&lt;&gt;"",'Raw Data'!E116,"")</f>
        <v/>
      </c>
      <c r="F129" s="11" t="str">
        <f>IF('Raw Data'!A116&lt;&gt;"",AVERAGE('Raw Data'!F116,'Raw Data'!H116,'Raw Data'!J116,'Raw Data'!L116,'Raw Data'!N116),"")</f>
        <v/>
      </c>
      <c r="G129" s="11" t="str">
        <f>IF('Raw Data'!A116&lt;&gt;"",AVERAGE('Raw Data'!G116,'Raw Data'!I116,'Raw Data'!K116,'Raw Data'!M116,'Raw Data'!O116),"")</f>
        <v/>
      </c>
      <c r="H129" s="11" t="str">
        <f t="shared" si="14"/>
        <v/>
      </c>
      <c r="I129" s="11" t="str">
        <f>IF('Raw Data'!A116&lt;&gt;"",AVERAGE('Raw Data'!P116,'Raw Data'!R116,'Raw Data'!T116,'Raw Data'!V116,'Raw Data'!X116),"")</f>
        <v/>
      </c>
      <c r="J129" s="11" t="str">
        <f>IF('Raw Data'!A116&lt;&gt;"",AVERAGE('Raw Data'!Q116,'Raw Data'!S116,'Raw Data'!U116,'Raw Data'!W116,'Raw Data'!Y116),"")</f>
        <v/>
      </c>
      <c r="K129" s="11" t="str">
        <f t="shared" si="15"/>
        <v/>
      </c>
      <c r="L129" s="11" t="str">
        <f>IF('Raw Data'!A116&lt;&gt;"",AVERAGE('Raw Data'!Z116,'Raw Data'!AB116,'Raw Data'!AD116,'Raw Data'!AF116,'Raw Data'!AH116),"")</f>
        <v/>
      </c>
      <c r="M129" s="11" t="str">
        <f>IF('Raw Data'!A116&lt;&gt;"",AVERAGE('Raw Data'!AA116,'Raw Data'!AC116,'Raw Data'!AE116,'Raw Data'!AG116,'Raw Data'!AI116),"")</f>
        <v/>
      </c>
      <c r="N129" s="11" t="str">
        <f t="shared" si="16"/>
        <v/>
      </c>
      <c r="O129" s="11" t="str">
        <f>IF('Raw Data'!A116&lt;&gt;"",AVERAGE('Raw Data'!AJ116,'Raw Data'!AL116,'Raw Data'!AN116,'Raw Data'!AP116,'Raw Data'!AR116),"")</f>
        <v/>
      </c>
      <c r="P129" s="11" t="str">
        <f>IF('Raw Data'!A116&lt;&gt;"",AVERAGE('Raw Data'!AK116,'Raw Data'!AM116,'Raw Data'!AO116,'Raw Data'!AQ116,'Raw Data'!AS116),"")</f>
        <v/>
      </c>
      <c r="Q129" s="11" t="str">
        <f t="shared" si="17"/>
        <v/>
      </c>
      <c r="R129" s="11" t="str">
        <f>IF('Raw Data'!A116&lt;&gt;"",AVERAGE('Raw Data'!AT116,'Raw Data'!AV116,'Raw Data'!AX116,'Raw Data'!AZ116,'Raw Data'!BB116),"")</f>
        <v/>
      </c>
      <c r="S129" s="11" t="str">
        <f>IF('Raw Data'!A116&lt;&gt;"",AVERAGE('Raw Data'!AU116,'Raw Data'!AW116,'Raw Data'!AY116,'Raw Data'!BA116,'Raw Data'!BC116),"")</f>
        <v/>
      </c>
      <c r="T129" s="11" t="str">
        <f t="shared" si="18"/>
        <v/>
      </c>
      <c r="U129" s="11" t="str">
        <f>IF('Raw Data'!A116&lt;&gt;"",AVERAGE('Raw Data'!BD116,'Raw Data'!BF116,'Raw Data'!BH116,'Raw Data'!BJ116,'Raw Data'!BL116),"")</f>
        <v/>
      </c>
      <c r="V129" s="11" t="str">
        <f>IF('Raw Data'!A116&lt;&gt;"",AVERAGE('Raw Data'!BE116,'Raw Data'!BG116,'Raw Data'!BI116,'Raw Data'!BK116,'Raw Data'!BM116),"")</f>
        <v/>
      </c>
      <c r="W129" s="11" t="str">
        <f t="shared" si="19"/>
        <v/>
      </c>
      <c r="X129" s="11" t="str">
        <f t="shared" si="20"/>
        <v/>
      </c>
      <c r="Y129" s="11" t="str">
        <f t="shared" si="21"/>
        <v/>
      </c>
      <c r="Z129" s="11" t="str">
        <f t="shared" si="22"/>
        <v/>
      </c>
      <c r="AA129" s="11" t="str">
        <f t="shared" si="23"/>
        <v/>
      </c>
      <c r="AB129" s="24" t="str">
        <f t="shared" si="24"/>
        <v/>
      </c>
    </row>
    <row r="130" spans="1:28" x14ac:dyDescent="0.25">
      <c r="A130" s="10" t="str">
        <f>IF('Raw Data'!A117&lt;&gt;"",'Raw Data'!A117,"")</f>
        <v/>
      </c>
      <c r="B130" s="10" t="str">
        <f>IF('Raw Data'!B117&lt;&gt;"",'Raw Data'!B117,"")</f>
        <v/>
      </c>
      <c r="C130" s="10" t="str">
        <f>IF('Raw Data'!C117&lt;&gt;"",'Raw Data'!C117,"")</f>
        <v/>
      </c>
      <c r="D130" s="10" t="str">
        <f>IF('Raw Data'!D117&lt;&gt;"",'Raw Data'!D117,"")</f>
        <v/>
      </c>
      <c r="E130" s="10" t="str">
        <f>IF('Raw Data'!E117&lt;&gt;"",'Raw Data'!E117,"")</f>
        <v/>
      </c>
      <c r="F130" s="14" t="str">
        <f>IF('Raw Data'!A117&lt;&gt;"",AVERAGE('Raw Data'!F117,'Raw Data'!H117,'Raw Data'!J117,'Raw Data'!L117,'Raw Data'!N117),"")</f>
        <v/>
      </c>
      <c r="G130" s="14" t="str">
        <f>IF('Raw Data'!A117&lt;&gt;"",AVERAGE('Raw Data'!G117,'Raw Data'!I117,'Raw Data'!K117,'Raw Data'!M117,'Raw Data'!O117),"")</f>
        <v/>
      </c>
      <c r="H130" s="14" t="str">
        <f t="shared" si="14"/>
        <v/>
      </c>
      <c r="I130" s="14" t="str">
        <f>IF('Raw Data'!A117&lt;&gt;"",AVERAGE('Raw Data'!P117,'Raw Data'!R117,'Raw Data'!T117,'Raw Data'!V117,'Raw Data'!X117),"")</f>
        <v/>
      </c>
      <c r="J130" s="14" t="str">
        <f>IF('Raw Data'!A117&lt;&gt;"",AVERAGE('Raw Data'!Q117,'Raw Data'!S117,'Raw Data'!U117,'Raw Data'!W117,'Raw Data'!Y117),"")</f>
        <v/>
      </c>
      <c r="K130" s="14" t="str">
        <f t="shared" si="15"/>
        <v/>
      </c>
      <c r="L130" s="14" t="str">
        <f>IF('Raw Data'!A117&lt;&gt;"",AVERAGE('Raw Data'!Z117,'Raw Data'!AB117,'Raw Data'!AD117,'Raw Data'!AF117,'Raw Data'!AH117),"")</f>
        <v/>
      </c>
      <c r="M130" s="14" t="str">
        <f>IF('Raw Data'!A117&lt;&gt;"",AVERAGE('Raw Data'!AA117,'Raw Data'!AC117,'Raw Data'!AE117,'Raw Data'!AG117,'Raw Data'!AI117),"")</f>
        <v/>
      </c>
      <c r="N130" s="14" t="str">
        <f t="shared" si="16"/>
        <v/>
      </c>
      <c r="O130" s="14" t="str">
        <f>IF('Raw Data'!A117&lt;&gt;"",AVERAGE('Raw Data'!AJ117,'Raw Data'!AL117,'Raw Data'!AN117,'Raw Data'!AP117,'Raw Data'!AR117),"")</f>
        <v/>
      </c>
      <c r="P130" s="14" t="str">
        <f>IF('Raw Data'!A117&lt;&gt;"",AVERAGE('Raw Data'!AK117,'Raw Data'!AM117,'Raw Data'!AO117,'Raw Data'!AQ117,'Raw Data'!AS117),"")</f>
        <v/>
      </c>
      <c r="Q130" s="14" t="str">
        <f t="shared" si="17"/>
        <v/>
      </c>
      <c r="R130" s="14" t="str">
        <f>IF('Raw Data'!A117&lt;&gt;"",AVERAGE('Raw Data'!AT117,'Raw Data'!AV117,'Raw Data'!AX117,'Raw Data'!AZ117,'Raw Data'!BB117),"")</f>
        <v/>
      </c>
      <c r="S130" s="14" t="str">
        <f>IF('Raw Data'!A117&lt;&gt;"",AVERAGE('Raw Data'!AU117,'Raw Data'!AW117,'Raw Data'!AY117,'Raw Data'!BA117,'Raw Data'!BC117),"")</f>
        <v/>
      </c>
      <c r="T130" s="14" t="str">
        <f t="shared" si="18"/>
        <v/>
      </c>
      <c r="U130" s="14" t="str">
        <f>IF('Raw Data'!A117&lt;&gt;"",AVERAGE('Raw Data'!BD117,'Raw Data'!BF117,'Raw Data'!BH117,'Raw Data'!BJ117,'Raw Data'!BL117),"")</f>
        <v/>
      </c>
      <c r="V130" s="14" t="str">
        <f>IF('Raw Data'!A117&lt;&gt;"",AVERAGE('Raw Data'!BE117,'Raw Data'!BG117,'Raw Data'!BI117,'Raw Data'!BK117,'Raw Data'!BM117),"")</f>
        <v/>
      </c>
      <c r="W130" s="14" t="str">
        <f t="shared" si="19"/>
        <v/>
      </c>
      <c r="X130" s="14" t="str">
        <f t="shared" si="20"/>
        <v/>
      </c>
      <c r="Y130" s="14" t="str">
        <f t="shared" si="21"/>
        <v/>
      </c>
      <c r="Z130" s="14" t="str">
        <f t="shared" si="22"/>
        <v/>
      </c>
      <c r="AA130" s="14" t="str">
        <f t="shared" si="23"/>
        <v/>
      </c>
      <c r="AB130" s="25" t="str">
        <f t="shared" si="24"/>
        <v/>
      </c>
    </row>
    <row r="131" spans="1:28" x14ac:dyDescent="0.25">
      <c r="A131" s="2" t="str">
        <f>IF('Raw Data'!A118&lt;&gt;"",'Raw Data'!A118,"")</f>
        <v/>
      </c>
      <c r="B131" s="2" t="str">
        <f>IF('Raw Data'!B118&lt;&gt;"",'Raw Data'!B118,"")</f>
        <v/>
      </c>
      <c r="C131" s="2" t="str">
        <f>IF('Raw Data'!C118&lt;&gt;"",'Raw Data'!C118,"")</f>
        <v/>
      </c>
      <c r="D131" s="2" t="str">
        <f>IF('Raw Data'!D118&lt;&gt;"",'Raw Data'!D118,"")</f>
        <v/>
      </c>
      <c r="E131" s="2" t="str">
        <f>IF('Raw Data'!E118&lt;&gt;"",'Raw Data'!E118,"")</f>
        <v/>
      </c>
      <c r="F131" s="11" t="str">
        <f>IF('Raw Data'!A118&lt;&gt;"",AVERAGE('Raw Data'!F118,'Raw Data'!H118,'Raw Data'!J118,'Raw Data'!L118,'Raw Data'!N118),"")</f>
        <v/>
      </c>
      <c r="G131" s="11" t="str">
        <f>IF('Raw Data'!A118&lt;&gt;"",AVERAGE('Raw Data'!G118,'Raw Data'!I118,'Raw Data'!K118,'Raw Data'!M118,'Raw Data'!O118),"")</f>
        <v/>
      </c>
      <c r="H131" s="11" t="str">
        <f t="shared" si="14"/>
        <v/>
      </c>
      <c r="I131" s="11" t="str">
        <f>IF('Raw Data'!A118&lt;&gt;"",AVERAGE('Raw Data'!P118,'Raw Data'!R118,'Raw Data'!T118,'Raw Data'!V118,'Raw Data'!X118),"")</f>
        <v/>
      </c>
      <c r="J131" s="11" t="str">
        <f>IF('Raw Data'!A118&lt;&gt;"",AVERAGE('Raw Data'!Q118,'Raw Data'!S118,'Raw Data'!U118,'Raw Data'!W118,'Raw Data'!Y118),"")</f>
        <v/>
      </c>
      <c r="K131" s="11" t="str">
        <f t="shared" si="15"/>
        <v/>
      </c>
      <c r="L131" s="11" t="str">
        <f>IF('Raw Data'!A118&lt;&gt;"",AVERAGE('Raw Data'!Z118,'Raw Data'!AB118,'Raw Data'!AD118,'Raw Data'!AF118,'Raw Data'!AH118),"")</f>
        <v/>
      </c>
      <c r="M131" s="11" t="str">
        <f>IF('Raw Data'!A118&lt;&gt;"",AVERAGE('Raw Data'!AA118,'Raw Data'!AC118,'Raw Data'!AE118,'Raw Data'!AG118,'Raw Data'!AI118),"")</f>
        <v/>
      </c>
      <c r="N131" s="11" t="str">
        <f t="shared" si="16"/>
        <v/>
      </c>
      <c r="O131" s="11" t="str">
        <f>IF('Raw Data'!A118&lt;&gt;"",AVERAGE('Raw Data'!AJ118,'Raw Data'!AL118,'Raw Data'!AN118,'Raw Data'!AP118,'Raw Data'!AR118),"")</f>
        <v/>
      </c>
      <c r="P131" s="11" t="str">
        <f>IF('Raw Data'!A118&lt;&gt;"",AVERAGE('Raw Data'!AK118,'Raw Data'!AM118,'Raw Data'!AO118,'Raw Data'!AQ118,'Raw Data'!AS118),"")</f>
        <v/>
      </c>
      <c r="Q131" s="11" t="str">
        <f t="shared" si="17"/>
        <v/>
      </c>
      <c r="R131" s="11" t="str">
        <f>IF('Raw Data'!A118&lt;&gt;"",AVERAGE('Raw Data'!AT118,'Raw Data'!AV118,'Raw Data'!AX118,'Raw Data'!AZ118,'Raw Data'!BB118),"")</f>
        <v/>
      </c>
      <c r="S131" s="11" t="str">
        <f>IF('Raw Data'!A118&lt;&gt;"",AVERAGE('Raw Data'!AU118,'Raw Data'!AW118,'Raw Data'!AY118,'Raw Data'!BA118,'Raw Data'!BC118),"")</f>
        <v/>
      </c>
      <c r="T131" s="11" t="str">
        <f t="shared" si="18"/>
        <v/>
      </c>
      <c r="U131" s="11" t="str">
        <f>IF('Raw Data'!A118&lt;&gt;"",AVERAGE('Raw Data'!BD118,'Raw Data'!BF118,'Raw Data'!BH118,'Raw Data'!BJ118,'Raw Data'!BL118),"")</f>
        <v/>
      </c>
      <c r="V131" s="11" t="str">
        <f>IF('Raw Data'!A118&lt;&gt;"",AVERAGE('Raw Data'!BE118,'Raw Data'!BG118,'Raw Data'!BI118,'Raw Data'!BK118,'Raw Data'!BM118),"")</f>
        <v/>
      </c>
      <c r="W131" s="11" t="str">
        <f t="shared" si="19"/>
        <v/>
      </c>
      <c r="X131" s="11" t="str">
        <f t="shared" si="20"/>
        <v/>
      </c>
      <c r="Y131" s="11" t="str">
        <f t="shared" si="21"/>
        <v/>
      </c>
      <c r="Z131" s="11" t="str">
        <f t="shared" si="22"/>
        <v/>
      </c>
      <c r="AA131" s="11" t="str">
        <f t="shared" si="23"/>
        <v/>
      </c>
      <c r="AB131" s="24" t="str">
        <f t="shared" si="24"/>
        <v/>
      </c>
    </row>
    <row r="132" spans="1:28" x14ac:dyDescent="0.25">
      <c r="A132" s="10" t="str">
        <f>IF('Raw Data'!A119&lt;&gt;"",'Raw Data'!A119,"")</f>
        <v/>
      </c>
      <c r="B132" s="10" t="str">
        <f>IF('Raw Data'!B119&lt;&gt;"",'Raw Data'!B119,"")</f>
        <v/>
      </c>
      <c r="C132" s="10" t="str">
        <f>IF('Raw Data'!C119&lt;&gt;"",'Raw Data'!C119,"")</f>
        <v/>
      </c>
      <c r="D132" s="10" t="str">
        <f>IF('Raw Data'!D119&lt;&gt;"",'Raw Data'!D119,"")</f>
        <v/>
      </c>
      <c r="E132" s="10" t="str">
        <f>IF('Raw Data'!E119&lt;&gt;"",'Raw Data'!E119,"")</f>
        <v/>
      </c>
      <c r="F132" s="14" t="str">
        <f>IF('Raw Data'!A119&lt;&gt;"",AVERAGE('Raw Data'!F119,'Raw Data'!H119,'Raw Data'!J119,'Raw Data'!L119,'Raw Data'!N119),"")</f>
        <v/>
      </c>
      <c r="G132" s="14" t="str">
        <f>IF('Raw Data'!A119&lt;&gt;"",AVERAGE('Raw Data'!G119,'Raw Data'!I119,'Raw Data'!K119,'Raw Data'!M119,'Raw Data'!O119),"")</f>
        <v/>
      </c>
      <c r="H132" s="14" t="str">
        <f t="shared" si="14"/>
        <v/>
      </c>
      <c r="I132" s="14" t="str">
        <f>IF('Raw Data'!A119&lt;&gt;"",AVERAGE('Raw Data'!P119,'Raw Data'!R119,'Raw Data'!T119,'Raw Data'!V119,'Raw Data'!X119),"")</f>
        <v/>
      </c>
      <c r="J132" s="14" t="str">
        <f>IF('Raw Data'!A119&lt;&gt;"",AVERAGE('Raw Data'!Q119,'Raw Data'!S119,'Raw Data'!U119,'Raw Data'!W119,'Raw Data'!Y119),"")</f>
        <v/>
      </c>
      <c r="K132" s="14" t="str">
        <f t="shared" si="15"/>
        <v/>
      </c>
      <c r="L132" s="14" t="str">
        <f>IF('Raw Data'!A119&lt;&gt;"",AVERAGE('Raw Data'!Z119,'Raw Data'!AB119,'Raw Data'!AD119,'Raw Data'!AF119,'Raw Data'!AH119),"")</f>
        <v/>
      </c>
      <c r="M132" s="14" t="str">
        <f>IF('Raw Data'!A119&lt;&gt;"",AVERAGE('Raw Data'!AA119,'Raw Data'!AC119,'Raw Data'!AE119,'Raw Data'!AG119,'Raw Data'!AI119),"")</f>
        <v/>
      </c>
      <c r="N132" s="14" t="str">
        <f t="shared" si="16"/>
        <v/>
      </c>
      <c r="O132" s="14" t="str">
        <f>IF('Raw Data'!A119&lt;&gt;"",AVERAGE('Raw Data'!AJ119,'Raw Data'!AL119,'Raw Data'!AN119,'Raw Data'!AP119,'Raw Data'!AR119),"")</f>
        <v/>
      </c>
      <c r="P132" s="14" t="str">
        <f>IF('Raw Data'!A119&lt;&gt;"",AVERAGE('Raw Data'!AK119,'Raw Data'!AM119,'Raw Data'!AO119,'Raw Data'!AQ119,'Raw Data'!AS119),"")</f>
        <v/>
      </c>
      <c r="Q132" s="14" t="str">
        <f t="shared" si="17"/>
        <v/>
      </c>
      <c r="R132" s="14" t="str">
        <f>IF('Raw Data'!A119&lt;&gt;"",AVERAGE('Raw Data'!AT119,'Raw Data'!AV119,'Raw Data'!AX119,'Raw Data'!AZ119,'Raw Data'!BB119),"")</f>
        <v/>
      </c>
      <c r="S132" s="14" t="str">
        <f>IF('Raw Data'!A119&lt;&gt;"",AVERAGE('Raw Data'!AU119,'Raw Data'!AW119,'Raw Data'!AY119,'Raw Data'!BA119,'Raw Data'!BC119),"")</f>
        <v/>
      </c>
      <c r="T132" s="14" t="str">
        <f t="shared" si="18"/>
        <v/>
      </c>
      <c r="U132" s="14" t="str">
        <f>IF('Raw Data'!A119&lt;&gt;"",AVERAGE('Raw Data'!BD119,'Raw Data'!BF119,'Raw Data'!BH119,'Raw Data'!BJ119,'Raw Data'!BL119),"")</f>
        <v/>
      </c>
      <c r="V132" s="14" t="str">
        <f>IF('Raw Data'!A119&lt;&gt;"",AVERAGE('Raw Data'!BE119,'Raw Data'!BG119,'Raw Data'!BI119,'Raw Data'!BK119,'Raw Data'!BM119),"")</f>
        <v/>
      </c>
      <c r="W132" s="14" t="str">
        <f t="shared" si="19"/>
        <v/>
      </c>
      <c r="X132" s="14" t="str">
        <f t="shared" si="20"/>
        <v/>
      </c>
      <c r="Y132" s="14" t="str">
        <f t="shared" si="21"/>
        <v/>
      </c>
      <c r="Z132" s="14" t="str">
        <f t="shared" si="22"/>
        <v/>
      </c>
      <c r="AA132" s="14" t="str">
        <f t="shared" si="23"/>
        <v/>
      </c>
      <c r="AB132" s="25" t="str">
        <f t="shared" si="24"/>
        <v/>
      </c>
    </row>
    <row r="133" spans="1:28" x14ac:dyDescent="0.25">
      <c r="A133" s="2" t="str">
        <f>IF('Raw Data'!A120&lt;&gt;"",'Raw Data'!A120,"")</f>
        <v/>
      </c>
      <c r="B133" s="2" t="str">
        <f>IF('Raw Data'!B120&lt;&gt;"",'Raw Data'!B120,"")</f>
        <v/>
      </c>
      <c r="C133" s="2" t="str">
        <f>IF('Raw Data'!C120&lt;&gt;"",'Raw Data'!C120,"")</f>
        <v/>
      </c>
      <c r="D133" s="2" t="str">
        <f>IF('Raw Data'!D120&lt;&gt;"",'Raw Data'!D120,"")</f>
        <v/>
      </c>
      <c r="E133" s="2" t="str">
        <f>IF('Raw Data'!E120&lt;&gt;"",'Raw Data'!E120,"")</f>
        <v/>
      </c>
      <c r="F133" s="11" t="str">
        <f>IF('Raw Data'!A120&lt;&gt;"",AVERAGE('Raw Data'!F120,'Raw Data'!H120,'Raw Data'!J120,'Raw Data'!L120,'Raw Data'!N120),"")</f>
        <v/>
      </c>
      <c r="G133" s="11" t="str">
        <f>IF('Raw Data'!A120&lt;&gt;"",AVERAGE('Raw Data'!G120,'Raw Data'!I120,'Raw Data'!K120,'Raw Data'!M120,'Raw Data'!O120),"")</f>
        <v/>
      </c>
      <c r="H133" s="11" t="str">
        <f t="shared" si="14"/>
        <v/>
      </c>
      <c r="I133" s="11" t="str">
        <f>IF('Raw Data'!A120&lt;&gt;"",AVERAGE('Raw Data'!P120,'Raw Data'!R120,'Raw Data'!T120,'Raw Data'!V120,'Raw Data'!X120),"")</f>
        <v/>
      </c>
      <c r="J133" s="11" t="str">
        <f>IF('Raw Data'!A120&lt;&gt;"",AVERAGE('Raw Data'!Q120,'Raw Data'!S120,'Raw Data'!U120,'Raw Data'!W120,'Raw Data'!Y120),"")</f>
        <v/>
      </c>
      <c r="K133" s="11" t="str">
        <f t="shared" si="15"/>
        <v/>
      </c>
      <c r="L133" s="11" t="str">
        <f>IF('Raw Data'!A120&lt;&gt;"",AVERAGE('Raw Data'!Z120,'Raw Data'!AB120,'Raw Data'!AD120,'Raw Data'!AF120,'Raw Data'!AH120),"")</f>
        <v/>
      </c>
      <c r="M133" s="11" t="str">
        <f>IF('Raw Data'!A120&lt;&gt;"",AVERAGE('Raw Data'!AA120,'Raw Data'!AC120,'Raw Data'!AE120,'Raw Data'!AG120,'Raw Data'!AI120),"")</f>
        <v/>
      </c>
      <c r="N133" s="11" t="str">
        <f t="shared" si="16"/>
        <v/>
      </c>
      <c r="O133" s="11" t="str">
        <f>IF('Raw Data'!A120&lt;&gt;"",AVERAGE('Raw Data'!AJ120,'Raw Data'!AL120,'Raw Data'!AN120,'Raw Data'!AP120,'Raw Data'!AR120),"")</f>
        <v/>
      </c>
      <c r="P133" s="11" t="str">
        <f>IF('Raw Data'!A120&lt;&gt;"",AVERAGE('Raw Data'!AK120,'Raw Data'!AM120,'Raw Data'!AO120,'Raw Data'!AQ120,'Raw Data'!AS120),"")</f>
        <v/>
      </c>
      <c r="Q133" s="11" t="str">
        <f t="shared" si="17"/>
        <v/>
      </c>
      <c r="R133" s="11" t="str">
        <f>IF('Raw Data'!A120&lt;&gt;"",AVERAGE('Raw Data'!AT120,'Raw Data'!AV120,'Raw Data'!AX120,'Raw Data'!AZ120,'Raw Data'!BB120),"")</f>
        <v/>
      </c>
      <c r="S133" s="11" t="str">
        <f>IF('Raw Data'!A120&lt;&gt;"",AVERAGE('Raw Data'!AU120,'Raw Data'!AW120,'Raw Data'!AY120,'Raw Data'!BA120,'Raw Data'!BC120),"")</f>
        <v/>
      </c>
      <c r="T133" s="11" t="str">
        <f t="shared" si="18"/>
        <v/>
      </c>
      <c r="U133" s="11" t="str">
        <f>IF('Raw Data'!A120&lt;&gt;"",AVERAGE('Raw Data'!BD120,'Raw Data'!BF120,'Raw Data'!BH120,'Raw Data'!BJ120,'Raw Data'!BL120),"")</f>
        <v/>
      </c>
      <c r="V133" s="11" t="str">
        <f>IF('Raw Data'!A120&lt;&gt;"",AVERAGE('Raw Data'!BE120,'Raw Data'!BG120,'Raw Data'!BI120,'Raw Data'!BK120,'Raw Data'!BM120),"")</f>
        <v/>
      </c>
      <c r="W133" s="11" t="str">
        <f t="shared" si="19"/>
        <v/>
      </c>
      <c r="X133" s="11" t="str">
        <f t="shared" si="20"/>
        <v/>
      </c>
      <c r="Y133" s="11" t="str">
        <f t="shared" si="21"/>
        <v/>
      </c>
      <c r="Z133" s="11" t="str">
        <f t="shared" si="22"/>
        <v/>
      </c>
      <c r="AA133" s="11" t="str">
        <f t="shared" si="23"/>
        <v/>
      </c>
      <c r="AB133" s="24" t="str">
        <f t="shared" si="24"/>
        <v/>
      </c>
    </row>
    <row r="134" spans="1:28" x14ac:dyDescent="0.25">
      <c r="A134" s="10" t="str">
        <f>IF('Raw Data'!A121&lt;&gt;"",'Raw Data'!A121,"")</f>
        <v/>
      </c>
      <c r="B134" s="10" t="str">
        <f>IF('Raw Data'!B121&lt;&gt;"",'Raw Data'!B121,"")</f>
        <v/>
      </c>
      <c r="C134" s="10" t="str">
        <f>IF('Raw Data'!C121&lt;&gt;"",'Raw Data'!C121,"")</f>
        <v/>
      </c>
      <c r="D134" s="10" t="str">
        <f>IF('Raw Data'!D121&lt;&gt;"",'Raw Data'!D121,"")</f>
        <v/>
      </c>
      <c r="E134" s="10" t="str">
        <f>IF('Raw Data'!E121&lt;&gt;"",'Raw Data'!E121,"")</f>
        <v/>
      </c>
      <c r="F134" s="14" t="str">
        <f>IF('Raw Data'!A121&lt;&gt;"",AVERAGE('Raw Data'!F121,'Raw Data'!H121,'Raw Data'!J121,'Raw Data'!L121,'Raw Data'!N121),"")</f>
        <v/>
      </c>
      <c r="G134" s="14" t="str">
        <f>IF('Raw Data'!A121&lt;&gt;"",AVERAGE('Raw Data'!G121,'Raw Data'!I121,'Raw Data'!K121,'Raw Data'!M121,'Raw Data'!O121),"")</f>
        <v/>
      </c>
      <c r="H134" s="14" t="str">
        <f t="shared" si="14"/>
        <v/>
      </c>
      <c r="I134" s="14" t="str">
        <f>IF('Raw Data'!A121&lt;&gt;"",AVERAGE('Raw Data'!P121,'Raw Data'!R121,'Raw Data'!T121,'Raw Data'!V121,'Raw Data'!X121),"")</f>
        <v/>
      </c>
      <c r="J134" s="14" t="str">
        <f>IF('Raw Data'!A121&lt;&gt;"",AVERAGE('Raw Data'!Q121,'Raw Data'!S121,'Raw Data'!U121,'Raw Data'!W121,'Raw Data'!Y121),"")</f>
        <v/>
      </c>
      <c r="K134" s="14" t="str">
        <f t="shared" si="15"/>
        <v/>
      </c>
      <c r="L134" s="14" t="str">
        <f>IF('Raw Data'!A121&lt;&gt;"",AVERAGE('Raw Data'!Z121,'Raw Data'!AB121,'Raw Data'!AD121,'Raw Data'!AF121,'Raw Data'!AH121),"")</f>
        <v/>
      </c>
      <c r="M134" s="14" t="str">
        <f>IF('Raw Data'!A121&lt;&gt;"",AVERAGE('Raw Data'!AA121,'Raw Data'!AC121,'Raw Data'!AE121,'Raw Data'!AG121,'Raw Data'!AI121),"")</f>
        <v/>
      </c>
      <c r="N134" s="14" t="str">
        <f t="shared" si="16"/>
        <v/>
      </c>
      <c r="O134" s="14" t="str">
        <f>IF('Raw Data'!A121&lt;&gt;"",AVERAGE('Raw Data'!AJ121,'Raw Data'!AL121,'Raw Data'!AN121,'Raw Data'!AP121,'Raw Data'!AR121),"")</f>
        <v/>
      </c>
      <c r="P134" s="14" t="str">
        <f>IF('Raw Data'!A121&lt;&gt;"",AVERAGE('Raw Data'!AK121,'Raw Data'!AM121,'Raw Data'!AO121,'Raw Data'!AQ121,'Raw Data'!AS121),"")</f>
        <v/>
      </c>
      <c r="Q134" s="14" t="str">
        <f t="shared" si="17"/>
        <v/>
      </c>
      <c r="R134" s="14" t="str">
        <f>IF('Raw Data'!A121&lt;&gt;"",AVERAGE('Raw Data'!AT121,'Raw Data'!AV121,'Raw Data'!AX121,'Raw Data'!AZ121,'Raw Data'!BB121),"")</f>
        <v/>
      </c>
      <c r="S134" s="14" t="str">
        <f>IF('Raw Data'!A121&lt;&gt;"",AVERAGE('Raw Data'!AU121,'Raw Data'!AW121,'Raw Data'!AY121,'Raw Data'!BA121,'Raw Data'!BC121),"")</f>
        <v/>
      </c>
      <c r="T134" s="14" t="str">
        <f t="shared" si="18"/>
        <v/>
      </c>
      <c r="U134" s="14" t="str">
        <f>IF('Raw Data'!A121&lt;&gt;"",AVERAGE('Raw Data'!BD121,'Raw Data'!BF121,'Raw Data'!BH121,'Raw Data'!BJ121,'Raw Data'!BL121),"")</f>
        <v/>
      </c>
      <c r="V134" s="14" t="str">
        <f>IF('Raw Data'!A121&lt;&gt;"",AVERAGE('Raw Data'!BE121,'Raw Data'!BG121,'Raw Data'!BI121,'Raw Data'!BK121,'Raw Data'!BM121),"")</f>
        <v/>
      </c>
      <c r="W134" s="14" t="str">
        <f t="shared" si="19"/>
        <v/>
      </c>
      <c r="X134" s="14" t="str">
        <f t="shared" si="20"/>
        <v/>
      </c>
      <c r="Y134" s="14" t="str">
        <f t="shared" si="21"/>
        <v/>
      </c>
      <c r="Z134" s="14" t="str">
        <f t="shared" si="22"/>
        <v/>
      </c>
      <c r="AA134" s="14" t="str">
        <f t="shared" si="23"/>
        <v/>
      </c>
      <c r="AB134" s="25" t="str">
        <f t="shared" si="24"/>
        <v/>
      </c>
    </row>
    <row r="135" spans="1:28" x14ac:dyDescent="0.25">
      <c r="A135" s="2" t="str">
        <f>IF('Raw Data'!A122&lt;&gt;"",'Raw Data'!A122,"")</f>
        <v/>
      </c>
      <c r="B135" s="2" t="str">
        <f>IF('Raw Data'!B122&lt;&gt;"",'Raw Data'!B122,"")</f>
        <v/>
      </c>
      <c r="C135" s="2" t="str">
        <f>IF('Raw Data'!C122&lt;&gt;"",'Raw Data'!C122,"")</f>
        <v/>
      </c>
      <c r="D135" s="2" t="str">
        <f>IF('Raw Data'!D122&lt;&gt;"",'Raw Data'!D122,"")</f>
        <v/>
      </c>
      <c r="E135" s="2" t="str">
        <f>IF('Raw Data'!E122&lt;&gt;"",'Raw Data'!E122,"")</f>
        <v/>
      </c>
      <c r="F135" s="11" t="str">
        <f>IF('Raw Data'!A122&lt;&gt;"",AVERAGE('Raw Data'!F122,'Raw Data'!H122,'Raw Data'!J122,'Raw Data'!L122,'Raw Data'!N122),"")</f>
        <v/>
      </c>
      <c r="G135" s="11" t="str">
        <f>IF('Raw Data'!A122&lt;&gt;"",AVERAGE('Raw Data'!G122,'Raw Data'!I122,'Raw Data'!K122,'Raw Data'!M122,'Raw Data'!O122),"")</f>
        <v/>
      </c>
      <c r="H135" s="11" t="str">
        <f t="shared" si="14"/>
        <v/>
      </c>
      <c r="I135" s="11" t="str">
        <f>IF('Raw Data'!A122&lt;&gt;"",AVERAGE('Raw Data'!P122,'Raw Data'!R122,'Raw Data'!T122,'Raw Data'!V122,'Raw Data'!X122),"")</f>
        <v/>
      </c>
      <c r="J135" s="11" t="str">
        <f>IF('Raw Data'!A122&lt;&gt;"",AVERAGE('Raw Data'!Q122,'Raw Data'!S122,'Raw Data'!U122,'Raw Data'!W122,'Raw Data'!Y122),"")</f>
        <v/>
      </c>
      <c r="K135" s="11" t="str">
        <f t="shared" si="15"/>
        <v/>
      </c>
      <c r="L135" s="11" t="str">
        <f>IF('Raw Data'!A122&lt;&gt;"",AVERAGE('Raw Data'!Z122,'Raw Data'!AB122,'Raw Data'!AD122,'Raw Data'!AF122,'Raw Data'!AH122),"")</f>
        <v/>
      </c>
      <c r="M135" s="11" t="str">
        <f>IF('Raw Data'!A122&lt;&gt;"",AVERAGE('Raw Data'!AA122,'Raw Data'!AC122,'Raw Data'!AE122,'Raw Data'!AG122,'Raw Data'!AI122),"")</f>
        <v/>
      </c>
      <c r="N135" s="11" t="str">
        <f t="shared" si="16"/>
        <v/>
      </c>
      <c r="O135" s="11" t="str">
        <f>IF('Raw Data'!A122&lt;&gt;"",AVERAGE('Raw Data'!AJ122,'Raw Data'!AL122,'Raw Data'!AN122,'Raw Data'!AP122,'Raw Data'!AR122),"")</f>
        <v/>
      </c>
      <c r="P135" s="11" t="str">
        <f>IF('Raw Data'!A122&lt;&gt;"",AVERAGE('Raw Data'!AK122,'Raw Data'!AM122,'Raw Data'!AO122,'Raw Data'!AQ122,'Raw Data'!AS122),"")</f>
        <v/>
      </c>
      <c r="Q135" s="11" t="str">
        <f t="shared" si="17"/>
        <v/>
      </c>
      <c r="R135" s="11" t="str">
        <f>IF('Raw Data'!A122&lt;&gt;"",AVERAGE('Raw Data'!AT122,'Raw Data'!AV122,'Raw Data'!AX122,'Raw Data'!AZ122,'Raw Data'!BB122),"")</f>
        <v/>
      </c>
      <c r="S135" s="11" t="str">
        <f>IF('Raw Data'!A122&lt;&gt;"",AVERAGE('Raw Data'!AU122,'Raw Data'!AW122,'Raw Data'!AY122,'Raw Data'!BA122,'Raw Data'!BC122),"")</f>
        <v/>
      </c>
      <c r="T135" s="11" t="str">
        <f t="shared" si="18"/>
        <v/>
      </c>
      <c r="U135" s="11" t="str">
        <f>IF('Raw Data'!A122&lt;&gt;"",AVERAGE('Raw Data'!BD122,'Raw Data'!BF122,'Raw Data'!BH122,'Raw Data'!BJ122,'Raw Data'!BL122),"")</f>
        <v/>
      </c>
      <c r="V135" s="11" t="str">
        <f>IF('Raw Data'!A122&lt;&gt;"",AVERAGE('Raw Data'!BE122,'Raw Data'!BG122,'Raw Data'!BI122,'Raw Data'!BK122,'Raw Data'!BM122),"")</f>
        <v/>
      </c>
      <c r="W135" s="11" t="str">
        <f t="shared" si="19"/>
        <v/>
      </c>
      <c r="X135" s="11" t="str">
        <f t="shared" si="20"/>
        <v/>
      </c>
      <c r="Y135" s="11" t="str">
        <f t="shared" si="21"/>
        <v/>
      </c>
      <c r="Z135" s="11" t="str">
        <f t="shared" si="22"/>
        <v/>
      </c>
      <c r="AA135" s="11" t="str">
        <f t="shared" si="23"/>
        <v/>
      </c>
      <c r="AB135" s="24" t="str">
        <f t="shared" si="24"/>
        <v/>
      </c>
    </row>
    <row r="136" spans="1:28" x14ac:dyDescent="0.25">
      <c r="A136" s="10" t="str">
        <f>IF('Raw Data'!A123&lt;&gt;"",'Raw Data'!A123,"")</f>
        <v/>
      </c>
      <c r="B136" s="10" t="str">
        <f>IF('Raw Data'!B123&lt;&gt;"",'Raw Data'!B123,"")</f>
        <v/>
      </c>
      <c r="C136" s="10" t="str">
        <f>IF('Raw Data'!C123&lt;&gt;"",'Raw Data'!C123,"")</f>
        <v/>
      </c>
      <c r="D136" s="10" t="str">
        <f>IF('Raw Data'!D123&lt;&gt;"",'Raw Data'!D123,"")</f>
        <v/>
      </c>
      <c r="E136" s="10" t="str">
        <f>IF('Raw Data'!E123&lt;&gt;"",'Raw Data'!E123,"")</f>
        <v/>
      </c>
      <c r="F136" s="14" t="str">
        <f>IF('Raw Data'!A123&lt;&gt;"",AVERAGE('Raw Data'!F123,'Raw Data'!H123,'Raw Data'!J123,'Raw Data'!L123,'Raw Data'!N123),"")</f>
        <v/>
      </c>
      <c r="G136" s="14" t="str">
        <f>IF('Raw Data'!A123&lt;&gt;"",AVERAGE('Raw Data'!G123,'Raw Data'!I123,'Raw Data'!K123,'Raw Data'!M123,'Raw Data'!O123),"")</f>
        <v/>
      </c>
      <c r="H136" s="14" t="str">
        <f t="shared" si="14"/>
        <v/>
      </c>
      <c r="I136" s="14" t="str">
        <f>IF('Raw Data'!A123&lt;&gt;"",AVERAGE('Raw Data'!P123,'Raw Data'!R123,'Raw Data'!T123,'Raw Data'!V123,'Raw Data'!X123),"")</f>
        <v/>
      </c>
      <c r="J136" s="14" t="str">
        <f>IF('Raw Data'!A123&lt;&gt;"",AVERAGE('Raw Data'!Q123,'Raw Data'!S123,'Raw Data'!U123,'Raw Data'!W123,'Raw Data'!Y123),"")</f>
        <v/>
      </c>
      <c r="K136" s="14" t="str">
        <f t="shared" si="15"/>
        <v/>
      </c>
      <c r="L136" s="14" t="str">
        <f>IF('Raw Data'!A123&lt;&gt;"",AVERAGE('Raw Data'!Z123,'Raw Data'!AB123,'Raw Data'!AD123,'Raw Data'!AF123,'Raw Data'!AH123),"")</f>
        <v/>
      </c>
      <c r="M136" s="14" t="str">
        <f>IF('Raw Data'!A123&lt;&gt;"",AVERAGE('Raw Data'!AA123,'Raw Data'!AC123,'Raw Data'!AE123,'Raw Data'!AG123,'Raw Data'!AI123),"")</f>
        <v/>
      </c>
      <c r="N136" s="14" t="str">
        <f t="shared" si="16"/>
        <v/>
      </c>
      <c r="O136" s="14" t="str">
        <f>IF('Raw Data'!A123&lt;&gt;"",AVERAGE('Raw Data'!AJ123,'Raw Data'!AL123,'Raw Data'!AN123,'Raw Data'!AP123,'Raw Data'!AR123),"")</f>
        <v/>
      </c>
      <c r="P136" s="14" t="str">
        <f>IF('Raw Data'!A123&lt;&gt;"",AVERAGE('Raw Data'!AK123,'Raw Data'!AM123,'Raw Data'!AO123,'Raw Data'!AQ123,'Raw Data'!AS123),"")</f>
        <v/>
      </c>
      <c r="Q136" s="14" t="str">
        <f t="shared" si="17"/>
        <v/>
      </c>
      <c r="R136" s="14" t="str">
        <f>IF('Raw Data'!A123&lt;&gt;"",AVERAGE('Raw Data'!AT123,'Raw Data'!AV123,'Raw Data'!AX123,'Raw Data'!AZ123,'Raw Data'!BB123),"")</f>
        <v/>
      </c>
      <c r="S136" s="14" t="str">
        <f>IF('Raw Data'!A123&lt;&gt;"",AVERAGE('Raw Data'!AU123,'Raw Data'!AW123,'Raw Data'!AY123,'Raw Data'!BA123,'Raw Data'!BC123),"")</f>
        <v/>
      </c>
      <c r="T136" s="14" t="str">
        <f t="shared" si="18"/>
        <v/>
      </c>
      <c r="U136" s="14" t="str">
        <f>IF('Raw Data'!A123&lt;&gt;"",AVERAGE('Raw Data'!BD123,'Raw Data'!BF123,'Raw Data'!BH123,'Raw Data'!BJ123,'Raw Data'!BL123),"")</f>
        <v/>
      </c>
      <c r="V136" s="14" t="str">
        <f>IF('Raw Data'!A123&lt;&gt;"",AVERAGE('Raw Data'!BE123,'Raw Data'!BG123,'Raw Data'!BI123,'Raw Data'!BK123,'Raw Data'!BM123),"")</f>
        <v/>
      </c>
      <c r="W136" s="14" t="str">
        <f t="shared" si="19"/>
        <v/>
      </c>
      <c r="X136" s="14" t="str">
        <f t="shared" si="20"/>
        <v/>
      </c>
      <c r="Y136" s="14" t="str">
        <f t="shared" si="21"/>
        <v/>
      </c>
      <c r="Z136" s="14" t="str">
        <f t="shared" si="22"/>
        <v/>
      </c>
      <c r="AA136" s="14" t="str">
        <f t="shared" si="23"/>
        <v/>
      </c>
      <c r="AB136" s="25" t="str">
        <f t="shared" si="24"/>
        <v/>
      </c>
    </row>
    <row r="137" spans="1:28" x14ac:dyDescent="0.25">
      <c r="A137" s="2" t="str">
        <f>IF('Raw Data'!A124&lt;&gt;"",'Raw Data'!A124,"")</f>
        <v/>
      </c>
      <c r="B137" s="2" t="str">
        <f>IF('Raw Data'!B124&lt;&gt;"",'Raw Data'!B124,"")</f>
        <v/>
      </c>
      <c r="C137" s="2" t="str">
        <f>IF('Raw Data'!C124&lt;&gt;"",'Raw Data'!C124,"")</f>
        <v/>
      </c>
      <c r="D137" s="2" t="str">
        <f>IF('Raw Data'!D124&lt;&gt;"",'Raw Data'!D124,"")</f>
        <v/>
      </c>
      <c r="E137" s="2" t="str">
        <f>IF('Raw Data'!E124&lt;&gt;"",'Raw Data'!E124,"")</f>
        <v/>
      </c>
      <c r="F137" s="11" t="str">
        <f>IF('Raw Data'!A124&lt;&gt;"",AVERAGE('Raw Data'!F124,'Raw Data'!H124,'Raw Data'!J124,'Raw Data'!L124,'Raw Data'!N124),"")</f>
        <v/>
      </c>
      <c r="G137" s="11" t="str">
        <f>IF('Raw Data'!A124&lt;&gt;"",AVERAGE('Raw Data'!G124,'Raw Data'!I124,'Raw Data'!K124,'Raw Data'!M124,'Raw Data'!O124),"")</f>
        <v/>
      </c>
      <c r="H137" s="11" t="str">
        <f t="shared" si="14"/>
        <v/>
      </c>
      <c r="I137" s="11" t="str">
        <f>IF('Raw Data'!A124&lt;&gt;"",AVERAGE('Raw Data'!P124,'Raw Data'!R124,'Raw Data'!T124,'Raw Data'!V124,'Raw Data'!X124),"")</f>
        <v/>
      </c>
      <c r="J137" s="11" t="str">
        <f>IF('Raw Data'!A124&lt;&gt;"",AVERAGE('Raw Data'!Q124,'Raw Data'!S124,'Raw Data'!U124,'Raw Data'!W124,'Raw Data'!Y124),"")</f>
        <v/>
      </c>
      <c r="K137" s="11" t="str">
        <f t="shared" si="15"/>
        <v/>
      </c>
      <c r="L137" s="11" t="str">
        <f>IF('Raw Data'!A124&lt;&gt;"",AVERAGE('Raw Data'!Z124,'Raw Data'!AB124,'Raw Data'!AD124,'Raw Data'!AF124,'Raw Data'!AH124),"")</f>
        <v/>
      </c>
      <c r="M137" s="11" t="str">
        <f>IF('Raw Data'!A124&lt;&gt;"",AVERAGE('Raw Data'!AA124,'Raw Data'!AC124,'Raw Data'!AE124,'Raw Data'!AG124,'Raw Data'!AI124),"")</f>
        <v/>
      </c>
      <c r="N137" s="11" t="str">
        <f t="shared" si="16"/>
        <v/>
      </c>
      <c r="O137" s="11" t="str">
        <f>IF('Raw Data'!A124&lt;&gt;"",AVERAGE('Raw Data'!AJ124,'Raw Data'!AL124,'Raw Data'!AN124,'Raw Data'!AP124,'Raw Data'!AR124),"")</f>
        <v/>
      </c>
      <c r="P137" s="11" t="str">
        <f>IF('Raw Data'!A124&lt;&gt;"",AVERAGE('Raw Data'!AK124,'Raw Data'!AM124,'Raw Data'!AO124,'Raw Data'!AQ124,'Raw Data'!AS124),"")</f>
        <v/>
      </c>
      <c r="Q137" s="11" t="str">
        <f t="shared" si="17"/>
        <v/>
      </c>
      <c r="R137" s="11" t="str">
        <f>IF('Raw Data'!A124&lt;&gt;"",AVERAGE('Raw Data'!AT124,'Raw Data'!AV124,'Raw Data'!AX124,'Raw Data'!AZ124,'Raw Data'!BB124),"")</f>
        <v/>
      </c>
      <c r="S137" s="11" t="str">
        <f>IF('Raw Data'!A124&lt;&gt;"",AVERAGE('Raw Data'!AU124,'Raw Data'!AW124,'Raw Data'!AY124,'Raw Data'!BA124,'Raw Data'!BC124),"")</f>
        <v/>
      </c>
      <c r="T137" s="11" t="str">
        <f t="shared" si="18"/>
        <v/>
      </c>
      <c r="U137" s="11" t="str">
        <f>IF('Raw Data'!A124&lt;&gt;"",AVERAGE('Raw Data'!BD124,'Raw Data'!BF124,'Raw Data'!BH124,'Raw Data'!BJ124,'Raw Data'!BL124),"")</f>
        <v/>
      </c>
      <c r="V137" s="11" t="str">
        <f>IF('Raw Data'!A124&lt;&gt;"",AVERAGE('Raw Data'!BE124,'Raw Data'!BG124,'Raw Data'!BI124,'Raw Data'!BK124,'Raw Data'!BM124),"")</f>
        <v/>
      </c>
      <c r="W137" s="11" t="str">
        <f t="shared" si="19"/>
        <v/>
      </c>
      <c r="X137" s="11" t="str">
        <f t="shared" si="20"/>
        <v/>
      </c>
      <c r="Y137" s="11" t="str">
        <f t="shared" si="21"/>
        <v/>
      </c>
      <c r="Z137" s="11" t="str">
        <f t="shared" si="22"/>
        <v/>
      </c>
      <c r="AA137" s="11" t="str">
        <f t="shared" si="23"/>
        <v/>
      </c>
      <c r="AB137" s="24" t="str">
        <f t="shared" si="24"/>
        <v/>
      </c>
    </row>
    <row r="138" spans="1:28" x14ac:dyDescent="0.25">
      <c r="A138" s="10" t="str">
        <f>IF('Raw Data'!A125&lt;&gt;"",'Raw Data'!A125,"")</f>
        <v/>
      </c>
      <c r="B138" s="10" t="str">
        <f>IF('Raw Data'!B125&lt;&gt;"",'Raw Data'!B125,"")</f>
        <v/>
      </c>
      <c r="C138" s="10" t="str">
        <f>IF('Raw Data'!C125&lt;&gt;"",'Raw Data'!C125,"")</f>
        <v/>
      </c>
      <c r="D138" s="10" t="str">
        <f>IF('Raw Data'!D125&lt;&gt;"",'Raw Data'!D125,"")</f>
        <v/>
      </c>
      <c r="E138" s="10" t="str">
        <f>IF('Raw Data'!E125&lt;&gt;"",'Raw Data'!E125,"")</f>
        <v/>
      </c>
      <c r="F138" s="14" t="str">
        <f>IF('Raw Data'!A125&lt;&gt;"",AVERAGE('Raw Data'!F125,'Raw Data'!H125,'Raw Data'!J125,'Raw Data'!L125,'Raw Data'!N125),"")</f>
        <v/>
      </c>
      <c r="G138" s="14" t="str">
        <f>IF('Raw Data'!A125&lt;&gt;"",AVERAGE('Raw Data'!G125,'Raw Data'!I125,'Raw Data'!K125,'Raw Data'!M125,'Raw Data'!O125),"")</f>
        <v/>
      </c>
      <c r="H138" s="14" t="str">
        <f t="shared" si="14"/>
        <v/>
      </c>
      <c r="I138" s="14" t="str">
        <f>IF('Raw Data'!A125&lt;&gt;"",AVERAGE('Raw Data'!P125,'Raw Data'!R125,'Raw Data'!T125,'Raw Data'!V125,'Raw Data'!X125),"")</f>
        <v/>
      </c>
      <c r="J138" s="14" t="str">
        <f>IF('Raw Data'!A125&lt;&gt;"",AVERAGE('Raw Data'!Q125,'Raw Data'!S125,'Raw Data'!U125,'Raw Data'!W125,'Raw Data'!Y125),"")</f>
        <v/>
      </c>
      <c r="K138" s="14" t="str">
        <f t="shared" si="15"/>
        <v/>
      </c>
      <c r="L138" s="14" t="str">
        <f>IF('Raw Data'!A125&lt;&gt;"",AVERAGE('Raw Data'!Z125,'Raw Data'!AB125,'Raw Data'!AD125,'Raw Data'!AF125,'Raw Data'!AH125),"")</f>
        <v/>
      </c>
      <c r="M138" s="14" t="str">
        <f>IF('Raw Data'!A125&lt;&gt;"",AVERAGE('Raw Data'!AA125,'Raw Data'!AC125,'Raw Data'!AE125,'Raw Data'!AG125,'Raw Data'!AI125),"")</f>
        <v/>
      </c>
      <c r="N138" s="14" t="str">
        <f t="shared" si="16"/>
        <v/>
      </c>
      <c r="O138" s="14" t="str">
        <f>IF('Raw Data'!A125&lt;&gt;"",AVERAGE('Raw Data'!AJ125,'Raw Data'!AL125,'Raw Data'!AN125,'Raw Data'!AP125,'Raw Data'!AR125),"")</f>
        <v/>
      </c>
      <c r="P138" s="14" t="str">
        <f>IF('Raw Data'!A125&lt;&gt;"",AVERAGE('Raw Data'!AK125,'Raw Data'!AM125,'Raw Data'!AO125,'Raw Data'!AQ125,'Raw Data'!AS125),"")</f>
        <v/>
      </c>
      <c r="Q138" s="14" t="str">
        <f t="shared" si="17"/>
        <v/>
      </c>
      <c r="R138" s="14" t="str">
        <f>IF('Raw Data'!A125&lt;&gt;"",AVERAGE('Raw Data'!AT125,'Raw Data'!AV125,'Raw Data'!AX125,'Raw Data'!AZ125,'Raw Data'!BB125),"")</f>
        <v/>
      </c>
      <c r="S138" s="14" t="str">
        <f>IF('Raw Data'!A125&lt;&gt;"",AVERAGE('Raw Data'!AU125,'Raw Data'!AW125,'Raw Data'!AY125,'Raw Data'!BA125,'Raw Data'!BC125),"")</f>
        <v/>
      </c>
      <c r="T138" s="14" t="str">
        <f t="shared" si="18"/>
        <v/>
      </c>
      <c r="U138" s="14" t="str">
        <f>IF('Raw Data'!A125&lt;&gt;"",AVERAGE('Raw Data'!BD125,'Raw Data'!BF125,'Raw Data'!BH125,'Raw Data'!BJ125,'Raw Data'!BL125),"")</f>
        <v/>
      </c>
      <c r="V138" s="14" t="str">
        <f>IF('Raw Data'!A125&lt;&gt;"",AVERAGE('Raw Data'!BE125,'Raw Data'!BG125,'Raw Data'!BI125,'Raw Data'!BK125,'Raw Data'!BM125),"")</f>
        <v/>
      </c>
      <c r="W138" s="14" t="str">
        <f t="shared" si="19"/>
        <v/>
      </c>
      <c r="X138" s="14" t="str">
        <f t="shared" si="20"/>
        <v/>
      </c>
      <c r="Y138" s="14" t="str">
        <f t="shared" si="21"/>
        <v/>
      </c>
      <c r="Z138" s="14" t="str">
        <f t="shared" si="22"/>
        <v/>
      </c>
      <c r="AA138" s="14" t="str">
        <f t="shared" si="23"/>
        <v/>
      </c>
      <c r="AB138" s="25" t="str">
        <f t="shared" si="24"/>
        <v/>
      </c>
    </row>
    <row r="139" spans="1:28" x14ac:dyDescent="0.25">
      <c r="A139" s="2" t="str">
        <f>IF('Raw Data'!A126&lt;&gt;"",'Raw Data'!A126,"")</f>
        <v/>
      </c>
      <c r="B139" s="2" t="str">
        <f>IF('Raw Data'!B126&lt;&gt;"",'Raw Data'!B126,"")</f>
        <v/>
      </c>
      <c r="C139" s="2" t="str">
        <f>IF('Raw Data'!C126&lt;&gt;"",'Raw Data'!C126,"")</f>
        <v/>
      </c>
      <c r="D139" s="2" t="str">
        <f>IF('Raw Data'!D126&lt;&gt;"",'Raw Data'!D126,"")</f>
        <v/>
      </c>
      <c r="E139" s="2" t="str">
        <f>IF('Raw Data'!E126&lt;&gt;"",'Raw Data'!E126,"")</f>
        <v/>
      </c>
      <c r="F139" s="11" t="str">
        <f>IF('Raw Data'!A126&lt;&gt;"",AVERAGE('Raw Data'!F126,'Raw Data'!H126,'Raw Data'!J126,'Raw Data'!L126,'Raw Data'!N126),"")</f>
        <v/>
      </c>
      <c r="G139" s="11" t="str">
        <f>IF('Raw Data'!A126&lt;&gt;"",AVERAGE('Raw Data'!G126,'Raw Data'!I126,'Raw Data'!K126,'Raw Data'!M126,'Raw Data'!O126),"")</f>
        <v/>
      </c>
      <c r="H139" s="11" t="str">
        <f t="shared" si="14"/>
        <v/>
      </c>
      <c r="I139" s="11" t="str">
        <f>IF('Raw Data'!A126&lt;&gt;"",AVERAGE('Raw Data'!P126,'Raw Data'!R126,'Raw Data'!T126,'Raw Data'!V126,'Raw Data'!X126),"")</f>
        <v/>
      </c>
      <c r="J139" s="11" t="str">
        <f>IF('Raw Data'!A126&lt;&gt;"",AVERAGE('Raw Data'!Q126,'Raw Data'!S126,'Raw Data'!U126,'Raw Data'!W126,'Raw Data'!Y126),"")</f>
        <v/>
      </c>
      <c r="K139" s="11" t="str">
        <f t="shared" si="15"/>
        <v/>
      </c>
      <c r="L139" s="11" t="str">
        <f>IF('Raw Data'!A126&lt;&gt;"",AVERAGE('Raw Data'!Z126,'Raw Data'!AB126,'Raw Data'!AD126,'Raw Data'!AF126,'Raw Data'!AH126),"")</f>
        <v/>
      </c>
      <c r="M139" s="11" t="str">
        <f>IF('Raw Data'!A126&lt;&gt;"",AVERAGE('Raw Data'!AA126,'Raw Data'!AC126,'Raw Data'!AE126,'Raw Data'!AG126,'Raw Data'!AI126),"")</f>
        <v/>
      </c>
      <c r="N139" s="11" t="str">
        <f t="shared" si="16"/>
        <v/>
      </c>
      <c r="O139" s="11" t="str">
        <f>IF('Raw Data'!A126&lt;&gt;"",AVERAGE('Raw Data'!AJ126,'Raw Data'!AL126,'Raw Data'!AN126,'Raw Data'!AP126,'Raw Data'!AR126),"")</f>
        <v/>
      </c>
      <c r="P139" s="11" t="str">
        <f>IF('Raw Data'!A126&lt;&gt;"",AVERAGE('Raw Data'!AK126,'Raw Data'!AM126,'Raw Data'!AO126,'Raw Data'!AQ126,'Raw Data'!AS126),"")</f>
        <v/>
      </c>
      <c r="Q139" s="11" t="str">
        <f t="shared" si="17"/>
        <v/>
      </c>
      <c r="R139" s="11" t="str">
        <f>IF('Raw Data'!A126&lt;&gt;"",AVERAGE('Raw Data'!AT126,'Raw Data'!AV126,'Raw Data'!AX126,'Raw Data'!AZ126,'Raw Data'!BB126),"")</f>
        <v/>
      </c>
      <c r="S139" s="11" t="str">
        <f>IF('Raw Data'!A126&lt;&gt;"",AVERAGE('Raw Data'!AU126,'Raw Data'!AW126,'Raw Data'!AY126,'Raw Data'!BA126,'Raw Data'!BC126),"")</f>
        <v/>
      </c>
      <c r="T139" s="11" t="str">
        <f t="shared" si="18"/>
        <v/>
      </c>
      <c r="U139" s="11" t="str">
        <f>IF('Raw Data'!A126&lt;&gt;"",AVERAGE('Raw Data'!BD126,'Raw Data'!BF126,'Raw Data'!BH126,'Raw Data'!BJ126,'Raw Data'!BL126),"")</f>
        <v/>
      </c>
      <c r="V139" s="11" t="str">
        <f>IF('Raw Data'!A126&lt;&gt;"",AVERAGE('Raw Data'!BE126,'Raw Data'!BG126,'Raw Data'!BI126,'Raw Data'!BK126,'Raw Data'!BM126),"")</f>
        <v/>
      </c>
      <c r="W139" s="11" t="str">
        <f t="shared" si="19"/>
        <v/>
      </c>
      <c r="X139" s="11" t="str">
        <f t="shared" si="20"/>
        <v/>
      </c>
      <c r="Y139" s="11" t="str">
        <f t="shared" si="21"/>
        <v/>
      </c>
      <c r="Z139" s="11" t="str">
        <f t="shared" si="22"/>
        <v/>
      </c>
      <c r="AA139" s="11" t="str">
        <f t="shared" si="23"/>
        <v/>
      </c>
      <c r="AB139" s="24" t="str">
        <f t="shared" si="24"/>
        <v/>
      </c>
    </row>
    <row r="140" spans="1:28" x14ac:dyDescent="0.25">
      <c r="A140" s="10" t="str">
        <f>IF('Raw Data'!A127&lt;&gt;"",'Raw Data'!A127,"")</f>
        <v/>
      </c>
      <c r="B140" s="10" t="str">
        <f>IF('Raw Data'!B127&lt;&gt;"",'Raw Data'!B127,"")</f>
        <v/>
      </c>
      <c r="C140" s="10" t="str">
        <f>IF('Raw Data'!C127&lt;&gt;"",'Raw Data'!C127,"")</f>
        <v/>
      </c>
      <c r="D140" s="10" t="str">
        <f>IF('Raw Data'!D127&lt;&gt;"",'Raw Data'!D127,"")</f>
        <v/>
      </c>
      <c r="E140" s="10" t="str">
        <f>IF('Raw Data'!E127&lt;&gt;"",'Raw Data'!E127,"")</f>
        <v/>
      </c>
      <c r="F140" s="14" t="str">
        <f>IF('Raw Data'!A127&lt;&gt;"",AVERAGE('Raw Data'!F127,'Raw Data'!H127,'Raw Data'!J127,'Raw Data'!L127,'Raw Data'!N127),"")</f>
        <v/>
      </c>
      <c r="G140" s="14" t="str">
        <f>IF('Raw Data'!A127&lt;&gt;"",AVERAGE('Raw Data'!G127,'Raw Data'!I127,'Raw Data'!K127,'Raw Data'!M127,'Raw Data'!O127),"")</f>
        <v/>
      </c>
      <c r="H140" s="14" t="str">
        <f t="shared" si="14"/>
        <v/>
      </c>
      <c r="I140" s="14" t="str">
        <f>IF('Raw Data'!A127&lt;&gt;"",AVERAGE('Raw Data'!P127,'Raw Data'!R127,'Raw Data'!T127,'Raw Data'!V127,'Raw Data'!X127),"")</f>
        <v/>
      </c>
      <c r="J140" s="14" t="str">
        <f>IF('Raw Data'!A127&lt;&gt;"",AVERAGE('Raw Data'!Q127,'Raw Data'!S127,'Raw Data'!U127,'Raw Data'!W127,'Raw Data'!Y127),"")</f>
        <v/>
      </c>
      <c r="K140" s="14" t="str">
        <f t="shared" si="15"/>
        <v/>
      </c>
      <c r="L140" s="14" t="str">
        <f>IF('Raw Data'!A127&lt;&gt;"",AVERAGE('Raw Data'!Z127,'Raw Data'!AB127,'Raw Data'!AD127,'Raw Data'!AF127,'Raw Data'!AH127),"")</f>
        <v/>
      </c>
      <c r="M140" s="14" t="str">
        <f>IF('Raw Data'!A127&lt;&gt;"",AVERAGE('Raw Data'!AA127,'Raw Data'!AC127,'Raw Data'!AE127,'Raw Data'!AG127,'Raw Data'!AI127),"")</f>
        <v/>
      </c>
      <c r="N140" s="14" t="str">
        <f t="shared" si="16"/>
        <v/>
      </c>
      <c r="O140" s="14" t="str">
        <f>IF('Raw Data'!A127&lt;&gt;"",AVERAGE('Raw Data'!AJ127,'Raw Data'!AL127,'Raw Data'!AN127,'Raw Data'!AP127,'Raw Data'!AR127),"")</f>
        <v/>
      </c>
      <c r="P140" s="14" t="str">
        <f>IF('Raw Data'!A127&lt;&gt;"",AVERAGE('Raw Data'!AK127,'Raw Data'!AM127,'Raw Data'!AO127,'Raw Data'!AQ127,'Raw Data'!AS127),"")</f>
        <v/>
      </c>
      <c r="Q140" s="14" t="str">
        <f t="shared" si="17"/>
        <v/>
      </c>
      <c r="R140" s="14" t="str">
        <f>IF('Raw Data'!A127&lt;&gt;"",AVERAGE('Raw Data'!AT127,'Raw Data'!AV127,'Raw Data'!AX127,'Raw Data'!AZ127,'Raw Data'!BB127),"")</f>
        <v/>
      </c>
      <c r="S140" s="14" t="str">
        <f>IF('Raw Data'!A127&lt;&gt;"",AVERAGE('Raw Data'!AU127,'Raw Data'!AW127,'Raw Data'!AY127,'Raw Data'!BA127,'Raw Data'!BC127),"")</f>
        <v/>
      </c>
      <c r="T140" s="14" t="str">
        <f t="shared" si="18"/>
        <v/>
      </c>
      <c r="U140" s="14" t="str">
        <f>IF('Raw Data'!A127&lt;&gt;"",AVERAGE('Raw Data'!BD127,'Raw Data'!BF127,'Raw Data'!BH127,'Raw Data'!BJ127,'Raw Data'!BL127),"")</f>
        <v/>
      </c>
      <c r="V140" s="14" t="str">
        <f>IF('Raw Data'!A127&lt;&gt;"",AVERAGE('Raw Data'!BE127,'Raw Data'!BG127,'Raw Data'!BI127,'Raw Data'!BK127,'Raw Data'!BM127),"")</f>
        <v/>
      </c>
      <c r="W140" s="14" t="str">
        <f t="shared" si="19"/>
        <v/>
      </c>
      <c r="X140" s="14" t="str">
        <f t="shared" si="20"/>
        <v/>
      </c>
      <c r="Y140" s="14" t="str">
        <f t="shared" si="21"/>
        <v/>
      </c>
      <c r="Z140" s="14" t="str">
        <f t="shared" si="22"/>
        <v/>
      </c>
      <c r="AA140" s="14" t="str">
        <f t="shared" si="23"/>
        <v/>
      </c>
      <c r="AB140" s="25" t="str">
        <f t="shared" si="24"/>
        <v/>
      </c>
    </row>
    <row r="141" spans="1:28" x14ac:dyDescent="0.25">
      <c r="A141" s="2" t="str">
        <f>IF('Raw Data'!A128&lt;&gt;"",'Raw Data'!A128,"")</f>
        <v/>
      </c>
      <c r="B141" s="2" t="str">
        <f>IF('Raw Data'!B128&lt;&gt;"",'Raw Data'!B128,"")</f>
        <v/>
      </c>
      <c r="C141" s="2" t="str">
        <f>IF('Raw Data'!C128&lt;&gt;"",'Raw Data'!C128,"")</f>
        <v/>
      </c>
      <c r="D141" s="2" t="str">
        <f>IF('Raw Data'!D128&lt;&gt;"",'Raw Data'!D128,"")</f>
        <v/>
      </c>
      <c r="E141" s="2" t="str">
        <f>IF('Raw Data'!E128&lt;&gt;"",'Raw Data'!E128,"")</f>
        <v/>
      </c>
      <c r="F141" s="11" t="str">
        <f>IF('Raw Data'!A128&lt;&gt;"",AVERAGE('Raw Data'!F128,'Raw Data'!H128,'Raw Data'!J128,'Raw Data'!L128,'Raw Data'!N128),"")</f>
        <v/>
      </c>
      <c r="G141" s="11" t="str">
        <f>IF('Raw Data'!A128&lt;&gt;"",AVERAGE('Raw Data'!G128,'Raw Data'!I128,'Raw Data'!K128,'Raw Data'!M128,'Raw Data'!O128),"")</f>
        <v/>
      </c>
      <c r="H141" s="11" t="str">
        <f t="shared" si="14"/>
        <v/>
      </c>
      <c r="I141" s="11" t="str">
        <f>IF('Raw Data'!A128&lt;&gt;"",AVERAGE('Raw Data'!P128,'Raw Data'!R128,'Raw Data'!T128,'Raw Data'!V128,'Raw Data'!X128),"")</f>
        <v/>
      </c>
      <c r="J141" s="11" t="str">
        <f>IF('Raw Data'!A128&lt;&gt;"",AVERAGE('Raw Data'!Q128,'Raw Data'!S128,'Raw Data'!U128,'Raw Data'!W128,'Raw Data'!Y128),"")</f>
        <v/>
      </c>
      <c r="K141" s="11" t="str">
        <f t="shared" si="15"/>
        <v/>
      </c>
      <c r="L141" s="11" t="str">
        <f>IF('Raw Data'!A128&lt;&gt;"",AVERAGE('Raw Data'!Z128,'Raw Data'!AB128,'Raw Data'!AD128,'Raw Data'!AF128,'Raw Data'!AH128),"")</f>
        <v/>
      </c>
      <c r="M141" s="11" t="str">
        <f>IF('Raw Data'!A128&lt;&gt;"",AVERAGE('Raw Data'!AA128,'Raw Data'!AC128,'Raw Data'!AE128,'Raw Data'!AG128,'Raw Data'!AI128),"")</f>
        <v/>
      </c>
      <c r="N141" s="11" t="str">
        <f t="shared" si="16"/>
        <v/>
      </c>
      <c r="O141" s="11" t="str">
        <f>IF('Raw Data'!A128&lt;&gt;"",AVERAGE('Raw Data'!AJ128,'Raw Data'!AL128,'Raw Data'!AN128,'Raw Data'!AP128,'Raw Data'!AR128),"")</f>
        <v/>
      </c>
      <c r="P141" s="11" t="str">
        <f>IF('Raw Data'!A128&lt;&gt;"",AVERAGE('Raw Data'!AK128,'Raw Data'!AM128,'Raw Data'!AO128,'Raw Data'!AQ128,'Raw Data'!AS128),"")</f>
        <v/>
      </c>
      <c r="Q141" s="11" t="str">
        <f t="shared" si="17"/>
        <v/>
      </c>
      <c r="R141" s="11" t="str">
        <f>IF('Raw Data'!A128&lt;&gt;"",AVERAGE('Raw Data'!AT128,'Raw Data'!AV128,'Raw Data'!AX128,'Raw Data'!AZ128,'Raw Data'!BB128),"")</f>
        <v/>
      </c>
      <c r="S141" s="11" t="str">
        <f>IF('Raw Data'!A128&lt;&gt;"",AVERAGE('Raw Data'!AU128,'Raw Data'!AW128,'Raw Data'!AY128,'Raw Data'!BA128,'Raw Data'!BC128),"")</f>
        <v/>
      </c>
      <c r="T141" s="11" t="str">
        <f t="shared" si="18"/>
        <v/>
      </c>
      <c r="U141" s="11" t="str">
        <f>IF('Raw Data'!A128&lt;&gt;"",AVERAGE('Raw Data'!BD128,'Raw Data'!BF128,'Raw Data'!BH128,'Raw Data'!BJ128,'Raw Data'!BL128),"")</f>
        <v/>
      </c>
      <c r="V141" s="11" t="str">
        <f>IF('Raw Data'!A128&lt;&gt;"",AVERAGE('Raw Data'!BE128,'Raw Data'!BG128,'Raw Data'!BI128,'Raw Data'!BK128,'Raw Data'!BM128),"")</f>
        <v/>
      </c>
      <c r="W141" s="11" t="str">
        <f t="shared" si="19"/>
        <v/>
      </c>
      <c r="X141" s="11" t="str">
        <f t="shared" si="20"/>
        <v/>
      </c>
      <c r="Y141" s="11" t="str">
        <f t="shared" si="21"/>
        <v/>
      </c>
      <c r="Z141" s="11" t="str">
        <f t="shared" si="22"/>
        <v/>
      </c>
      <c r="AA141" s="11" t="str">
        <f t="shared" si="23"/>
        <v/>
      </c>
      <c r="AB141" s="24" t="str">
        <f t="shared" si="24"/>
        <v/>
      </c>
    </row>
    <row r="142" spans="1:28" x14ac:dyDescent="0.25">
      <c r="A142" s="10" t="str">
        <f>IF('Raw Data'!A129&lt;&gt;"",'Raw Data'!A129,"")</f>
        <v/>
      </c>
      <c r="B142" s="10" t="str">
        <f>IF('Raw Data'!B129&lt;&gt;"",'Raw Data'!B129,"")</f>
        <v/>
      </c>
      <c r="C142" s="10" t="str">
        <f>IF('Raw Data'!C129&lt;&gt;"",'Raw Data'!C129,"")</f>
        <v/>
      </c>
      <c r="D142" s="10" t="str">
        <f>IF('Raw Data'!D129&lt;&gt;"",'Raw Data'!D129,"")</f>
        <v/>
      </c>
      <c r="E142" s="10" t="str">
        <f>IF('Raw Data'!E129&lt;&gt;"",'Raw Data'!E129,"")</f>
        <v/>
      </c>
      <c r="F142" s="14" t="str">
        <f>IF('Raw Data'!A129&lt;&gt;"",AVERAGE('Raw Data'!F129,'Raw Data'!H129,'Raw Data'!J129,'Raw Data'!L129,'Raw Data'!N129),"")</f>
        <v/>
      </c>
      <c r="G142" s="14" t="str">
        <f>IF('Raw Data'!A129&lt;&gt;"",AVERAGE('Raw Data'!G129,'Raw Data'!I129,'Raw Data'!K129,'Raw Data'!M129,'Raw Data'!O129),"")</f>
        <v/>
      </c>
      <c r="H142" s="14" t="str">
        <f t="shared" si="14"/>
        <v/>
      </c>
      <c r="I142" s="14" t="str">
        <f>IF('Raw Data'!A129&lt;&gt;"",AVERAGE('Raw Data'!P129,'Raw Data'!R129,'Raw Data'!T129,'Raw Data'!V129,'Raw Data'!X129),"")</f>
        <v/>
      </c>
      <c r="J142" s="14" t="str">
        <f>IF('Raw Data'!A129&lt;&gt;"",AVERAGE('Raw Data'!Q129,'Raw Data'!S129,'Raw Data'!U129,'Raw Data'!W129,'Raw Data'!Y129),"")</f>
        <v/>
      </c>
      <c r="K142" s="14" t="str">
        <f t="shared" si="15"/>
        <v/>
      </c>
      <c r="L142" s="14" t="str">
        <f>IF('Raw Data'!A129&lt;&gt;"",AVERAGE('Raw Data'!Z129,'Raw Data'!AB129,'Raw Data'!AD129,'Raw Data'!AF129,'Raw Data'!AH129),"")</f>
        <v/>
      </c>
      <c r="M142" s="14" t="str">
        <f>IF('Raw Data'!A129&lt;&gt;"",AVERAGE('Raw Data'!AA129,'Raw Data'!AC129,'Raw Data'!AE129,'Raw Data'!AG129,'Raw Data'!AI129),"")</f>
        <v/>
      </c>
      <c r="N142" s="14" t="str">
        <f t="shared" si="16"/>
        <v/>
      </c>
      <c r="O142" s="14" t="str">
        <f>IF('Raw Data'!A129&lt;&gt;"",AVERAGE('Raw Data'!AJ129,'Raw Data'!AL129,'Raw Data'!AN129,'Raw Data'!AP129,'Raw Data'!AR129),"")</f>
        <v/>
      </c>
      <c r="P142" s="14" t="str">
        <f>IF('Raw Data'!A129&lt;&gt;"",AVERAGE('Raw Data'!AK129,'Raw Data'!AM129,'Raw Data'!AO129,'Raw Data'!AQ129,'Raw Data'!AS129),"")</f>
        <v/>
      </c>
      <c r="Q142" s="14" t="str">
        <f t="shared" si="17"/>
        <v/>
      </c>
      <c r="R142" s="14" t="str">
        <f>IF('Raw Data'!A129&lt;&gt;"",AVERAGE('Raw Data'!AT129,'Raw Data'!AV129,'Raw Data'!AX129,'Raw Data'!AZ129,'Raw Data'!BB129),"")</f>
        <v/>
      </c>
      <c r="S142" s="14" t="str">
        <f>IF('Raw Data'!A129&lt;&gt;"",AVERAGE('Raw Data'!AU129,'Raw Data'!AW129,'Raw Data'!AY129,'Raw Data'!BA129,'Raw Data'!BC129),"")</f>
        <v/>
      </c>
      <c r="T142" s="14" t="str">
        <f t="shared" si="18"/>
        <v/>
      </c>
      <c r="U142" s="14" t="str">
        <f>IF('Raw Data'!A129&lt;&gt;"",AVERAGE('Raw Data'!BD129,'Raw Data'!BF129,'Raw Data'!BH129,'Raw Data'!BJ129,'Raw Data'!BL129),"")</f>
        <v/>
      </c>
      <c r="V142" s="14" t="str">
        <f>IF('Raw Data'!A129&lt;&gt;"",AVERAGE('Raw Data'!BE129,'Raw Data'!BG129,'Raw Data'!BI129,'Raw Data'!BK129,'Raw Data'!BM129),"")</f>
        <v/>
      </c>
      <c r="W142" s="14" t="str">
        <f t="shared" si="19"/>
        <v/>
      </c>
      <c r="X142" s="14" t="str">
        <f t="shared" si="20"/>
        <v/>
      </c>
      <c r="Y142" s="14" t="str">
        <f t="shared" si="21"/>
        <v/>
      </c>
      <c r="Z142" s="14" t="str">
        <f t="shared" si="22"/>
        <v/>
      </c>
      <c r="AA142" s="14" t="str">
        <f t="shared" si="23"/>
        <v/>
      </c>
      <c r="AB142" s="25" t="str">
        <f t="shared" si="24"/>
        <v/>
      </c>
    </row>
    <row r="143" spans="1:28" x14ac:dyDescent="0.25">
      <c r="A143" s="2" t="str">
        <f>IF('Raw Data'!A130&lt;&gt;"",'Raw Data'!A130,"")</f>
        <v/>
      </c>
      <c r="B143" s="2" t="str">
        <f>IF('Raw Data'!B130&lt;&gt;"",'Raw Data'!B130,"")</f>
        <v/>
      </c>
      <c r="C143" s="2" t="str">
        <f>IF('Raw Data'!C130&lt;&gt;"",'Raw Data'!C130,"")</f>
        <v/>
      </c>
      <c r="D143" s="2" t="str">
        <f>IF('Raw Data'!D130&lt;&gt;"",'Raw Data'!D130,"")</f>
        <v/>
      </c>
      <c r="E143" s="2" t="str">
        <f>IF('Raw Data'!E130&lt;&gt;"",'Raw Data'!E130,"")</f>
        <v/>
      </c>
      <c r="F143" s="11" t="str">
        <f>IF('Raw Data'!A130&lt;&gt;"",AVERAGE('Raw Data'!F130,'Raw Data'!H130,'Raw Data'!J130,'Raw Data'!L130,'Raw Data'!N130),"")</f>
        <v/>
      </c>
      <c r="G143" s="11" t="str">
        <f>IF('Raw Data'!A130&lt;&gt;"",AVERAGE('Raw Data'!G130,'Raw Data'!I130,'Raw Data'!K130,'Raw Data'!M130,'Raw Data'!O130),"")</f>
        <v/>
      </c>
      <c r="H143" s="11" t="str">
        <f t="shared" si="14"/>
        <v/>
      </c>
      <c r="I143" s="11" t="str">
        <f>IF('Raw Data'!A130&lt;&gt;"",AVERAGE('Raw Data'!P130,'Raw Data'!R130,'Raw Data'!T130,'Raw Data'!V130,'Raw Data'!X130),"")</f>
        <v/>
      </c>
      <c r="J143" s="11" t="str">
        <f>IF('Raw Data'!A130&lt;&gt;"",AVERAGE('Raw Data'!Q130,'Raw Data'!S130,'Raw Data'!U130,'Raw Data'!W130,'Raw Data'!Y130),"")</f>
        <v/>
      </c>
      <c r="K143" s="11" t="str">
        <f t="shared" si="15"/>
        <v/>
      </c>
      <c r="L143" s="11" t="str">
        <f>IF('Raw Data'!A130&lt;&gt;"",AVERAGE('Raw Data'!Z130,'Raw Data'!AB130,'Raw Data'!AD130,'Raw Data'!AF130,'Raw Data'!AH130),"")</f>
        <v/>
      </c>
      <c r="M143" s="11" t="str">
        <f>IF('Raw Data'!A130&lt;&gt;"",AVERAGE('Raw Data'!AA130,'Raw Data'!AC130,'Raw Data'!AE130,'Raw Data'!AG130,'Raw Data'!AI130),"")</f>
        <v/>
      </c>
      <c r="N143" s="11" t="str">
        <f t="shared" si="16"/>
        <v/>
      </c>
      <c r="O143" s="11" t="str">
        <f>IF('Raw Data'!A130&lt;&gt;"",AVERAGE('Raw Data'!AJ130,'Raw Data'!AL130,'Raw Data'!AN130,'Raw Data'!AP130,'Raw Data'!AR130),"")</f>
        <v/>
      </c>
      <c r="P143" s="11" t="str">
        <f>IF('Raw Data'!A130&lt;&gt;"",AVERAGE('Raw Data'!AK130,'Raw Data'!AM130,'Raw Data'!AO130,'Raw Data'!AQ130,'Raw Data'!AS130),"")</f>
        <v/>
      </c>
      <c r="Q143" s="11" t="str">
        <f t="shared" si="17"/>
        <v/>
      </c>
      <c r="R143" s="11" t="str">
        <f>IF('Raw Data'!A130&lt;&gt;"",AVERAGE('Raw Data'!AT130,'Raw Data'!AV130,'Raw Data'!AX130,'Raw Data'!AZ130,'Raw Data'!BB130),"")</f>
        <v/>
      </c>
      <c r="S143" s="11" t="str">
        <f>IF('Raw Data'!A130&lt;&gt;"",AVERAGE('Raw Data'!AU130,'Raw Data'!AW130,'Raw Data'!AY130,'Raw Data'!BA130,'Raw Data'!BC130),"")</f>
        <v/>
      </c>
      <c r="T143" s="11" t="str">
        <f t="shared" si="18"/>
        <v/>
      </c>
      <c r="U143" s="11" t="str">
        <f>IF('Raw Data'!A130&lt;&gt;"",AVERAGE('Raw Data'!BD130,'Raw Data'!BF130,'Raw Data'!BH130,'Raw Data'!BJ130,'Raw Data'!BL130),"")</f>
        <v/>
      </c>
      <c r="V143" s="11" t="str">
        <f>IF('Raw Data'!A130&lt;&gt;"",AVERAGE('Raw Data'!BE130,'Raw Data'!BG130,'Raw Data'!BI130,'Raw Data'!BK130,'Raw Data'!BM130),"")</f>
        <v/>
      </c>
      <c r="W143" s="11" t="str">
        <f t="shared" si="19"/>
        <v/>
      </c>
      <c r="X143" s="11" t="str">
        <f t="shared" si="20"/>
        <v/>
      </c>
      <c r="Y143" s="11" t="str">
        <f t="shared" si="21"/>
        <v/>
      </c>
      <c r="Z143" s="11" t="str">
        <f t="shared" si="22"/>
        <v/>
      </c>
      <c r="AA143" s="11" t="str">
        <f t="shared" si="23"/>
        <v/>
      </c>
      <c r="AB143" s="24" t="str">
        <f t="shared" si="24"/>
        <v/>
      </c>
    </row>
    <row r="144" spans="1:28" x14ac:dyDescent="0.25">
      <c r="A144" s="10" t="str">
        <f>IF('Raw Data'!A131&lt;&gt;"",'Raw Data'!A131,"")</f>
        <v/>
      </c>
      <c r="B144" s="10" t="str">
        <f>IF('Raw Data'!B131&lt;&gt;"",'Raw Data'!B131,"")</f>
        <v/>
      </c>
      <c r="C144" s="10" t="str">
        <f>IF('Raw Data'!C131&lt;&gt;"",'Raw Data'!C131,"")</f>
        <v/>
      </c>
      <c r="D144" s="10" t="str">
        <f>IF('Raw Data'!D131&lt;&gt;"",'Raw Data'!D131,"")</f>
        <v/>
      </c>
      <c r="E144" s="10" t="str">
        <f>IF('Raw Data'!E131&lt;&gt;"",'Raw Data'!E131,"")</f>
        <v/>
      </c>
      <c r="F144" s="14" t="str">
        <f>IF('Raw Data'!A131&lt;&gt;"",AVERAGE('Raw Data'!F131,'Raw Data'!H131,'Raw Data'!J131,'Raw Data'!L131,'Raw Data'!N131),"")</f>
        <v/>
      </c>
      <c r="G144" s="14" t="str">
        <f>IF('Raw Data'!A131&lt;&gt;"",AVERAGE('Raw Data'!G131,'Raw Data'!I131,'Raw Data'!K131,'Raw Data'!M131,'Raw Data'!O131),"")</f>
        <v/>
      </c>
      <c r="H144" s="14" t="str">
        <f t="shared" si="14"/>
        <v/>
      </c>
      <c r="I144" s="14" t="str">
        <f>IF('Raw Data'!A131&lt;&gt;"",AVERAGE('Raw Data'!P131,'Raw Data'!R131,'Raw Data'!T131,'Raw Data'!V131,'Raw Data'!X131),"")</f>
        <v/>
      </c>
      <c r="J144" s="14" t="str">
        <f>IF('Raw Data'!A131&lt;&gt;"",AVERAGE('Raw Data'!Q131,'Raw Data'!S131,'Raw Data'!U131,'Raw Data'!W131,'Raw Data'!Y131),"")</f>
        <v/>
      </c>
      <c r="K144" s="14" t="str">
        <f t="shared" si="15"/>
        <v/>
      </c>
      <c r="L144" s="14" t="str">
        <f>IF('Raw Data'!A131&lt;&gt;"",AVERAGE('Raw Data'!Z131,'Raw Data'!AB131,'Raw Data'!AD131,'Raw Data'!AF131,'Raw Data'!AH131),"")</f>
        <v/>
      </c>
      <c r="M144" s="14" t="str">
        <f>IF('Raw Data'!A131&lt;&gt;"",AVERAGE('Raw Data'!AA131,'Raw Data'!AC131,'Raw Data'!AE131,'Raw Data'!AG131,'Raw Data'!AI131),"")</f>
        <v/>
      </c>
      <c r="N144" s="14" t="str">
        <f t="shared" si="16"/>
        <v/>
      </c>
      <c r="O144" s="14" t="str">
        <f>IF('Raw Data'!A131&lt;&gt;"",AVERAGE('Raw Data'!AJ131,'Raw Data'!AL131,'Raw Data'!AN131,'Raw Data'!AP131,'Raw Data'!AR131),"")</f>
        <v/>
      </c>
      <c r="P144" s="14" t="str">
        <f>IF('Raw Data'!A131&lt;&gt;"",AVERAGE('Raw Data'!AK131,'Raw Data'!AM131,'Raw Data'!AO131,'Raw Data'!AQ131,'Raw Data'!AS131),"")</f>
        <v/>
      </c>
      <c r="Q144" s="14" t="str">
        <f t="shared" si="17"/>
        <v/>
      </c>
      <c r="R144" s="14" t="str">
        <f>IF('Raw Data'!A131&lt;&gt;"",AVERAGE('Raw Data'!AT131,'Raw Data'!AV131,'Raw Data'!AX131,'Raw Data'!AZ131,'Raw Data'!BB131),"")</f>
        <v/>
      </c>
      <c r="S144" s="14" t="str">
        <f>IF('Raw Data'!A131&lt;&gt;"",AVERAGE('Raw Data'!AU131,'Raw Data'!AW131,'Raw Data'!AY131,'Raw Data'!BA131,'Raw Data'!BC131),"")</f>
        <v/>
      </c>
      <c r="T144" s="14" t="str">
        <f t="shared" si="18"/>
        <v/>
      </c>
      <c r="U144" s="14" t="str">
        <f>IF('Raw Data'!A131&lt;&gt;"",AVERAGE('Raw Data'!BD131,'Raw Data'!BF131,'Raw Data'!BH131,'Raw Data'!BJ131,'Raw Data'!BL131),"")</f>
        <v/>
      </c>
      <c r="V144" s="14" t="str">
        <f>IF('Raw Data'!A131&lt;&gt;"",AVERAGE('Raw Data'!BE131,'Raw Data'!BG131,'Raw Data'!BI131,'Raw Data'!BK131,'Raw Data'!BM131),"")</f>
        <v/>
      </c>
      <c r="W144" s="14" t="str">
        <f t="shared" si="19"/>
        <v/>
      </c>
      <c r="X144" s="14" t="str">
        <f t="shared" si="20"/>
        <v/>
      </c>
      <c r="Y144" s="14" t="str">
        <f t="shared" si="21"/>
        <v/>
      </c>
      <c r="Z144" s="14" t="str">
        <f t="shared" si="22"/>
        <v/>
      </c>
      <c r="AA144" s="14" t="str">
        <f t="shared" si="23"/>
        <v/>
      </c>
      <c r="AB144" s="25" t="str">
        <f t="shared" si="24"/>
        <v/>
      </c>
    </row>
    <row r="145" spans="1:28" x14ac:dyDescent="0.25">
      <c r="A145" s="2" t="str">
        <f>IF('Raw Data'!A132&lt;&gt;"",'Raw Data'!A132,"")</f>
        <v/>
      </c>
      <c r="B145" s="2" t="str">
        <f>IF('Raw Data'!B132&lt;&gt;"",'Raw Data'!B132,"")</f>
        <v/>
      </c>
      <c r="C145" s="2" t="str">
        <f>IF('Raw Data'!C132&lt;&gt;"",'Raw Data'!C132,"")</f>
        <v/>
      </c>
      <c r="D145" s="2" t="str">
        <f>IF('Raw Data'!D132&lt;&gt;"",'Raw Data'!D132,"")</f>
        <v/>
      </c>
      <c r="E145" s="2" t="str">
        <f>IF('Raw Data'!E132&lt;&gt;"",'Raw Data'!E132,"")</f>
        <v/>
      </c>
      <c r="F145" s="11" t="str">
        <f>IF('Raw Data'!A132&lt;&gt;"",AVERAGE('Raw Data'!F132,'Raw Data'!H132,'Raw Data'!J132,'Raw Data'!L132,'Raw Data'!N132),"")</f>
        <v/>
      </c>
      <c r="G145" s="11" t="str">
        <f>IF('Raw Data'!A132&lt;&gt;"",AVERAGE('Raw Data'!G132,'Raw Data'!I132,'Raw Data'!K132,'Raw Data'!M132,'Raw Data'!O132),"")</f>
        <v/>
      </c>
      <c r="H145" s="11" t="str">
        <f t="shared" ref="H145:H208" si="25">IF(F145&lt;&gt;"",F145-G145,"")</f>
        <v/>
      </c>
      <c r="I145" s="11" t="str">
        <f>IF('Raw Data'!A132&lt;&gt;"",AVERAGE('Raw Data'!P132,'Raw Data'!R132,'Raw Data'!T132,'Raw Data'!V132,'Raw Data'!X132),"")</f>
        <v/>
      </c>
      <c r="J145" s="11" t="str">
        <f>IF('Raw Data'!A132&lt;&gt;"",AVERAGE('Raw Data'!Q132,'Raw Data'!S132,'Raw Data'!U132,'Raw Data'!W132,'Raw Data'!Y132),"")</f>
        <v/>
      </c>
      <c r="K145" s="11" t="str">
        <f t="shared" ref="K145:K208" si="26">IF(I145&lt;&gt;"",I145-J145,"")</f>
        <v/>
      </c>
      <c r="L145" s="11" t="str">
        <f>IF('Raw Data'!A132&lt;&gt;"",AVERAGE('Raw Data'!Z132,'Raw Data'!AB132,'Raw Data'!AD132,'Raw Data'!AF132,'Raw Data'!AH132),"")</f>
        <v/>
      </c>
      <c r="M145" s="11" t="str">
        <f>IF('Raw Data'!A132&lt;&gt;"",AVERAGE('Raw Data'!AA132,'Raw Data'!AC132,'Raw Data'!AE132,'Raw Data'!AG132,'Raw Data'!AI132),"")</f>
        <v/>
      </c>
      <c r="N145" s="11" t="str">
        <f t="shared" ref="N145:N208" si="27">IF(L145&lt;&gt;"",L145-M145,"")</f>
        <v/>
      </c>
      <c r="O145" s="11" t="str">
        <f>IF('Raw Data'!A132&lt;&gt;"",AVERAGE('Raw Data'!AJ132,'Raw Data'!AL132,'Raw Data'!AN132,'Raw Data'!AP132,'Raw Data'!AR132),"")</f>
        <v/>
      </c>
      <c r="P145" s="11" t="str">
        <f>IF('Raw Data'!A132&lt;&gt;"",AVERAGE('Raw Data'!AK132,'Raw Data'!AM132,'Raw Data'!AO132,'Raw Data'!AQ132,'Raw Data'!AS132),"")</f>
        <v/>
      </c>
      <c r="Q145" s="11" t="str">
        <f t="shared" ref="Q145:Q208" si="28">IF(O145&lt;&gt;"",O145-P145,"")</f>
        <v/>
      </c>
      <c r="R145" s="11" t="str">
        <f>IF('Raw Data'!A132&lt;&gt;"",AVERAGE('Raw Data'!AT132,'Raw Data'!AV132,'Raw Data'!AX132,'Raw Data'!AZ132,'Raw Data'!BB132),"")</f>
        <v/>
      </c>
      <c r="S145" s="11" t="str">
        <f>IF('Raw Data'!A132&lt;&gt;"",AVERAGE('Raw Data'!AU132,'Raw Data'!AW132,'Raw Data'!AY132,'Raw Data'!BA132,'Raw Data'!BC132),"")</f>
        <v/>
      </c>
      <c r="T145" s="11" t="str">
        <f t="shared" ref="T145:T208" si="29">IF(R145&lt;&gt;"",R145-S145,"")</f>
        <v/>
      </c>
      <c r="U145" s="11" t="str">
        <f>IF('Raw Data'!A132&lt;&gt;"",AVERAGE('Raw Data'!BD132,'Raw Data'!BF132,'Raw Data'!BH132,'Raw Data'!BJ132,'Raw Data'!BL132),"")</f>
        <v/>
      </c>
      <c r="V145" s="11" t="str">
        <f>IF('Raw Data'!A132&lt;&gt;"",AVERAGE('Raw Data'!BE132,'Raw Data'!BG132,'Raw Data'!BI132,'Raw Data'!BK132,'Raw Data'!BM132),"")</f>
        <v/>
      </c>
      <c r="W145" s="11" t="str">
        <f t="shared" ref="W145:W208" si="30">IF(U145&lt;&gt;"",U145-V145,"")</f>
        <v/>
      </c>
      <c r="X145" s="11" t="str">
        <f t="shared" ref="X145:X208" si="31">IF(A145&lt;&gt;"",AVERAGE(F145,I145,L145,O145,R145,U145),"")</f>
        <v/>
      </c>
      <c r="Y145" s="11" t="str">
        <f t="shared" ref="Y145:Y208" si="32">IF(A145&lt;&gt;"",AVERAGE(G145,J145,M145,P145,S145,V145),"")</f>
        <v/>
      </c>
      <c r="Z145" s="11" t="str">
        <f t="shared" ref="Z145:Z208" si="33">IF(A145&lt;&gt;"",X145-Y145,"")</f>
        <v/>
      </c>
      <c r="AA145" s="11" t="str">
        <f t="shared" ref="AA145:AA208" si="34">IF(A145&lt;&gt;"",(K145*0.25)+(Q145*0.2)+(W145*0.2)+(H145*0.15)+(N145*0.1)+(T145*0.1),"")</f>
        <v/>
      </c>
      <c r="AB145" s="24" t="str">
        <f t="shared" ref="AB145:AB208" si="35">IF(A145&lt;&gt;"",(AA145*0.5)+(0.3*K145)+(0.2*Q145),"")</f>
        <v/>
      </c>
    </row>
    <row r="146" spans="1:28" x14ac:dyDescent="0.25">
      <c r="A146" s="10" t="str">
        <f>IF('Raw Data'!A133&lt;&gt;"",'Raw Data'!A133,"")</f>
        <v/>
      </c>
      <c r="B146" s="10" t="str">
        <f>IF('Raw Data'!B133&lt;&gt;"",'Raw Data'!B133,"")</f>
        <v/>
      </c>
      <c r="C146" s="10" t="str">
        <f>IF('Raw Data'!C133&lt;&gt;"",'Raw Data'!C133,"")</f>
        <v/>
      </c>
      <c r="D146" s="10" t="str">
        <f>IF('Raw Data'!D133&lt;&gt;"",'Raw Data'!D133,"")</f>
        <v/>
      </c>
      <c r="E146" s="10" t="str">
        <f>IF('Raw Data'!E133&lt;&gt;"",'Raw Data'!E133,"")</f>
        <v/>
      </c>
      <c r="F146" s="14" t="str">
        <f>IF('Raw Data'!A133&lt;&gt;"",AVERAGE('Raw Data'!F133,'Raw Data'!H133,'Raw Data'!J133,'Raw Data'!L133,'Raw Data'!N133),"")</f>
        <v/>
      </c>
      <c r="G146" s="14" t="str">
        <f>IF('Raw Data'!A133&lt;&gt;"",AVERAGE('Raw Data'!G133,'Raw Data'!I133,'Raw Data'!K133,'Raw Data'!M133,'Raw Data'!O133),"")</f>
        <v/>
      </c>
      <c r="H146" s="14" t="str">
        <f t="shared" si="25"/>
        <v/>
      </c>
      <c r="I146" s="14" t="str">
        <f>IF('Raw Data'!A133&lt;&gt;"",AVERAGE('Raw Data'!P133,'Raw Data'!R133,'Raw Data'!T133,'Raw Data'!V133,'Raw Data'!X133),"")</f>
        <v/>
      </c>
      <c r="J146" s="14" t="str">
        <f>IF('Raw Data'!A133&lt;&gt;"",AVERAGE('Raw Data'!Q133,'Raw Data'!S133,'Raw Data'!U133,'Raw Data'!W133,'Raw Data'!Y133),"")</f>
        <v/>
      </c>
      <c r="K146" s="14" t="str">
        <f t="shared" si="26"/>
        <v/>
      </c>
      <c r="L146" s="14" t="str">
        <f>IF('Raw Data'!A133&lt;&gt;"",AVERAGE('Raw Data'!Z133,'Raw Data'!AB133,'Raw Data'!AD133,'Raw Data'!AF133,'Raw Data'!AH133),"")</f>
        <v/>
      </c>
      <c r="M146" s="14" t="str">
        <f>IF('Raw Data'!A133&lt;&gt;"",AVERAGE('Raw Data'!AA133,'Raw Data'!AC133,'Raw Data'!AE133,'Raw Data'!AG133,'Raw Data'!AI133),"")</f>
        <v/>
      </c>
      <c r="N146" s="14" t="str">
        <f t="shared" si="27"/>
        <v/>
      </c>
      <c r="O146" s="14" t="str">
        <f>IF('Raw Data'!A133&lt;&gt;"",AVERAGE('Raw Data'!AJ133,'Raw Data'!AL133,'Raw Data'!AN133,'Raw Data'!AP133,'Raw Data'!AR133),"")</f>
        <v/>
      </c>
      <c r="P146" s="14" t="str">
        <f>IF('Raw Data'!A133&lt;&gt;"",AVERAGE('Raw Data'!AK133,'Raw Data'!AM133,'Raw Data'!AO133,'Raw Data'!AQ133,'Raw Data'!AS133),"")</f>
        <v/>
      </c>
      <c r="Q146" s="14" t="str">
        <f t="shared" si="28"/>
        <v/>
      </c>
      <c r="R146" s="14" t="str">
        <f>IF('Raw Data'!A133&lt;&gt;"",AVERAGE('Raw Data'!AT133,'Raw Data'!AV133,'Raw Data'!AX133,'Raw Data'!AZ133,'Raw Data'!BB133),"")</f>
        <v/>
      </c>
      <c r="S146" s="14" t="str">
        <f>IF('Raw Data'!A133&lt;&gt;"",AVERAGE('Raw Data'!AU133,'Raw Data'!AW133,'Raw Data'!AY133,'Raw Data'!BA133,'Raw Data'!BC133),"")</f>
        <v/>
      </c>
      <c r="T146" s="14" t="str">
        <f t="shared" si="29"/>
        <v/>
      </c>
      <c r="U146" s="14" t="str">
        <f>IF('Raw Data'!A133&lt;&gt;"",AVERAGE('Raw Data'!BD133,'Raw Data'!BF133,'Raw Data'!BH133,'Raw Data'!BJ133,'Raw Data'!BL133),"")</f>
        <v/>
      </c>
      <c r="V146" s="14" t="str">
        <f>IF('Raw Data'!A133&lt;&gt;"",AVERAGE('Raw Data'!BE133,'Raw Data'!BG133,'Raw Data'!BI133,'Raw Data'!BK133,'Raw Data'!BM133),"")</f>
        <v/>
      </c>
      <c r="W146" s="14" t="str">
        <f t="shared" si="30"/>
        <v/>
      </c>
      <c r="X146" s="14" t="str">
        <f t="shared" si="31"/>
        <v/>
      </c>
      <c r="Y146" s="14" t="str">
        <f t="shared" si="32"/>
        <v/>
      </c>
      <c r="Z146" s="14" t="str">
        <f t="shared" si="33"/>
        <v/>
      </c>
      <c r="AA146" s="14" t="str">
        <f t="shared" si="34"/>
        <v/>
      </c>
      <c r="AB146" s="25" t="str">
        <f t="shared" si="35"/>
        <v/>
      </c>
    </row>
    <row r="147" spans="1:28" x14ac:dyDescent="0.25">
      <c r="A147" s="2" t="str">
        <f>IF('Raw Data'!A134&lt;&gt;"",'Raw Data'!A134,"")</f>
        <v/>
      </c>
      <c r="B147" s="2" t="str">
        <f>IF('Raw Data'!B134&lt;&gt;"",'Raw Data'!B134,"")</f>
        <v/>
      </c>
      <c r="C147" s="2" t="str">
        <f>IF('Raw Data'!C134&lt;&gt;"",'Raw Data'!C134,"")</f>
        <v/>
      </c>
      <c r="D147" s="2" t="str">
        <f>IF('Raw Data'!D134&lt;&gt;"",'Raw Data'!D134,"")</f>
        <v/>
      </c>
      <c r="E147" s="2" t="str">
        <f>IF('Raw Data'!E134&lt;&gt;"",'Raw Data'!E134,"")</f>
        <v/>
      </c>
      <c r="F147" s="11" t="str">
        <f>IF('Raw Data'!A134&lt;&gt;"",AVERAGE('Raw Data'!F134,'Raw Data'!H134,'Raw Data'!J134,'Raw Data'!L134,'Raw Data'!N134),"")</f>
        <v/>
      </c>
      <c r="G147" s="11" t="str">
        <f>IF('Raw Data'!A134&lt;&gt;"",AVERAGE('Raw Data'!G134,'Raw Data'!I134,'Raw Data'!K134,'Raw Data'!M134,'Raw Data'!O134),"")</f>
        <v/>
      </c>
      <c r="H147" s="11" t="str">
        <f t="shared" si="25"/>
        <v/>
      </c>
      <c r="I147" s="11" t="str">
        <f>IF('Raw Data'!A134&lt;&gt;"",AVERAGE('Raw Data'!P134,'Raw Data'!R134,'Raw Data'!T134,'Raw Data'!V134,'Raw Data'!X134),"")</f>
        <v/>
      </c>
      <c r="J147" s="11" t="str">
        <f>IF('Raw Data'!A134&lt;&gt;"",AVERAGE('Raw Data'!Q134,'Raw Data'!S134,'Raw Data'!U134,'Raw Data'!W134,'Raw Data'!Y134),"")</f>
        <v/>
      </c>
      <c r="K147" s="11" t="str">
        <f t="shared" si="26"/>
        <v/>
      </c>
      <c r="L147" s="11" t="str">
        <f>IF('Raw Data'!A134&lt;&gt;"",AVERAGE('Raw Data'!Z134,'Raw Data'!AB134,'Raw Data'!AD134,'Raw Data'!AF134,'Raw Data'!AH134),"")</f>
        <v/>
      </c>
      <c r="M147" s="11" t="str">
        <f>IF('Raw Data'!A134&lt;&gt;"",AVERAGE('Raw Data'!AA134,'Raw Data'!AC134,'Raw Data'!AE134,'Raw Data'!AG134,'Raw Data'!AI134),"")</f>
        <v/>
      </c>
      <c r="N147" s="11" t="str">
        <f t="shared" si="27"/>
        <v/>
      </c>
      <c r="O147" s="11" t="str">
        <f>IF('Raw Data'!A134&lt;&gt;"",AVERAGE('Raw Data'!AJ134,'Raw Data'!AL134,'Raw Data'!AN134,'Raw Data'!AP134,'Raw Data'!AR134),"")</f>
        <v/>
      </c>
      <c r="P147" s="11" t="str">
        <f>IF('Raw Data'!A134&lt;&gt;"",AVERAGE('Raw Data'!AK134,'Raw Data'!AM134,'Raw Data'!AO134,'Raw Data'!AQ134,'Raw Data'!AS134),"")</f>
        <v/>
      </c>
      <c r="Q147" s="11" t="str">
        <f t="shared" si="28"/>
        <v/>
      </c>
      <c r="R147" s="11" t="str">
        <f>IF('Raw Data'!A134&lt;&gt;"",AVERAGE('Raw Data'!AT134,'Raw Data'!AV134,'Raw Data'!AX134,'Raw Data'!AZ134,'Raw Data'!BB134),"")</f>
        <v/>
      </c>
      <c r="S147" s="11" t="str">
        <f>IF('Raw Data'!A134&lt;&gt;"",AVERAGE('Raw Data'!AU134,'Raw Data'!AW134,'Raw Data'!AY134,'Raw Data'!BA134,'Raw Data'!BC134),"")</f>
        <v/>
      </c>
      <c r="T147" s="11" t="str">
        <f t="shared" si="29"/>
        <v/>
      </c>
      <c r="U147" s="11" t="str">
        <f>IF('Raw Data'!A134&lt;&gt;"",AVERAGE('Raw Data'!BD134,'Raw Data'!BF134,'Raw Data'!BH134,'Raw Data'!BJ134,'Raw Data'!BL134),"")</f>
        <v/>
      </c>
      <c r="V147" s="11" t="str">
        <f>IF('Raw Data'!A134&lt;&gt;"",AVERAGE('Raw Data'!BE134,'Raw Data'!BG134,'Raw Data'!BI134,'Raw Data'!BK134,'Raw Data'!BM134),"")</f>
        <v/>
      </c>
      <c r="W147" s="11" t="str">
        <f t="shared" si="30"/>
        <v/>
      </c>
      <c r="X147" s="11" t="str">
        <f t="shared" si="31"/>
        <v/>
      </c>
      <c r="Y147" s="11" t="str">
        <f t="shared" si="32"/>
        <v/>
      </c>
      <c r="Z147" s="11" t="str">
        <f t="shared" si="33"/>
        <v/>
      </c>
      <c r="AA147" s="11" t="str">
        <f t="shared" si="34"/>
        <v/>
      </c>
      <c r="AB147" s="24" t="str">
        <f t="shared" si="35"/>
        <v/>
      </c>
    </row>
    <row r="148" spans="1:28" x14ac:dyDescent="0.25">
      <c r="A148" s="10" t="str">
        <f>IF('Raw Data'!A135&lt;&gt;"",'Raw Data'!A135,"")</f>
        <v/>
      </c>
      <c r="B148" s="10" t="str">
        <f>IF('Raw Data'!B135&lt;&gt;"",'Raw Data'!B135,"")</f>
        <v/>
      </c>
      <c r="C148" s="10" t="str">
        <f>IF('Raw Data'!C135&lt;&gt;"",'Raw Data'!C135,"")</f>
        <v/>
      </c>
      <c r="D148" s="10" t="str">
        <f>IF('Raw Data'!D135&lt;&gt;"",'Raw Data'!D135,"")</f>
        <v/>
      </c>
      <c r="E148" s="10" t="str">
        <f>IF('Raw Data'!E135&lt;&gt;"",'Raw Data'!E135,"")</f>
        <v/>
      </c>
      <c r="F148" s="14" t="str">
        <f>IF('Raw Data'!A135&lt;&gt;"",AVERAGE('Raw Data'!F135,'Raw Data'!H135,'Raw Data'!J135,'Raw Data'!L135,'Raw Data'!N135),"")</f>
        <v/>
      </c>
      <c r="G148" s="14" t="str">
        <f>IF('Raw Data'!A135&lt;&gt;"",AVERAGE('Raw Data'!G135,'Raw Data'!I135,'Raw Data'!K135,'Raw Data'!M135,'Raw Data'!O135),"")</f>
        <v/>
      </c>
      <c r="H148" s="14" t="str">
        <f t="shared" si="25"/>
        <v/>
      </c>
      <c r="I148" s="14" t="str">
        <f>IF('Raw Data'!A135&lt;&gt;"",AVERAGE('Raw Data'!P135,'Raw Data'!R135,'Raw Data'!T135,'Raw Data'!V135,'Raw Data'!X135),"")</f>
        <v/>
      </c>
      <c r="J148" s="14" t="str">
        <f>IF('Raw Data'!A135&lt;&gt;"",AVERAGE('Raw Data'!Q135,'Raw Data'!S135,'Raw Data'!U135,'Raw Data'!W135,'Raw Data'!Y135),"")</f>
        <v/>
      </c>
      <c r="K148" s="14" t="str">
        <f t="shared" si="26"/>
        <v/>
      </c>
      <c r="L148" s="14" t="str">
        <f>IF('Raw Data'!A135&lt;&gt;"",AVERAGE('Raw Data'!Z135,'Raw Data'!AB135,'Raw Data'!AD135,'Raw Data'!AF135,'Raw Data'!AH135),"")</f>
        <v/>
      </c>
      <c r="M148" s="14" t="str">
        <f>IF('Raw Data'!A135&lt;&gt;"",AVERAGE('Raw Data'!AA135,'Raw Data'!AC135,'Raw Data'!AE135,'Raw Data'!AG135,'Raw Data'!AI135),"")</f>
        <v/>
      </c>
      <c r="N148" s="14" t="str">
        <f t="shared" si="27"/>
        <v/>
      </c>
      <c r="O148" s="14" t="str">
        <f>IF('Raw Data'!A135&lt;&gt;"",AVERAGE('Raw Data'!AJ135,'Raw Data'!AL135,'Raw Data'!AN135,'Raw Data'!AP135,'Raw Data'!AR135),"")</f>
        <v/>
      </c>
      <c r="P148" s="14" t="str">
        <f>IF('Raw Data'!A135&lt;&gt;"",AVERAGE('Raw Data'!AK135,'Raw Data'!AM135,'Raw Data'!AO135,'Raw Data'!AQ135,'Raw Data'!AS135),"")</f>
        <v/>
      </c>
      <c r="Q148" s="14" t="str">
        <f t="shared" si="28"/>
        <v/>
      </c>
      <c r="R148" s="14" t="str">
        <f>IF('Raw Data'!A135&lt;&gt;"",AVERAGE('Raw Data'!AT135,'Raw Data'!AV135,'Raw Data'!AX135,'Raw Data'!AZ135,'Raw Data'!BB135),"")</f>
        <v/>
      </c>
      <c r="S148" s="14" t="str">
        <f>IF('Raw Data'!A135&lt;&gt;"",AVERAGE('Raw Data'!AU135,'Raw Data'!AW135,'Raw Data'!AY135,'Raw Data'!BA135,'Raw Data'!BC135),"")</f>
        <v/>
      </c>
      <c r="T148" s="14" t="str">
        <f t="shared" si="29"/>
        <v/>
      </c>
      <c r="U148" s="14" t="str">
        <f>IF('Raw Data'!A135&lt;&gt;"",AVERAGE('Raw Data'!BD135,'Raw Data'!BF135,'Raw Data'!BH135,'Raw Data'!BJ135,'Raw Data'!BL135),"")</f>
        <v/>
      </c>
      <c r="V148" s="14" t="str">
        <f>IF('Raw Data'!A135&lt;&gt;"",AVERAGE('Raw Data'!BE135,'Raw Data'!BG135,'Raw Data'!BI135,'Raw Data'!BK135,'Raw Data'!BM135),"")</f>
        <v/>
      </c>
      <c r="W148" s="14" t="str">
        <f t="shared" si="30"/>
        <v/>
      </c>
      <c r="X148" s="14" t="str">
        <f t="shared" si="31"/>
        <v/>
      </c>
      <c r="Y148" s="14" t="str">
        <f t="shared" si="32"/>
        <v/>
      </c>
      <c r="Z148" s="14" t="str">
        <f t="shared" si="33"/>
        <v/>
      </c>
      <c r="AA148" s="14" t="str">
        <f t="shared" si="34"/>
        <v/>
      </c>
      <c r="AB148" s="25" t="str">
        <f t="shared" si="35"/>
        <v/>
      </c>
    </row>
    <row r="149" spans="1:28" x14ac:dyDescent="0.25">
      <c r="A149" s="2" t="str">
        <f>IF('Raw Data'!A136&lt;&gt;"",'Raw Data'!A136,"")</f>
        <v/>
      </c>
      <c r="B149" s="2" t="str">
        <f>IF('Raw Data'!B136&lt;&gt;"",'Raw Data'!B136,"")</f>
        <v/>
      </c>
      <c r="C149" s="2" t="str">
        <f>IF('Raw Data'!C136&lt;&gt;"",'Raw Data'!C136,"")</f>
        <v/>
      </c>
      <c r="D149" s="2" t="str">
        <f>IF('Raw Data'!D136&lt;&gt;"",'Raw Data'!D136,"")</f>
        <v/>
      </c>
      <c r="E149" s="2" t="str">
        <f>IF('Raw Data'!E136&lt;&gt;"",'Raw Data'!E136,"")</f>
        <v/>
      </c>
      <c r="F149" s="11" t="str">
        <f>IF('Raw Data'!A136&lt;&gt;"",AVERAGE('Raw Data'!F136,'Raw Data'!H136,'Raw Data'!J136,'Raw Data'!L136,'Raw Data'!N136),"")</f>
        <v/>
      </c>
      <c r="G149" s="11" t="str">
        <f>IF('Raw Data'!A136&lt;&gt;"",AVERAGE('Raw Data'!G136,'Raw Data'!I136,'Raw Data'!K136,'Raw Data'!M136,'Raw Data'!O136),"")</f>
        <v/>
      </c>
      <c r="H149" s="11" t="str">
        <f t="shared" si="25"/>
        <v/>
      </c>
      <c r="I149" s="11" t="str">
        <f>IF('Raw Data'!A136&lt;&gt;"",AVERAGE('Raw Data'!P136,'Raw Data'!R136,'Raw Data'!T136,'Raw Data'!V136,'Raw Data'!X136),"")</f>
        <v/>
      </c>
      <c r="J149" s="11" t="str">
        <f>IF('Raw Data'!A136&lt;&gt;"",AVERAGE('Raw Data'!Q136,'Raw Data'!S136,'Raw Data'!U136,'Raw Data'!W136,'Raw Data'!Y136),"")</f>
        <v/>
      </c>
      <c r="K149" s="11" t="str">
        <f t="shared" si="26"/>
        <v/>
      </c>
      <c r="L149" s="11" t="str">
        <f>IF('Raw Data'!A136&lt;&gt;"",AVERAGE('Raw Data'!Z136,'Raw Data'!AB136,'Raw Data'!AD136,'Raw Data'!AF136,'Raw Data'!AH136),"")</f>
        <v/>
      </c>
      <c r="M149" s="11" t="str">
        <f>IF('Raw Data'!A136&lt;&gt;"",AVERAGE('Raw Data'!AA136,'Raw Data'!AC136,'Raw Data'!AE136,'Raw Data'!AG136,'Raw Data'!AI136),"")</f>
        <v/>
      </c>
      <c r="N149" s="11" t="str">
        <f t="shared" si="27"/>
        <v/>
      </c>
      <c r="O149" s="11" t="str">
        <f>IF('Raw Data'!A136&lt;&gt;"",AVERAGE('Raw Data'!AJ136,'Raw Data'!AL136,'Raw Data'!AN136,'Raw Data'!AP136,'Raw Data'!AR136),"")</f>
        <v/>
      </c>
      <c r="P149" s="11" t="str">
        <f>IF('Raw Data'!A136&lt;&gt;"",AVERAGE('Raw Data'!AK136,'Raw Data'!AM136,'Raw Data'!AO136,'Raw Data'!AQ136,'Raw Data'!AS136),"")</f>
        <v/>
      </c>
      <c r="Q149" s="11" t="str">
        <f t="shared" si="28"/>
        <v/>
      </c>
      <c r="R149" s="11" t="str">
        <f>IF('Raw Data'!A136&lt;&gt;"",AVERAGE('Raw Data'!AT136,'Raw Data'!AV136,'Raw Data'!AX136,'Raw Data'!AZ136,'Raw Data'!BB136),"")</f>
        <v/>
      </c>
      <c r="S149" s="11" t="str">
        <f>IF('Raw Data'!A136&lt;&gt;"",AVERAGE('Raw Data'!AU136,'Raw Data'!AW136,'Raw Data'!AY136,'Raw Data'!BA136,'Raw Data'!BC136),"")</f>
        <v/>
      </c>
      <c r="T149" s="11" t="str">
        <f t="shared" si="29"/>
        <v/>
      </c>
      <c r="U149" s="11" t="str">
        <f>IF('Raw Data'!A136&lt;&gt;"",AVERAGE('Raw Data'!BD136,'Raw Data'!BF136,'Raw Data'!BH136,'Raw Data'!BJ136,'Raw Data'!BL136),"")</f>
        <v/>
      </c>
      <c r="V149" s="11" t="str">
        <f>IF('Raw Data'!A136&lt;&gt;"",AVERAGE('Raw Data'!BE136,'Raw Data'!BG136,'Raw Data'!BI136,'Raw Data'!BK136,'Raw Data'!BM136),"")</f>
        <v/>
      </c>
      <c r="W149" s="11" t="str">
        <f t="shared" si="30"/>
        <v/>
      </c>
      <c r="X149" s="11" t="str">
        <f t="shared" si="31"/>
        <v/>
      </c>
      <c r="Y149" s="11" t="str">
        <f t="shared" si="32"/>
        <v/>
      </c>
      <c r="Z149" s="11" t="str">
        <f t="shared" si="33"/>
        <v/>
      </c>
      <c r="AA149" s="11" t="str">
        <f t="shared" si="34"/>
        <v/>
      </c>
      <c r="AB149" s="24" t="str">
        <f t="shared" si="35"/>
        <v/>
      </c>
    </row>
    <row r="150" spans="1:28" x14ac:dyDescent="0.25">
      <c r="A150" s="10" t="str">
        <f>IF('Raw Data'!A137&lt;&gt;"",'Raw Data'!A137,"")</f>
        <v/>
      </c>
      <c r="B150" s="10" t="str">
        <f>IF('Raw Data'!B137&lt;&gt;"",'Raw Data'!B137,"")</f>
        <v/>
      </c>
      <c r="C150" s="10" t="str">
        <f>IF('Raw Data'!C137&lt;&gt;"",'Raw Data'!C137,"")</f>
        <v/>
      </c>
      <c r="D150" s="10" t="str">
        <f>IF('Raw Data'!D137&lt;&gt;"",'Raw Data'!D137,"")</f>
        <v/>
      </c>
      <c r="E150" s="10" t="str">
        <f>IF('Raw Data'!E137&lt;&gt;"",'Raw Data'!E137,"")</f>
        <v/>
      </c>
      <c r="F150" s="14" t="str">
        <f>IF('Raw Data'!A137&lt;&gt;"",AVERAGE('Raw Data'!F137,'Raw Data'!H137,'Raw Data'!J137,'Raw Data'!L137,'Raw Data'!N137),"")</f>
        <v/>
      </c>
      <c r="G150" s="14" t="str">
        <f>IF('Raw Data'!A137&lt;&gt;"",AVERAGE('Raw Data'!G137,'Raw Data'!I137,'Raw Data'!K137,'Raw Data'!M137,'Raw Data'!O137),"")</f>
        <v/>
      </c>
      <c r="H150" s="14" t="str">
        <f t="shared" si="25"/>
        <v/>
      </c>
      <c r="I150" s="14" t="str">
        <f>IF('Raw Data'!A137&lt;&gt;"",AVERAGE('Raw Data'!P137,'Raw Data'!R137,'Raw Data'!T137,'Raw Data'!V137,'Raw Data'!X137),"")</f>
        <v/>
      </c>
      <c r="J150" s="14" t="str">
        <f>IF('Raw Data'!A137&lt;&gt;"",AVERAGE('Raw Data'!Q137,'Raw Data'!S137,'Raw Data'!U137,'Raw Data'!W137,'Raw Data'!Y137),"")</f>
        <v/>
      </c>
      <c r="K150" s="14" t="str">
        <f t="shared" si="26"/>
        <v/>
      </c>
      <c r="L150" s="14" t="str">
        <f>IF('Raw Data'!A137&lt;&gt;"",AVERAGE('Raw Data'!Z137,'Raw Data'!AB137,'Raw Data'!AD137,'Raw Data'!AF137,'Raw Data'!AH137),"")</f>
        <v/>
      </c>
      <c r="M150" s="14" t="str">
        <f>IF('Raw Data'!A137&lt;&gt;"",AVERAGE('Raw Data'!AA137,'Raw Data'!AC137,'Raw Data'!AE137,'Raw Data'!AG137,'Raw Data'!AI137),"")</f>
        <v/>
      </c>
      <c r="N150" s="14" t="str">
        <f t="shared" si="27"/>
        <v/>
      </c>
      <c r="O150" s="14" t="str">
        <f>IF('Raw Data'!A137&lt;&gt;"",AVERAGE('Raw Data'!AJ137,'Raw Data'!AL137,'Raw Data'!AN137,'Raw Data'!AP137,'Raw Data'!AR137),"")</f>
        <v/>
      </c>
      <c r="P150" s="14" t="str">
        <f>IF('Raw Data'!A137&lt;&gt;"",AVERAGE('Raw Data'!AK137,'Raw Data'!AM137,'Raw Data'!AO137,'Raw Data'!AQ137,'Raw Data'!AS137),"")</f>
        <v/>
      </c>
      <c r="Q150" s="14" t="str">
        <f t="shared" si="28"/>
        <v/>
      </c>
      <c r="R150" s="14" t="str">
        <f>IF('Raw Data'!A137&lt;&gt;"",AVERAGE('Raw Data'!AT137,'Raw Data'!AV137,'Raw Data'!AX137,'Raw Data'!AZ137,'Raw Data'!BB137),"")</f>
        <v/>
      </c>
      <c r="S150" s="14" t="str">
        <f>IF('Raw Data'!A137&lt;&gt;"",AVERAGE('Raw Data'!AU137,'Raw Data'!AW137,'Raw Data'!AY137,'Raw Data'!BA137,'Raw Data'!BC137),"")</f>
        <v/>
      </c>
      <c r="T150" s="14" t="str">
        <f t="shared" si="29"/>
        <v/>
      </c>
      <c r="U150" s="14" t="str">
        <f>IF('Raw Data'!A137&lt;&gt;"",AVERAGE('Raw Data'!BD137,'Raw Data'!BF137,'Raw Data'!BH137,'Raw Data'!BJ137,'Raw Data'!BL137),"")</f>
        <v/>
      </c>
      <c r="V150" s="14" t="str">
        <f>IF('Raw Data'!A137&lt;&gt;"",AVERAGE('Raw Data'!BE137,'Raw Data'!BG137,'Raw Data'!BI137,'Raw Data'!BK137,'Raw Data'!BM137),"")</f>
        <v/>
      </c>
      <c r="W150" s="14" t="str">
        <f t="shared" si="30"/>
        <v/>
      </c>
      <c r="X150" s="14" t="str">
        <f t="shared" si="31"/>
        <v/>
      </c>
      <c r="Y150" s="14" t="str">
        <f t="shared" si="32"/>
        <v/>
      </c>
      <c r="Z150" s="14" t="str">
        <f t="shared" si="33"/>
        <v/>
      </c>
      <c r="AA150" s="14" t="str">
        <f t="shared" si="34"/>
        <v/>
      </c>
      <c r="AB150" s="25" t="str">
        <f t="shared" si="35"/>
        <v/>
      </c>
    </row>
    <row r="151" spans="1:28" x14ac:dyDescent="0.25">
      <c r="A151" s="2" t="str">
        <f>IF('Raw Data'!A138&lt;&gt;"",'Raw Data'!A138,"")</f>
        <v/>
      </c>
      <c r="B151" s="2" t="str">
        <f>IF('Raw Data'!B138&lt;&gt;"",'Raw Data'!B138,"")</f>
        <v/>
      </c>
      <c r="C151" s="2" t="str">
        <f>IF('Raw Data'!C138&lt;&gt;"",'Raw Data'!C138,"")</f>
        <v/>
      </c>
      <c r="D151" s="2" t="str">
        <f>IF('Raw Data'!D138&lt;&gt;"",'Raw Data'!D138,"")</f>
        <v/>
      </c>
      <c r="E151" s="2" t="str">
        <f>IF('Raw Data'!E138&lt;&gt;"",'Raw Data'!E138,"")</f>
        <v/>
      </c>
      <c r="F151" s="11" t="str">
        <f>IF('Raw Data'!A138&lt;&gt;"",AVERAGE('Raw Data'!F138,'Raw Data'!H138,'Raw Data'!J138,'Raw Data'!L138,'Raw Data'!N138),"")</f>
        <v/>
      </c>
      <c r="G151" s="11" t="str">
        <f>IF('Raw Data'!A138&lt;&gt;"",AVERAGE('Raw Data'!G138,'Raw Data'!I138,'Raw Data'!K138,'Raw Data'!M138,'Raw Data'!O138),"")</f>
        <v/>
      </c>
      <c r="H151" s="11" t="str">
        <f t="shared" si="25"/>
        <v/>
      </c>
      <c r="I151" s="11" t="str">
        <f>IF('Raw Data'!A138&lt;&gt;"",AVERAGE('Raw Data'!P138,'Raw Data'!R138,'Raw Data'!T138,'Raw Data'!V138,'Raw Data'!X138),"")</f>
        <v/>
      </c>
      <c r="J151" s="11" t="str">
        <f>IF('Raw Data'!A138&lt;&gt;"",AVERAGE('Raw Data'!Q138,'Raw Data'!S138,'Raw Data'!U138,'Raw Data'!W138,'Raw Data'!Y138),"")</f>
        <v/>
      </c>
      <c r="K151" s="11" t="str">
        <f t="shared" si="26"/>
        <v/>
      </c>
      <c r="L151" s="11" t="str">
        <f>IF('Raw Data'!A138&lt;&gt;"",AVERAGE('Raw Data'!Z138,'Raw Data'!AB138,'Raw Data'!AD138,'Raw Data'!AF138,'Raw Data'!AH138),"")</f>
        <v/>
      </c>
      <c r="M151" s="11" t="str">
        <f>IF('Raw Data'!A138&lt;&gt;"",AVERAGE('Raw Data'!AA138,'Raw Data'!AC138,'Raw Data'!AE138,'Raw Data'!AG138,'Raw Data'!AI138),"")</f>
        <v/>
      </c>
      <c r="N151" s="11" t="str">
        <f t="shared" si="27"/>
        <v/>
      </c>
      <c r="O151" s="11" t="str">
        <f>IF('Raw Data'!A138&lt;&gt;"",AVERAGE('Raw Data'!AJ138,'Raw Data'!AL138,'Raw Data'!AN138,'Raw Data'!AP138,'Raw Data'!AR138),"")</f>
        <v/>
      </c>
      <c r="P151" s="11" t="str">
        <f>IF('Raw Data'!A138&lt;&gt;"",AVERAGE('Raw Data'!AK138,'Raw Data'!AM138,'Raw Data'!AO138,'Raw Data'!AQ138,'Raw Data'!AS138),"")</f>
        <v/>
      </c>
      <c r="Q151" s="11" t="str">
        <f t="shared" si="28"/>
        <v/>
      </c>
      <c r="R151" s="11" t="str">
        <f>IF('Raw Data'!A138&lt;&gt;"",AVERAGE('Raw Data'!AT138,'Raw Data'!AV138,'Raw Data'!AX138,'Raw Data'!AZ138,'Raw Data'!BB138),"")</f>
        <v/>
      </c>
      <c r="S151" s="11" t="str">
        <f>IF('Raw Data'!A138&lt;&gt;"",AVERAGE('Raw Data'!AU138,'Raw Data'!AW138,'Raw Data'!AY138,'Raw Data'!BA138,'Raw Data'!BC138),"")</f>
        <v/>
      </c>
      <c r="T151" s="11" t="str">
        <f t="shared" si="29"/>
        <v/>
      </c>
      <c r="U151" s="11" t="str">
        <f>IF('Raw Data'!A138&lt;&gt;"",AVERAGE('Raw Data'!BD138,'Raw Data'!BF138,'Raw Data'!BH138,'Raw Data'!BJ138,'Raw Data'!BL138),"")</f>
        <v/>
      </c>
      <c r="V151" s="11" t="str">
        <f>IF('Raw Data'!A138&lt;&gt;"",AVERAGE('Raw Data'!BE138,'Raw Data'!BG138,'Raw Data'!BI138,'Raw Data'!BK138,'Raw Data'!BM138),"")</f>
        <v/>
      </c>
      <c r="W151" s="11" t="str">
        <f t="shared" si="30"/>
        <v/>
      </c>
      <c r="X151" s="11" t="str">
        <f t="shared" si="31"/>
        <v/>
      </c>
      <c r="Y151" s="11" t="str">
        <f t="shared" si="32"/>
        <v/>
      </c>
      <c r="Z151" s="11" t="str">
        <f t="shared" si="33"/>
        <v/>
      </c>
      <c r="AA151" s="11" t="str">
        <f t="shared" si="34"/>
        <v/>
      </c>
      <c r="AB151" s="24" t="str">
        <f t="shared" si="35"/>
        <v/>
      </c>
    </row>
    <row r="152" spans="1:28" x14ac:dyDescent="0.25">
      <c r="A152" s="10" t="str">
        <f>IF('Raw Data'!A139&lt;&gt;"",'Raw Data'!A139,"")</f>
        <v/>
      </c>
      <c r="B152" s="10" t="str">
        <f>IF('Raw Data'!B139&lt;&gt;"",'Raw Data'!B139,"")</f>
        <v/>
      </c>
      <c r="C152" s="10" t="str">
        <f>IF('Raw Data'!C139&lt;&gt;"",'Raw Data'!C139,"")</f>
        <v/>
      </c>
      <c r="D152" s="10" t="str">
        <f>IF('Raw Data'!D139&lt;&gt;"",'Raw Data'!D139,"")</f>
        <v/>
      </c>
      <c r="E152" s="10" t="str">
        <f>IF('Raw Data'!E139&lt;&gt;"",'Raw Data'!E139,"")</f>
        <v/>
      </c>
      <c r="F152" s="14" t="str">
        <f>IF('Raw Data'!A139&lt;&gt;"",AVERAGE('Raw Data'!F139,'Raw Data'!H139,'Raw Data'!J139,'Raw Data'!L139,'Raw Data'!N139),"")</f>
        <v/>
      </c>
      <c r="G152" s="14" t="str">
        <f>IF('Raw Data'!A139&lt;&gt;"",AVERAGE('Raw Data'!G139,'Raw Data'!I139,'Raw Data'!K139,'Raw Data'!M139,'Raw Data'!O139),"")</f>
        <v/>
      </c>
      <c r="H152" s="14" t="str">
        <f t="shared" si="25"/>
        <v/>
      </c>
      <c r="I152" s="14" t="str">
        <f>IF('Raw Data'!A139&lt;&gt;"",AVERAGE('Raw Data'!P139,'Raw Data'!R139,'Raw Data'!T139,'Raw Data'!V139,'Raw Data'!X139),"")</f>
        <v/>
      </c>
      <c r="J152" s="14" t="str">
        <f>IF('Raw Data'!A139&lt;&gt;"",AVERAGE('Raw Data'!Q139,'Raw Data'!S139,'Raw Data'!U139,'Raw Data'!W139,'Raw Data'!Y139),"")</f>
        <v/>
      </c>
      <c r="K152" s="14" t="str">
        <f t="shared" si="26"/>
        <v/>
      </c>
      <c r="L152" s="14" t="str">
        <f>IF('Raw Data'!A139&lt;&gt;"",AVERAGE('Raw Data'!Z139,'Raw Data'!AB139,'Raw Data'!AD139,'Raw Data'!AF139,'Raw Data'!AH139),"")</f>
        <v/>
      </c>
      <c r="M152" s="14" t="str">
        <f>IF('Raw Data'!A139&lt;&gt;"",AVERAGE('Raw Data'!AA139,'Raw Data'!AC139,'Raw Data'!AE139,'Raw Data'!AG139,'Raw Data'!AI139),"")</f>
        <v/>
      </c>
      <c r="N152" s="14" t="str">
        <f t="shared" si="27"/>
        <v/>
      </c>
      <c r="O152" s="14" t="str">
        <f>IF('Raw Data'!A139&lt;&gt;"",AVERAGE('Raw Data'!AJ139,'Raw Data'!AL139,'Raw Data'!AN139,'Raw Data'!AP139,'Raw Data'!AR139),"")</f>
        <v/>
      </c>
      <c r="P152" s="14" t="str">
        <f>IF('Raw Data'!A139&lt;&gt;"",AVERAGE('Raw Data'!AK139,'Raw Data'!AM139,'Raw Data'!AO139,'Raw Data'!AQ139,'Raw Data'!AS139),"")</f>
        <v/>
      </c>
      <c r="Q152" s="14" t="str">
        <f t="shared" si="28"/>
        <v/>
      </c>
      <c r="R152" s="14" t="str">
        <f>IF('Raw Data'!A139&lt;&gt;"",AVERAGE('Raw Data'!AT139,'Raw Data'!AV139,'Raw Data'!AX139,'Raw Data'!AZ139,'Raw Data'!BB139),"")</f>
        <v/>
      </c>
      <c r="S152" s="14" t="str">
        <f>IF('Raw Data'!A139&lt;&gt;"",AVERAGE('Raw Data'!AU139,'Raw Data'!AW139,'Raw Data'!AY139,'Raw Data'!BA139,'Raw Data'!BC139),"")</f>
        <v/>
      </c>
      <c r="T152" s="14" t="str">
        <f t="shared" si="29"/>
        <v/>
      </c>
      <c r="U152" s="14" t="str">
        <f>IF('Raw Data'!A139&lt;&gt;"",AVERAGE('Raw Data'!BD139,'Raw Data'!BF139,'Raw Data'!BH139,'Raw Data'!BJ139,'Raw Data'!BL139),"")</f>
        <v/>
      </c>
      <c r="V152" s="14" t="str">
        <f>IF('Raw Data'!A139&lt;&gt;"",AVERAGE('Raw Data'!BE139,'Raw Data'!BG139,'Raw Data'!BI139,'Raw Data'!BK139,'Raw Data'!BM139),"")</f>
        <v/>
      </c>
      <c r="W152" s="14" t="str">
        <f t="shared" si="30"/>
        <v/>
      </c>
      <c r="X152" s="14" t="str">
        <f t="shared" si="31"/>
        <v/>
      </c>
      <c r="Y152" s="14" t="str">
        <f t="shared" si="32"/>
        <v/>
      </c>
      <c r="Z152" s="14" t="str">
        <f t="shared" si="33"/>
        <v/>
      </c>
      <c r="AA152" s="14" t="str">
        <f t="shared" si="34"/>
        <v/>
      </c>
      <c r="AB152" s="25" t="str">
        <f t="shared" si="35"/>
        <v/>
      </c>
    </row>
    <row r="153" spans="1:28" x14ac:dyDescent="0.25">
      <c r="A153" s="2" t="str">
        <f>IF('Raw Data'!A140&lt;&gt;"",'Raw Data'!A140,"")</f>
        <v/>
      </c>
      <c r="B153" s="2" t="str">
        <f>IF('Raw Data'!B140&lt;&gt;"",'Raw Data'!B140,"")</f>
        <v/>
      </c>
      <c r="C153" s="2" t="str">
        <f>IF('Raw Data'!C140&lt;&gt;"",'Raw Data'!C140,"")</f>
        <v/>
      </c>
      <c r="D153" s="2" t="str">
        <f>IF('Raw Data'!D140&lt;&gt;"",'Raw Data'!D140,"")</f>
        <v/>
      </c>
      <c r="E153" s="2" t="str">
        <f>IF('Raw Data'!E140&lt;&gt;"",'Raw Data'!E140,"")</f>
        <v/>
      </c>
      <c r="F153" s="11" t="str">
        <f>IF('Raw Data'!A140&lt;&gt;"",AVERAGE('Raw Data'!F140,'Raw Data'!H140,'Raw Data'!J140,'Raw Data'!L140,'Raw Data'!N140),"")</f>
        <v/>
      </c>
      <c r="G153" s="11" t="str">
        <f>IF('Raw Data'!A140&lt;&gt;"",AVERAGE('Raw Data'!G140,'Raw Data'!I140,'Raw Data'!K140,'Raw Data'!M140,'Raw Data'!O140),"")</f>
        <v/>
      </c>
      <c r="H153" s="11" t="str">
        <f t="shared" si="25"/>
        <v/>
      </c>
      <c r="I153" s="11" t="str">
        <f>IF('Raw Data'!A140&lt;&gt;"",AVERAGE('Raw Data'!P140,'Raw Data'!R140,'Raw Data'!T140,'Raw Data'!V140,'Raw Data'!X140),"")</f>
        <v/>
      </c>
      <c r="J153" s="11" t="str">
        <f>IF('Raw Data'!A140&lt;&gt;"",AVERAGE('Raw Data'!Q140,'Raw Data'!S140,'Raw Data'!U140,'Raw Data'!W140,'Raw Data'!Y140),"")</f>
        <v/>
      </c>
      <c r="K153" s="11" t="str">
        <f t="shared" si="26"/>
        <v/>
      </c>
      <c r="L153" s="11" t="str">
        <f>IF('Raw Data'!A140&lt;&gt;"",AVERAGE('Raw Data'!Z140,'Raw Data'!AB140,'Raw Data'!AD140,'Raw Data'!AF140,'Raw Data'!AH140),"")</f>
        <v/>
      </c>
      <c r="M153" s="11" t="str">
        <f>IF('Raw Data'!A140&lt;&gt;"",AVERAGE('Raw Data'!AA140,'Raw Data'!AC140,'Raw Data'!AE140,'Raw Data'!AG140,'Raw Data'!AI140),"")</f>
        <v/>
      </c>
      <c r="N153" s="11" t="str">
        <f t="shared" si="27"/>
        <v/>
      </c>
      <c r="O153" s="11" t="str">
        <f>IF('Raw Data'!A140&lt;&gt;"",AVERAGE('Raw Data'!AJ140,'Raw Data'!AL140,'Raw Data'!AN140,'Raw Data'!AP140,'Raw Data'!AR140),"")</f>
        <v/>
      </c>
      <c r="P153" s="11" t="str">
        <f>IF('Raw Data'!A140&lt;&gt;"",AVERAGE('Raw Data'!AK140,'Raw Data'!AM140,'Raw Data'!AO140,'Raw Data'!AQ140,'Raw Data'!AS140),"")</f>
        <v/>
      </c>
      <c r="Q153" s="11" t="str">
        <f t="shared" si="28"/>
        <v/>
      </c>
      <c r="R153" s="11" t="str">
        <f>IF('Raw Data'!A140&lt;&gt;"",AVERAGE('Raw Data'!AT140,'Raw Data'!AV140,'Raw Data'!AX140,'Raw Data'!AZ140,'Raw Data'!BB140),"")</f>
        <v/>
      </c>
      <c r="S153" s="11" t="str">
        <f>IF('Raw Data'!A140&lt;&gt;"",AVERAGE('Raw Data'!AU140,'Raw Data'!AW140,'Raw Data'!AY140,'Raw Data'!BA140,'Raw Data'!BC140),"")</f>
        <v/>
      </c>
      <c r="T153" s="11" t="str">
        <f t="shared" si="29"/>
        <v/>
      </c>
      <c r="U153" s="11" t="str">
        <f>IF('Raw Data'!A140&lt;&gt;"",AVERAGE('Raw Data'!BD140,'Raw Data'!BF140,'Raw Data'!BH140,'Raw Data'!BJ140,'Raw Data'!BL140),"")</f>
        <v/>
      </c>
      <c r="V153" s="11" t="str">
        <f>IF('Raw Data'!A140&lt;&gt;"",AVERAGE('Raw Data'!BE140,'Raw Data'!BG140,'Raw Data'!BI140,'Raw Data'!BK140,'Raw Data'!BM140),"")</f>
        <v/>
      </c>
      <c r="W153" s="11" t="str">
        <f t="shared" si="30"/>
        <v/>
      </c>
      <c r="X153" s="11" t="str">
        <f t="shared" si="31"/>
        <v/>
      </c>
      <c r="Y153" s="11" t="str">
        <f t="shared" si="32"/>
        <v/>
      </c>
      <c r="Z153" s="11" t="str">
        <f t="shared" si="33"/>
        <v/>
      </c>
      <c r="AA153" s="11" t="str">
        <f t="shared" si="34"/>
        <v/>
      </c>
      <c r="AB153" s="24" t="str">
        <f t="shared" si="35"/>
        <v/>
      </c>
    </row>
    <row r="154" spans="1:28" x14ac:dyDescent="0.25">
      <c r="A154" s="10" t="str">
        <f>IF('Raw Data'!A141&lt;&gt;"",'Raw Data'!A141,"")</f>
        <v/>
      </c>
      <c r="B154" s="10" t="str">
        <f>IF('Raw Data'!B141&lt;&gt;"",'Raw Data'!B141,"")</f>
        <v/>
      </c>
      <c r="C154" s="10" t="str">
        <f>IF('Raw Data'!C141&lt;&gt;"",'Raw Data'!C141,"")</f>
        <v/>
      </c>
      <c r="D154" s="10" t="str">
        <f>IF('Raw Data'!D141&lt;&gt;"",'Raw Data'!D141,"")</f>
        <v/>
      </c>
      <c r="E154" s="10" t="str">
        <f>IF('Raw Data'!E141&lt;&gt;"",'Raw Data'!E141,"")</f>
        <v/>
      </c>
      <c r="F154" s="14" t="str">
        <f>IF('Raw Data'!A141&lt;&gt;"",AVERAGE('Raw Data'!F141,'Raw Data'!H141,'Raw Data'!J141,'Raw Data'!L141,'Raw Data'!N141),"")</f>
        <v/>
      </c>
      <c r="G154" s="14" t="str">
        <f>IF('Raw Data'!A141&lt;&gt;"",AVERAGE('Raw Data'!G141,'Raw Data'!I141,'Raw Data'!K141,'Raw Data'!M141,'Raw Data'!O141),"")</f>
        <v/>
      </c>
      <c r="H154" s="14" t="str">
        <f t="shared" si="25"/>
        <v/>
      </c>
      <c r="I154" s="14" t="str">
        <f>IF('Raw Data'!A141&lt;&gt;"",AVERAGE('Raw Data'!P141,'Raw Data'!R141,'Raw Data'!T141,'Raw Data'!V141,'Raw Data'!X141),"")</f>
        <v/>
      </c>
      <c r="J154" s="14" t="str">
        <f>IF('Raw Data'!A141&lt;&gt;"",AVERAGE('Raw Data'!Q141,'Raw Data'!S141,'Raw Data'!U141,'Raw Data'!W141,'Raw Data'!Y141),"")</f>
        <v/>
      </c>
      <c r="K154" s="14" t="str">
        <f t="shared" si="26"/>
        <v/>
      </c>
      <c r="L154" s="14" t="str">
        <f>IF('Raw Data'!A141&lt;&gt;"",AVERAGE('Raw Data'!Z141,'Raw Data'!AB141,'Raw Data'!AD141,'Raw Data'!AF141,'Raw Data'!AH141),"")</f>
        <v/>
      </c>
      <c r="M154" s="14" t="str">
        <f>IF('Raw Data'!A141&lt;&gt;"",AVERAGE('Raw Data'!AA141,'Raw Data'!AC141,'Raw Data'!AE141,'Raw Data'!AG141,'Raw Data'!AI141),"")</f>
        <v/>
      </c>
      <c r="N154" s="14" t="str">
        <f t="shared" si="27"/>
        <v/>
      </c>
      <c r="O154" s="14" t="str">
        <f>IF('Raw Data'!A141&lt;&gt;"",AVERAGE('Raw Data'!AJ141,'Raw Data'!AL141,'Raw Data'!AN141,'Raw Data'!AP141,'Raw Data'!AR141),"")</f>
        <v/>
      </c>
      <c r="P154" s="14" t="str">
        <f>IF('Raw Data'!A141&lt;&gt;"",AVERAGE('Raw Data'!AK141,'Raw Data'!AM141,'Raw Data'!AO141,'Raw Data'!AQ141,'Raw Data'!AS141),"")</f>
        <v/>
      </c>
      <c r="Q154" s="14" t="str">
        <f t="shared" si="28"/>
        <v/>
      </c>
      <c r="R154" s="14" t="str">
        <f>IF('Raw Data'!A141&lt;&gt;"",AVERAGE('Raw Data'!AT141,'Raw Data'!AV141,'Raw Data'!AX141,'Raw Data'!AZ141,'Raw Data'!BB141),"")</f>
        <v/>
      </c>
      <c r="S154" s="14" t="str">
        <f>IF('Raw Data'!A141&lt;&gt;"",AVERAGE('Raw Data'!AU141,'Raw Data'!AW141,'Raw Data'!AY141,'Raw Data'!BA141,'Raw Data'!BC141),"")</f>
        <v/>
      </c>
      <c r="T154" s="14" t="str">
        <f t="shared" si="29"/>
        <v/>
      </c>
      <c r="U154" s="14" t="str">
        <f>IF('Raw Data'!A141&lt;&gt;"",AVERAGE('Raw Data'!BD141,'Raw Data'!BF141,'Raw Data'!BH141,'Raw Data'!BJ141,'Raw Data'!BL141),"")</f>
        <v/>
      </c>
      <c r="V154" s="14" t="str">
        <f>IF('Raw Data'!A141&lt;&gt;"",AVERAGE('Raw Data'!BE141,'Raw Data'!BG141,'Raw Data'!BI141,'Raw Data'!BK141,'Raw Data'!BM141),"")</f>
        <v/>
      </c>
      <c r="W154" s="14" t="str">
        <f t="shared" si="30"/>
        <v/>
      </c>
      <c r="X154" s="14" t="str">
        <f t="shared" si="31"/>
        <v/>
      </c>
      <c r="Y154" s="14" t="str">
        <f t="shared" si="32"/>
        <v/>
      </c>
      <c r="Z154" s="14" t="str">
        <f t="shared" si="33"/>
        <v/>
      </c>
      <c r="AA154" s="14" t="str">
        <f t="shared" si="34"/>
        <v/>
      </c>
      <c r="AB154" s="25" t="str">
        <f t="shared" si="35"/>
        <v/>
      </c>
    </row>
    <row r="155" spans="1:28" x14ac:dyDescent="0.25">
      <c r="A155" s="2" t="str">
        <f>IF('Raw Data'!A142&lt;&gt;"",'Raw Data'!A142,"")</f>
        <v/>
      </c>
      <c r="B155" s="2" t="str">
        <f>IF('Raw Data'!B142&lt;&gt;"",'Raw Data'!B142,"")</f>
        <v/>
      </c>
      <c r="C155" s="2" t="str">
        <f>IF('Raw Data'!C142&lt;&gt;"",'Raw Data'!C142,"")</f>
        <v/>
      </c>
      <c r="D155" s="2" t="str">
        <f>IF('Raw Data'!D142&lt;&gt;"",'Raw Data'!D142,"")</f>
        <v/>
      </c>
      <c r="E155" s="2" t="str">
        <f>IF('Raw Data'!E142&lt;&gt;"",'Raw Data'!E142,"")</f>
        <v/>
      </c>
      <c r="F155" s="11" t="str">
        <f>IF('Raw Data'!A142&lt;&gt;"",AVERAGE('Raw Data'!F142,'Raw Data'!H142,'Raw Data'!J142,'Raw Data'!L142,'Raw Data'!N142),"")</f>
        <v/>
      </c>
      <c r="G155" s="11" t="str">
        <f>IF('Raw Data'!A142&lt;&gt;"",AVERAGE('Raw Data'!G142,'Raw Data'!I142,'Raw Data'!K142,'Raw Data'!M142,'Raw Data'!O142),"")</f>
        <v/>
      </c>
      <c r="H155" s="11" t="str">
        <f t="shared" si="25"/>
        <v/>
      </c>
      <c r="I155" s="11" t="str">
        <f>IF('Raw Data'!A142&lt;&gt;"",AVERAGE('Raw Data'!P142,'Raw Data'!R142,'Raw Data'!T142,'Raw Data'!V142,'Raw Data'!X142),"")</f>
        <v/>
      </c>
      <c r="J155" s="11" t="str">
        <f>IF('Raw Data'!A142&lt;&gt;"",AVERAGE('Raw Data'!Q142,'Raw Data'!S142,'Raw Data'!U142,'Raw Data'!W142,'Raw Data'!Y142),"")</f>
        <v/>
      </c>
      <c r="K155" s="11" t="str">
        <f t="shared" si="26"/>
        <v/>
      </c>
      <c r="L155" s="11" t="str">
        <f>IF('Raw Data'!A142&lt;&gt;"",AVERAGE('Raw Data'!Z142,'Raw Data'!AB142,'Raw Data'!AD142,'Raw Data'!AF142,'Raw Data'!AH142),"")</f>
        <v/>
      </c>
      <c r="M155" s="11" t="str">
        <f>IF('Raw Data'!A142&lt;&gt;"",AVERAGE('Raw Data'!AA142,'Raw Data'!AC142,'Raw Data'!AE142,'Raw Data'!AG142,'Raw Data'!AI142),"")</f>
        <v/>
      </c>
      <c r="N155" s="11" t="str">
        <f t="shared" si="27"/>
        <v/>
      </c>
      <c r="O155" s="11" t="str">
        <f>IF('Raw Data'!A142&lt;&gt;"",AVERAGE('Raw Data'!AJ142,'Raw Data'!AL142,'Raw Data'!AN142,'Raw Data'!AP142,'Raw Data'!AR142),"")</f>
        <v/>
      </c>
      <c r="P155" s="11" t="str">
        <f>IF('Raw Data'!A142&lt;&gt;"",AVERAGE('Raw Data'!AK142,'Raw Data'!AM142,'Raw Data'!AO142,'Raw Data'!AQ142,'Raw Data'!AS142),"")</f>
        <v/>
      </c>
      <c r="Q155" s="11" t="str">
        <f t="shared" si="28"/>
        <v/>
      </c>
      <c r="R155" s="11" t="str">
        <f>IF('Raw Data'!A142&lt;&gt;"",AVERAGE('Raw Data'!AT142,'Raw Data'!AV142,'Raw Data'!AX142,'Raw Data'!AZ142,'Raw Data'!BB142),"")</f>
        <v/>
      </c>
      <c r="S155" s="11" t="str">
        <f>IF('Raw Data'!A142&lt;&gt;"",AVERAGE('Raw Data'!AU142,'Raw Data'!AW142,'Raw Data'!AY142,'Raw Data'!BA142,'Raw Data'!BC142),"")</f>
        <v/>
      </c>
      <c r="T155" s="11" t="str">
        <f t="shared" si="29"/>
        <v/>
      </c>
      <c r="U155" s="11" t="str">
        <f>IF('Raw Data'!A142&lt;&gt;"",AVERAGE('Raw Data'!BD142,'Raw Data'!BF142,'Raw Data'!BH142,'Raw Data'!BJ142,'Raw Data'!BL142),"")</f>
        <v/>
      </c>
      <c r="V155" s="11" t="str">
        <f>IF('Raw Data'!A142&lt;&gt;"",AVERAGE('Raw Data'!BE142,'Raw Data'!BG142,'Raw Data'!BI142,'Raw Data'!BK142,'Raw Data'!BM142),"")</f>
        <v/>
      </c>
      <c r="W155" s="11" t="str">
        <f t="shared" si="30"/>
        <v/>
      </c>
      <c r="X155" s="11" t="str">
        <f t="shared" si="31"/>
        <v/>
      </c>
      <c r="Y155" s="11" t="str">
        <f t="shared" si="32"/>
        <v/>
      </c>
      <c r="Z155" s="11" t="str">
        <f t="shared" si="33"/>
        <v/>
      </c>
      <c r="AA155" s="11" t="str">
        <f t="shared" si="34"/>
        <v/>
      </c>
      <c r="AB155" s="24" t="str">
        <f t="shared" si="35"/>
        <v/>
      </c>
    </row>
    <row r="156" spans="1:28" x14ac:dyDescent="0.25">
      <c r="A156" s="10" t="str">
        <f>IF('Raw Data'!A143&lt;&gt;"",'Raw Data'!A143,"")</f>
        <v/>
      </c>
      <c r="B156" s="10" t="str">
        <f>IF('Raw Data'!B143&lt;&gt;"",'Raw Data'!B143,"")</f>
        <v/>
      </c>
      <c r="C156" s="10" t="str">
        <f>IF('Raw Data'!C143&lt;&gt;"",'Raw Data'!C143,"")</f>
        <v/>
      </c>
      <c r="D156" s="10" t="str">
        <f>IF('Raw Data'!D143&lt;&gt;"",'Raw Data'!D143,"")</f>
        <v/>
      </c>
      <c r="E156" s="10" t="str">
        <f>IF('Raw Data'!E143&lt;&gt;"",'Raw Data'!E143,"")</f>
        <v/>
      </c>
      <c r="F156" s="14" t="str">
        <f>IF('Raw Data'!A143&lt;&gt;"",AVERAGE('Raw Data'!F143,'Raw Data'!H143,'Raw Data'!J143,'Raw Data'!L143,'Raw Data'!N143),"")</f>
        <v/>
      </c>
      <c r="G156" s="14" t="str">
        <f>IF('Raw Data'!A143&lt;&gt;"",AVERAGE('Raw Data'!G143,'Raw Data'!I143,'Raw Data'!K143,'Raw Data'!M143,'Raw Data'!O143),"")</f>
        <v/>
      </c>
      <c r="H156" s="14" t="str">
        <f t="shared" si="25"/>
        <v/>
      </c>
      <c r="I156" s="14" t="str">
        <f>IF('Raw Data'!A143&lt;&gt;"",AVERAGE('Raw Data'!P143,'Raw Data'!R143,'Raw Data'!T143,'Raw Data'!V143,'Raw Data'!X143),"")</f>
        <v/>
      </c>
      <c r="J156" s="14" t="str">
        <f>IF('Raw Data'!A143&lt;&gt;"",AVERAGE('Raw Data'!Q143,'Raw Data'!S143,'Raw Data'!U143,'Raw Data'!W143,'Raw Data'!Y143),"")</f>
        <v/>
      </c>
      <c r="K156" s="14" t="str">
        <f t="shared" si="26"/>
        <v/>
      </c>
      <c r="L156" s="14" t="str">
        <f>IF('Raw Data'!A143&lt;&gt;"",AVERAGE('Raw Data'!Z143,'Raw Data'!AB143,'Raw Data'!AD143,'Raw Data'!AF143,'Raw Data'!AH143),"")</f>
        <v/>
      </c>
      <c r="M156" s="14" t="str">
        <f>IF('Raw Data'!A143&lt;&gt;"",AVERAGE('Raw Data'!AA143,'Raw Data'!AC143,'Raw Data'!AE143,'Raw Data'!AG143,'Raw Data'!AI143),"")</f>
        <v/>
      </c>
      <c r="N156" s="14" t="str">
        <f t="shared" si="27"/>
        <v/>
      </c>
      <c r="O156" s="14" t="str">
        <f>IF('Raw Data'!A143&lt;&gt;"",AVERAGE('Raw Data'!AJ143,'Raw Data'!AL143,'Raw Data'!AN143,'Raw Data'!AP143,'Raw Data'!AR143),"")</f>
        <v/>
      </c>
      <c r="P156" s="14" t="str">
        <f>IF('Raw Data'!A143&lt;&gt;"",AVERAGE('Raw Data'!AK143,'Raw Data'!AM143,'Raw Data'!AO143,'Raw Data'!AQ143,'Raw Data'!AS143),"")</f>
        <v/>
      </c>
      <c r="Q156" s="14" t="str">
        <f t="shared" si="28"/>
        <v/>
      </c>
      <c r="R156" s="14" t="str">
        <f>IF('Raw Data'!A143&lt;&gt;"",AVERAGE('Raw Data'!AT143,'Raw Data'!AV143,'Raw Data'!AX143,'Raw Data'!AZ143,'Raw Data'!BB143),"")</f>
        <v/>
      </c>
      <c r="S156" s="14" t="str">
        <f>IF('Raw Data'!A143&lt;&gt;"",AVERAGE('Raw Data'!AU143,'Raw Data'!AW143,'Raw Data'!AY143,'Raw Data'!BA143,'Raw Data'!BC143),"")</f>
        <v/>
      </c>
      <c r="T156" s="14" t="str">
        <f t="shared" si="29"/>
        <v/>
      </c>
      <c r="U156" s="14" t="str">
        <f>IF('Raw Data'!A143&lt;&gt;"",AVERAGE('Raw Data'!BD143,'Raw Data'!BF143,'Raw Data'!BH143,'Raw Data'!BJ143,'Raw Data'!BL143),"")</f>
        <v/>
      </c>
      <c r="V156" s="14" t="str">
        <f>IF('Raw Data'!A143&lt;&gt;"",AVERAGE('Raw Data'!BE143,'Raw Data'!BG143,'Raw Data'!BI143,'Raw Data'!BK143,'Raw Data'!BM143),"")</f>
        <v/>
      </c>
      <c r="W156" s="14" t="str">
        <f t="shared" si="30"/>
        <v/>
      </c>
      <c r="X156" s="14" t="str">
        <f t="shared" si="31"/>
        <v/>
      </c>
      <c r="Y156" s="14" t="str">
        <f t="shared" si="32"/>
        <v/>
      </c>
      <c r="Z156" s="14" t="str">
        <f t="shared" si="33"/>
        <v/>
      </c>
      <c r="AA156" s="14" t="str">
        <f t="shared" si="34"/>
        <v/>
      </c>
      <c r="AB156" s="25" t="str">
        <f t="shared" si="35"/>
        <v/>
      </c>
    </row>
    <row r="157" spans="1:28" x14ac:dyDescent="0.25">
      <c r="A157" s="2" t="str">
        <f>IF('Raw Data'!A144&lt;&gt;"",'Raw Data'!A144,"")</f>
        <v/>
      </c>
      <c r="B157" s="2" t="str">
        <f>IF('Raw Data'!B144&lt;&gt;"",'Raw Data'!B144,"")</f>
        <v/>
      </c>
      <c r="C157" s="2" t="str">
        <f>IF('Raw Data'!C144&lt;&gt;"",'Raw Data'!C144,"")</f>
        <v/>
      </c>
      <c r="D157" s="2" t="str">
        <f>IF('Raw Data'!D144&lt;&gt;"",'Raw Data'!D144,"")</f>
        <v/>
      </c>
      <c r="E157" s="2" t="str">
        <f>IF('Raw Data'!E144&lt;&gt;"",'Raw Data'!E144,"")</f>
        <v/>
      </c>
      <c r="F157" s="11" t="str">
        <f>IF('Raw Data'!A144&lt;&gt;"",AVERAGE('Raw Data'!F144,'Raw Data'!H144,'Raw Data'!J144,'Raw Data'!L144,'Raw Data'!N144),"")</f>
        <v/>
      </c>
      <c r="G157" s="11" t="str">
        <f>IF('Raw Data'!A144&lt;&gt;"",AVERAGE('Raw Data'!G144,'Raw Data'!I144,'Raw Data'!K144,'Raw Data'!M144,'Raw Data'!O144),"")</f>
        <v/>
      </c>
      <c r="H157" s="11" t="str">
        <f t="shared" si="25"/>
        <v/>
      </c>
      <c r="I157" s="11" t="str">
        <f>IF('Raw Data'!A144&lt;&gt;"",AVERAGE('Raw Data'!P144,'Raw Data'!R144,'Raw Data'!T144,'Raw Data'!V144,'Raw Data'!X144),"")</f>
        <v/>
      </c>
      <c r="J157" s="11" t="str">
        <f>IF('Raw Data'!A144&lt;&gt;"",AVERAGE('Raw Data'!Q144,'Raw Data'!S144,'Raw Data'!U144,'Raw Data'!W144,'Raw Data'!Y144),"")</f>
        <v/>
      </c>
      <c r="K157" s="11" t="str">
        <f t="shared" si="26"/>
        <v/>
      </c>
      <c r="L157" s="11" t="str">
        <f>IF('Raw Data'!A144&lt;&gt;"",AVERAGE('Raw Data'!Z144,'Raw Data'!AB144,'Raw Data'!AD144,'Raw Data'!AF144,'Raw Data'!AH144),"")</f>
        <v/>
      </c>
      <c r="M157" s="11" t="str">
        <f>IF('Raw Data'!A144&lt;&gt;"",AVERAGE('Raw Data'!AA144,'Raw Data'!AC144,'Raw Data'!AE144,'Raw Data'!AG144,'Raw Data'!AI144),"")</f>
        <v/>
      </c>
      <c r="N157" s="11" t="str">
        <f t="shared" si="27"/>
        <v/>
      </c>
      <c r="O157" s="11" t="str">
        <f>IF('Raw Data'!A144&lt;&gt;"",AVERAGE('Raw Data'!AJ144,'Raw Data'!AL144,'Raw Data'!AN144,'Raw Data'!AP144,'Raw Data'!AR144),"")</f>
        <v/>
      </c>
      <c r="P157" s="11" t="str">
        <f>IF('Raw Data'!A144&lt;&gt;"",AVERAGE('Raw Data'!AK144,'Raw Data'!AM144,'Raw Data'!AO144,'Raw Data'!AQ144,'Raw Data'!AS144),"")</f>
        <v/>
      </c>
      <c r="Q157" s="11" t="str">
        <f t="shared" si="28"/>
        <v/>
      </c>
      <c r="R157" s="11" t="str">
        <f>IF('Raw Data'!A144&lt;&gt;"",AVERAGE('Raw Data'!AT144,'Raw Data'!AV144,'Raw Data'!AX144,'Raw Data'!AZ144,'Raw Data'!BB144),"")</f>
        <v/>
      </c>
      <c r="S157" s="11" t="str">
        <f>IF('Raw Data'!A144&lt;&gt;"",AVERAGE('Raw Data'!AU144,'Raw Data'!AW144,'Raw Data'!AY144,'Raw Data'!BA144,'Raw Data'!BC144),"")</f>
        <v/>
      </c>
      <c r="T157" s="11" t="str">
        <f t="shared" si="29"/>
        <v/>
      </c>
      <c r="U157" s="11" t="str">
        <f>IF('Raw Data'!A144&lt;&gt;"",AVERAGE('Raw Data'!BD144,'Raw Data'!BF144,'Raw Data'!BH144,'Raw Data'!BJ144,'Raw Data'!BL144),"")</f>
        <v/>
      </c>
      <c r="V157" s="11" t="str">
        <f>IF('Raw Data'!A144&lt;&gt;"",AVERAGE('Raw Data'!BE144,'Raw Data'!BG144,'Raw Data'!BI144,'Raw Data'!BK144,'Raw Data'!BM144),"")</f>
        <v/>
      </c>
      <c r="W157" s="11" t="str">
        <f t="shared" si="30"/>
        <v/>
      </c>
      <c r="X157" s="11" t="str">
        <f t="shared" si="31"/>
        <v/>
      </c>
      <c r="Y157" s="11" t="str">
        <f t="shared" si="32"/>
        <v/>
      </c>
      <c r="Z157" s="11" t="str">
        <f t="shared" si="33"/>
        <v/>
      </c>
      <c r="AA157" s="11" t="str">
        <f t="shared" si="34"/>
        <v/>
      </c>
      <c r="AB157" s="24" t="str">
        <f t="shared" si="35"/>
        <v/>
      </c>
    </row>
    <row r="158" spans="1:28" x14ac:dyDescent="0.25">
      <c r="A158" s="10" t="str">
        <f>IF('Raw Data'!A145&lt;&gt;"",'Raw Data'!A145,"")</f>
        <v/>
      </c>
      <c r="B158" s="10" t="str">
        <f>IF('Raw Data'!B145&lt;&gt;"",'Raw Data'!B145,"")</f>
        <v/>
      </c>
      <c r="C158" s="10" t="str">
        <f>IF('Raw Data'!C145&lt;&gt;"",'Raw Data'!C145,"")</f>
        <v/>
      </c>
      <c r="D158" s="10" t="str">
        <f>IF('Raw Data'!D145&lt;&gt;"",'Raw Data'!D145,"")</f>
        <v/>
      </c>
      <c r="E158" s="10" t="str">
        <f>IF('Raw Data'!E145&lt;&gt;"",'Raw Data'!E145,"")</f>
        <v/>
      </c>
      <c r="F158" s="14" t="str">
        <f>IF('Raw Data'!A145&lt;&gt;"",AVERAGE('Raw Data'!F145,'Raw Data'!H145,'Raw Data'!J145,'Raw Data'!L145,'Raw Data'!N145),"")</f>
        <v/>
      </c>
      <c r="G158" s="14" t="str">
        <f>IF('Raw Data'!A145&lt;&gt;"",AVERAGE('Raw Data'!G145,'Raw Data'!I145,'Raw Data'!K145,'Raw Data'!M145,'Raw Data'!O145),"")</f>
        <v/>
      </c>
      <c r="H158" s="14" t="str">
        <f t="shared" si="25"/>
        <v/>
      </c>
      <c r="I158" s="14" t="str">
        <f>IF('Raw Data'!A145&lt;&gt;"",AVERAGE('Raw Data'!P145,'Raw Data'!R145,'Raw Data'!T145,'Raw Data'!V145,'Raw Data'!X145),"")</f>
        <v/>
      </c>
      <c r="J158" s="14" t="str">
        <f>IF('Raw Data'!A145&lt;&gt;"",AVERAGE('Raw Data'!Q145,'Raw Data'!S145,'Raw Data'!U145,'Raw Data'!W145,'Raw Data'!Y145),"")</f>
        <v/>
      </c>
      <c r="K158" s="14" t="str">
        <f t="shared" si="26"/>
        <v/>
      </c>
      <c r="L158" s="14" t="str">
        <f>IF('Raw Data'!A145&lt;&gt;"",AVERAGE('Raw Data'!Z145,'Raw Data'!AB145,'Raw Data'!AD145,'Raw Data'!AF145,'Raw Data'!AH145),"")</f>
        <v/>
      </c>
      <c r="M158" s="14" t="str">
        <f>IF('Raw Data'!A145&lt;&gt;"",AVERAGE('Raw Data'!AA145,'Raw Data'!AC145,'Raw Data'!AE145,'Raw Data'!AG145,'Raw Data'!AI145),"")</f>
        <v/>
      </c>
      <c r="N158" s="14" t="str">
        <f t="shared" si="27"/>
        <v/>
      </c>
      <c r="O158" s="14" t="str">
        <f>IF('Raw Data'!A145&lt;&gt;"",AVERAGE('Raw Data'!AJ145,'Raw Data'!AL145,'Raw Data'!AN145,'Raw Data'!AP145,'Raw Data'!AR145),"")</f>
        <v/>
      </c>
      <c r="P158" s="14" t="str">
        <f>IF('Raw Data'!A145&lt;&gt;"",AVERAGE('Raw Data'!AK145,'Raw Data'!AM145,'Raw Data'!AO145,'Raw Data'!AQ145,'Raw Data'!AS145),"")</f>
        <v/>
      </c>
      <c r="Q158" s="14" t="str">
        <f t="shared" si="28"/>
        <v/>
      </c>
      <c r="R158" s="14" t="str">
        <f>IF('Raw Data'!A145&lt;&gt;"",AVERAGE('Raw Data'!AT145,'Raw Data'!AV145,'Raw Data'!AX145,'Raw Data'!AZ145,'Raw Data'!BB145),"")</f>
        <v/>
      </c>
      <c r="S158" s="14" t="str">
        <f>IF('Raw Data'!A145&lt;&gt;"",AVERAGE('Raw Data'!AU145,'Raw Data'!AW145,'Raw Data'!AY145,'Raw Data'!BA145,'Raw Data'!BC145),"")</f>
        <v/>
      </c>
      <c r="T158" s="14" t="str">
        <f t="shared" si="29"/>
        <v/>
      </c>
      <c r="U158" s="14" t="str">
        <f>IF('Raw Data'!A145&lt;&gt;"",AVERAGE('Raw Data'!BD145,'Raw Data'!BF145,'Raw Data'!BH145,'Raw Data'!BJ145,'Raw Data'!BL145),"")</f>
        <v/>
      </c>
      <c r="V158" s="14" t="str">
        <f>IF('Raw Data'!A145&lt;&gt;"",AVERAGE('Raw Data'!BE145,'Raw Data'!BG145,'Raw Data'!BI145,'Raw Data'!BK145,'Raw Data'!BM145),"")</f>
        <v/>
      </c>
      <c r="W158" s="14" t="str">
        <f t="shared" si="30"/>
        <v/>
      </c>
      <c r="X158" s="14" t="str">
        <f t="shared" si="31"/>
        <v/>
      </c>
      <c r="Y158" s="14" t="str">
        <f t="shared" si="32"/>
        <v/>
      </c>
      <c r="Z158" s="14" t="str">
        <f t="shared" si="33"/>
        <v/>
      </c>
      <c r="AA158" s="14" t="str">
        <f t="shared" si="34"/>
        <v/>
      </c>
      <c r="AB158" s="25" t="str">
        <f t="shared" si="35"/>
        <v/>
      </c>
    </row>
    <row r="159" spans="1:28" x14ac:dyDescent="0.25">
      <c r="A159" s="2" t="str">
        <f>IF('Raw Data'!A146&lt;&gt;"",'Raw Data'!A146,"")</f>
        <v/>
      </c>
      <c r="B159" s="2" t="str">
        <f>IF('Raw Data'!B146&lt;&gt;"",'Raw Data'!B146,"")</f>
        <v/>
      </c>
      <c r="C159" s="2" t="str">
        <f>IF('Raw Data'!C146&lt;&gt;"",'Raw Data'!C146,"")</f>
        <v/>
      </c>
      <c r="D159" s="2" t="str">
        <f>IF('Raw Data'!D146&lt;&gt;"",'Raw Data'!D146,"")</f>
        <v/>
      </c>
      <c r="E159" s="2" t="str">
        <f>IF('Raw Data'!E146&lt;&gt;"",'Raw Data'!E146,"")</f>
        <v/>
      </c>
      <c r="F159" s="11" t="str">
        <f>IF('Raw Data'!A146&lt;&gt;"",AVERAGE('Raw Data'!F146,'Raw Data'!H146,'Raw Data'!J146,'Raw Data'!L146,'Raw Data'!N146),"")</f>
        <v/>
      </c>
      <c r="G159" s="11" t="str">
        <f>IF('Raw Data'!A146&lt;&gt;"",AVERAGE('Raw Data'!G146,'Raw Data'!I146,'Raw Data'!K146,'Raw Data'!M146,'Raw Data'!O146),"")</f>
        <v/>
      </c>
      <c r="H159" s="11" t="str">
        <f t="shared" si="25"/>
        <v/>
      </c>
      <c r="I159" s="11" t="str">
        <f>IF('Raw Data'!A146&lt;&gt;"",AVERAGE('Raw Data'!P146,'Raw Data'!R146,'Raw Data'!T146,'Raw Data'!V146,'Raw Data'!X146),"")</f>
        <v/>
      </c>
      <c r="J159" s="11" t="str">
        <f>IF('Raw Data'!A146&lt;&gt;"",AVERAGE('Raw Data'!Q146,'Raw Data'!S146,'Raw Data'!U146,'Raw Data'!W146,'Raw Data'!Y146),"")</f>
        <v/>
      </c>
      <c r="K159" s="11" t="str">
        <f t="shared" si="26"/>
        <v/>
      </c>
      <c r="L159" s="11" t="str">
        <f>IF('Raw Data'!A146&lt;&gt;"",AVERAGE('Raw Data'!Z146,'Raw Data'!AB146,'Raw Data'!AD146,'Raw Data'!AF146,'Raw Data'!AH146),"")</f>
        <v/>
      </c>
      <c r="M159" s="11" t="str">
        <f>IF('Raw Data'!A146&lt;&gt;"",AVERAGE('Raw Data'!AA146,'Raw Data'!AC146,'Raw Data'!AE146,'Raw Data'!AG146,'Raw Data'!AI146),"")</f>
        <v/>
      </c>
      <c r="N159" s="11" t="str">
        <f t="shared" si="27"/>
        <v/>
      </c>
      <c r="O159" s="11" t="str">
        <f>IF('Raw Data'!A146&lt;&gt;"",AVERAGE('Raw Data'!AJ146,'Raw Data'!AL146,'Raw Data'!AN146,'Raw Data'!AP146,'Raw Data'!AR146),"")</f>
        <v/>
      </c>
      <c r="P159" s="11" t="str">
        <f>IF('Raw Data'!A146&lt;&gt;"",AVERAGE('Raw Data'!AK146,'Raw Data'!AM146,'Raw Data'!AO146,'Raw Data'!AQ146,'Raw Data'!AS146),"")</f>
        <v/>
      </c>
      <c r="Q159" s="11" t="str">
        <f t="shared" si="28"/>
        <v/>
      </c>
      <c r="R159" s="11" t="str">
        <f>IF('Raw Data'!A146&lt;&gt;"",AVERAGE('Raw Data'!AT146,'Raw Data'!AV146,'Raw Data'!AX146,'Raw Data'!AZ146,'Raw Data'!BB146),"")</f>
        <v/>
      </c>
      <c r="S159" s="11" t="str">
        <f>IF('Raw Data'!A146&lt;&gt;"",AVERAGE('Raw Data'!AU146,'Raw Data'!AW146,'Raw Data'!AY146,'Raw Data'!BA146,'Raw Data'!BC146),"")</f>
        <v/>
      </c>
      <c r="T159" s="11" t="str">
        <f t="shared" si="29"/>
        <v/>
      </c>
      <c r="U159" s="11" t="str">
        <f>IF('Raw Data'!A146&lt;&gt;"",AVERAGE('Raw Data'!BD146,'Raw Data'!BF146,'Raw Data'!BH146,'Raw Data'!BJ146,'Raw Data'!BL146),"")</f>
        <v/>
      </c>
      <c r="V159" s="11" t="str">
        <f>IF('Raw Data'!A146&lt;&gt;"",AVERAGE('Raw Data'!BE146,'Raw Data'!BG146,'Raw Data'!BI146,'Raw Data'!BK146,'Raw Data'!BM146),"")</f>
        <v/>
      </c>
      <c r="W159" s="11" t="str">
        <f t="shared" si="30"/>
        <v/>
      </c>
      <c r="X159" s="11" t="str">
        <f t="shared" si="31"/>
        <v/>
      </c>
      <c r="Y159" s="11" t="str">
        <f t="shared" si="32"/>
        <v/>
      </c>
      <c r="Z159" s="11" t="str">
        <f t="shared" si="33"/>
        <v/>
      </c>
      <c r="AA159" s="11" t="str">
        <f t="shared" si="34"/>
        <v/>
      </c>
      <c r="AB159" s="24" t="str">
        <f t="shared" si="35"/>
        <v/>
      </c>
    </row>
    <row r="160" spans="1:28" x14ac:dyDescent="0.25">
      <c r="A160" s="10" t="str">
        <f>IF('Raw Data'!A147&lt;&gt;"",'Raw Data'!A147,"")</f>
        <v/>
      </c>
      <c r="B160" s="10" t="str">
        <f>IF('Raw Data'!B147&lt;&gt;"",'Raw Data'!B147,"")</f>
        <v/>
      </c>
      <c r="C160" s="10" t="str">
        <f>IF('Raw Data'!C147&lt;&gt;"",'Raw Data'!C147,"")</f>
        <v/>
      </c>
      <c r="D160" s="10" t="str">
        <f>IF('Raw Data'!D147&lt;&gt;"",'Raw Data'!D147,"")</f>
        <v/>
      </c>
      <c r="E160" s="10" t="str">
        <f>IF('Raw Data'!E147&lt;&gt;"",'Raw Data'!E147,"")</f>
        <v/>
      </c>
      <c r="F160" s="14" t="str">
        <f>IF('Raw Data'!A147&lt;&gt;"",AVERAGE('Raw Data'!F147,'Raw Data'!H147,'Raw Data'!J147,'Raw Data'!L147,'Raw Data'!N147),"")</f>
        <v/>
      </c>
      <c r="G160" s="14" t="str">
        <f>IF('Raw Data'!A147&lt;&gt;"",AVERAGE('Raw Data'!G147,'Raw Data'!I147,'Raw Data'!K147,'Raw Data'!M147,'Raw Data'!O147),"")</f>
        <v/>
      </c>
      <c r="H160" s="14" t="str">
        <f t="shared" si="25"/>
        <v/>
      </c>
      <c r="I160" s="14" t="str">
        <f>IF('Raw Data'!A147&lt;&gt;"",AVERAGE('Raw Data'!P147,'Raw Data'!R147,'Raw Data'!T147,'Raw Data'!V147,'Raw Data'!X147),"")</f>
        <v/>
      </c>
      <c r="J160" s="14" t="str">
        <f>IF('Raw Data'!A147&lt;&gt;"",AVERAGE('Raw Data'!Q147,'Raw Data'!S147,'Raw Data'!U147,'Raw Data'!W147,'Raw Data'!Y147),"")</f>
        <v/>
      </c>
      <c r="K160" s="14" t="str">
        <f t="shared" si="26"/>
        <v/>
      </c>
      <c r="L160" s="14" t="str">
        <f>IF('Raw Data'!A147&lt;&gt;"",AVERAGE('Raw Data'!Z147,'Raw Data'!AB147,'Raw Data'!AD147,'Raw Data'!AF147,'Raw Data'!AH147),"")</f>
        <v/>
      </c>
      <c r="M160" s="14" t="str">
        <f>IF('Raw Data'!A147&lt;&gt;"",AVERAGE('Raw Data'!AA147,'Raw Data'!AC147,'Raw Data'!AE147,'Raw Data'!AG147,'Raw Data'!AI147),"")</f>
        <v/>
      </c>
      <c r="N160" s="14" t="str">
        <f t="shared" si="27"/>
        <v/>
      </c>
      <c r="O160" s="14" t="str">
        <f>IF('Raw Data'!A147&lt;&gt;"",AVERAGE('Raw Data'!AJ147,'Raw Data'!AL147,'Raw Data'!AN147,'Raw Data'!AP147,'Raw Data'!AR147),"")</f>
        <v/>
      </c>
      <c r="P160" s="14" t="str">
        <f>IF('Raw Data'!A147&lt;&gt;"",AVERAGE('Raw Data'!AK147,'Raw Data'!AM147,'Raw Data'!AO147,'Raw Data'!AQ147,'Raw Data'!AS147),"")</f>
        <v/>
      </c>
      <c r="Q160" s="14" t="str">
        <f t="shared" si="28"/>
        <v/>
      </c>
      <c r="R160" s="14" t="str">
        <f>IF('Raw Data'!A147&lt;&gt;"",AVERAGE('Raw Data'!AT147,'Raw Data'!AV147,'Raw Data'!AX147,'Raw Data'!AZ147,'Raw Data'!BB147),"")</f>
        <v/>
      </c>
      <c r="S160" s="14" t="str">
        <f>IF('Raw Data'!A147&lt;&gt;"",AVERAGE('Raw Data'!AU147,'Raw Data'!AW147,'Raw Data'!AY147,'Raw Data'!BA147,'Raw Data'!BC147),"")</f>
        <v/>
      </c>
      <c r="T160" s="14" t="str">
        <f t="shared" si="29"/>
        <v/>
      </c>
      <c r="U160" s="14" t="str">
        <f>IF('Raw Data'!A147&lt;&gt;"",AVERAGE('Raw Data'!BD147,'Raw Data'!BF147,'Raw Data'!BH147,'Raw Data'!BJ147,'Raw Data'!BL147),"")</f>
        <v/>
      </c>
      <c r="V160" s="14" t="str">
        <f>IF('Raw Data'!A147&lt;&gt;"",AVERAGE('Raw Data'!BE147,'Raw Data'!BG147,'Raw Data'!BI147,'Raw Data'!BK147,'Raw Data'!BM147),"")</f>
        <v/>
      </c>
      <c r="W160" s="14" t="str">
        <f t="shared" si="30"/>
        <v/>
      </c>
      <c r="X160" s="14" t="str">
        <f t="shared" si="31"/>
        <v/>
      </c>
      <c r="Y160" s="14" t="str">
        <f t="shared" si="32"/>
        <v/>
      </c>
      <c r="Z160" s="14" t="str">
        <f t="shared" si="33"/>
        <v/>
      </c>
      <c r="AA160" s="14" t="str">
        <f t="shared" si="34"/>
        <v/>
      </c>
      <c r="AB160" s="25" t="str">
        <f t="shared" si="35"/>
        <v/>
      </c>
    </row>
    <row r="161" spans="1:28" x14ac:dyDescent="0.25">
      <c r="A161" s="2" t="str">
        <f>IF('Raw Data'!A148&lt;&gt;"",'Raw Data'!A148,"")</f>
        <v/>
      </c>
      <c r="B161" s="2" t="str">
        <f>IF('Raw Data'!B148&lt;&gt;"",'Raw Data'!B148,"")</f>
        <v/>
      </c>
      <c r="C161" s="2" t="str">
        <f>IF('Raw Data'!C148&lt;&gt;"",'Raw Data'!C148,"")</f>
        <v/>
      </c>
      <c r="D161" s="2" t="str">
        <f>IF('Raw Data'!D148&lt;&gt;"",'Raw Data'!D148,"")</f>
        <v/>
      </c>
      <c r="E161" s="2" t="str">
        <f>IF('Raw Data'!E148&lt;&gt;"",'Raw Data'!E148,"")</f>
        <v/>
      </c>
      <c r="F161" s="11" t="str">
        <f>IF('Raw Data'!A148&lt;&gt;"",AVERAGE('Raw Data'!F148,'Raw Data'!H148,'Raw Data'!J148,'Raw Data'!L148,'Raw Data'!N148),"")</f>
        <v/>
      </c>
      <c r="G161" s="11" t="str">
        <f>IF('Raw Data'!A148&lt;&gt;"",AVERAGE('Raw Data'!G148,'Raw Data'!I148,'Raw Data'!K148,'Raw Data'!M148,'Raw Data'!O148),"")</f>
        <v/>
      </c>
      <c r="H161" s="11" t="str">
        <f t="shared" si="25"/>
        <v/>
      </c>
      <c r="I161" s="11" t="str">
        <f>IF('Raw Data'!A148&lt;&gt;"",AVERAGE('Raw Data'!P148,'Raw Data'!R148,'Raw Data'!T148,'Raw Data'!V148,'Raw Data'!X148),"")</f>
        <v/>
      </c>
      <c r="J161" s="11" t="str">
        <f>IF('Raw Data'!A148&lt;&gt;"",AVERAGE('Raw Data'!Q148,'Raw Data'!S148,'Raw Data'!U148,'Raw Data'!W148,'Raw Data'!Y148),"")</f>
        <v/>
      </c>
      <c r="K161" s="11" t="str">
        <f t="shared" si="26"/>
        <v/>
      </c>
      <c r="L161" s="11" t="str">
        <f>IF('Raw Data'!A148&lt;&gt;"",AVERAGE('Raw Data'!Z148,'Raw Data'!AB148,'Raw Data'!AD148,'Raw Data'!AF148,'Raw Data'!AH148),"")</f>
        <v/>
      </c>
      <c r="M161" s="11" t="str">
        <f>IF('Raw Data'!A148&lt;&gt;"",AVERAGE('Raw Data'!AA148,'Raw Data'!AC148,'Raw Data'!AE148,'Raw Data'!AG148,'Raw Data'!AI148),"")</f>
        <v/>
      </c>
      <c r="N161" s="11" t="str">
        <f t="shared" si="27"/>
        <v/>
      </c>
      <c r="O161" s="11" t="str">
        <f>IF('Raw Data'!A148&lt;&gt;"",AVERAGE('Raw Data'!AJ148,'Raw Data'!AL148,'Raw Data'!AN148,'Raw Data'!AP148,'Raw Data'!AR148),"")</f>
        <v/>
      </c>
      <c r="P161" s="11" t="str">
        <f>IF('Raw Data'!A148&lt;&gt;"",AVERAGE('Raw Data'!AK148,'Raw Data'!AM148,'Raw Data'!AO148,'Raw Data'!AQ148,'Raw Data'!AS148),"")</f>
        <v/>
      </c>
      <c r="Q161" s="11" t="str">
        <f t="shared" si="28"/>
        <v/>
      </c>
      <c r="R161" s="11" t="str">
        <f>IF('Raw Data'!A148&lt;&gt;"",AVERAGE('Raw Data'!AT148,'Raw Data'!AV148,'Raw Data'!AX148,'Raw Data'!AZ148,'Raw Data'!BB148),"")</f>
        <v/>
      </c>
      <c r="S161" s="11" t="str">
        <f>IF('Raw Data'!A148&lt;&gt;"",AVERAGE('Raw Data'!AU148,'Raw Data'!AW148,'Raw Data'!AY148,'Raw Data'!BA148,'Raw Data'!BC148),"")</f>
        <v/>
      </c>
      <c r="T161" s="11" t="str">
        <f t="shared" si="29"/>
        <v/>
      </c>
      <c r="U161" s="11" t="str">
        <f>IF('Raw Data'!A148&lt;&gt;"",AVERAGE('Raw Data'!BD148,'Raw Data'!BF148,'Raw Data'!BH148,'Raw Data'!BJ148,'Raw Data'!BL148),"")</f>
        <v/>
      </c>
      <c r="V161" s="11" t="str">
        <f>IF('Raw Data'!A148&lt;&gt;"",AVERAGE('Raw Data'!BE148,'Raw Data'!BG148,'Raw Data'!BI148,'Raw Data'!BK148,'Raw Data'!BM148),"")</f>
        <v/>
      </c>
      <c r="W161" s="11" t="str">
        <f t="shared" si="30"/>
        <v/>
      </c>
      <c r="X161" s="11" t="str">
        <f t="shared" si="31"/>
        <v/>
      </c>
      <c r="Y161" s="11" t="str">
        <f t="shared" si="32"/>
        <v/>
      </c>
      <c r="Z161" s="11" t="str">
        <f t="shared" si="33"/>
        <v/>
      </c>
      <c r="AA161" s="11" t="str">
        <f t="shared" si="34"/>
        <v/>
      </c>
      <c r="AB161" s="24" t="str">
        <f t="shared" si="35"/>
        <v/>
      </c>
    </row>
    <row r="162" spans="1:28" x14ac:dyDescent="0.25">
      <c r="A162" s="10" t="str">
        <f>IF('Raw Data'!A149&lt;&gt;"",'Raw Data'!A149,"")</f>
        <v/>
      </c>
      <c r="B162" s="10" t="str">
        <f>IF('Raw Data'!B149&lt;&gt;"",'Raw Data'!B149,"")</f>
        <v/>
      </c>
      <c r="C162" s="10" t="str">
        <f>IF('Raw Data'!C149&lt;&gt;"",'Raw Data'!C149,"")</f>
        <v/>
      </c>
      <c r="D162" s="10" t="str">
        <f>IF('Raw Data'!D149&lt;&gt;"",'Raw Data'!D149,"")</f>
        <v/>
      </c>
      <c r="E162" s="10" t="str">
        <f>IF('Raw Data'!E149&lt;&gt;"",'Raw Data'!E149,"")</f>
        <v/>
      </c>
      <c r="F162" s="14" t="str">
        <f>IF('Raw Data'!A149&lt;&gt;"",AVERAGE('Raw Data'!F149,'Raw Data'!H149,'Raw Data'!J149,'Raw Data'!L149,'Raw Data'!N149),"")</f>
        <v/>
      </c>
      <c r="G162" s="14" t="str">
        <f>IF('Raw Data'!A149&lt;&gt;"",AVERAGE('Raw Data'!G149,'Raw Data'!I149,'Raw Data'!K149,'Raw Data'!M149,'Raw Data'!O149),"")</f>
        <v/>
      </c>
      <c r="H162" s="14" t="str">
        <f t="shared" si="25"/>
        <v/>
      </c>
      <c r="I162" s="14" t="str">
        <f>IF('Raw Data'!A149&lt;&gt;"",AVERAGE('Raw Data'!P149,'Raw Data'!R149,'Raw Data'!T149,'Raw Data'!V149,'Raw Data'!X149),"")</f>
        <v/>
      </c>
      <c r="J162" s="14" t="str">
        <f>IF('Raw Data'!A149&lt;&gt;"",AVERAGE('Raw Data'!Q149,'Raw Data'!S149,'Raw Data'!U149,'Raw Data'!W149,'Raw Data'!Y149),"")</f>
        <v/>
      </c>
      <c r="K162" s="14" t="str">
        <f t="shared" si="26"/>
        <v/>
      </c>
      <c r="L162" s="14" t="str">
        <f>IF('Raw Data'!A149&lt;&gt;"",AVERAGE('Raw Data'!Z149,'Raw Data'!AB149,'Raw Data'!AD149,'Raw Data'!AF149,'Raw Data'!AH149),"")</f>
        <v/>
      </c>
      <c r="M162" s="14" t="str">
        <f>IF('Raw Data'!A149&lt;&gt;"",AVERAGE('Raw Data'!AA149,'Raw Data'!AC149,'Raw Data'!AE149,'Raw Data'!AG149,'Raw Data'!AI149),"")</f>
        <v/>
      </c>
      <c r="N162" s="14" t="str">
        <f t="shared" si="27"/>
        <v/>
      </c>
      <c r="O162" s="14" t="str">
        <f>IF('Raw Data'!A149&lt;&gt;"",AVERAGE('Raw Data'!AJ149,'Raw Data'!AL149,'Raw Data'!AN149,'Raw Data'!AP149,'Raw Data'!AR149),"")</f>
        <v/>
      </c>
      <c r="P162" s="14" t="str">
        <f>IF('Raw Data'!A149&lt;&gt;"",AVERAGE('Raw Data'!AK149,'Raw Data'!AM149,'Raw Data'!AO149,'Raw Data'!AQ149,'Raw Data'!AS149),"")</f>
        <v/>
      </c>
      <c r="Q162" s="14" t="str">
        <f t="shared" si="28"/>
        <v/>
      </c>
      <c r="R162" s="14" t="str">
        <f>IF('Raw Data'!A149&lt;&gt;"",AVERAGE('Raw Data'!AT149,'Raw Data'!AV149,'Raw Data'!AX149,'Raw Data'!AZ149,'Raw Data'!BB149),"")</f>
        <v/>
      </c>
      <c r="S162" s="14" t="str">
        <f>IF('Raw Data'!A149&lt;&gt;"",AVERAGE('Raw Data'!AU149,'Raw Data'!AW149,'Raw Data'!AY149,'Raw Data'!BA149,'Raw Data'!BC149),"")</f>
        <v/>
      </c>
      <c r="T162" s="14" t="str">
        <f t="shared" si="29"/>
        <v/>
      </c>
      <c r="U162" s="14" t="str">
        <f>IF('Raw Data'!A149&lt;&gt;"",AVERAGE('Raw Data'!BD149,'Raw Data'!BF149,'Raw Data'!BH149,'Raw Data'!BJ149,'Raw Data'!BL149),"")</f>
        <v/>
      </c>
      <c r="V162" s="14" t="str">
        <f>IF('Raw Data'!A149&lt;&gt;"",AVERAGE('Raw Data'!BE149,'Raw Data'!BG149,'Raw Data'!BI149,'Raw Data'!BK149,'Raw Data'!BM149),"")</f>
        <v/>
      </c>
      <c r="W162" s="14" t="str">
        <f t="shared" si="30"/>
        <v/>
      </c>
      <c r="X162" s="14" t="str">
        <f t="shared" si="31"/>
        <v/>
      </c>
      <c r="Y162" s="14" t="str">
        <f t="shared" si="32"/>
        <v/>
      </c>
      <c r="Z162" s="14" t="str">
        <f t="shared" si="33"/>
        <v/>
      </c>
      <c r="AA162" s="14" t="str">
        <f t="shared" si="34"/>
        <v/>
      </c>
      <c r="AB162" s="25" t="str">
        <f t="shared" si="35"/>
        <v/>
      </c>
    </row>
    <row r="163" spans="1:28" x14ac:dyDescent="0.25">
      <c r="A163" s="2" t="str">
        <f>IF('Raw Data'!A150&lt;&gt;"",'Raw Data'!A150,"")</f>
        <v/>
      </c>
      <c r="B163" s="2" t="str">
        <f>IF('Raw Data'!B150&lt;&gt;"",'Raw Data'!B150,"")</f>
        <v/>
      </c>
      <c r="C163" s="2" t="str">
        <f>IF('Raw Data'!C150&lt;&gt;"",'Raw Data'!C150,"")</f>
        <v/>
      </c>
      <c r="D163" s="2" t="str">
        <f>IF('Raw Data'!D150&lt;&gt;"",'Raw Data'!D150,"")</f>
        <v/>
      </c>
      <c r="E163" s="2" t="str">
        <f>IF('Raw Data'!E150&lt;&gt;"",'Raw Data'!E150,"")</f>
        <v/>
      </c>
      <c r="F163" s="11" t="str">
        <f>IF('Raw Data'!A150&lt;&gt;"",AVERAGE('Raw Data'!F150,'Raw Data'!H150,'Raw Data'!J150,'Raw Data'!L150,'Raw Data'!N150),"")</f>
        <v/>
      </c>
      <c r="G163" s="11" t="str">
        <f>IF('Raw Data'!A150&lt;&gt;"",AVERAGE('Raw Data'!G150,'Raw Data'!I150,'Raw Data'!K150,'Raw Data'!M150,'Raw Data'!O150),"")</f>
        <v/>
      </c>
      <c r="H163" s="11" t="str">
        <f t="shared" si="25"/>
        <v/>
      </c>
      <c r="I163" s="11" t="str">
        <f>IF('Raw Data'!A150&lt;&gt;"",AVERAGE('Raw Data'!P150,'Raw Data'!R150,'Raw Data'!T150,'Raw Data'!V150,'Raw Data'!X150),"")</f>
        <v/>
      </c>
      <c r="J163" s="11" t="str">
        <f>IF('Raw Data'!A150&lt;&gt;"",AVERAGE('Raw Data'!Q150,'Raw Data'!S150,'Raw Data'!U150,'Raw Data'!W150,'Raw Data'!Y150),"")</f>
        <v/>
      </c>
      <c r="K163" s="11" t="str">
        <f t="shared" si="26"/>
        <v/>
      </c>
      <c r="L163" s="11" t="str">
        <f>IF('Raw Data'!A150&lt;&gt;"",AVERAGE('Raw Data'!Z150,'Raw Data'!AB150,'Raw Data'!AD150,'Raw Data'!AF150,'Raw Data'!AH150),"")</f>
        <v/>
      </c>
      <c r="M163" s="11" t="str">
        <f>IF('Raw Data'!A150&lt;&gt;"",AVERAGE('Raw Data'!AA150,'Raw Data'!AC150,'Raw Data'!AE150,'Raw Data'!AG150,'Raw Data'!AI150),"")</f>
        <v/>
      </c>
      <c r="N163" s="11" t="str">
        <f t="shared" si="27"/>
        <v/>
      </c>
      <c r="O163" s="11" t="str">
        <f>IF('Raw Data'!A150&lt;&gt;"",AVERAGE('Raw Data'!AJ150,'Raw Data'!AL150,'Raw Data'!AN150,'Raw Data'!AP150,'Raw Data'!AR150),"")</f>
        <v/>
      </c>
      <c r="P163" s="11" t="str">
        <f>IF('Raw Data'!A150&lt;&gt;"",AVERAGE('Raw Data'!AK150,'Raw Data'!AM150,'Raw Data'!AO150,'Raw Data'!AQ150,'Raw Data'!AS150),"")</f>
        <v/>
      </c>
      <c r="Q163" s="11" t="str">
        <f t="shared" si="28"/>
        <v/>
      </c>
      <c r="R163" s="11" t="str">
        <f>IF('Raw Data'!A150&lt;&gt;"",AVERAGE('Raw Data'!AT150,'Raw Data'!AV150,'Raw Data'!AX150,'Raw Data'!AZ150,'Raw Data'!BB150),"")</f>
        <v/>
      </c>
      <c r="S163" s="11" t="str">
        <f>IF('Raw Data'!A150&lt;&gt;"",AVERAGE('Raw Data'!AU150,'Raw Data'!AW150,'Raw Data'!AY150,'Raw Data'!BA150,'Raw Data'!BC150),"")</f>
        <v/>
      </c>
      <c r="T163" s="11" t="str">
        <f t="shared" si="29"/>
        <v/>
      </c>
      <c r="U163" s="11" t="str">
        <f>IF('Raw Data'!A150&lt;&gt;"",AVERAGE('Raw Data'!BD150,'Raw Data'!BF150,'Raw Data'!BH150,'Raw Data'!BJ150,'Raw Data'!BL150),"")</f>
        <v/>
      </c>
      <c r="V163" s="11" t="str">
        <f>IF('Raw Data'!A150&lt;&gt;"",AVERAGE('Raw Data'!BE150,'Raw Data'!BG150,'Raw Data'!BI150,'Raw Data'!BK150,'Raw Data'!BM150),"")</f>
        <v/>
      </c>
      <c r="W163" s="11" t="str">
        <f t="shared" si="30"/>
        <v/>
      </c>
      <c r="X163" s="11" t="str">
        <f t="shared" si="31"/>
        <v/>
      </c>
      <c r="Y163" s="11" t="str">
        <f t="shared" si="32"/>
        <v/>
      </c>
      <c r="Z163" s="11" t="str">
        <f t="shared" si="33"/>
        <v/>
      </c>
      <c r="AA163" s="11" t="str">
        <f t="shared" si="34"/>
        <v/>
      </c>
      <c r="AB163" s="24" t="str">
        <f t="shared" si="35"/>
        <v/>
      </c>
    </row>
    <row r="164" spans="1:28" x14ac:dyDescent="0.25">
      <c r="A164" s="10" t="str">
        <f>IF('Raw Data'!A151&lt;&gt;"",'Raw Data'!A151,"")</f>
        <v/>
      </c>
      <c r="B164" s="10" t="str">
        <f>IF('Raw Data'!B151&lt;&gt;"",'Raw Data'!B151,"")</f>
        <v/>
      </c>
      <c r="C164" s="10" t="str">
        <f>IF('Raw Data'!C151&lt;&gt;"",'Raw Data'!C151,"")</f>
        <v/>
      </c>
      <c r="D164" s="10" t="str">
        <f>IF('Raw Data'!D151&lt;&gt;"",'Raw Data'!D151,"")</f>
        <v/>
      </c>
      <c r="E164" s="10" t="str">
        <f>IF('Raw Data'!E151&lt;&gt;"",'Raw Data'!E151,"")</f>
        <v/>
      </c>
      <c r="F164" s="14" t="str">
        <f>IF('Raw Data'!A151&lt;&gt;"",AVERAGE('Raw Data'!F151,'Raw Data'!H151,'Raw Data'!J151,'Raw Data'!L151,'Raw Data'!N151),"")</f>
        <v/>
      </c>
      <c r="G164" s="14" t="str">
        <f>IF('Raw Data'!A151&lt;&gt;"",AVERAGE('Raw Data'!G151,'Raw Data'!I151,'Raw Data'!K151,'Raw Data'!M151,'Raw Data'!O151),"")</f>
        <v/>
      </c>
      <c r="H164" s="14" t="str">
        <f t="shared" si="25"/>
        <v/>
      </c>
      <c r="I164" s="14" t="str">
        <f>IF('Raw Data'!A151&lt;&gt;"",AVERAGE('Raw Data'!P151,'Raw Data'!R151,'Raw Data'!T151,'Raw Data'!V151,'Raw Data'!X151),"")</f>
        <v/>
      </c>
      <c r="J164" s="14" t="str">
        <f>IF('Raw Data'!A151&lt;&gt;"",AVERAGE('Raw Data'!Q151,'Raw Data'!S151,'Raw Data'!U151,'Raw Data'!W151,'Raw Data'!Y151),"")</f>
        <v/>
      </c>
      <c r="K164" s="14" t="str">
        <f t="shared" si="26"/>
        <v/>
      </c>
      <c r="L164" s="14" t="str">
        <f>IF('Raw Data'!A151&lt;&gt;"",AVERAGE('Raw Data'!Z151,'Raw Data'!AB151,'Raw Data'!AD151,'Raw Data'!AF151,'Raw Data'!AH151),"")</f>
        <v/>
      </c>
      <c r="M164" s="14" t="str">
        <f>IF('Raw Data'!A151&lt;&gt;"",AVERAGE('Raw Data'!AA151,'Raw Data'!AC151,'Raw Data'!AE151,'Raw Data'!AG151,'Raw Data'!AI151),"")</f>
        <v/>
      </c>
      <c r="N164" s="14" t="str">
        <f t="shared" si="27"/>
        <v/>
      </c>
      <c r="O164" s="14" t="str">
        <f>IF('Raw Data'!A151&lt;&gt;"",AVERAGE('Raw Data'!AJ151,'Raw Data'!AL151,'Raw Data'!AN151,'Raw Data'!AP151,'Raw Data'!AR151),"")</f>
        <v/>
      </c>
      <c r="P164" s="14" t="str">
        <f>IF('Raw Data'!A151&lt;&gt;"",AVERAGE('Raw Data'!AK151,'Raw Data'!AM151,'Raw Data'!AO151,'Raw Data'!AQ151,'Raw Data'!AS151),"")</f>
        <v/>
      </c>
      <c r="Q164" s="14" t="str">
        <f t="shared" si="28"/>
        <v/>
      </c>
      <c r="R164" s="14" t="str">
        <f>IF('Raw Data'!A151&lt;&gt;"",AVERAGE('Raw Data'!AT151,'Raw Data'!AV151,'Raw Data'!AX151,'Raw Data'!AZ151,'Raw Data'!BB151),"")</f>
        <v/>
      </c>
      <c r="S164" s="14" t="str">
        <f>IF('Raw Data'!A151&lt;&gt;"",AVERAGE('Raw Data'!AU151,'Raw Data'!AW151,'Raw Data'!AY151,'Raw Data'!BA151,'Raw Data'!BC151),"")</f>
        <v/>
      </c>
      <c r="T164" s="14" t="str">
        <f t="shared" si="29"/>
        <v/>
      </c>
      <c r="U164" s="14" t="str">
        <f>IF('Raw Data'!A151&lt;&gt;"",AVERAGE('Raw Data'!BD151,'Raw Data'!BF151,'Raw Data'!BH151,'Raw Data'!BJ151,'Raw Data'!BL151),"")</f>
        <v/>
      </c>
      <c r="V164" s="14" t="str">
        <f>IF('Raw Data'!A151&lt;&gt;"",AVERAGE('Raw Data'!BE151,'Raw Data'!BG151,'Raw Data'!BI151,'Raw Data'!BK151,'Raw Data'!BM151),"")</f>
        <v/>
      </c>
      <c r="W164" s="14" t="str">
        <f t="shared" si="30"/>
        <v/>
      </c>
      <c r="X164" s="14" t="str">
        <f t="shared" si="31"/>
        <v/>
      </c>
      <c r="Y164" s="14" t="str">
        <f t="shared" si="32"/>
        <v/>
      </c>
      <c r="Z164" s="14" t="str">
        <f t="shared" si="33"/>
        <v/>
      </c>
      <c r="AA164" s="14" t="str">
        <f t="shared" si="34"/>
        <v/>
      </c>
      <c r="AB164" s="25" t="str">
        <f t="shared" si="35"/>
        <v/>
      </c>
    </row>
    <row r="165" spans="1:28" x14ac:dyDescent="0.25">
      <c r="A165" s="2" t="str">
        <f>IF('Raw Data'!A152&lt;&gt;"",'Raw Data'!A152,"")</f>
        <v/>
      </c>
      <c r="B165" s="2" t="str">
        <f>IF('Raw Data'!B152&lt;&gt;"",'Raw Data'!B152,"")</f>
        <v/>
      </c>
      <c r="C165" s="2" t="str">
        <f>IF('Raw Data'!C152&lt;&gt;"",'Raw Data'!C152,"")</f>
        <v/>
      </c>
      <c r="D165" s="2" t="str">
        <f>IF('Raw Data'!D152&lt;&gt;"",'Raw Data'!D152,"")</f>
        <v/>
      </c>
      <c r="E165" s="2" t="str">
        <f>IF('Raw Data'!E152&lt;&gt;"",'Raw Data'!E152,"")</f>
        <v/>
      </c>
      <c r="F165" s="11" t="str">
        <f>IF('Raw Data'!A152&lt;&gt;"",AVERAGE('Raw Data'!F152,'Raw Data'!H152,'Raw Data'!J152,'Raw Data'!L152,'Raw Data'!N152),"")</f>
        <v/>
      </c>
      <c r="G165" s="11" t="str">
        <f>IF('Raw Data'!A152&lt;&gt;"",AVERAGE('Raw Data'!G152,'Raw Data'!I152,'Raw Data'!K152,'Raw Data'!M152,'Raw Data'!O152),"")</f>
        <v/>
      </c>
      <c r="H165" s="11" t="str">
        <f t="shared" si="25"/>
        <v/>
      </c>
      <c r="I165" s="11" t="str">
        <f>IF('Raw Data'!A152&lt;&gt;"",AVERAGE('Raw Data'!P152,'Raw Data'!R152,'Raw Data'!T152,'Raw Data'!V152,'Raw Data'!X152),"")</f>
        <v/>
      </c>
      <c r="J165" s="11" t="str">
        <f>IF('Raw Data'!A152&lt;&gt;"",AVERAGE('Raw Data'!Q152,'Raw Data'!S152,'Raw Data'!U152,'Raw Data'!W152,'Raw Data'!Y152),"")</f>
        <v/>
      </c>
      <c r="K165" s="11" t="str">
        <f t="shared" si="26"/>
        <v/>
      </c>
      <c r="L165" s="11" t="str">
        <f>IF('Raw Data'!A152&lt;&gt;"",AVERAGE('Raw Data'!Z152,'Raw Data'!AB152,'Raw Data'!AD152,'Raw Data'!AF152,'Raw Data'!AH152),"")</f>
        <v/>
      </c>
      <c r="M165" s="11" t="str">
        <f>IF('Raw Data'!A152&lt;&gt;"",AVERAGE('Raw Data'!AA152,'Raw Data'!AC152,'Raw Data'!AE152,'Raw Data'!AG152,'Raw Data'!AI152),"")</f>
        <v/>
      </c>
      <c r="N165" s="11" t="str">
        <f t="shared" si="27"/>
        <v/>
      </c>
      <c r="O165" s="11" t="str">
        <f>IF('Raw Data'!A152&lt;&gt;"",AVERAGE('Raw Data'!AJ152,'Raw Data'!AL152,'Raw Data'!AN152,'Raw Data'!AP152,'Raw Data'!AR152),"")</f>
        <v/>
      </c>
      <c r="P165" s="11" t="str">
        <f>IF('Raw Data'!A152&lt;&gt;"",AVERAGE('Raw Data'!AK152,'Raw Data'!AM152,'Raw Data'!AO152,'Raw Data'!AQ152,'Raw Data'!AS152),"")</f>
        <v/>
      </c>
      <c r="Q165" s="11" t="str">
        <f t="shared" si="28"/>
        <v/>
      </c>
      <c r="R165" s="11" t="str">
        <f>IF('Raw Data'!A152&lt;&gt;"",AVERAGE('Raw Data'!AT152,'Raw Data'!AV152,'Raw Data'!AX152,'Raw Data'!AZ152,'Raw Data'!BB152),"")</f>
        <v/>
      </c>
      <c r="S165" s="11" t="str">
        <f>IF('Raw Data'!A152&lt;&gt;"",AVERAGE('Raw Data'!AU152,'Raw Data'!AW152,'Raw Data'!AY152,'Raw Data'!BA152,'Raw Data'!BC152),"")</f>
        <v/>
      </c>
      <c r="T165" s="11" t="str">
        <f t="shared" si="29"/>
        <v/>
      </c>
      <c r="U165" s="11" t="str">
        <f>IF('Raw Data'!A152&lt;&gt;"",AVERAGE('Raw Data'!BD152,'Raw Data'!BF152,'Raw Data'!BH152,'Raw Data'!BJ152,'Raw Data'!BL152),"")</f>
        <v/>
      </c>
      <c r="V165" s="11" t="str">
        <f>IF('Raw Data'!A152&lt;&gt;"",AVERAGE('Raw Data'!BE152,'Raw Data'!BG152,'Raw Data'!BI152,'Raw Data'!BK152,'Raw Data'!BM152),"")</f>
        <v/>
      </c>
      <c r="W165" s="11" t="str">
        <f t="shared" si="30"/>
        <v/>
      </c>
      <c r="X165" s="11" t="str">
        <f t="shared" si="31"/>
        <v/>
      </c>
      <c r="Y165" s="11" t="str">
        <f t="shared" si="32"/>
        <v/>
      </c>
      <c r="Z165" s="11" t="str">
        <f t="shared" si="33"/>
        <v/>
      </c>
      <c r="AA165" s="11" t="str">
        <f t="shared" si="34"/>
        <v/>
      </c>
      <c r="AB165" s="24" t="str">
        <f t="shared" si="35"/>
        <v/>
      </c>
    </row>
    <row r="166" spans="1:28" x14ac:dyDescent="0.25">
      <c r="A166" s="10" t="str">
        <f>IF('Raw Data'!A153&lt;&gt;"",'Raw Data'!A153,"")</f>
        <v/>
      </c>
      <c r="B166" s="10" t="str">
        <f>IF('Raw Data'!B153&lt;&gt;"",'Raw Data'!B153,"")</f>
        <v/>
      </c>
      <c r="C166" s="10" t="str">
        <f>IF('Raw Data'!C153&lt;&gt;"",'Raw Data'!C153,"")</f>
        <v/>
      </c>
      <c r="D166" s="10" t="str">
        <f>IF('Raw Data'!D153&lt;&gt;"",'Raw Data'!D153,"")</f>
        <v/>
      </c>
      <c r="E166" s="10" t="str">
        <f>IF('Raw Data'!E153&lt;&gt;"",'Raw Data'!E153,"")</f>
        <v/>
      </c>
      <c r="F166" s="14" t="str">
        <f>IF('Raw Data'!A153&lt;&gt;"",AVERAGE('Raw Data'!F153,'Raw Data'!H153,'Raw Data'!J153,'Raw Data'!L153,'Raw Data'!N153),"")</f>
        <v/>
      </c>
      <c r="G166" s="14" t="str">
        <f>IF('Raw Data'!A153&lt;&gt;"",AVERAGE('Raw Data'!G153,'Raw Data'!I153,'Raw Data'!K153,'Raw Data'!M153,'Raw Data'!O153),"")</f>
        <v/>
      </c>
      <c r="H166" s="14" t="str">
        <f t="shared" si="25"/>
        <v/>
      </c>
      <c r="I166" s="14" t="str">
        <f>IF('Raw Data'!A153&lt;&gt;"",AVERAGE('Raw Data'!P153,'Raw Data'!R153,'Raw Data'!T153,'Raw Data'!V153,'Raw Data'!X153),"")</f>
        <v/>
      </c>
      <c r="J166" s="14" t="str">
        <f>IF('Raw Data'!A153&lt;&gt;"",AVERAGE('Raw Data'!Q153,'Raw Data'!S153,'Raw Data'!U153,'Raw Data'!W153,'Raw Data'!Y153),"")</f>
        <v/>
      </c>
      <c r="K166" s="14" t="str">
        <f t="shared" si="26"/>
        <v/>
      </c>
      <c r="L166" s="14" t="str">
        <f>IF('Raw Data'!A153&lt;&gt;"",AVERAGE('Raw Data'!Z153,'Raw Data'!AB153,'Raw Data'!AD153,'Raw Data'!AF153,'Raw Data'!AH153),"")</f>
        <v/>
      </c>
      <c r="M166" s="14" t="str">
        <f>IF('Raw Data'!A153&lt;&gt;"",AVERAGE('Raw Data'!AA153,'Raw Data'!AC153,'Raw Data'!AE153,'Raw Data'!AG153,'Raw Data'!AI153),"")</f>
        <v/>
      </c>
      <c r="N166" s="14" t="str">
        <f t="shared" si="27"/>
        <v/>
      </c>
      <c r="O166" s="14" t="str">
        <f>IF('Raw Data'!A153&lt;&gt;"",AVERAGE('Raw Data'!AJ153,'Raw Data'!AL153,'Raw Data'!AN153,'Raw Data'!AP153,'Raw Data'!AR153),"")</f>
        <v/>
      </c>
      <c r="P166" s="14" t="str">
        <f>IF('Raw Data'!A153&lt;&gt;"",AVERAGE('Raw Data'!AK153,'Raw Data'!AM153,'Raw Data'!AO153,'Raw Data'!AQ153,'Raw Data'!AS153),"")</f>
        <v/>
      </c>
      <c r="Q166" s="14" t="str">
        <f t="shared" si="28"/>
        <v/>
      </c>
      <c r="R166" s="14" t="str">
        <f>IF('Raw Data'!A153&lt;&gt;"",AVERAGE('Raw Data'!AT153,'Raw Data'!AV153,'Raw Data'!AX153,'Raw Data'!AZ153,'Raw Data'!BB153),"")</f>
        <v/>
      </c>
      <c r="S166" s="14" t="str">
        <f>IF('Raw Data'!A153&lt;&gt;"",AVERAGE('Raw Data'!AU153,'Raw Data'!AW153,'Raw Data'!AY153,'Raw Data'!BA153,'Raw Data'!BC153),"")</f>
        <v/>
      </c>
      <c r="T166" s="14" t="str">
        <f t="shared" si="29"/>
        <v/>
      </c>
      <c r="U166" s="14" t="str">
        <f>IF('Raw Data'!A153&lt;&gt;"",AVERAGE('Raw Data'!BD153,'Raw Data'!BF153,'Raw Data'!BH153,'Raw Data'!BJ153,'Raw Data'!BL153),"")</f>
        <v/>
      </c>
      <c r="V166" s="14" t="str">
        <f>IF('Raw Data'!A153&lt;&gt;"",AVERAGE('Raw Data'!BE153,'Raw Data'!BG153,'Raw Data'!BI153,'Raw Data'!BK153,'Raw Data'!BM153),"")</f>
        <v/>
      </c>
      <c r="W166" s="14" t="str">
        <f t="shared" si="30"/>
        <v/>
      </c>
      <c r="X166" s="14" t="str">
        <f t="shared" si="31"/>
        <v/>
      </c>
      <c r="Y166" s="14" t="str">
        <f t="shared" si="32"/>
        <v/>
      </c>
      <c r="Z166" s="14" t="str">
        <f t="shared" si="33"/>
        <v/>
      </c>
      <c r="AA166" s="14" t="str">
        <f t="shared" si="34"/>
        <v/>
      </c>
      <c r="AB166" s="25" t="str">
        <f t="shared" si="35"/>
        <v/>
      </c>
    </row>
    <row r="167" spans="1:28" x14ac:dyDescent="0.25">
      <c r="A167" s="2" t="str">
        <f>IF('Raw Data'!A154&lt;&gt;"",'Raw Data'!A154,"")</f>
        <v/>
      </c>
      <c r="B167" s="2" t="str">
        <f>IF('Raw Data'!B154&lt;&gt;"",'Raw Data'!B154,"")</f>
        <v/>
      </c>
      <c r="C167" s="2" t="str">
        <f>IF('Raw Data'!C154&lt;&gt;"",'Raw Data'!C154,"")</f>
        <v/>
      </c>
      <c r="D167" s="2" t="str">
        <f>IF('Raw Data'!D154&lt;&gt;"",'Raw Data'!D154,"")</f>
        <v/>
      </c>
      <c r="E167" s="2" t="str">
        <f>IF('Raw Data'!E154&lt;&gt;"",'Raw Data'!E154,"")</f>
        <v/>
      </c>
      <c r="F167" s="11" t="str">
        <f>IF('Raw Data'!A154&lt;&gt;"",AVERAGE('Raw Data'!F154,'Raw Data'!H154,'Raw Data'!J154,'Raw Data'!L154,'Raw Data'!N154),"")</f>
        <v/>
      </c>
      <c r="G167" s="11" t="str">
        <f>IF('Raw Data'!A154&lt;&gt;"",AVERAGE('Raw Data'!G154,'Raw Data'!I154,'Raw Data'!K154,'Raw Data'!M154,'Raw Data'!O154),"")</f>
        <v/>
      </c>
      <c r="H167" s="11" t="str">
        <f t="shared" si="25"/>
        <v/>
      </c>
      <c r="I167" s="11" t="str">
        <f>IF('Raw Data'!A154&lt;&gt;"",AVERAGE('Raw Data'!P154,'Raw Data'!R154,'Raw Data'!T154,'Raw Data'!V154,'Raw Data'!X154),"")</f>
        <v/>
      </c>
      <c r="J167" s="11" t="str">
        <f>IF('Raw Data'!A154&lt;&gt;"",AVERAGE('Raw Data'!Q154,'Raw Data'!S154,'Raw Data'!U154,'Raw Data'!W154,'Raw Data'!Y154),"")</f>
        <v/>
      </c>
      <c r="K167" s="11" t="str">
        <f t="shared" si="26"/>
        <v/>
      </c>
      <c r="L167" s="11" t="str">
        <f>IF('Raw Data'!A154&lt;&gt;"",AVERAGE('Raw Data'!Z154,'Raw Data'!AB154,'Raw Data'!AD154,'Raw Data'!AF154,'Raw Data'!AH154),"")</f>
        <v/>
      </c>
      <c r="M167" s="11" t="str">
        <f>IF('Raw Data'!A154&lt;&gt;"",AVERAGE('Raw Data'!AA154,'Raw Data'!AC154,'Raw Data'!AE154,'Raw Data'!AG154,'Raw Data'!AI154),"")</f>
        <v/>
      </c>
      <c r="N167" s="11" t="str">
        <f t="shared" si="27"/>
        <v/>
      </c>
      <c r="O167" s="11" t="str">
        <f>IF('Raw Data'!A154&lt;&gt;"",AVERAGE('Raw Data'!AJ154,'Raw Data'!AL154,'Raw Data'!AN154,'Raw Data'!AP154,'Raw Data'!AR154),"")</f>
        <v/>
      </c>
      <c r="P167" s="11" t="str">
        <f>IF('Raw Data'!A154&lt;&gt;"",AVERAGE('Raw Data'!AK154,'Raw Data'!AM154,'Raw Data'!AO154,'Raw Data'!AQ154,'Raw Data'!AS154),"")</f>
        <v/>
      </c>
      <c r="Q167" s="11" t="str">
        <f t="shared" si="28"/>
        <v/>
      </c>
      <c r="R167" s="11" t="str">
        <f>IF('Raw Data'!A154&lt;&gt;"",AVERAGE('Raw Data'!AT154,'Raw Data'!AV154,'Raw Data'!AX154,'Raw Data'!AZ154,'Raw Data'!BB154),"")</f>
        <v/>
      </c>
      <c r="S167" s="11" t="str">
        <f>IF('Raw Data'!A154&lt;&gt;"",AVERAGE('Raw Data'!AU154,'Raw Data'!AW154,'Raw Data'!AY154,'Raw Data'!BA154,'Raw Data'!BC154),"")</f>
        <v/>
      </c>
      <c r="T167" s="11" t="str">
        <f t="shared" si="29"/>
        <v/>
      </c>
      <c r="U167" s="11" t="str">
        <f>IF('Raw Data'!A154&lt;&gt;"",AVERAGE('Raw Data'!BD154,'Raw Data'!BF154,'Raw Data'!BH154,'Raw Data'!BJ154,'Raw Data'!BL154),"")</f>
        <v/>
      </c>
      <c r="V167" s="11" t="str">
        <f>IF('Raw Data'!A154&lt;&gt;"",AVERAGE('Raw Data'!BE154,'Raw Data'!BG154,'Raw Data'!BI154,'Raw Data'!BK154,'Raw Data'!BM154),"")</f>
        <v/>
      </c>
      <c r="W167" s="11" t="str">
        <f t="shared" si="30"/>
        <v/>
      </c>
      <c r="X167" s="11" t="str">
        <f t="shared" si="31"/>
        <v/>
      </c>
      <c r="Y167" s="11" t="str">
        <f t="shared" si="32"/>
        <v/>
      </c>
      <c r="Z167" s="11" t="str">
        <f t="shared" si="33"/>
        <v/>
      </c>
      <c r="AA167" s="11" t="str">
        <f t="shared" si="34"/>
        <v/>
      </c>
      <c r="AB167" s="24" t="str">
        <f t="shared" si="35"/>
        <v/>
      </c>
    </row>
    <row r="168" spans="1:28" x14ac:dyDescent="0.25">
      <c r="A168" s="10" t="str">
        <f>IF('Raw Data'!A155&lt;&gt;"",'Raw Data'!A155,"")</f>
        <v/>
      </c>
      <c r="B168" s="10" t="str">
        <f>IF('Raw Data'!B155&lt;&gt;"",'Raw Data'!B155,"")</f>
        <v/>
      </c>
      <c r="C168" s="10" t="str">
        <f>IF('Raw Data'!C155&lt;&gt;"",'Raw Data'!C155,"")</f>
        <v/>
      </c>
      <c r="D168" s="10" t="str">
        <f>IF('Raw Data'!D155&lt;&gt;"",'Raw Data'!D155,"")</f>
        <v/>
      </c>
      <c r="E168" s="10" t="str">
        <f>IF('Raw Data'!E155&lt;&gt;"",'Raw Data'!E155,"")</f>
        <v/>
      </c>
      <c r="F168" s="14" t="str">
        <f>IF('Raw Data'!A155&lt;&gt;"",AVERAGE('Raw Data'!F155,'Raw Data'!H155,'Raw Data'!J155,'Raw Data'!L155,'Raw Data'!N155),"")</f>
        <v/>
      </c>
      <c r="G168" s="14" t="str">
        <f>IF('Raw Data'!A155&lt;&gt;"",AVERAGE('Raw Data'!G155,'Raw Data'!I155,'Raw Data'!K155,'Raw Data'!M155,'Raw Data'!O155),"")</f>
        <v/>
      </c>
      <c r="H168" s="14" t="str">
        <f t="shared" si="25"/>
        <v/>
      </c>
      <c r="I168" s="14" t="str">
        <f>IF('Raw Data'!A155&lt;&gt;"",AVERAGE('Raw Data'!P155,'Raw Data'!R155,'Raw Data'!T155,'Raw Data'!V155,'Raw Data'!X155),"")</f>
        <v/>
      </c>
      <c r="J168" s="14" t="str">
        <f>IF('Raw Data'!A155&lt;&gt;"",AVERAGE('Raw Data'!Q155,'Raw Data'!S155,'Raw Data'!U155,'Raw Data'!W155,'Raw Data'!Y155),"")</f>
        <v/>
      </c>
      <c r="K168" s="14" t="str">
        <f t="shared" si="26"/>
        <v/>
      </c>
      <c r="L168" s="14" t="str">
        <f>IF('Raw Data'!A155&lt;&gt;"",AVERAGE('Raw Data'!Z155,'Raw Data'!AB155,'Raw Data'!AD155,'Raw Data'!AF155,'Raw Data'!AH155),"")</f>
        <v/>
      </c>
      <c r="M168" s="14" t="str">
        <f>IF('Raw Data'!A155&lt;&gt;"",AVERAGE('Raw Data'!AA155,'Raw Data'!AC155,'Raw Data'!AE155,'Raw Data'!AG155,'Raw Data'!AI155),"")</f>
        <v/>
      </c>
      <c r="N168" s="14" t="str">
        <f t="shared" si="27"/>
        <v/>
      </c>
      <c r="O168" s="14" t="str">
        <f>IF('Raw Data'!A155&lt;&gt;"",AVERAGE('Raw Data'!AJ155,'Raw Data'!AL155,'Raw Data'!AN155,'Raw Data'!AP155,'Raw Data'!AR155),"")</f>
        <v/>
      </c>
      <c r="P168" s="14" t="str">
        <f>IF('Raw Data'!A155&lt;&gt;"",AVERAGE('Raw Data'!AK155,'Raw Data'!AM155,'Raw Data'!AO155,'Raw Data'!AQ155,'Raw Data'!AS155),"")</f>
        <v/>
      </c>
      <c r="Q168" s="14" t="str">
        <f t="shared" si="28"/>
        <v/>
      </c>
      <c r="R168" s="14" t="str">
        <f>IF('Raw Data'!A155&lt;&gt;"",AVERAGE('Raw Data'!AT155,'Raw Data'!AV155,'Raw Data'!AX155,'Raw Data'!AZ155,'Raw Data'!BB155),"")</f>
        <v/>
      </c>
      <c r="S168" s="14" t="str">
        <f>IF('Raw Data'!A155&lt;&gt;"",AVERAGE('Raw Data'!AU155,'Raw Data'!AW155,'Raw Data'!AY155,'Raw Data'!BA155,'Raw Data'!BC155),"")</f>
        <v/>
      </c>
      <c r="T168" s="14" t="str">
        <f t="shared" si="29"/>
        <v/>
      </c>
      <c r="U168" s="14" t="str">
        <f>IF('Raw Data'!A155&lt;&gt;"",AVERAGE('Raw Data'!BD155,'Raw Data'!BF155,'Raw Data'!BH155,'Raw Data'!BJ155,'Raw Data'!BL155),"")</f>
        <v/>
      </c>
      <c r="V168" s="14" t="str">
        <f>IF('Raw Data'!A155&lt;&gt;"",AVERAGE('Raw Data'!BE155,'Raw Data'!BG155,'Raw Data'!BI155,'Raw Data'!BK155,'Raw Data'!BM155),"")</f>
        <v/>
      </c>
      <c r="W168" s="14" t="str">
        <f t="shared" si="30"/>
        <v/>
      </c>
      <c r="X168" s="14" t="str">
        <f t="shared" si="31"/>
        <v/>
      </c>
      <c r="Y168" s="14" t="str">
        <f t="shared" si="32"/>
        <v/>
      </c>
      <c r="Z168" s="14" t="str">
        <f t="shared" si="33"/>
        <v/>
      </c>
      <c r="AA168" s="14" t="str">
        <f t="shared" si="34"/>
        <v/>
      </c>
      <c r="AB168" s="25" t="str">
        <f t="shared" si="35"/>
        <v/>
      </c>
    </row>
    <row r="169" spans="1:28" x14ac:dyDescent="0.25">
      <c r="A169" s="2" t="str">
        <f>IF('Raw Data'!A156&lt;&gt;"",'Raw Data'!A156,"")</f>
        <v/>
      </c>
      <c r="B169" s="2" t="str">
        <f>IF('Raw Data'!B156&lt;&gt;"",'Raw Data'!B156,"")</f>
        <v/>
      </c>
      <c r="C169" s="2" t="str">
        <f>IF('Raw Data'!C156&lt;&gt;"",'Raw Data'!C156,"")</f>
        <v/>
      </c>
      <c r="D169" s="2" t="str">
        <f>IF('Raw Data'!D156&lt;&gt;"",'Raw Data'!D156,"")</f>
        <v/>
      </c>
      <c r="E169" s="2" t="str">
        <f>IF('Raw Data'!E156&lt;&gt;"",'Raw Data'!E156,"")</f>
        <v/>
      </c>
      <c r="F169" s="11" t="str">
        <f>IF('Raw Data'!A156&lt;&gt;"",AVERAGE('Raw Data'!F156,'Raw Data'!H156,'Raw Data'!J156,'Raw Data'!L156,'Raw Data'!N156),"")</f>
        <v/>
      </c>
      <c r="G169" s="11" t="str">
        <f>IF('Raw Data'!A156&lt;&gt;"",AVERAGE('Raw Data'!G156,'Raw Data'!I156,'Raw Data'!K156,'Raw Data'!M156,'Raw Data'!O156),"")</f>
        <v/>
      </c>
      <c r="H169" s="11" t="str">
        <f t="shared" si="25"/>
        <v/>
      </c>
      <c r="I169" s="11" t="str">
        <f>IF('Raw Data'!A156&lt;&gt;"",AVERAGE('Raw Data'!P156,'Raw Data'!R156,'Raw Data'!T156,'Raw Data'!V156,'Raw Data'!X156),"")</f>
        <v/>
      </c>
      <c r="J169" s="11" t="str">
        <f>IF('Raw Data'!A156&lt;&gt;"",AVERAGE('Raw Data'!Q156,'Raw Data'!S156,'Raw Data'!U156,'Raw Data'!W156,'Raw Data'!Y156),"")</f>
        <v/>
      </c>
      <c r="K169" s="11" t="str">
        <f t="shared" si="26"/>
        <v/>
      </c>
      <c r="L169" s="11" t="str">
        <f>IF('Raw Data'!A156&lt;&gt;"",AVERAGE('Raw Data'!Z156,'Raw Data'!AB156,'Raw Data'!AD156,'Raw Data'!AF156,'Raw Data'!AH156),"")</f>
        <v/>
      </c>
      <c r="M169" s="11" t="str">
        <f>IF('Raw Data'!A156&lt;&gt;"",AVERAGE('Raw Data'!AA156,'Raw Data'!AC156,'Raw Data'!AE156,'Raw Data'!AG156,'Raw Data'!AI156),"")</f>
        <v/>
      </c>
      <c r="N169" s="11" t="str">
        <f t="shared" si="27"/>
        <v/>
      </c>
      <c r="O169" s="11" t="str">
        <f>IF('Raw Data'!A156&lt;&gt;"",AVERAGE('Raw Data'!AJ156,'Raw Data'!AL156,'Raw Data'!AN156,'Raw Data'!AP156,'Raw Data'!AR156),"")</f>
        <v/>
      </c>
      <c r="P169" s="11" t="str">
        <f>IF('Raw Data'!A156&lt;&gt;"",AVERAGE('Raw Data'!AK156,'Raw Data'!AM156,'Raw Data'!AO156,'Raw Data'!AQ156,'Raw Data'!AS156),"")</f>
        <v/>
      </c>
      <c r="Q169" s="11" t="str">
        <f t="shared" si="28"/>
        <v/>
      </c>
      <c r="R169" s="11" t="str">
        <f>IF('Raw Data'!A156&lt;&gt;"",AVERAGE('Raw Data'!AT156,'Raw Data'!AV156,'Raw Data'!AX156,'Raw Data'!AZ156,'Raw Data'!BB156),"")</f>
        <v/>
      </c>
      <c r="S169" s="11" t="str">
        <f>IF('Raw Data'!A156&lt;&gt;"",AVERAGE('Raw Data'!AU156,'Raw Data'!AW156,'Raw Data'!AY156,'Raw Data'!BA156,'Raw Data'!BC156),"")</f>
        <v/>
      </c>
      <c r="T169" s="11" t="str">
        <f t="shared" si="29"/>
        <v/>
      </c>
      <c r="U169" s="11" t="str">
        <f>IF('Raw Data'!A156&lt;&gt;"",AVERAGE('Raw Data'!BD156,'Raw Data'!BF156,'Raw Data'!BH156,'Raw Data'!BJ156,'Raw Data'!BL156),"")</f>
        <v/>
      </c>
      <c r="V169" s="11" t="str">
        <f>IF('Raw Data'!A156&lt;&gt;"",AVERAGE('Raw Data'!BE156,'Raw Data'!BG156,'Raw Data'!BI156,'Raw Data'!BK156,'Raw Data'!BM156),"")</f>
        <v/>
      </c>
      <c r="W169" s="11" t="str">
        <f t="shared" si="30"/>
        <v/>
      </c>
      <c r="X169" s="11" t="str">
        <f t="shared" si="31"/>
        <v/>
      </c>
      <c r="Y169" s="11" t="str">
        <f t="shared" si="32"/>
        <v/>
      </c>
      <c r="Z169" s="11" t="str">
        <f t="shared" si="33"/>
        <v/>
      </c>
      <c r="AA169" s="11" t="str">
        <f t="shared" si="34"/>
        <v/>
      </c>
      <c r="AB169" s="24" t="str">
        <f t="shared" si="35"/>
        <v/>
      </c>
    </row>
    <row r="170" spans="1:28" x14ac:dyDescent="0.25">
      <c r="A170" s="10" t="str">
        <f>IF('Raw Data'!A157&lt;&gt;"",'Raw Data'!A157,"")</f>
        <v/>
      </c>
      <c r="B170" s="10" t="str">
        <f>IF('Raw Data'!B157&lt;&gt;"",'Raw Data'!B157,"")</f>
        <v/>
      </c>
      <c r="C170" s="10" t="str">
        <f>IF('Raw Data'!C157&lt;&gt;"",'Raw Data'!C157,"")</f>
        <v/>
      </c>
      <c r="D170" s="10" t="str">
        <f>IF('Raw Data'!D157&lt;&gt;"",'Raw Data'!D157,"")</f>
        <v/>
      </c>
      <c r="E170" s="10" t="str">
        <f>IF('Raw Data'!E157&lt;&gt;"",'Raw Data'!E157,"")</f>
        <v/>
      </c>
      <c r="F170" s="14" t="str">
        <f>IF('Raw Data'!A157&lt;&gt;"",AVERAGE('Raw Data'!F157,'Raw Data'!H157,'Raw Data'!J157,'Raw Data'!L157,'Raw Data'!N157),"")</f>
        <v/>
      </c>
      <c r="G170" s="14" t="str">
        <f>IF('Raw Data'!A157&lt;&gt;"",AVERAGE('Raw Data'!G157,'Raw Data'!I157,'Raw Data'!K157,'Raw Data'!M157,'Raw Data'!O157),"")</f>
        <v/>
      </c>
      <c r="H170" s="14" t="str">
        <f t="shared" si="25"/>
        <v/>
      </c>
      <c r="I170" s="14" t="str">
        <f>IF('Raw Data'!A157&lt;&gt;"",AVERAGE('Raw Data'!P157,'Raw Data'!R157,'Raw Data'!T157,'Raw Data'!V157,'Raw Data'!X157),"")</f>
        <v/>
      </c>
      <c r="J170" s="14" t="str">
        <f>IF('Raw Data'!A157&lt;&gt;"",AVERAGE('Raw Data'!Q157,'Raw Data'!S157,'Raw Data'!U157,'Raw Data'!W157,'Raw Data'!Y157),"")</f>
        <v/>
      </c>
      <c r="K170" s="14" t="str">
        <f t="shared" si="26"/>
        <v/>
      </c>
      <c r="L170" s="14" t="str">
        <f>IF('Raw Data'!A157&lt;&gt;"",AVERAGE('Raw Data'!Z157,'Raw Data'!AB157,'Raw Data'!AD157,'Raw Data'!AF157,'Raw Data'!AH157),"")</f>
        <v/>
      </c>
      <c r="M170" s="14" t="str">
        <f>IF('Raw Data'!A157&lt;&gt;"",AVERAGE('Raw Data'!AA157,'Raw Data'!AC157,'Raw Data'!AE157,'Raw Data'!AG157,'Raw Data'!AI157),"")</f>
        <v/>
      </c>
      <c r="N170" s="14" t="str">
        <f t="shared" si="27"/>
        <v/>
      </c>
      <c r="O170" s="14" t="str">
        <f>IF('Raw Data'!A157&lt;&gt;"",AVERAGE('Raw Data'!AJ157,'Raw Data'!AL157,'Raw Data'!AN157,'Raw Data'!AP157,'Raw Data'!AR157),"")</f>
        <v/>
      </c>
      <c r="P170" s="14" t="str">
        <f>IF('Raw Data'!A157&lt;&gt;"",AVERAGE('Raw Data'!AK157,'Raw Data'!AM157,'Raw Data'!AO157,'Raw Data'!AQ157,'Raw Data'!AS157),"")</f>
        <v/>
      </c>
      <c r="Q170" s="14" t="str">
        <f t="shared" si="28"/>
        <v/>
      </c>
      <c r="R170" s="14" t="str">
        <f>IF('Raw Data'!A157&lt;&gt;"",AVERAGE('Raw Data'!AT157,'Raw Data'!AV157,'Raw Data'!AX157,'Raw Data'!AZ157,'Raw Data'!BB157),"")</f>
        <v/>
      </c>
      <c r="S170" s="14" t="str">
        <f>IF('Raw Data'!A157&lt;&gt;"",AVERAGE('Raw Data'!AU157,'Raw Data'!AW157,'Raw Data'!AY157,'Raw Data'!BA157,'Raw Data'!BC157),"")</f>
        <v/>
      </c>
      <c r="T170" s="14" t="str">
        <f t="shared" si="29"/>
        <v/>
      </c>
      <c r="U170" s="14" t="str">
        <f>IF('Raw Data'!A157&lt;&gt;"",AVERAGE('Raw Data'!BD157,'Raw Data'!BF157,'Raw Data'!BH157,'Raw Data'!BJ157,'Raw Data'!BL157),"")</f>
        <v/>
      </c>
      <c r="V170" s="14" t="str">
        <f>IF('Raw Data'!A157&lt;&gt;"",AVERAGE('Raw Data'!BE157,'Raw Data'!BG157,'Raw Data'!BI157,'Raw Data'!BK157,'Raw Data'!BM157),"")</f>
        <v/>
      </c>
      <c r="W170" s="14" t="str">
        <f t="shared" si="30"/>
        <v/>
      </c>
      <c r="X170" s="14" t="str">
        <f t="shared" si="31"/>
        <v/>
      </c>
      <c r="Y170" s="14" t="str">
        <f t="shared" si="32"/>
        <v/>
      </c>
      <c r="Z170" s="14" t="str">
        <f t="shared" si="33"/>
        <v/>
      </c>
      <c r="AA170" s="14" t="str">
        <f t="shared" si="34"/>
        <v/>
      </c>
      <c r="AB170" s="25" t="str">
        <f t="shared" si="35"/>
        <v/>
      </c>
    </row>
    <row r="171" spans="1:28" x14ac:dyDescent="0.25">
      <c r="A171" s="2" t="str">
        <f>IF('Raw Data'!A158&lt;&gt;"",'Raw Data'!A158,"")</f>
        <v/>
      </c>
      <c r="B171" s="2" t="str">
        <f>IF('Raw Data'!B158&lt;&gt;"",'Raw Data'!B158,"")</f>
        <v/>
      </c>
      <c r="C171" s="2" t="str">
        <f>IF('Raw Data'!C158&lt;&gt;"",'Raw Data'!C158,"")</f>
        <v/>
      </c>
      <c r="D171" s="2" t="str">
        <f>IF('Raw Data'!D158&lt;&gt;"",'Raw Data'!D158,"")</f>
        <v/>
      </c>
      <c r="E171" s="2" t="str">
        <f>IF('Raw Data'!E158&lt;&gt;"",'Raw Data'!E158,"")</f>
        <v/>
      </c>
      <c r="F171" s="11" t="str">
        <f>IF('Raw Data'!A158&lt;&gt;"",AVERAGE('Raw Data'!F158,'Raw Data'!H158,'Raw Data'!J158,'Raw Data'!L158,'Raw Data'!N158),"")</f>
        <v/>
      </c>
      <c r="G171" s="11" t="str">
        <f>IF('Raw Data'!A158&lt;&gt;"",AVERAGE('Raw Data'!G158,'Raw Data'!I158,'Raw Data'!K158,'Raw Data'!M158,'Raw Data'!O158),"")</f>
        <v/>
      </c>
      <c r="H171" s="11" t="str">
        <f t="shared" si="25"/>
        <v/>
      </c>
      <c r="I171" s="11" t="str">
        <f>IF('Raw Data'!A158&lt;&gt;"",AVERAGE('Raw Data'!P158,'Raw Data'!R158,'Raw Data'!T158,'Raw Data'!V158,'Raw Data'!X158),"")</f>
        <v/>
      </c>
      <c r="J171" s="11" t="str">
        <f>IF('Raw Data'!A158&lt;&gt;"",AVERAGE('Raw Data'!Q158,'Raw Data'!S158,'Raw Data'!U158,'Raw Data'!W158,'Raw Data'!Y158),"")</f>
        <v/>
      </c>
      <c r="K171" s="11" t="str">
        <f t="shared" si="26"/>
        <v/>
      </c>
      <c r="L171" s="11" t="str">
        <f>IF('Raw Data'!A158&lt;&gt;"",AVERAGE('Raw Data'!Z158,'Raw Data'!AB158,'Raw Data'!AD158,'Raw Data'!AF158,'Raw Data'!AH158),"")</f>
        <v/>
      </c>
      <c r="M171" s="11" t="str">
        <f>IF('Raw Data'!A158&lt;&gt;"",AVERAGE('Raw Data'!AA158,'Raw Data'!AC158,'Raw Data'!AE158,'Raw Data'!AG158,'Raw Data'!AI158),"")</f>
        <v/>
      </c>
      <c r="N171" s="11" t="str">
        <f t="shared" si="27"/>
        <v/>
      </c>
      <c r="O171" s="11" t="str">
        <f>IF('Raw Data'!A158&lt;&gt;"",AVERAGE('Raw Data'!AJ158,'Raw Data'!AL158,'Raw Data'!AN158,'Raw Data'!AP158,'Raw Data'!AR158),"")</f>
        <v/>
      </c>
      <c r="P171" s="11" t="str">
        <f>IF('Raw Data'!A158&lt;&gt;"",AVERAGE('Raw Data'!AK158,'Raw Data'!AM158,'Raw Data'!AO158,'Raw Data'!AQ158,'Raw Data'!AS158),"")</f>
        <v/>
      </c>
      <c r="Q171" s="11" t="str">
        <f t="shared" si="28"/>
        <v/>
      </c>
      <c r="R171" s="11" t="str">
        <f>IF('Raw Data'!A158&lt;&gt;"",AVERAGE('Raw Data'!AT158,'Raw Data'!AV158,'Raw Data'!AX158,'Raw Data'!AZ158,'Raw Data'!BB158),"")</f>
        <v/>
      </c>
      <c r="S171" s="11" t="str">
        <f>IF('Raw Data'!A158&lt;&gt;"",AVERAGE('Raw Data'!AU158,'Raw Data'!AW158,'Raw Data'!AY158,'Raw Data'!BA158,'Raw Data'!BC158),"")</f>
        <v/>
      </c>
      <c r="T171" s="11" t="str">
        <f t="shared" si="29"/>
        <v/>
      </c>
      <c r="U171" s="11" t="str">
        <f>IF('Raw Data'!A158&lt;&gt;"",AVERAGE('Raw Data'!BD158,'Raw Data'!BF158,'Raw Data'!BH158,'Raw Data'!BJ158,'Raw Data'!BL158),"")</f>
        <v/>
      </c>
      <c r="V171" s="11" t="str">
        <f>IF('Raw Data'!A158&lt;&gt;"",AVERAGE('Raw Data'!BE158,'Raw Data'!BG158,'Raw Data'!BI158,'Raw Data'!BK158,'Raw Data'!BM158),"")</f>
        <v/>
      </c>
      <c r="W171" s="11" t="str">
        <f t="shared" si="30"/>
        <v/>
      </c>
      <c r="X171" s="11" t="str">
        <f t="shared" si="31"/>
        <v/>
      </c>
      <c r="Y171" s="11" t="str">
        <f t="shared" si="32"/>
        <v/>
      </c>
      <c r="Z171" s="11" t="str">
        <f t="shared" si="33"/>
        <v/>
      </c>
      <c r="AA171" s="11" t="str">
        <f t="shared" si="34"/>
        <v/>
      </c>
      <c r="AB171" s="24" t="str">
        <f t="shared" si="35"/>
        <v/>
      </c>
    </row>
    <row r="172" spans="1:28" x14ac:dyDescent="0.25">
      <c r="A172" s="10" t="str">
        <f>IF('Raw Data'!A159&lt;&gt;"",'Raw Data'!A159,"")</f>
        <v/>
      </c>
      <c r="B172" s="10" t="str">
        <f>IF('Raw Data'!B159&lt;&gt;"",'Raw Data'!B159,"")</f>
        <v/>
      </c>
      <c r="C172" s="10" t="str">
        <f>IF('Raw Data'!C159&lt;&gt;"",'Raw Data'!C159,"")</f>
        <v/>
      </c>
      <c r="D172" s="10" t="str">
        <f>IF('Raw Data'!D159&lt;&gt;"",'Raw Data'!D159,"")</f>
        <v/>
      </c>
      <c r="E172" s="10" t="str">
        <f>IF('Raw Data'!E159&lt;&gt;"",'Raw Data'!E159,"")</f>
        <v/>
      </c>
      <c r="F172" s="14" t="str">
        <f>IF('Raw Data'!A159&lt;&gt;"",AVERAGE('Raw Data'!F159,'Raw Data'!H159,'Raw Data'!J159,'Raw Data'!L159,'Raw Data'!N159),"")</f>
        <v/>
      </c>
      <c r="G172" s="14" t="str">
        <f>IF('Raw Data'!A159&lt;&gt;"",AVERAGE('Raw Data'!G159,'Raw Data'!I159,'Raw Data'!K159,'Raw Data'!M159,'Raw Data'!O159),"")</f>
        <v/>
      </c>
      <c r="H172" s="14" t="str">
        <f t="shared" si="25"/>
        <v/>
      </c>
      <c r="I172" s="14" t="str">
        <f>IF('Raw Data'!A159&lt;&gt;"",AVERAGE('Raw Data'!P159,'Raw Data'!R159,'Raw Data'!T159,'Raw Data'!V159,'Raw Data'!X159),"")</f>
        <v/>
      </c>
      <c r="J172" s="14" t="str">
        <f>IF('Raw Data'!A159&lt;&gt;"",AVERAGE('Raw Data'!Q159,'Raw Data'!S159,'Raw Data'!U159,'Raw Data'!W159,'Raw Data'!Y159),"")</f>
        <v/>
      </c>
      <c r="K172" s="14" t="str">
        <f t="shared" si="26"/>
        <v/>
      </c>
      <c r="L172" s="14" t="str">
        <f>IF('Raw Data'!A159&lt;&gt;"",AVERAGE('Raw Data'!Z159,'Raw Data'!AB159,'Raw Data'!AD159,'Raw Data'!AF159,'Raw Data'!AH159),"")</f>
        <v/>
      </c>
      <c r="M172" s="14" t="str">
        <f>IF('Raw Data'!A159&lt;&gt;"",AVERAGE('Raw Data'!AA159,'Raw Data'!AC159,'Raw Data'!AE159,'Raw Data'!AG159,'Raw Data'!AI159),"")</f>
        <v/>
      </c>
      <c r="N172" s="14" t="str">
        <f t="shared" si="27"/>
        <v/>
      </c>
      <c r="O172" s="14" t="str">
        <f>IF('Raw Data'!A159&lt;&gt;"",AVERAGE('Raw Data'!AJ159,'Raw Data'!AL159,'Raw Data'!AN159,'Raw Data'!AP159,'Raw Data'!AR159),"")</f>
        <v/>
      </c>
      <c r="P172" s="14" t="str">
        <f>IF('Raw Data'!A159&lt;&gt;"",AVERAGE('Raw Data'!AK159,'Raw Data'!AM159,'Raw Data'!AO159,'Raw Data'!AQ159,'Raw Data'!AS159),"")</f>
        <v/>
      </c>
      <c r="Q172" s="14" t="str">
        <f t="shared" si="28"/>
        <v/>
      </c>
      <c r="R172" s="14" t="str">
        <f>IF('Raw Data'!A159&lt;&gt;"",AVERAGE('Raw Data'!AT159,'Raw Data'!AV159,'Raw Data'!AX159,'Raw Data'!AZ159,'Raw Data'!BB159),"")</f>
        <v/>
      </c>
      <c r="S172" s="14" t="str">
        <f>IF('Raw Data'!A159&lt;&gt;"",AVERAGE('Raw Data'!AU159,'Raw Data'!AW159,'Raw Data'!AY159,'Raw Data'!BA159,'Raw Data'!BC159),"")</f>
        <v/>
      </c>
      <c r="T172" s="14" t="str">
        <f t="shared" si="29"/>
        <v/>
      </c>
      <c r="U172" s="14" t="str">
        <f>IF('Raw Data'!A159&lt;&gt;"",AVERAGE('Raw Data'!BD159,'Raw Data'!BF159,'Raw Data'!BH159,'Raw Data'!BJ159,'Raw Data'!BL159),"")</f>
        <v/>
      </c>
      <c r="V172" s="14" t="str">
        <f>IF('Raw Data'!A159&lt;&gt;"",AVERAGE('Raw Data'!BE159,'Raw Data'!BG159,'Raw Data'!BI159,'Raw Data'!BK159,'Raw Data'!BM159),"")</f>
        <v/>
      </c>
      <c r="W172" s="14" t="str">
        <f t="shared" si="30"/>
        <v/>
      </c>
      <c r="X172" s="14" t="str">
        <f t="shared" si="31"/>
        <v/>
      </c>
      <c r="Y172" s="14" t="str">
        <f t="shared" si="32"/>
        <v/>
      </c>
      <c r="Z172" s="14" t="str">
        <f t="shared" si="33"/>
        <v/>
      </c>
      <c r="AA172" s="14" t="str">
        <f t="shared" si="34"/>
        <v/>
      </c>
      <c r="AB172" s="25" t="str">
        <f t="shared" si="35"/>
        <v/>
      </c>
    </row>
    <row r="173" spans="1:28" x14ac:dyDescent="0.25">
      <c r="A173" s="2" t="str">
        <f>IF('Raw Data'!A160&lt;&gt;"",'Raw Data'!A160,"")</f>
        <v/>
      </c>
      <c r="B173" s="2" t="str">
        <f>IF('Raw Data'!B160&lt;&gt;"",'Raw Data'!B160,"")</f>
        <v/>
      </c>
      <c r="C173" s="2" t="str">
        <f>IF('Raw Data'!C160&lt;&gt;"",'Raw Data'!C160,"")</f>
        <v/>
      </c>
      <c r="D173" s="2" t="str">
        <f>IF('Raw Data'!D160&lt;&gt;"",'Raw Data'!D160,"")</f>
        <v/>
      </c>
      <c r="E173" s="2" t="str">
        <f>IF('Raw Data'!E160&lt;&gt;"",'Raw Data'!E160,"")</f>
        <v/>
      </c>
      <c r="F173" s="11" t="str">
        <f>IF('Raw Data'!A160&lt;&gt;"",AVERAGE('Raw Data'!F160,'Raw Data'!H160,'Raw Data'!J160,'Raw Data'!L160,'Raw Data'!N160),"")</f>
        <v/>
      </c>
      <c r="G173" s="11" t="str">
        <f>IF('Raw Data'!A160&lt;&gt;"",AVERAGE('Raw Data'!G160,'Raw Data'!I160,'Raw Data'!K160,'Raw Data'!M160,'Raw Data'!O160),"")</f>
        <v/>
      </c>
      <c r="H173" s="11" t="str">
        <f t="shared" si="25"/>
        <v/>
      </c>
      <c r="I173" s="11" t="str">
        <f>IF('Raw Data'!A160&lt;&gt;"",AVERAGE('Raw Data'!P160,'Raw Data'!R160,'Raw Data'!T160,'Raw Data'!V160,'Raw Data'!X160),"")</f>
        <v/>
      </c>
      <c r="J173" s="11" t="str">
        <f>IF('Raw Data'!A160&lt;&gt;"",AVERAGE('Raw Data'!Q160,'Raw Data'!S160,'Raw Data'!U160,'Raw Data'!W160,'Raw Data'!Y160),"")</f>
        <v/>
      </c>
      <c r="K173" s="11" t="str">
        <f t="shared" si="26"/>
        <v/>
      </c>
      <c r="L173" s="11" t="str">
        <f>IF('Raw Data'!A160&lt;&gt;"",AVERAGE('Raw Data'!Z160,'Raw Data'!AB160,'Raw Data'!AD160,'Raw Data'!AF160,'Raw Data'!AH160),"")</f>
        <v/>
      </c>
      <c r="M173" s="11" t="str">
        <f>IF('Raw Data'!A160&lt;&gt;"",AVERAGE('Raw Data'!AA160,'Raw Data'!AC160,'Raw Data'!AE160,'Raw Data'!AG160,'Raw Data'!AI160),"")</f>
        <v/>
      </c>
      <c r="N173" s="11" t="str">
        <f t="shared" si="27"/>
        <v/>
      </c>
      <c r="O173" s="11" t="str">
        <f>IF('Raw Data'!A160&lt;&gt;"",AVERAGE('Raw Data'!AJ160,'Raw Data'!AL160,'Raw Data'!AN160,'Raw Data'!AP160,'Raw Data'!AR160),"")</f>
        <v/>
      </c>
      <c r="P173" s="11" t="str">
        <f>IF('Raw Data'!A160&lt;&gt;"",AVERAGE('Raw Data'!AK160,'Raw Data'!AM160,'Raw Data'!AO160,'Raw Data'!AQ160,'Raw Data'!AS160),"")</f>
        <v/>
      </c>
      <c r="Q173" s="11" t="str">
        <f t="shared" si="28"/>
        <v/>
      </c>
      <c r="R173" s="11" t="str">
        <f>IF('Raw Data'!A160&lt;&gt;"",AVERAGE('Raw Data'!AT160,'Raw Data'!AV160,'Raw Data'!AX160,'Raw Data'!AZ160,'Raw Data'!BB160),"")</f>
        <v/>
      </c>
      <c r="S173" s="11" t="str">
        <f>IF('Raw Data'!A160&lt;&gt;"",AVERAGE('Raw Data'!AU160,'Raw Data'!AW160,'Raw Data'!AY160,'Raw Data'!BA160,'Raw Data'!BC160),"")</f>
        <v/>
      </c>
      <c r="T173" s="11" t="str">
        <f t="shared" si="29"/>
        <v/>
      </c>
      <c r="U173" s="11" t="str">
        <f>IF('Raw Data'!A160&lt;&gt;"",AVERAGE('Raw Data'!BD160,'Raw Data'!BF160,'Raw Data'!BH160,'Raw Data'!BJ160,'Raw Data'!BL160),"")</f>
        <v/>
      </c>
      <c r="V173" s="11" t="str">
        <f>IF('Raw Data'!A160&lt;&gt;"",AVERAGE('Raw Data'!BE160,'Raw Data'!BG160,'Raw Data'!BI160,'Raw Data'!BK160,'Raw Data'!BM160),"")</f>
        <v/>
      </c>
      <c r="W173" s="11" t="str">
        <f t="shared" si="30"/>
        <v/>
      </c>
      <c r="X173" s="11" t="str">
        <f t="shared" si="31"/>
        <v/>
      </c>
      <c r="Y173" s="11" t="str">
        <f t="shared" si="32"/>
        <v/>
      </c>
      <c r="Z173" s="11" t="str">
        <f t="shared" si="33"/>
        <v/>
      </c>
      <c r="AA173" s="11" t="str">
        <f t="shared" si="34"/>
        <v/>
      </c>
      <c r="AB173" s="24" t="str">
        <f t="shared" si="35"/>
        <v/>
      </c>
    </row>
    <row r="174" spans="1:28" x14ac:dyDescent="0.25">
      <c r="A174" s="10" t="str">
        <f>IF('Raw Data'!A161&lt;&gt;"",'Raw Data'!A161,"")</f>
        <v/>
      </c>
      <c r="B174" s="10" t="str">
        <f>IF('Raw Data'!B161&lt;&gt;"",'Raw Data'!B161,"")</f>
        <v/>
      </c>
      <c r="C174" s="10" t="str">
        <f>IF('Raw Data'!C161&lt;&gt;"",'Raw Data'!C161,"")</f>
        <v/>
      </c>
      <c r="D174" s="10" t="str">
        <f>IF('Raw Data'!D161&lt;&gt;"",'Raw Data'!D161,"")</f>
        <v/>
      </c>
      <c r="E174" s="10" t="str">
        <f>IF('Raw Data'!E161&lt;&gt;"",'Raw Data'!E161,"")</f>
        <v/>
      </c>
      <c r="F174" s="14" t="str">
        <f>IF('Raw Data'!A161&lt;&gt;"",AVERAGE('Raw Data'!F161,'Raw Data'!H161,'Raw Data'!J161,'Raw Data'!L161,'Raw Data'!N161),"")</f>
        <v/>
      </c>
      <c r="G174" s="14" t="str">
        <f>IF('Raw Data'!A161&lt;&gt;"",AVERAGE('Raw Data'!G161,'Raw Data'!I161,'Raw Data'!K161,'Raw Data'!M161,'Raw Data'!O161),"")</f>
        <v/>
      </c>
      <c r="H174" s="14" t="str">
        <f t="shared" si="25"/>
        <v/>
      </c>
      <c r="I174" s="14" t="str">
        <f>IF('Raw Data'!A161&lt;&gt;"",AVERAGE('Raw Data'!P161,'Raw Data'!R161,'Raw Data'!T161,'Raw Data'!V161,'Raw Data'!X161),"")</f>
        <v/>
      </c>
      <c r="J174" s="14" t="str">
        <f>IF('Raw Data'!A161&lt;&gt;"",AVERAGE('Raw Data'!Q161,'Raw Data'!S161,'Raw Data'!U161,'Raw Data'!W161,'Raw Data'!Y161),"")</f>
        <v/>
      </c>
      <c r="K174" s="14" t="str">
        <f t="shared" si="26"/>
        <v/>
      </c>
      <c r="L174" s="14" t="str">
        <f>IF('Raw Data'!A161&lt;&gt;"",AVERAGE('Raw Data'!Z161,'Raw Data'!AB161,'Raw Data'!AD161,'Raw Data'!AF161,'Raw Data'!AH161),"")</f>
        <v/>
      </c>
      <c r="M174" s="14" t="str">
        <f>IF('Raw Data'!A161&lt;&gt;"",AVERAGE('Raw Data'!AA161,'Raw Data'!AC161,'Raw Data'!AE161,'Raw Data'!AG161,'Raw Data'!AI161),"")</f>
        <v/>
      </c>
      <c r="N174" s="14" t="str">
        <f t="shared" si="27"/>
        <v/>
      </c>
      <c r="O174" s="14" t="str">
        <f>IF('Raw Data'!A161&lt;&gt;"",AVERAGE('Raw Data'!AJ161,'Raw Data'!AL161,'Raw Data'!AN161,'Raw Data'!AP161,'Raw Data'!AR161),"")</f>
        <v/>
      </c>
      <c r="P174" s="14" t="str">
        <f>IF('Raw Data'!A161&lt;&gt;"",AVERAGE('Raw Data'!AK161,'Raw Data'!AM161,'Raw Data'!AO161,'Raw Data'!AQ161,'Raw Data'!AS161),"")</f>
        <v/>
      </c>
      <c r="Q174" s="14" t="str">
        <f t="shared" si="28"/>
        <v/>
      </c>
      <c r="R174" s="14" t="str">
        <f>IF('Raw Data'!A161&lt;&gt;"",AVERAGE('Raw Data'!AT161,'Raw Data'!AV161,'Raw Data'!AX161,'Raw Data'!AZ161,'Raw Data'!BB161),"")</f>
        <v/>
      </c>
      <c r="S174" s="14" t="str">
        <f>IF('Raw Data'!A161&lt;&gt;"",AVERAGE('Raw Data'!AU161,'Raw Data'!AW161,'Raw Data'!AY161,'Raw Data'!BA161,'Raw Data'!BC161),"")</f>
        <v/>
      </c>
      <c r="T174" s="14" t="str">
        <f t="shared" si="29"/>
        <v/>
      </c>
      <c r="U174" s="14" t="str">
        <f>IF('Raw Data'!A161&lt;&gt;"",AVERAGE('Raw Data'!BD161,'Raw Data'!BF161,'Raw Data'!BH161,'Raw Data'!BJ161,'Raw Data'!BL161),"")</f>
        <v/>
      </c>
      <c r="V174" s="14" t="str">
        <f>IF('Raw Data'!A161&lt;&gt;"",AVERAGE('Raw Data'!BE161,'Raw Data'!BG161,'Raw Data'!BI161,'Raw Data'!BK161,'Raw Data'!BM161),"")</f>
        <v/>
      </c>
      <c r="W174" s="14" t="str">
        <f t="shared" si="30"/>
        <v/>
      </c>
      <c r="X174" s="14" t="str">
        <f t="shared" si="31"/>
        <v/>
      </c>
      <c r="Y174" s="14" t="str">
        <f t="shared" si="32"/>
        <v/>
      </c>
      <c r="Z174" s="14" t="str">
        <f t="shared" si="33"/>
        <v/>
      </c>
      <c r="AA174" s="14" t="str">
        <f t="shared" si="34"/>
        <v/>
      </c>
      <c r="AB174" s="25" t="str">
        <f t="shared" si="35"/>
        <v/>
      </c>
    </row>
    <row r="175" spans="1:28" x14ac:dyDescent="0.25">
      <c r="A175" s="2" t="str">
        <f>IF('Raw Data'!A162&lt;&gt;"",'Raw Data'!A162,"")</f>
        <v/>
      </c>
      <c r="B175" s="2" t="str">
        <f>IF('Raw Data'!B162&lt;&gt;"",'Raw Data'!B162,"")</f>
        <v/>
      </c>
      <c r="C175" s="2" t="str">
        <f>IF('Raw Data'!C162&lt;&gt;"",'Raw Data'!C162,"")</f>
        <v/>
      </c>
      <c r="D175" s="2" t="str">
        <f>IF('Raw Data'!D162&lt;&gt;"",'Raw Data'!D162,"")</f>
        <v/>
      </c>
      <c r="E175" s="2" t="str">
        <f>IF('Raw Data'!E162&lt;&gt;"",'Raw Data'!E162,"")</f>
        <v/>
      </c>
      <c r="F175" s="11" t="str">
        <f>IF('Raw Data'!A162&lt;&gt;"",AVERAGE('Raw Data'!F162,'Raw Data'!H162,'Raw Data'!J162,'Raw Data'!L162,'Raw Data'!N162),"")</f>
        <v/>
      </c>
      <c r="G175" s="11" t="str">
        <f>IF('Raw Data'!A162&lt;&gt;"",AVERAGE('Raw Data'!G162,'Raw Data'!I162,'Raw Data'!K162,'Raw Data'!M162,'Raw Data'!O162),"")</f>
        <v/>
      </c>
      <c r="H175" s="11" t="str">
        <f t="shared" si="25"/>
        <v/>
      </c>
      <c r="I175" s="11" t="str">
        <f>IF('Raw Data'!A162&lt;&gt;"",AVERAGE('Raw Data'!P162,'Raw Data'!R162,'Raw Data'!T162,'Raw Data'!V162,'Raw Data'!X162),"")</f>
        <v/>
      </c>
      <c r="J175" s="11" t="str">
        <f>IF('Raw Data'!A162&lt;&gt;"",AVERAGE('Raw Data'!Q162,'Raw Data'!S162,'Raw Data'!U162,'Raw Data'!W162,'Raw Data'!Y162),"")</f>
        <v/>
      </c>
      <c r="K175" s="11" t="str">
        <f t="shared" si="26"/>
        <v/>
      </c>
      <c r="L175" s="11" t="str">
        <f>IF('Raw Data'!A162&lt;&gt;"",AVERAGE('Raw Data'!Z162,'Raw Data'!AB162,'Raw Data'!AD162,'Raw Data'!AF162,'Raw Data'!AH162),"")</f>
        <v/>
      </c>
      <c r="M175" s="11" t="str">
        <f>IF('Raw Data'!A162&lt;&gt;"",AVERAGE('Raw Data'!AA162,'Raw Data'!AC162,'Raw Data'!AE162,'Raw Data'!AG162,'Raw Data'!AI162),"")</f>
        <v/>
      </c>
      <c r="N175" s="11" t="str">
        <f t="shared" si="27"/>
        <v/>
      </c>
      <c r="O175" s="11" t="str">
        <f>IF('Raw Data'!A162&lt;&gt;"",AVERAGE('Raw Data'!AJ162,'Raw Data'!AL162,'Raw Data'!AN162,'Raw Data'!AP162,'Raw Data'!AR162),"")</f>
        <v/>
      </c>
      <c r="P175" s="11" t="str">
        <f>IF('Raw Data'!A162&lt;&gt;"",AVERAGE('Raw Data'!AK162,'Raw Data'!AM162,'Raw Data'!AO162,'Raw Data'!AQ162,'Raw Data'!AS162),"")</f>
        <v/>
      </c>
      <c r="Q175" s="11" t="str">
        <f t="shared" si="28"/>
        <v/>
      </c>
      <c r="R175" s="11" t="str">
        <f>IF('Raw Data'!A162&lt;&gt;"",AVERAGE('Raw Data'!AT162,'Raw Data'!AV162,'Raw Data'!AX162,'Raw Data'!AZ162,'Raw Data'!BB162),"")</f>
        <v/>
      </c>
      <c r="S175" s="11" t="str">
        <f>IF('Raw Data'!A162&lt;&gt;"",AVERAGE('Raw Data'!AU162,'Raw Data'!AW162,'Raw Data'!AY162,'Raw Data'!BA162,'Raw Data'!BC162),"")</f>
        <v/>
      </c>
      <c r="T175" s="11" t="str">
        <f t="shared" si="29"/>
        <v/>
      </c>
      <c r="U175" s="11" t="str">
        <f>IF('Raw Data'!A162&lt;&gt;"",AVERAGE('Raw Data'!BD162,'Raw Data'!BF162,'Raw Data'!BH162,'Raw Data'!BJ162,'Raw Data'!BL162),"")</f>
        <v/>
      </c>
      <c r="V175" s="11" t="str">
        <f>IF('Raw Data'!A162&lt;&gt;"",AVERAGE('Raw Data'!BE162,'Raw Data'!BG162,'Raw Data'!BI162,'Raw Data'!BK162,'Raw Data'!BM162),"")</f>
        <v/>
      </c>
      <c r="W175" s="11" t="str">
        <f t="shared" si="30"/>
        <v/>
      </c>
      <c r="X175" s="11" t="str">
        <f t="shared" si="31"/>
        <v/>
      </c>
      <c r="Y175" s="11" t="str">
        <f t="shared" si="32"/>
        <v/>
      </c>
      <c r="Z175" s="11" t="str">
        <f t="shared" si="33"/>
        <v/>
      </c>
      <c r="AA175" s="11" t="str">
        <f t="shared" si="34"/>
        <v/>
      </c>
      <c r="AB175" s="24" t="str">
        <f t="shared" si="35"/>
        <v/>
      </c>
    </row>
    <row r="176" spans="1:28" x14ac:dyDescent="0.25">
      <c r="A176" s="10" t="str">
        <f>IF('Raw Data'!A163&lt;&gt;"",'Raw Data'!A163,"")</f>
        <v/>
      </c>
      <c r="B176" s="10" t="str">
        <f>IF('Raw Data'!B163&lt;&gt;"",'Raw Data'!B163,"")</f>
        <v/>
      </c>
      <c r="C176" s="10" t="str">
        <f>IF('Raw Data'!C163&lt;&gt;"",'Raw Data'!C163,"")</f>
        <v/>
      </c>
      <c r="D176" s="10" t="str">
        <f>IF('Raw Data'!D163&lt;&gt;"",'Raw Data'!D163,"")</f>
        <v/>
      </c>
      <c r="E176" s="10" t="str">
        <f>IF('Raw Data'!E163&lt;&gt;"",'Raw Data'!E163,"")</f>
        <v/>
      </c>
      <c r="F176" s="14" t="str">
        <f>IF('Raw Data'!A163&lt;&gt;"",AVERAGE('Raw Data'!F163,'Raw Data'!H163,'Raw Data'!J163,'Raw Data'!L163,'Raw Data'!N163),"")</f>
        <v/>
      </c>
      <c r="G176" s="14" t="str">
        <f>IF('Raw Data'!A163&lt;&gt;"",AVERAGE('Raw Data'!G163,'Raw Data'!I163,'Raw Data'!K163,'Raw Data'!M163,'Raw Data'!O163),"")</f>
        <v/>
      </c>
      <c r="H176" s="14" t="str">
        <f t="shared" si="25"/>
        <v/>
      </c>
      <c r="I176" s="14" t="str">
        <f>IF('Raw Data'!A163&lt;&gt;"",AVERAGE('Raw Data'!P163,'Raw Data'!R163,'Raw Data'!T163,'Raw Data'!V163,'Raw Data'!X163),"")</f>
        <v/>
      </c>
      <c r="J176" s="14" t="str">
        <f>IF('Raw Data'!A163&lt;&gt;"",AVERAGE('Raw Data'!Q163,'Raw Data'!S163,'Raw Data'!U163,'Raw Data'!W163,'Raw Data'!Y163),"")</f>
        <v/>
      </c>
      <c r="K176" s="14" t="str">
        <f t="shared" si="26"/>
        <v/>
      </c>
      <c r="L176" s="14" t="str">
        <f>IF('Raw Data'!A163&lt;&gt;"",AVERAGE('Raw Data'!Z163,'Raw Data'!AB163,'Raw Data'!AD163,'Raw Data'!AF163,'Raw Data'!AH163),"")</f>
        <v/>
      </c>
      <c r="M176" s="14" t="str">
        <f>IF('Raw Data'!A163&lt;&gt;"",AVERAGE('Raw Data'!AA163,'Raw Data'!AC163,'Raw Data'!AE163,'Raw Data'!AG163,'Raw Data'!AI163),"")</f>
        <v/>
      </c>
      <c r="N176" s="14" t="str">
        <f t="shared" si="27"/>
        <v/>
      </c>
      <c r="O176" s="14" t="str">
        <f>IF('Raw Data'!A163&lt;&gt;"",AVERAGE('Raw Data'!AJ163,'Raw Data'!AL163,'Raw Data'!AN163,'Raw Data'!AP163,'Raw Data'!AR163),"")</f>
        <v/>
      </c>
      <c r="P176" s="14" t="str">
        <f>IF('Raw Data'!A163&lt;&gt;"",AVERAGE('Raw Data'!AK163,'Raw Data'!AM163,'Raw Data'!AO163,'Raw Data'!AQ163,'Raw Data'!AS163),"")</f>
        <v/>
      </c>
      <c r="Q176" s="14" t="str">
        <f t="shared" si="28"/>
        <v/>
      </c>
      <c r="R176" s="14" t="str">
        <f>IF('Raw Data'!A163&lt;&gt;"",AVERAGE('Raw Data'!AT163,'Raw Data'!AV163,'Raw Data'!AX163,'Raw Data'!AZ163,'Raw Data'!BB163),"")</f>
        <v/>
      </c>
      <c r="S176" s="14" t="str">
        <f>IF('Raw Data'!A163&lt;&gt;"",AVERAGE('Raw Data'!AU163,'Raw Data'!AW163,'Raw Data'!AY163,'Raw Data'!BA163,'Raw Data'!BC163),"")</f>
        <v/>
      </c>
      <c r="T176" s="14" t="str">
        <f t="shared" si="29"/>
        <v/>
      </c>
      <c r="U176" s="14" t="str">
        <f>IF('Raw Data'!A163&lt;&gt;"",AVERAGE('Raw Data'!BD163,'Raw Data'!BF163,'Raw Data'!BH163,'Raw Data'!BJ163,'Raw Data'!BL163),"")</f>
        <v/>
      </c>
      <c r="V176" s="14" t="str">
        <f>IF('Raw Data'!A163&lt;&gt;"",AVERAGE('Raw Data'!BE163,'Raw Data'!BG163,'Raw Data'!BI163,'Raw Data'!BK163,'Raw Data'!BM163),"")</f>
        <v/>
      </c>
      <c r="W176" s="14" t="str">
        <f t="shared" si="30"/>
        <v/>
      </c>
      <c r="X176" s="14" t="str">
        <f t="shared" si="31"/>
        <v/>
      </c>
      <c r="Y176" s="14" t="str">
        <f t="shared" si="32"/>
        <v/>
      </c>
      <c r="Z176" s="14" t="str">
        <f t="shared" si="33"/>
        <v/>
      </c>
      <c r="AA176" s="14" t="str">
        <f t="shared" si="34"/>
        <v/>
      </c>
      <c r="AB176" s="25" t="str">
        <f t="shared" si="35"/>
        <v/>
      </c>
    </row>
    <row r="177" spans="1:28" x14ac:dyDescent="0.25">
      <c r="A177" s="2" t="str">
        <f>IF('Raw Data'!A164&lt;&gt;"",'Raw Data'!A164,"")</f>
        <v/>
      </c>
      <c r="B177" s="2" t="str">
        <f>IF('Raw Data'!B164&lt;&gt;"",'Raw Data'!B164,"")</f>
        <v/>
      </c>
      <c r="C177" s="2" t="str">
        <f>IF('Raw Data'!C164&lt;&gt;"",'Raw Data'!C164,"")</f>
        <v/>
      </c>
      <c r="D177" s="2" t="str">
        <f>IF('Raw Data'!D164&lt;&gt;"",'Raw Data'!D164,"")</f>
        <v/>
      </c>
      <c r="E177" s="2" t="str">
        <f>IF('Raw Data'!E164&lt;&gt;"",'Raw Data'!E164,"")</f>
        <v/>
      </c>
      <c r="F177" s="11" t="str">
        <f>IF('Raw Data'!A164&lt;&gt;"",AVERAGE('Raw Data'!F164,'Raw Data'!H164,'Raw Data'!J164,'Raw Data'!L164,'Raw Data'!N164),"")</f>
        <v/>
      </c>
      <c r="G177" s="11" t="str">
        <f>IF('Raw Data'!A164&lt;&gt;"",AVERAGE('Raw Data'!G164,'Raw Data'!I164,'Raw Data'!K164,'Raw Data'!M164,'Raw Data'!O164),"")</f>
        <v/>
      </c>
      <c r="H177" s="11" t="str">
        <f t="shared" si="25"/>
        <v/>
      </c>
      <c r="I177" s="11" t="str">
        <f>IF('Raw Data'!A164&lt;&gt;"",AVERAGE('Raw Data'!P164,'Raw Data'!R164,'Raw Data'!T164,'Raw Data'!V164,'Raw Data'!X164),"")</f>
        <v/>
      </c>
      <c r="J177" s="11" t="str">
        <f>IF('Raw Data'!A164&lt;&gt;"",AVERAGE('Raw Data'!Q164,'Raw Data'!S164,'Raw Data'!U164,'Raw Data'!W164,'Raw Data'!Y164),"")</f>
        <v/>
      </c>
      <c r="K177" s="11" t="str">
        <f t="shared" si="26"/>
        <v/>
      </c>
      <c r="L177" s="11" t="str">
        <f>IF('Raw Data'!A164&lt;&gt;"",AVERAGE('Raw Data'!Z164,'Raw Data'!AB164,'Raw Data'!AD164,'Raw Data'!AF164,'Raw Data'!AH164),"")</f>
        <v/>
      </c>
      <c r="M177" s="11" t="str">
        <f>IF('Raw Data'!A164&lt;&gt;"",AVERAGE('Raw Data'!AA164,'Raw Data'!AC164,'Raw Data'!AE164,'Raw Data'!AG164,'Raw Data'!AI164),"")</f>
        <v/>
      </c>
      <c r="N177" s="11" t="str">
        <f t="shared" si="27"/>
        <v/>
      </c>
      <c r="O177" s="11" t="str">
        <f>IF('Raw Data'!A164&lt;&gt;"",AVERAGE('Raw Data'!AJ164,'Raw Data'!AL164,'Raw Data'!AN164,'Raw Data'!AP164,'Raw Data'!AR164),"")</f>
        <v/>
      </c>
      <c r="P177" s="11" t="str">
        <f>IF('Raw Data'!A164&lt;&gt;"",AVERAGE('Raw Data'!AK164,'Raw Data'!AM164,'Raw Data'!AO164,'Raw Data'!AQ164,'Raw Data'!AS164),"")</f>
        <v/>
      </c>
      <c r="Q177" s="11" t="str">
        <f t="shared" si="28"/>
        <v/>
      </c>
      <c r="R177" s="11" t="str">
        <f>IF('Raw Data'!A164&lt;&gt;"",AVERAGE('Raw Data'!AT164,'Raw Data'!AV164,'Raw Data'!AX164,'Raw Data'!AZ164,'Raw Data'!BB164),"")</f>
        <v/>
      </c>
      <c r="S177" s="11" t="str">
        <f>IF('Raw Data'!A164&lt;&gt;"",AVERAGE('Raw Data'!AU164,'Raw Data'!AW164,'Raw Data'!AY164,'Raw Data'!BA164,'Raw Data'!BC164),"")</f>
        <v/>
      </c>
      <c r="T177" s="11" t="str">
        <f t="shared" si="29"/>
        <v/>
      </c>
      <c r="U177" s="11" t="str">
        <f>IF('Raw Data'!A164&lt;&gt;"",AVERAGE('Raw Data'!BD164,'Raw Data'!BF164,'Raw Data'!BH164,'Raw Data'!BJ164,'Raw Data'!BL164),"")</f>
        <v/>
      </c>
      <c r="V177" s="11" t="str">
        <f>IF('Raw Data'!A164&lt;&gt;"",AVERAGE('Raw Data'!BE164,'Raw Data'!BG164,'Raw Data'!BI164,'Raw Data'!BK164,'Raw Data'!BM164),"")</f>
        <v/>
      </c>
      <c r="W177" s="11" t="str">
        <f t="shared" si="30"/>
        <v/>
      </c>
      <c r="X177" s="11" t="str">
        <f t="shared" si="31"/>
        <v/>
      </c>
      <c r="Y177" s="11" t="str">
        <f t="shared" si="32"/>
        <v/>
      </c>
      <c r="Z177" s="11" t="str">
        <f t="shared" si="33"/>
        <v/>
      </c>
      <c r="AA177" s="11" t="str">
        <f t="shared" si="34"/>
        <v/>
      </c>
      <c r="AB177" s="24" t="str">
        <f t="shared" si="35"/>
        <v/>
      </c>
    </row>
    <row r="178" spans="1:28" x14ac:dyDescent="0.25">
      <c r="A178" s="10" t="str">
        <f>IF('Raw Data'!A165&lt;&gt;"",'Raw Data'!A165,"")</f>
        <v/>
      </c>
      <c r="B178" s="10" t="str">
        <f>IF('Raw Data'!B165&lt;&gt;"",'Raw Data'!B165,"")</f>
        <v/>
      </c>
      <c r="C178" s="10" t="str">
        <f>IF('Raw Data'!C165&lt;&gt;"",'Raw Data'!C165,"")</f>
        <v/>
      </c>
      <c r="D178" s="10" t="str">
        <f>IF('Raw Data'!D165&lt;&gt;"",'Raw Data'!D165,"")</f>
        <v/>
      </c>
      <c r="E178" s="10" t="str">
        <f>IF('Raw Data'!E165&lt;&gt;"",'Raw Data'!E165,"")</f>
        <v/>
      </c>
      <c r="F178" s="14" t="str">
        <f>IF('Raw Data'!A165&lt;&gt;"",AVERAGE('Raw Data'!F165,'Raw Data'!H165,'Raw Data'!J165,'Raw Data'!L165,'Raw Data'!N165),"")</f>
        <v/>
      </c>
      <c r="G178" s="14" t="str">
        <f>IF('Raw Data'!A165&lt;&gt;"",AVERAGE('Raw Data'!G165,'Raw Data'!I165,'Raw Data'!K165,'Raw Data'!M165,'Raw Data'!O165),"")</f>
        <v/>
      </c>
      <c r="H178" s="14" t="str">
        <f t="shared" si="25"/>
        <v/>
      </c>
      <c r="I178" s="14" t="str">
        <f>IF('Raw Data'!A165&lt;&gt;"",AVERAGE('Raw Data'!P165,'Raw Data'!R165,'Raw Data'!T165,'Raw Data'!V165,'Raw Data'!X165),"")</f>
        <v/>
      </c>
      <c r="J178" s="14" t="str">
        <f>IF('Raw Data'!A165&lt;&gt;"",AVERAGE('Raw Data'!Q165,'Raw Data'!S165,'Raw Data'!U165,'Raw Data'!W165,'Raw Data'!Y165),"")</f>
        <v/>
      </c>
      <c r="K178" s="14" t="str">
        <f t="shared" si="26"/>
        <v/>
      </c>
      <c r="L178" s="14" t="str">
        <f>IF('Raw Data'!A165&lt;&gt;"",AVERAGE('Raw Data'!Z165,'Raw Data'!AB165,'Raw Data'!AD165,'Raw Data'!AF165,'Raw Data'!AH165),"")</f>
        <v/>
      </c>
      <c r="M178" s="14" t="str">
        <f>IF('Raw Data'!A165&lt;&gt;"",AVERAGE('Raw Data'!AA165,'Raw Data'!AC165,'Raw Data'!AE165,'Raw Data'!AG165,'Raw Data'!AI165),"")</f>
        <v/>
      </c>
      <c r="N178" s="14" t="str">
        <f t="shared" si="27"/>
        <v/>
      </c>
      <c r="O178" s="14" t="str">
        <f>IF('Raw Data'!A165&lt;&gt;"",AVERAGE('Raw Data'!AJ165,'Raw Data'!AL165,'Raw Data'!AN165,'Raw Data'!AP165,'Raw Data'!AR165),"")</f>
        <v/>
      </c>
      <c r="P178" s="14" t="str">
        <f>IF('Raw Data'!A165&lt;&gt;"",AVERAGE('Raw Data'!AK165,'Raw Data'!AM165,'Raw Data'!AO165,'Raw Data'!AQ165,'Raw Data'!AS165),"")</f>
        <v/>
      </c>
      <c r="Q178" s="14" t="str">
        <f t="shared" si="28"/>
        <v/>
      </c>
      <c r="R178" s="14" t="str">
        <f>IF('Raw Data'!A165&lt;&gt;"",AVERAGE('Raw Data'!AT165,'Raw Data'!AV165,'Raw Data'!AX165,'Raw Data'!AZ165,'Raw Data'!BB165),"")</f>
        <v/>
      </c>
      <c r="S178" s="14" t="str">
        <f>IF('Raw Data'!A165&lt;&gt;"",AVERAGE('Raw Data'!AU165,'Raw Data'!AW165,'Raw Data'!AY165,'Raw Data'!BA165,'Raw Data'!BC165),"")</f>
        <v/>
      </c>
      <c r="T178" s="14" t="str">
        <f t="shared" si="29"/>
        <v/>
      </c>
      <c r="U178" s="14" t="str">
        <f>IF('Raw Data'!A165&lt;&gt;"",AVERAGE('Raw Data'!BD165,'Raw Data'!BF165,'Raw Data'!BH165,'Raw Data'!BJ165,'Raw Data'!BL165),"")</f>
        <v/>
      </c>
      <c r="V178" s="14" t="str">
        <f>IF('Raw Data'!A165&lt;&gt;"",AVERAGE('Raw Data'!BE165,'Raw Data'!BG165,'Raw Data'!BI165,'Raw Data'!BK165,'Raw Data'!BM165),"")</f>
        <v/>
      </c>
      <c r="W178" s="14" t="str">
        <f t="shared" si="30"/>
        <v/>
      </c>
      <c r="X178" s="14" t="str">
        <f t="shared" si="31"/>
        <v/>
      </c>
      <c r="Y178" s="14" t="str">
        <f t="shared" si="32"/>
        <v/>
      </c>
      <c r="Z178" s="14" t="str">
        <f t="shared" si="33"/>
        <v/>
      </c>
      <c r="AA178" s="14" t="str">
        <f t="shared" si="34"/>
        <v/>
      </c>
      <c r="AB178" s="25" t="str">
        <f t="shared" si="35"/>
        <v/>
      </c>
    </row>
    <row r="179" spans="1:28" x14ac:dyDescent="0.25">
      <c r="A179" s="2" t="str">
        <f>IF('Raw Data'!A166&lt;&gt;"",'Raw Data'!A166,"")</f>
        <v/>
      </c>
      <c r="B179" s="2" t="str">
        <f>IF('Raw Data'!B166&lt;&gt;"",'Raw Data'!B166,"")</f>
        <v/>
      </c>
      <c r="C179" s="2" t="str">
        <f>IF('Raw Data'!C166&lt;&gt;"",'Raw Data'!C166,"")</f>
        <v/>
      </c>
      <c r="D179" s="2" t="str">
        <f>IF('Raw Data'!D166&lt;&gt;"",'Raw Data'!D166,"")</f>
        <v/>
      </c>
      <c r="E179" s="2" t="str">
        <f>IF('Raw Data'!E166&lt;&gt;"",'Raw Data'!E166,"")</f>
        <v/>
      </c>
      <c r="F179" s="11" t="str">
        <f>IF('Raw Data'!A166&lt;&gt;"",AVERAGE('Raw Data'!F166,'Raw Data'!H166,'Raw Data'!J166,'Raw Data'!L166,'Raw Data'!N166),"")</f>
        <v/>
      </c>
      <c r="G179" s="11" t="str">
        <f>IF('Raw Data'!A166&lt;&gt;"",AVERAGE('Raw Data'!G166,'Raw Data'!I166,'Raw Data'!K166,'Raw Data'!M166,'Raw Data'!O166),"")</f>
        <v/>
      </c>
      <c r="H179" s="11" t="str">
        <f t="shared" si="25"/>
        <v/>
      </c>
      <c r="I179" s="11" t="str">
        <f>IF('Raw Data'!A166&lt;&gt;"",AVERAGE('Raw Data'!P166,'Raw Data'!R166,'Raw Data'!T166,'Raw Data'!V166,'Raw Data'!X166),"")</f>
        <v/>
      </c>
      <c r="J179" s="11" t="str">
        <f>IF('Raw Data'!A166&lt;&gt;"",AVERAGE('Raw Data'!Q166,'Raw Data'!S166,'Raw Data'!U166,'Raw Data'!W166,'Raw Data'!Y166),"")</f>
        <v/>
      </c>
      <c r="K179" s="11" t="str">
        <f t="shared" si="26"/>
        <v/>
      </c>
      <c r="L179" s="11" t="str">
        <f>IF('Raw Data'!A166&lt;&gt;"",AVERAGE('Raw Data'!Z166,'Raw Data'!AB166,'Raw Data'!AD166,'Raw Data'!AF166,'Raw Data'!AH166),"")</f>
        <v/>
      </c>
      <c r="M179" s="11" t="str">
        <f>IF('Raw Data'!A166&lt;&gt;"",AVERAGE('Raw Data'!AA166,'Raw Data'!AC166,'Raw Data'!AE166,'Raw Data'!AG166,'Raw Data'!AI166),"")</f>
        <v/>
      </c>
      <c r="N179" s="11" t="str">
        <f t="shared" si="27"/>
        <v/>
      </c>
      <c r="O179" s="11" t="str">
        <f>IF('Raw Data'!A166&lt;&gt;"",AVERAGE('Raw Data'!AJ166,'Raw Data'!AL166,'Raw Data'!AN166,'Raw Data'!AP166,'Raw Data'!AR166),"")</f>
        <v/>
      </c>
      <c r="P179" s="11" t="str">
        <f>IF('Raw Data'!A166&lt;&gt;"",AVERAGE('Raw Data'!AK166,'Raw Data'!AM166,'Raw Data'!AO166,'Raw Data'!AQ166,'Raw Data'!AS166),"")</f>
        <v/>
      </c>
      <c r="Q179" s="11" t="str">
        <f t="shared" si="28"/>
        <v/>
      </c>
      <c r="R179" s="11" t="str">
        <f>IF('Raw Data'!A166&lt;&gt;"",AVERAGE('Raw Data'!AT166,'Raw Data'!AV166,'Raw Data'!AX166,'Raw Data'!AZ166,'Raw Data'!BB166),"")</f>
        <v/>
      </c>
      <c r="S179" s="11" t="str">
        <f>IF('Raw Data'!A166&lt;&gt;"",AVERAGE('Raw Data'!AU166,'Raw Data'!AW166,'Raw Data'!AY166,'Raw Data'!BA166,'Raw Data'!BC166),"")</f>
        <v/>
      </c>
      <c r="T179" s="11" t="str">
        <f t="shared" si="29"/>
        <v/>
      </c>
      <c r="U179" s="11" t="str">
        <f>IF('Raw Data'!A166&lt;&gt;"",AVERAGE('Raw Data'!BD166,'Raw Data'!BF166,'Raw Data'!BH166,'Raw Data'!BJ166,'Raw Data'!BL166),"")</f>
        <v/>
      </c>
      <c r="V179" s="11" t="str">
        <f>IF('Raw Data'!A166&lt;&gt;"",AVERAGE('Raw Data'!BE166,'Raw Data'!BG166,'Raw Data'!BI166,'Raw Data'!BK166,'Raw Data'!BM166),"")</f>
        <v/>
      </c>
      <c r="W179" s="11" t="str">
        <f t="shared" si="30"/>
        <v/>
      </c>
      <c r="X179" s="11" t="str">
        <f t="shared" si="31"/>
        <v/>
      </c>
      <c r="Y179" s="11" t="str">
        <f t="shared" si="32"/>
        <v/>
      </c>
      <c r="Z179" s="11" t="str">
        <f t="shared" si="33"/>
        <v/>
      </c>
      <c r="AA179" s="11" t="str">
        <f t="shared" si="34"/>
        <v/>
      </c>
      <c r="AB179" s="24" t="str">
        <f t="shared" si="35"/>
        <v/>
      </c>
    </row>
    <row r="180" spans="1:28" x14ac:dyDescent="0.25">
      <c r="A180" s="10" t="str">
        <f>IF('Raw Data'!A167&lt;&gt;"",'Raw Data'!A167,"")</f>
        <v/>
      </c>
      <c r="B180" s="10" t="str">
        <f>IF('Raw Data'!B167&lt;&gt;"",'Raw Data'!B167,"")</f>
        <v/>
      </c>
      <c r="C180" s="10" t="str">
        <f>IF('Raw Data'!C167&lt;&gt;"",'Raw Data'!C167,"")</f>
        <v/>
      </c>
      <c r="D180" s="10" t="str">
        <f>IF('Raw Data'!D167&lt;&gt;"",'Raw Data'!D167,"")</f>
        <v/>
      </c>
      <c r="E180" s="10" t="str">
        <f>IF('Raw Data'!E167&lt;&gt;"",'Raw Data'!E167,"")</f>
        <v/>
      </c>
      <c r="F180" s="14" t="str">
        <f>IF('Raw Data'!A167&lt;&gt;"",AVERAGE('Raw Data'!F167,'Raw Data'!H167,'Raw Data'!J167,'Raw Data'!L167,'Raw Data'!N167),"")</f>
        <v/>
      </c>
      <c r="G180" s="14" t="str">
        <f>IF('Raw Data'!A167&lt;&gt;"",AVERAGE('Raw Data'!G167,'Raw Data'!I167,'Raw Data'!K167,'Raw Data'!M167,'Raw Data'!O167),"")</f>
        <v/>
      </c>
      <c r="H180" s="14" t="str">
        <f t="shared" si="25"/>
        <v/>
      </c>
      <c r="I180" s="14" t="str">
        <f>IF('Raw Data'!A167&lt;&gt;"",AVERAGE('Raw Data'!P167,'Raw Data'!R167,'Raw Data'!T167,'Raw Data'!V167,'Raw Data'!X167),"")</f>
        <v/>
      </c>
      <c r="J180" s="14" t="str">
        <f>IF('Raw Data'!A167&lt;&gt;"",AVERAGE('Raw Data'!Q167,'Raw Data'!S167,'Raw Data'!U167,'Raw Data'!W167,'Raw Data'!Y167),"")</f>
        <v/>
      </c>
      <c r="K180" s="14" t="str">
        <f t="shared" si="26"/>
        <v/>
      </c>
      <c r="L180" s="14" t="str">
        <f>IF('Raw Data'!A167&lt;&gt;"",AVERAGE('Raw Data'!Z167,'Raw Data'!AB167,'Raw Data'!AD167,'Raw Data'!AF167,'Raw Data'!AH167),"")</f>
        <v/>
      </c>
      <c r="M180" s="14" t="str">
        <f>IF('Raw Data'!A167&lt;&gt;"",AVERAGE('Raw Data'!AA167,'Raw Data'!AC167,'Raw Data'!AE167,'Raw Data'!AG167,'Raw Data'!AI167),"")</f>
        <v/>
      </c>
      <c r="N180" s="14" t="str">
        <f t="shared" si="27"/>
        <v/>
      </c>
      <c r="O180" s="14" t="str">
        <f>IF('Raw Data'!A167&lt;&gt;"",AVERAGE('Raw Data'!AJ167,'Raw Data'!AL167,'Raw Data'!AN167,'Raw Data'!AP167,'Raw Data'!AR167),"")</f>
        <v/>
      </c>
      <c r="P180" s="14" t="str">
        <f>IF('Raw Data'!A167&lt;&gt;"",AVERAGE('Raw Data'!AK167,'Raw Data'!AM167,'Raw Data'!AO167,'Raw Data'!AQ167,'Raw Data'!AS167),"")</f>
        <v/>
      </c>
      <c r="Q180" s="14" t="str">
        <f t="shared" si="28"/>
        <v/>
      </c>
      <c r="R180" s="14" t="str">
        <f>IF('Raw Data'!A167&lt;&gt;"",AVERAGE('Raw Data'!AT167,'Raw Data'!AV167,'Raw Data'!AX167,'Raw Data'!AZ167,'Raw Data'!BB167),"")</f>
        <v/>
      </c>
      <c r="S180" s="14" t="str">
        <f>IF('Raw Data'!A167&lt;&gt;"",AVERAGE('Raw Data'!AU167,'Raw Data'!AW167,'Raw Data'!AY167,'Raw Data'!BA167,'Raw Data'!BC167),"")</f>
        <v/>
      </c>
      <c r="T180" s="14" t="str">
        <f t="shared" si="29"/>
        <v/>
      </c>
      <c r="U180" s="14" t="str">
        <f>IF('Raw Data'!A167&lt;&gt;"",AVERAGE('Raw Data'!BD167,'Raw Data'!BF167,'Raw Data'!BH167,'Raw Data'!BJ167,'Raw Data'!BL167),"")</f>
        <v/>
      </c>
      <c r="V180" s="14" t="str">
        <f>IF('Raw Data'!A167&lt;&gt;"",AVERAGE('Raw Data'!BE167,'Raw Data'!BG167,'Raw Data'!BI167,'Raw Data'!BK167,'Raw Data'!BM167),"")</f>
        <v/>
      </c>
      <c r="W180" s="14" t="str">
        <f t="shared" si="30"/>
        <v/>
      </c>
      <c r="X180" s="14" t="str">
        <f t="shared" si="31"/>
        <v/>
      </c>
      <c r="Y180" s="14" t="str">
        <f t="shared" si="32"/>
        <v/>
      </c>
      <c r="Z180" s="14" t="str">
        <f t="shared" si="33"/>
        <v/>
      </c>
      <c r="AA180" s="14" t="str">
        <f t="shared" si="34"/>
        <v/>
      </c>
      <c r="AB180" s="25" t="str">
        <f t="shared" si="35"/>
        <v/>
      </c>
    </row>
    <row r="181" spans="1:28" x14ac:dyDescent="0.25">
      <c r="A181" s="2" t="str">
        <f>IF('Raw Data'!A168&lt;&gt;"",'Raw Data'!A168,"")</f>
        <v/>
      </c>
      <c r="B181" s="2" t="str">
        <f>IF('Raw Data'!B168&lt;&gt;"",'Raw Data'!B168,"")</f>
        <v/>
      </c>
      <c r="C181" s="2" t="str">
        <f>IF('Raw Data'!C168&lt;&gt;"",'Raw Data'!C168,"")</f>
        <v/>
      </c>
      <c r="D181" s="2" t="str">
        <f>IF('Raw Data'!D168&lt;&gt;"",'Raw Data'!D168,"")</f>
        <v/>
      </c>
      <c r="E181" s="2" t="str">
        <f>IF('Raw Data'!E168&lt;&gt;"",'Raw Data'!E168,"")</f>
        <v/>
      </c>
      <c r="F181" s="11" t="str">
        <f>IF('Raw Data'!A168&lt;&gt;"",AVERAGE('Raw Data'!F168,'Raw Data'!H168,'Raw Data'!J168,'Raw Data'!L168,'Raw Data'!N168),"")</f>
        <v/>
      </c>
      <c r="G181" s="11" t="str">
        <f>IF('Raw Data'!A168&lt;&gt;"",AVERAGE('Raw Data'!G168,'Raw Data'!I168,'Raw Data'!K168,'Raw Data'!M168,'Raw Data'!O168),"")</f>
        <v/>
      </c>
      <c r="H181" s="11" t="str">
        <f t="shared" si="25"/>
        <v/>
      </c>
      <c r="I181" s="11" t="str">
        <f>IF('Raw Data'!A168&lt;&gt;"",AVERAGE('Raw Data'!P168,'Raw Data'!R168,'Raw Data'!T168,'Raw Data'!V168,'Raw Data'!X168),"")</f>
        <v/>
      </c>
      <c r="J181" s="11" t="str">
        <f>IF('Raw Data'!A168&lt;&gt;"",AVERAGE('Raw Data'!Q168,'Raw Data'!S168,'Raw Data'!U168,'Raw Data'!W168,'Raw Data'!Y168),"")</f>
        <v/>
      </c>
      <c r="K181" s="11" t="str">
        <f t="shared" si="26"/>
        <v/>
      </c>
      <c r="L181" s="11" t="str">
        <f>IF('Raw Data'!A168&lt;&gt;"",AVERAGE('Raw Data'!Z168,'Raw Data'!AB168,'Raw Data'!AD168,'Raw Data'!AF168,'Raw Data'!AH168),"")</f>
        <v/>
      </c>
      <c r="M181" s="11" t="str">
        <f>IF('Raw Data'!A168&lt;&gt;"",AVERAGE('Raw Data'!AA168,'Raw Data'!AC168,'Raw Data'!AE168,'Raw Data'!AG168,'Raw Data'!AI168),"")</f>
        <v/>
      </c>
      <c r="N181" s="11" t="str">
        <f t="shared" si="27"/>
        <v/>
      </c>
      <c r="O181" s="11" t="str">
        <f>IF('Raw Data'!A168&lt;&gt;"",AVERAGE('Raw Data'!AJ168,'Raw Data'!AL168,'Raw Data'!AN168,'Raw Data'!AP168,'Raw Data'!AR168),"")</f>
        <v/>
      </c>
      <c r="P181" s="11" t="str">
        <f>IF('Raw Data'!A168&lt;&gt;"",AVERAGE('Raw Data'!AK168,'Raw Data'!AM168,'Raw Data'!AO168,'Raw Data'!AQ168,'Raw Data'!AS168),"")</f>
        <v/>
      </c>
      <c r="Q181" s="11" t="str">
        <f t="shared" si="28"/>
        <v/>
      </c>
      <c r="R181" s="11" t="str">
        <f>IF('Raw Data'!A168&lt;&gt;"",AVERAGE('Raw Data'!AT168,'Raw Data'!AV168,'Raw Data'!AX168,'Raw Data'!AZ168,'Raw Data'!BB168),"")</f>
        <v/>
      </c>
      <c r="S181" s="11" t="str">
        <f>IF('Raw Data'!A168&lt;&gt;"",AVERAGE('Raw Data'!AU168,'Raw Data'!AW168,'Raw Data'!AY168,'Raw Data'!BA168,'Raw Data'!BC168),"")</f>
        <v/>
      </c>
      <c r="T181" s="11" t="str">
        <f t="shared" si="29"/>
        <v/>
      </c>
      <c r="U181" s="11" t="str">
        <f>IF('Raw Data'!A168&lt;&gt;"",AVERAGE('Raw Data'!BD168,'Raw Data'!BF168,'Raw Data'!BH168,'Raw Data'!BJ168,'Raw Data'!BL168),"")</f>
        <v/>
      </c>
      <c r="V181" s="11" t="str">
        <f>IF('Raw Data'!A168&lt;&gt;"",AVERAGE('Raw Data'!BE168,'Raw Data'!BG168,'Raw Data'!BI168,'Raw Data'!BK168,'Raw Data'!BM168),"")</f>
        <v/>
      </c>
      <c r="W181" s="11" t="str">
        <f t="shared" si="30"/>
        <v/>
      </c>
      <c r="X181" s="11" t="str">
        <f t="shared" si="31"/>
        <v/>
      </c>
      <c r="Y181" s="11" t="str">
        <f t="shared" si="32"/>
        <v/>
      </c>
      <c r="Z181" s="11" t="str">
        <f t="shared" si="33"/>
        <v/>
      </c>
      <c r="AA181" s="11" t="str">
        <f t="shared" si="34"/>
        <v/>
      </c>
      <c r="AB181" s="24" t="str">
        <f t="shared" si="35"/>
        <v/>
      </c>
    </row>
    <row r="182" spans="1:28" x14ac:dyDescent="0.25">
      <c r="A182" s="10" t="str">
        <f>IF('Raw Data'!A169&lt;&gt;"",'Raw Data'!A169,"")</f>
        <v/>
      </c>
      <c r="B182" s="10" t="str">
        <f>IF('Raw Data'!B169&lt;&gt;"",'Raw Data'!B169,"")</f>
        <v/>
      </c>
      <c r="C182" s="10" t="str">
        <f>IF('Raw Data'!C169&lt;&gt;"",'Raw Data'!C169,"")</f>
        <v/>
      </c>
      <c r="D182" s="10" t="str">
        <f>IF('Raw Data'!D169&lt;&gt;"",'Raw Data'!D169,"")</f>
        <v/>
      </c>
      <c r="E182" s="10" t="str">
        <f>IF('Raw Data'!E169&lt;&gt;"",'Raw Data'!E169,"")</f>
        <v/>
      </c>
      <c r="F182" s="14" t="str">
        <f>IF('Raw Data'!A169&lt;&gt;"",AVERAGE('Raw Data'!F169,'Raw Data'!H169,'Raw Data'!J169,'Raw Data'!L169,'Raw Data'!N169),"")</f>
        <v/>
      </c>
      <c r="G182" s="14" t="str">
        <f>IF('Raw Data'!A169&lt;&gt;"",AVERAGE('Raw Data'!G169,'Raw Data'!I169,'Raw Data'!K169,'Raw Data'!M169,'Raw Data'!O169),"")</f>
        <v/>
      </c>
      <c r="H182" s="14" t="str">
        <f t="shared" si="25"/>
        <v/>
      </c>
      <c r="I182" s="14" t="str">
        <f>IF('Raw Data'!A169&lt;&gt;"",AVERAGE('Raw Data'!P169,'Raw Data'!R169,'Raw Data'!T169,'Raw Data'!V169,'Raw Data'!X169),"")</f>
        <v/>
      </c>
      <c r="J182" s="14" t="str">
        <f>IF('Raw Data'!A169&lt;&gt;"",AVERAGE('Raw Data'!Q169,'Raw Data'!S169,'Raw Data'!U169,'Raw Data'!W169,'Raw Data'!Y169),"")</f>
        <v/>
      </c>
      <c r="K182" s="14" t="str">
        <f t="shared" si="26"/>
        <v/>
      </c>
      <c r="L182" s="14" t="str">
        <f>IF('Raw Data'!A169&lt;&gt;"",AVERAGE('Raw Data'!Z169,'Raw Data'!AB169,'Raw Data'!AD169,'Raw Data'!AF169,'Raw Data'!AH169),"")</f>
        <v/>
      </c>
      <c r="M182" s="14" t="str">
        <f>IF('Raw Data'!A169&lt;&gt;"",AVERAGE('Raw Data'!AA169,'Raw Data'!AC169,'Raw Data'!AE169,'Raw Data'!AG169,'Raw Data'!AI169),"")</f>
        <v/>
      </c>
      <c r="N182" s="14" t="str">
        <f t="shared" si="27"/>
        <v/>
      </c>
      <c r="O182" s="14" t="str">
        <f>IF('Raw Data'!A169&lt;&gt;"",AVERAGE('Raw Data'!AJ169,'Raw Data'!AL169,'Raw Data'!AN169,'Raw Data'!AP169,'Raw Data'!AR169),"")</f>
        <v/>
      </c>
      <c r="P182" s="14" t="str">
        <f>IF('Raw Data'!A169&lt;&gt;"",AVERAGE('Raw Data'!AK169,'Raw Data'!AM169,'Raw Data'!AO169,'Raw Data'!AQ169,'Raw Data'!AS169),"")</f>
        <v/>
      </c>
      <c r="Q182" s="14" t="str">
        <f t="shared" si="28"/>
        <v/>
      </c>
      <c r="R182" s="14" t="str">
        <f>IF('Raw Data'!A169&lt;&gt;"",AVERAGE('Raw Data'!AT169,'Raw Data'!AV169,'Raw Data'!AX169,'Raw Data'!AZ169,'Raw Data'!BB169),"")</f>
        <v/>
      </c>
      <c r="S182" s="14" t="str">
        <f>IF('Raw Data'!A169&lt;&gt;"",AVERAGE('Raw Data'!AU169,'Raw Data'!AW169,'Raw Data'!AY169,'Raw Data'!BA169,'Raw Data'!BC169),"")</f>
        <v/>
      </c>
      <c r="T182" s="14" t="str">
        <f t="shared" si="29"/>
        <v/>
      </c>
      <c r="U182" s="14" t="str">
        <f>IF('Raw Data'!A169&lt;&gt;"",AVERAGE('Raw Data'!BD169,'Raw Data'!BF169,'Raw Data'!BH169,'Raw Data'!BJ169,'Raw Data'!BL169),"")</f>
        <v/>
      </c>
      <c r="V182" s="14" t="str">
        <f>IF('Raw Data'!A169&lt;&gt;"",AVERAGE('Raw Data'!BE169,'Raw Data'!BG169,'Raw Data'!BI169,'Raw Data'!BK169,'Raw Data'!BM169),"")</f>
        <v/>
      </c>
      <c r="W182" s="14" t="str">
        <f t="shared" si="30"/>
        <v/>
      </c>
      <c r="X182" s="14" t="str">
        <f t="shared" si="31"/>
        <v/>
      </c>
      <c r="Y182" s="14" t="str">
        <f t="shared" si="32"/>
        <v/>
      </c>
      <c r="Z182" s="14" t="str">
        <f t="shared" si="33"/>
        <v/>
      </c>
      <c r="AA182" s="14" t="str">
        <f t="shared" si="34"/>
        <v/>
      </c>
      <c r="AB182" s="25" t="str">
        <f t="shared" si="35"/>
        <v/>
      </c>
    </row>
    <row r="183" spans="1:28" x14ac:dyDescent="0.25">
      <c r="A183" s="2" t="str">
        <f>IF('Raw Data'!A170&lt;&gt;"",'Raw Data'!A170,"")</f>
        <v/>
      </c>
      <c r="B183" s="2" t="str">
        <f>IF('Raw Data'!B170&lt;&gt;"",'Raw Data'!B170,"")</f>
        <v/>
      </c>
      <c r="C183" s="2" t="str">
        <f>IF('Raw Data'!C170&lt;&gt;"",'Raw Data'!C170,"")</f>
        <v/>
      </c>
      <c r="D183" s="2" t="str">
        <f>IF('Raw Data'!D170&lt;&gt;"",'Raw Data'!D170,"")</f>
        <v/>
      </c>
      <c r="E183" s="2" t="str">
        <f>IF('Raw Data'!E170&lt;&gt;"",'Raw Data'!E170,"")</f>
        <v/>
      </c>
      <c r="F183" s="11" t="str">
        <f>IF('Raw Data'!A170&lt;&gt;"",AVERAGE('Raw Data'!F170,'Raw Data'!H170,'Raw Data'!J170,'Raw Data'!L170,'Raw Data'!N170),"")</f>
        <v/>
      </c>
      <c r="G183" s="11" t="str">
        <f>IF('Raw Data'!A170&lt;&gt;"",AVERAGE('Raw Data'!G170,'Raw Data'!I170,'Raw Data'!K170,'Raw Data'!M170,'Raw Data'!O170),"")</f>
        <v/>
      </c>
      <c r="H183" s="11" t="str">
        <f t="shared" si="25"/>
        <v/>
      </c>
      <c r="I183" s="11" t="str">
        <f>IF('Raw Data'!A170&lt;&gt;"",AVERAGE('Raw Data'!P170,'Raw Data'!R170,'Raw Data'!T170,'Raw Data'!V170,'Raw Data'!X170),"")</f>
        <v/>
      </c>
      <c r="J183" s="11" t="str">
        <f>IF('Raw Data'!A170&lt;&gt;"",AVERAGE('Raw Data'!Q170,'Raw Data'!S170,'Raw Data'!U170,'Raw Data'!W170,'Raw Data'!Y170),"")</f>
        <v/>
      </c>
      <c r="K183" s="11" t="str">
        <f t="shared" si="26"/>
        <v/>
      </c>
      <c r="L183" s="11" t="str">
        <f>IF('Raw Data'!A170&lt;&gt;"",AVERAGE('Raw Data'!Z170,'Raw Data'!AB170,'Raw Data'!AD170,'Raw Data'!AF170,'Raw Data'!AH170),"")</f>
        <v/>
      </c>
      <c r="M183" s="11" t="str">
        <f>IF('Raw Data'!A170&lt;&gt;"",AVERAGE('Raw Data'!AA170,'Raw Data'!AC170,'Raw Data'!AE170,'Raw Data'!AG170,'Raw Data'!AI170),"")</f>
        <v/>
      </c>
      <c r="N183" s="11" t="str">
        <f t="shared" si="27"/>
        <v/>
      </c>
      <c r="O183" s="11" t="str">
        <f>IF('Raw Data'!A170&lt;&gt;"",AVERAGE('Raw Data'!AJ170,'Raw Data'!AL170,'Raw Data'!AN170,'Raw Data'!AP170,'Raw Data'!AR170),"")</f>
        <v/>
      </c>
      <c r="P183" s="11" t="str">
        <f>IF('Raw Data'!A170&lt;&gt;"",AVERAGE('Raw Data'!AK170,'Raw Data'!AM170,'Raw Data'!AO170,'Raw Data'!AQ170,'Raw Data'!AS170),"")</f>
        <v/>
      </c>
      <c r="Q183" s="11" t="str">
        <f t="shared" si="28"/>
        <v/>
      </c>
      <c r="R183" s="11" t="str">
        <f>IF('Raw Data'!A170&lt;&gt;"",AVERAGE('Raw Data'!AT170,'Raw Data'!AV170,'Raw Data'!AX170,'Raw Data'!AZ170,'Raw Data'!BB170),"")</f>
        <v/>
      </c>
      <c r="S183" s="11" t="str">
        <f>IF('Raw Data'!A170&lt;&gt;"",AVERAGE('Raw Data'!AU170,'Raw Data'!AW170,'Raw Data'!AY170,'Raw Data'!BA170,'Raw Data'!BC170),"")</f>
        <v/>
      </c>
      <c r="T183" s="11" t="str">
        <f t="shared" si="29"/>
        <v/>
      </c>
      <c r="U183" s="11" t="str">
        <f>IF('Raw Data'!A170&lt;&gt;"",AVERAGE('Raw Data'!BD170,'Raw Data'!BF170,'Raw Data'!BH170,'Raw Data'!BJ170,'Raw Data'!BL170),"")</f>
        <v/>
      </c>
      <c r="V183" s="11" t="str">
        <f>IF('Raw Data'!A170&lt;&gt;"",AVERAGE('Raw Data'!BE170,'Raw Data'!BG170,'Raw Data'!BI170,'Raw Data'!BK170,'Raw Data'!BM170),"")</f>
        <v/>
      </c>
      <c r="W183" s="11" t="str">
        <f t="shared" si="30"/>
        <v/>
      </c>
      <c r="X183" s="11" t="str">
        <f t="shared" si="31"/>
        <v/>
      </c>
      <c r="Y183" s="11" t="str">
        <f t="shared" si="32"/>
        <v/>
      </c>
      <c r="Z183" s="11" t="str">
        <f t="shared" si="33"/>
        <v/>
      </c>
      <c r="AA183" s="11" t="str">
        <f t="shared" si="34"/>
        <v/>
      </c>
      <c r="AB183" s="24" t="str">
        <f t="shared" si="35"/>
        <v/>
      </c>
    </row>
    <row r="184" spans="1:28" x14ac:dyDescent="0.25">
      <c r="A184" s="10" t="str">
        <f>IF('Raw Data'!A171&lt;&gt;"",'Raw Data'!A171,"")</f>
        <v/>
      </c>
      <c r="B184" s="10" t="str">
        <f>IF('Raw Data'!B171&lt;&gt;"",'Raw Data'!B171,"")</f>
        <v/>
      </c>
      <c r="C184" s="10" t="str">
        <f>IF('Raw Data'!C171&lt;&gt;"",'Raw Data'!C171,"")</f>
        <v/>
      </c>
      <c r="D184" s="10" t="str">
        <f>IF('Raw Data'!D171&lt;&gt;"",'Raw Data'!D171,"")</f>
        <v/>
      </c>
      <c r="E184" s="10" t="str">
        <f>IF('Raw Data'!E171&lt;&gt;"",'Raw Data'!E171,"")</f>
        <v/>
      </c>
      <c r="F184" s="14" t="str">
        <f>IF('Raw Data'!A171&lt;&gt;"",AVERAGE('Raw Data'!F171,'Raw Data'!H171,'Raw Data'!J171,'Raw Data'!L171,'Raw Data'!N171),"")</f>
        <v/>
      </c>
      <c r="G184" s="14" t="str">
        <f>IF('Raw Data'!A171&lt;&gt;"",AVERAGE('Raw Data'!G171,'Raw Data'!I171,'Raw Data'!K171,'Raw Data'!M171,'Raw Data'!O171),"")</f>
        <v/>
      </c>
      <c r="H184" s="14" t="str">
        <f t="shared" si="25"/>
        <v/>
      </c>
      <c r="I184" s="14" t="str">
        <f>IF('Raw Data'!A171&lt;&gt;"",AVERAGE('Raw Data'!P171,'Raw Data'!R171,'Raw Data'!T171,'Raw Data'!V171,'Raw Data'!X171),"")</f>
        <v/>
      </c>
      <c r="J184" s="14" t="str">
        <f>IF('Raw Data'!A171&lt;&gt;"",AVERAGE('Raw Data'!Q171,'Raw Data'!S171,'Raw Data'!U171,'Raw Data'!W171,'Raw Data'!Y171),"")</f>
        <v/>
      </c>
      <c r="K184" s="14" t="str">
        <f t="shared" si="26"/>
        <v/>
      </c>
      <c r="L184" s="14" t="str">
        <f>IF('Raw Data'!A171&lt;&gt;"",AVERAGE('Raw Data'!Z171,'Raw Data'!AB171,'Raw Data'!AD171,'Raw Data'!AF171,'Raw Data'!AH171),"")</f>
        <v/>
      </c>
      <c r="M184" s="14" t="str">
        <f>IF('Raw Data'!A171&lt;&gt;"",AVERAGE('Raw Data'!AA171,'Raw Data'!AC171,'Raw Data'!AE171,'Raw Data'!AG171,'Raw Data'!AI171),"")</f>
        <v/>
      </c>
      <c r="N184" s="14" t="str">
        <f t="shared" si="27"/>
        <v/>
      </c>
      <c r="O184" s="14" t="str">
        <f>IF('Raw Data'!A171&lt;&gt;"",AVERAGE('Raw Data'!AJ171,'Raw Data'!AL171,'Raw Data'!AN171,'Raw Data'!AP171,'Raw Data'!AR171),"")</f>
        <v/>
      </c>
      <c r="P184" s="14" t="str">
        <f>IF('Raw Data'!A171&lt;&gt;"",AVERAGE('Raw Data'!AK171,'Raw Data'!AM171,'Raw Data'!AO171,'Raw Data'!AQ171,'Raw Data'!AS171),"")</f>
        <v/>
      </c>
      <c r="Q184" s="14" t="str">
        <f t="shared" si="28"/>
        <v/>
      </c>
      <c r="R184" s="14" t="str">
        <f>IF('Raw Data'!A171&lt;&gt;"",AVERAGE('Raw Data'!AT171,'Raw Data'!AV171,'Raw Data'!AX171,'Raw Data'!AZ171,'Raw Data'!BB171),"")</f>
        <v/>
      </c>
      <c r="S184" s="14" t="str">
        <f>IF('Raw Data'!A171&lt;&gt;"",AVERAGE('Raw Data'!AU171,'Raw Data'!AW171,'Raw Data'!AY171,'Raw Data'!BA171,'Raw Data'!BC171),"")</f>
        <v/>
      </c>
      <c r="T184" s="14" t="str">
        <f t="shared" si="29"/>
        <v/>
      </c>
      <c r="U184" s="14" t="str">
        <f>IF('Raw Data'!A171&lt;&gt;"",AVERAGE('Raw Data'!BD171,'Raw Data'!BF171,'Raw Data'!BH171,'Raw Data'!BJ171,'Raw Data'!BL171),"")</f>
        <v/>
      </c>
      <c r="V184" s="14" t="str">
        <f>IF('Raw Data'!A171&lt;&gt;"",AVERAGE('Raw Data'!BE171,'Raw Data'!BG171,'Raw Data'!BI171,'Raw Data'!BK171,'Raw Data'!BM171),"")</f>
        <v/>
      </c>
      <c r="W184" s="14" t="str">
        <f t="shared" si="30"/>
        <v/>
      </c>
      <c r="X184" s="14" t="str">
        <f t="shared" si="31"/>
        <v/>
      </c>
      <c r="Y184" s="14" t="str">
        <f t="shared" si="32"/>
        <v/>
      </c>
      <c r="Z184" s="14" t="str">
        <f t="shared" si="33"/>
        <v/>
      </c>
      <c r="AA184" s="14" t="str">
        <f t="shared" si="34"/>
        <v/>
      </c>
      <c r="AB184" s="25" t="str">
        <f t="shared" si="35"/>
        <v/>
      </c>
    </row>
    <row r="185" spans="1:28" x14ac:dyDescent="0.25">
      <c r="A185" s="2" t="str">
        <f>IF('Raw Data'!A172&lt;&gt;"",'Raw Data'!A172,"")</f>
        <v/>
      </c>
      <c r="B185" s="2" t="str">
        <f>IF('Raw Data'!B172&lt;&gt;"",'Raw Data'!B172,"")</f>
        <v/>
      </c>
      <c r="C185" s="2" t="str">
        <f>IF('Raw Data'!C172&lt;&gt;"",'Raw Data'!C172,"")</f>
        <v/>
      </c>
      <c r="D185" s="2" t="str">
        <f>IF('Raw Data'!D172&lt;&gt;"",'Raw Data'!D172,"")</f>
        <v/>
      </c>
      <c r="E185" s="2" t="str">
        <f>IF('Raw Data'!E172&lt;&gt;"",'Raw Data'!E172,"")</f>
        <v/>
      </c>
      <c r="F185" s="11" t="str">
        <f>IF('Raw Data'!A172&lt;&gt;"",AVERAGE('Raw Data'!F172,'Raw Data'!H172,'Raw Data'!J172,'Raw Data'!L172,'Raw Data'!N172),"")</f>
        <v/>
      </c>
      <c r="G185" s="11" t="str">
        <f>IF('Raw Data'!A172&lt;&gt;"",AVERAGE('Raw Data'!G172,'Raw Data'!I172,'Raw Data'!K172,'Raw Data'!M172,'Raw Data'!O172),"")</f>
        <v/>
      </c>
      <c r="H185" s="11" t="str">
        <f t="shared" si="25"/>
        <v/>
      </c>
      <c r="I185" s="11" t="str">
        <f>IF('Raw Data'!A172&lt;&gt;"",AVERAGE('Raw Data'!P172,'Raw Data'!R172,'Raw Data'!T172,'Raw Data'!V172,'Raw Data'!X172),"")</f>
        <v/>
      </c>
      <c r="J185" s="11" t="str">
        <f>IF('Raw Data'!A172&lt;&gt;"",AVERAGE('Raw Data'!Q172,'Raw Data'!S172,'Raw Data'!U172,'Raw Data'!W172,'Raw Data'!Y172),"")</f>
        <v/>
      </c>
      <c r="K185" s="11" t="str">
        <f t="shared" si="26"/>
        <v/>
      </c>
      <c r="L185" s="11" t="str">
        <f>IF('Raw Data'!A172&lt;&gt;"",AVERAGE('Raw Data'!Z172,'Raw Data'!AB172,'Raw Data'!AD172,'Raw Data'!AF172,'Raw Data'!AH172),"")</f>
        <v/>
      </c>
      <c r="M185" s="11" t="str">
        <f>IF('Raw Data'!A172&lt;&gt;"",AVERAGE('Raw Data'!AA172,'Raw Data'!AC172,'Raw Data'!AE172,'Raw Data'!AG172,'Raw Data'!AI172),"")</f>
        <v/>
      </c>
      <c r="N185" s="11" t="str">
        <f t="shared" si="27"/>
        <v/>
      </c>
      <c r="O185" s="11" t="str">
        <f>IF('Raw Data'!A172&lt;&gt;"",AVERAGE('Raw Data'!AJ172,'Raw Data'!AL172,'Raw Data'!AN172,'Raw Data'!AP172,'Raw Data'!AR172),"")</f>
        <v/>
      </c>
      <c r="P185" s="11" t="str">
        <f>IF('Raw Data'!A172&lt;&gt;"",AVERAGE('Raw Data'!AK172,'Raw Data'!AM172,'Raw Data'!AO172,'Raw Data'!AQ172,'Raw Data'!AS172),"")</f>
        <v/>
      </c>
      <c r="Q185" s="11" t="str">
        <f t="shared" si="28"/>
        <v/>
      </c>
      <c r="R185" s="11" t="str">
        <f>IF('Raw Data'!A172&lt;&gt;"",AVERAGE('Raw Data'!AT172,'Raw Data'!AV172,'Raw Data'!AX172,'Raw Data'!AZ172,'Raw Data'!BB172),"")</f>
        <v/>
      </c>
      <c r="S185" s="11" t="str">
        <f>IF('Raw Data'!A172&lt;&gt;"",AVERAGE('Raw Data'!AU172,'Raw Data'!AW172,'Raw Data'!AY172,'Raw Data'!BA172,'Raw Data'!BC172),"")</f>
        <v/>
      </c>
      <c r="T185" s="11" t="str">
        <f t="shared" si="29"/>
        <v/>
      </c>
      <c r="U185" s="11" t="str">
        <f>IF('Raw Data'!A172&lt;&gt;"",AVERAGE('Raw Data'!BD172,'Raw Data'!BF172,'Raw Data'!BH172,'Raw Data'!BJ172,'Raw Data'!BL172),"")</f>
        <v/>
      </c>
      <c r="V185" s="11" t="str">
        <f>IF('Raw Data'!A172&lt;&gt;"",AVERAGE('Raw Data'!BE172,'Raw Data'!BG172,'Raw Data'!BI172,'Raw Data'!BK172,'Raw Data'!BM172),"")</f>
        <v/>
      </c>
      <c r="W185" s="11" t="str">
        <f t="shared" si="30"/>
        <v/>
      </c>
      <c r="X185" s="11" t="str">
        <f t="shared" si="31"/>
        <v/>
      </c>
      <c r="Y185" s="11" t="str">
        <f t="shared" si="32"/>
        <v/>
      </c>
      <c r="Z185" s="11" t="str">
        <f t="shared" si="33"/>
        <v/>
      </c>
      <c r="AA185" s="11" t="str">
        <f t="shared" si="34"/>
        <v/>
      </c>
      <c r="AB185" s="24" t="str">
        <f t="shared" si="35"/>
        <v/>
      </c>
    </row>
    <row r="186" spans="1:28" x14ac:dyDescent="0.25">
      <c r="A186" s="10" t="str">
        <f>IF('Raw Data'!A173&lt;&gt;"",'Raw Data'!A173,"")</f>
        <v/>
      </c>
      <c r="B186" s="10" t="str">
        <f>IF('Raw Data'!B173&lt;&gt;"",'Raw Data'!B173,"")</f>
        <v/>
      </c>
      <c r="C186" s="10" t="str">
        <f>IF('Raw Data'!C173&lt;&gt;"",'Raw Data'!C173,"")</f>
        <v/>
      </c>
      <c r="D186" s="10" t="str">
        <f>IF('Raw Data'!D173&lt;&gt;"",'Raw Data'!D173,"")</f>
        <v/>
      </c>
      <c r="E186" s="10" t="str">
        <f>IF('Raw Data'!E173&lt;&gt;"",'Raw Data'!E173,"")</f>
        <v/>
      </c>
      <c r="F186" s="14" t="str">
        <f>IF('Raw Data'!A173&lt;&gt;"",AVERAGE('Raw Data'!F173,'Raw Data'!H173,'Raw Data'!J173,'Raw Data'!L173,'Raw Data'!N173),"")</f>
        <v/>
      </c>
      <c r="G186" s="14" t="str">
        <f>IF('Raw Data'!A173&lt;&gt;"",AVERAGE('Raw Data'!G173,'Raw Data'!I173,'Raw Data'!K173,'Raw Data'!M173,'Raw Data'!O173),"")</f>
        <v/>
      </c>
      <c r="H186" s="14" t="str">
        <f t="shared" si="25"/>
        <v/>
      </c>
      <c r="I186" s="14" t="str">
        <f>IF('Raw Data'!A173&lt;&gt;"",AVERAGE('Raw Data'!P173,'Raw Data'!R173,'Raw Data'!T173,'Raw Data'!V173,'Raw Data'!X173),"")</f>
        <v/>
      </c>
      <c r="J186" s="14" t="str">
        <f>IF('Raw Data'!A173&lt;&gt;"",AVERAGE('Raw Data'!Q173,'Raw Data'!S173,'Raw Data'!U173,'Raw Data'!W173,'Raw Data'!Y173),"")</f>
        <v/>
      </c>
      <c r="K186" s="14" t="str">
        <f t="shared" si="26"/>
        <v/>
      </c>
      <c r="L186" s="14" t="str">
        <f>IF('Raw Data'!A173&lt;&gt;"",AVERAGE('Raw Data'!Z173,'Raw Data'!AB173,'Raw Data'!AD173,'Raw Data'!AF173,'Raw Data'!AH173),"")</f>
        <v/>
      </c>
      <c r="M186" s="14" t="str">
        <f>IF('Raw Data'!A173&lt;&gt;"",AVERAGE('Raw Data'!AA173,'Raw Data'!AC173,'Raw Data'!AE173,'Raw Data'!AG173,'Raw Data'!AI173),"")</f>
        <v/>
      </c>
      <c r="N186" s="14" t="str">
        <f t="shared" si="27"/>
        <v/>
      </c>
      <c r="O186" s="14" t="str">
        <f>IF('Raw Data'!A173&lt;&gt;"",AVERAGE('Raw Data'!AJ173,'Raw Data'!AL173,'Raw Data'!AN173,'Raw Data'!AP173,'Raw Data'!AR173),"")</f>
        <v/>
      </c>
      <c r="P186" s="14" t="str">
        <f>IF('Raw Data'!A173&lt;&gt;"",AVERAGE('Raw Data'!AK173,'Raw Data'!AM173,'Raw Data'!AO173,'Raw Data'!AQ173,'Raw Data'!AS173),"")</f>
        <v/>
      </c>
      <c r="Q186" s="14" t="str">
        <f t="shared" si="28"/>
        <v/>
      </c>
      <c r="R186" s="14" t="str">
        <f>IF('Raw Data'!A173&lt;&gt;"",AVERAGE('Raw Data'!AT173,'Raw Data'!AV173,'Raw Data'!AX173,'Raw Data'!AZ173,'Raw Data'!BB173),"")</f>
        <v/>
      </c>
      <c r="S186" s="14" t="str">
        <f>IF('Raw Data'!A173&lt;&gt;"",AVERAGE('Raw Data'!AU173,'Raw Data'!AW173,'Raw Data'!AY173,'Raw Data'!BA173,'Raw Data'!BC173),"")</f>
        <v/>
      </c>
      <c r="T186" s="14" t="str">
        <f t="shared" si="29"/>
        <v/>
      </c>
      <c r="U186" s="14" t="str">
        <f>IF('Raw Data'!A173&lt;&gt;"",AVERAGE('Raw Data'!BD173,'Raw Data'!BF173,'Raw Data'!BH173,'Raw Data'!BJ173,'Raw Data'!BL173),"")</f>
        <v/>
      </c>
      <c r="V186" s="14" t="str">
        <f>IF('Raw Data'!A173&lt;&gt;"",AVERAGE('Raw Data'!BE173,'Raw Data'!BG173,'Raw Data'!BI173,'Raw Data'!BK173,'Raw Data'!BM173),"")</f>
        <v/>
      </c>
      <c r="W186" s="14" t="str">
        <f t="shared" si="30"/>
        <v/>
      </c>
      <c r="X186" s="14" t="str">
        <f t="shared" si="31"/>
        <v/>
      </c>
      <c r="Y186" s="14" t="str">
        <f t="shared" si="32"/>
        <v/>
      </c>
      <c r="Z186" s="14" t="str">
        <f t="shared" si="33"/>
        <v/>
      </c>
      <c r="AA186" s="14" t="str">
        <f t="shared" si="34"/>
        <v/>
      </c>
      <c r="AB186" s="25" t="str">
        <f t="shared" si="35"/>
        <v/>
      </c>
    </row>
    <row r="187" spans="1:28" x14ac:dyDescent="0.25">
      <c r="A187" s="2" t="str">
        <f>IF('Raw Data'!A174&lt;&gt;"",'Raw Data'!A174,"")</f>
        <v/>
      </c>
      <c r="B187" s="2" t="str">
        <f>IF('Raw Data'!B174&lt;&gt;"",'Raw Data'!B174,"")</f>
        <v/>
      </c>
      <c r="C187" s="2" t="str">
        <f>IF('Raw Data'!C174&lt;&gt;"",'Raw Data'!C174,"")</f>
        <v/>
      </c>
      <c r="D187" s="2" t="str">
        <f>IF('Raw Data'!D174&lt;&gt;"",'Raw Data'!D174,"")</f>
        <v/>
      </c>
      <c r="E187" s="2" t="str">
        <f>IF('Raw Data'!E174&lt;&gt;"",'Raw Data'!E174,"")</f>
        <v/>
      </c>
      <c r="F187" s="11" t="str">
        <f>IF('Raw Data'!A174&lt;&gt;"",AVERAGE('Raw Data'!F174,'Raw Data'!H174,'Raw Data'!J174,'Raw Data'!L174,'Raw Data'!N174),"")</f>
        <v/>
      </c>
      <c r="G187" s="11" t="str">
        <f>IF('Raw Data'!A174&lt;&gt;"",AVERAGE('Raw Data'!G174,'Raw Data'!I174,'Raw Data'!K174,'Raw Data'!M174,'Raw Data'!O174),"")</f>
        <v/>
      </c>
      <c r="H187" s="11" t="str">
        <f t="shared" si="25"/>
        <v/>
      </c>
      <c r="I187" s="11" t="str">
        <f>IF('Raw Data'!A174&lt;&gt;"",AVERAGE('Raw Data'!P174,'Raw Data'!R174,'Raw Data'!T174,'Raw Data'!V174,'Raw Data'!X174),"")</f>
        <v/>
      </c>
      <c r="J187" s="11" t="str">
        <f>IF('Raw Data'!A174&lt;&gt;"",AVERAGE('Raw Data'!Q174,'Raw Data'!S174,'Raw Data'!U174,'Raw Data'!W174,'Raw Data'!Y174),"")</f>
        <v/>
      </c>
      <c r="K187" s="11" t="str">
        <f t="shared" si="26"/>
        <v/>
      </c>
      <c r="L187" s="11" t="str">
        <f>IF('Raw Data'!A174&lt;&gt;"",AVERAGE('Raw Data'!Z174,'Raw Data'!AB174,'Raw Data'!AD174,'Raw Data'!AF174,'Raw Data'!AH174),"")</f>
        <v/>
      </c>
      <c r="M187" s="11" t="str">
        <f>IF('Raw Data'!A174&lt;&gt;"",AVERAGE('Raw Data'!AA174,'Raw Data'!AC174,'Raw Data'!AE174,'Raw Data'!AG174,'Raw Data'!AI174),"")</f>
        <v/>
      </c>
      <c r="N187" s="11" t="str">
        <f t="shared" si="27"/>
        <v/>
      </c>
      <c r="O187" s="11" t="str">
        <f>IF('Raw Data'!A174&lt;&gt;"",AVERAGE('Raw Data'!AJ174,'Raw Data'!AL174,'Raw Data'!AN174,'Raw Data'!AP174,'Raw Data'!AR174),"")</f>
        <v/>
      </c>
      <c r="P187" s="11" t="str">
        <f>IF('Raw Data'!A174&lt;&gt;"",AVERAGE('Raw Data'!AK174,'Raw Data'!AM174,'Raw Data'!AO174,'Raw Data'!AQ174,'Raw Data'!AS174),"")</f>
        <v/>
      </c>
      <c r="Q187" s="11" t="str">
        <f t="shared" si="28"/>
        <v/>
      </c>
      <c r="R187" s="11" t="str">
        <f>IF('Raw Data'!A174&lt;&gt;"",AVERAGE('Raw Data'!AT174,'Raw Data'!AV174,'Raw Data'!AX174,'Raw Data'!AZ174,'Raw Data'!BB174),"")</f>
        <v/>
      </c>
      <c r="S187" s="11" t="str">
        <f>IF('Raw Data'!A174&lt;&gt;"",AVERAGE('Raw Data'!AU174,'Raw Data'!AW174,'Raw Data'!AY174,'Raw Data'!BA174,'Raw Data'!BC174),"")</f>
        <v/>
      </c>
      <c r="T187" s="11" t="str">
        <f t="shared" si="29"/>
        <v/>
      </c>
      <c r="U187" s="11" t="str">
        <f>IF('Raw Data'!A174&lt;&gt;"",AVERAGE('Raw Data'!BD174,'Raw Data'!BF174,'Raw Data'!BH174,'Raw Data'!BJ174,'Raw Data'!BL174),"")</f>
        <v/>
      </c>
      <c r="V187" s="11" t="str">
        <f>IF('Raw Data'!A174&lt;&gt;"",AVERAGE('Raw Data'!BE174,'Raw Data'!BG174,'Raw Data'!BI174,'Raw Data'!BK174,'Raw Data'!BM174),"")</f>
        <v/>
      </c>
      <c r="W187" s="11" t="str">
        <f t="shared" si="30"/>
        <v/>
      </c>
      <c r="X187" s="11" t="str">
        <f t="shared" si="31"/>
        <v/>
      </c>
      <c r="Y187" s="11" t="str">
        <f t="shared" si="32"/>
        <v/>
      </c>
      <c r="Z187" s="11" t="str">
        <f t="shared" si="33"/>
        <v/>
      </c>
      <c r="AA187" s="11" t="str">
        <f t="shared" si="34"/>
        <v/>
      </c>
      <c r="AB187" s="24" t="str">
        <f t="shared" si="35"/>
        <v/>
      </c>
    </row>
    <row r="188" spans="1:28" x14ac:dyDescent="0.25">
      <c r="A188" s="10" t="str">
        <f>IF('Raw Data'!A175&lt;&gt;"",'Raw Data'!A175,"")</f>
        <v/>
      </c>
      <c r="B188" s="10" t="str">
        <f>IF('Raw Data'!B175&lt;&gt;"",'Raw Data'!B175,"")</f>
        <v/>
      </c>
      <c r="C188" s="10" t="str">
        <f>IF('Raw Data'!C175&lt;&gt;"",'Raw Data'!C175,"")</f>
        <v/>
      </c>
      <c r="D188" s="10" t="str">
        <f>IF('Raw Data'!D175&lt;&gt;"",'Raw Data'!D175,"")</f>
        <v/>
      </c>
      <c r="E188" s="10" t="str">
        <f>IF('Raw Data'!E175&lt;&gt;"",'Raw Data'!E175,"")</f>
        <v/>
      </c>
      <c r="F188" s="14" t="str">
        <f>IF('Raw Data'!A175&lt;&gt;"",AVERAGE('Raw Data'!F175,'Raw Data'!H175,'Raw Data'!J175,'Raw Data'!L175,'Raw Data'!N175),"")</f>
        <v/>
      </c>
      <c r="G188" s="14" t="str">
        <f>IF('Raw Data'!A175&lt;&gt;"",AVERAGE('Raw Data'!G175,'Raw Data'!I175,'Raw Data'!K175,'Raw Data'!M175,'Raw Data'!O175),"")</f>
        <v/>
      </c>
      <c r="H188" s="14" t="str">
        <f t="shared" si="25"/>
        <v/>
      </c>
      <c r="I188" s="14" t="str">
        <f>IF('Raw Data'!A175&lt;&gt;"",AVERAGE('Raw Data'!P175,'Raw Data'!R175,'Raw Data'!T175,'Raw Data'!V175,'Raw Data'!X175),"")</f>
        <v/>
      </c>
      <c r="J188" s="14" t="str">
        <f>IF('Raw Data'!A175&lt;&gt;"",AVERAGE('Raw Data'!Q175,'Raw Data'!S175,'Raw Data'!U175,'Raw Data'!W175,'Raw Data'!Y175),"")</f>
        <v/>
      </c>
      <c r="K188" s="14" t="str">
        <f t="shared" si="26"/>
        <v/>
      </c>
      <c r="L188" s="14" t="str">
        <f>IF('Raw Data'!A175&lt;&gt;"",AVERAGE('Raw Data'!Z175,'Raw Data'!AB175,'Raw Data'!AD175,'Raw Data'!AF175,'Raw Data'!AH175),"")</f>
        <v/>
      </c>
      <c r="M188" s="14" t="str">
        <f>IF('Raw Data'!A175&lt;&gt;"",AVERAGE('Raw Data'!AA175,'Raw Data'!AC175,'Raw Data'!AE175,'Raw Data'!AG175,'Raw Data'!AI175),"")</f>
        <v/>
      </c>
      <c r="N188" s="14" t="str">
        <f t="shared" si="27"/>
        <v/>
      </c>
      <c r="O188" s="14" t="str">
        <f>IF('Raw Data'!A175&lt;&gt;"",AVERAGE('Raw Data'!AJ175,'Raw Data'!AL175,'Raw Data'!AN175,'Raw Data'!AP175,'Raw Data'!AR175),"")</f>
        <v/>
      </c>
      <c r="P188" s="14" t="str">
        <f>IF('Raw Data'!A175&lt;&gt;"",AVERAGE('Raw Data'!AK175,'Raw Data'!AM175,'Raw Data'!AO175,'Raw Data'!AQ175,'Raw Data'!AS175),"")</f>
        <v/>
      </c>
      <c r="Q188" s="14" t="str">
        <f t="shared" si="28"/>
        <v/>
      </c>
      <c r="R188" s="14" t="str">
        <f>IF('Raw Data'!A175&lt;&gt;"",AVERAGE('Raw Data'!AT175,'Raw Data'!AV175,'Raw Data'!AX175,'Raw Data'!AZ175,'Raw Data'!BB175),"")</f>
        <v/>
      </c>
      <c r="S188" s="14" t="str">
        <f>IF('Raw Data'!A175&lt;&gt;"",AVERAGE('Raw Data'!AU175,'Raw Data'!AW175,'Raw Data'!AY175,'Raw Data'!BA175,'Raw Data'!BC175),"")</f>
        <v/>
      </c>
      <c r="T188" s="14" t="str">
        <f t="shared" si="29"/>
        <v/>
      </c>
      <c r="U188" s="14" t="str">
        <f>IF('Raw Data'!A175&lt;&gt;"",AVERAGE('Raw Data'!BD175,'Raw Data'!BF175,'Raw Data'!BH175,'Raw Data'!BJ175,'Raw Data'!BL175),"")</f>
        <v/>
      </c>
      <c r="V188" s="14" t="str">
        <f>IF('Raw Data'!A175&lt;&gt;"",AVERAGE('Raw Data'!BE175,'Raw Data'!BG175,'Raw Data'!BI175,'Raw Data'!BK175,'Raw Data'!BM175),"")</f>
        <v/>
      </c>
      <c r="W188" s="14" t="str">
        <f t="shared" si="30"/>
        <v/>
      </c>
      <c r="X188" s="14" t="str">
        <f t="shared" si="31"/>
        <v/>
      </c>
      <c r="Y188" s="14" t="str">
        <f t="shared" si="32"/>
        <v/>
      </c>
      <c r="Z188" s="14" t="str">
        <f t="shared" si="33"/>
        <v/>
      </c>
      <c r="AA188" s="14" t="str">
        <f t="shared" si="34"/>
        <v/>
      </c>
      <c r="AB188" s="25" t="str">
        <f t="shared" si="35"/>
        <v/>
      </c>
    </row>
    <row r="189" spans="1:28" x14ac:dyDescent="0.25">
      <c r="A189" s="2" t="str">
        <f>IF('Raw Data'!A176&lt;&gt;"",'Raw Data'!A176,"")</f>
        <v/>
      </c>
      <c r="B189" s="2" t="str">
        <f>IF('Raw Data'!B176&lt;&gt;"",'Raw Data'!B176,"")</f>
        <v/>
      </c>
      <c r="C189" s="2" t="str">
        <f>IF('Raw Data'!C176&lt;&gt;"",'Raw Data'!C176,"")</f>
        <v/>
      </c>
      <c r="D189" s="2" t="str">
        <f>IF('Raw Data'!D176&lt;&gt;"",'Raw Data'!D176,"")</f>
        <v/>
      </c>
      <c r="E189" s="2" t="str">
        <f>IF('Raw Data'!E176&lt;&gt;"",'Raw Data'!E176,"")</f>
        <v/>
      </c>
      <c r="F189" s="11" t="str">
        <f>IF('Raw Data'!A176&lt;&gt;"",AVERAGE('Raw Data'!F176,'Raw Data'!H176,'Raw Data'!J176,'Raw Data'!L176,'Raw Data'!N176),"")</f>
        <v/>
      </c>
      <c r="G189" s="11" t="str">
        <f>IF('Raw Data'!A176&lt;&gt;"",AVERAGE('Raw Data'!G176,'Raw Data'!I176,'Raw Data'!K176,'Raw Data'!M176,'Raw Data'!O176),"")</f>
        <v/>
      </c>
      <c r="H189" s="11" t="str">
        <f t="shared" si="25"/>
        <v/>
      </c>
      <c r="I189" s="11" t="str">
        <f>IF('Raw Data'!A176&lt;&gt;"",AVERAGE('Raw Data'!P176,'Raw Data'!R176,'Raw Data'!T176,'Raw Data'!V176,'Raw Data'!X176),"")</f>
        <v/>
      </c>
      <c r="J189" s="11" t="str">
        <f>IF('Raw Data'!A176&lt;&gt;"",AVERAGE('Raw Data'!Q176,'Raw Data'!S176,'Raw Data'!U176,'Raw Data'!W176,'Raw Data'!Y176),"")</f>
        <v/>
      </c>
      <c r="K189" s="11" t="str">
        <f t="shared" si="26"/>
        <v/>
      </c>
      <c r="L189" s="11" t="str">
        <f>IF('Raw Data'!A176&lt;&gt;"",AVERAGE('Raw Data'!Z176,'Raw Data'!AB176,'Raw Data'!AD176,'Raw Data'!AF176,'Raw Data'!AH176),"")</f>
        <v/>
      </c>
      <c r="M189" s="11" t="str">
        <f>IF('Raw Data'!A176&lt;&gt;"",AVERAGE('Raw Data'!AA176,'Raw Data'!AC176,'Raw Data'!AE176,'Raw Data'!AG176,'Raw Data'!AI176),"")</f>
        <v/>
      </c>
      <c r="N189" s="11" t="str">
        <f t="shared" si="27"/>
        <v/>
      </c>
      <c r="O189" s="11" t="str">
        <f>IF('Raw Data'!A176&lt;&gt;"",AVERAGE('Raw Data'!AJ176,'Raw Data'!AL176,'Raw Data'!AN176,'Raw Data'!AP176,'Raw Data'!AR176),"")</f>
        <v/>
      </c>
      <c r="P189" s="11" t="str">
        <f>IF('Raw Data'!A176&lt;&gt;"",AVERAGE('Raw Data'!AK176,'Raw Data'!AM176,'Raw Data'!AO176,'Raw Data'!AQ176,'Raw Data'!AS176),"")</f>
        <v/>
      </c>
      <c r="Q189" s="11" t="str">
        <f t="shared" si="28"/>
        <v/>
      </c>
      <c r="R189" s="11" t="str">
        <f>IF('Raw Data'!A176&lt;&gt;"",AVERAGE('Raw Data'!AT176,'Raw Data'!AV176,'Raw Data'!AX176,'Raw Data'!AZ176,'Raw Data'!BB176),"")</f>
        <v/>
      </c>
      <c r="S189" s="11" t="str">
        <f>IF('Raw Data'!A176&lt;&gt;"",AVERAGE('Raw Data'!AU176,'Raw Data'!AW176,'Raw Data'!AY176,'Raw Data'!BA176,'Raw Data'!BC176),"")</f>
        <v/>
      </c>
      <c r="T189" s="11" t="str">
        <f t="shared" si="29"/>
        <v/>
      </c>
      <c r="U189" s="11" t="str">
        <f>IF('Raw Data'!A176&lt;&gt;"",AVERAGE('Raw Data'!BD176,'Raw Data'!BF176,'Raw Data'!BH176,'Raw Data'!BJ176,'Raw Data'!BL176),"")</f>
        <v/>
      </c>
      <c r="V189" s="11" t="str">
        <f>IF('Raw Data'!A176&lt;&gt;"",AVERAGE('Raw Data'!BE176,'Raw Data'!BG176,'Raw Data'!BI176,'Raw Data'!BK176,'Raw Data'!BM176),"")</f>
        <v/>
      </c>
      <c r="W189" s="11" t="str">
        <f t="shared" si="30"/>
        <v/>
      </c>
      <c r="X189" s="11" t="str">
        <f t="shared" si="31"/>
        <v/>
      </c>
      <c r="Y189" s="11" t="str">
        <f t="shared" si="32"/>
        <v/>
      </c>
      <c r="Z189" s="11" t="str">
        <f t="shared" si="33"/>
        <v/>
      </c>
      <c r="AA189" s="11" t="str">
        <f t="shared" si="34"/>
        <v/>
      </c>
      <c r="AB189" s="24" t="str">
        <f t="shared" si="35"/>
        <v/>
      </c>
    </row>
    <row r="190" spans="1:28" x14ac:dyDescent="0.25">
      <c r="A190" s="10" t="str">
        <f>IF('Raw Data'!A177&lt;&gt;"",'Raw Data'!A177,"")</f>
        <v/>
      </c>
      <c r="B190" s="10" t="str">
        <f>IF('Raw Data'!B177&lt;&gt;"",'Raw Data'!B177,"")</f>
        <v/>
      </c>
      <c r="C190" s="10" t="str">
        <f>IF('Raw Data'!C177&lt;&gt;"",'Raw Data'!C177,"")</f>
        <v/>
      </c>
      <c r="D190" s="10" t="str">
        <f>IF('Raw Data'!D177&lt;&gt;"",'Raw Data'!D177,"")</f>
        <v/>
      </c>
      <c r="E190" s="10" t="str">
        <f>IF('Raw Data'!E177&lt;&gt;"",'Raw Data'!E177,"")</f>
        <v/>
      </c>
      <c r="F190" s="14" t="str">
        <f>IF('Raw Data'!A177&lt;&gt;"",AVERAGE('Raw Data'!F177,'Raw Data'!H177,'Raw Data'!J177,'Raw Data'!L177,'Raw Data'!N177),"")</f>
        <v/>
      </c>
      <c r="G190" s="14" t="str">
        <f>IF('Raw Data'!A177&lt;&gt;"",AVERAGE('Raw Data'!G177,'Raw Data'!I177,'Raw Data'!K177,'Raw Data'!M177,'Raw Data'!O177),"")</f>
        <v/>
      </c>
      <c r="H190" s="14" t="str">
        <f t="shared" si="25"/>
        <v/>
      </c>
      <c r="I190" s="14" t="str">
        <f>IF('Raw Data'!A177&lt;&gt;"",AVERAGE('Raw Data'!P177,'Raw Data'!R177,'Raw Data'!T177,'Raw Data'!V177,'Raw Data'!X177),"")</f>
        <v/>
      </c>
      <c r="J190" s="14" t="str">
        <f>IF('Raw Data'!A177&lt;&gt;"",AVERAGE('Raw Data'!Q177,'Raw Data'!S177,'Raw Data'!U177,'Raw Data'!W177,'Raw Data'!Y177),"")</f>
        <v/>
      </c>
      <c r="K190" s="14" t="str">
        <f t="shared" si="26"/>
        <v/>
      </c>
      <c r="L190" s="14" t="str">
        <f>IF('Raw Data'!A177&lt;&gt;"",AVERAGE('Raw Data'!Z177,'Raw Data'!AB177,'Raw Data'!AD177,'Raw Data'!AF177,'Raw Data'!AH177),"")</f>
        <v/>
      </c>
      <c r="M190" s="14" t="str">
        <f>IF('Raw Data'!A177&lt;&gt;"",AVERAGE('Raw Data'!AA177,'Raw Data'!AC177,'Raw Data'!AE177,'Raw Data'!AG177,'Raw Data'!AI177),"")</f>
        <v/>
      </c>
      <c r="N190" s="14" t="str">
        <f t="shared" si="27"/>
        <v/>
      </c>
      <c r="O190" s="14" t="str">
        <f>IF('Raw Data'!A177&lt;&gt;"",AVERAGE('Raw Data'!AJ177,'Raw Data'!AL177,'Raw Data'!AN177,'Raw Data'!AP177,'Raw Data'!AR177),"")</f>
        <v/>
      </c>
      <c r="P190" s="14" t="str">
        <f>IF('Raw Data'!A177&lt;&gt;"",AVERAGE('Raw Data'!AK177,'Raw Data'!AM177,'Raw Data'!AO177,'Raw Data'!AQ177,'Raw Data'!AS177),"")</f>
        <v/>
      </c>
      <c r="Q190" s="14" t="str">
        <f t="shared" si="28"/>
        <v/>
      </c>
      <c r="R190" s="14" t="str">
        <f>IF('Raw Data'!A177&lt;&gt;"",AVERAGE('Raw Data'!AT177,'Raw Data'!AV177,'Raw Data'!AX177,'Raw Data'!AZ177,'Raw Data'!BB177),"")</f>
        <v/>
      </c>
      <c r="S190" s="14" t="str">
        <f>IF('Raw Data'!A177&lt;&gt;"",AVERAGE('Raw Data'!AU177,'Raw Data'!AW177,'Raw Data'!AY177,'Raw Data'!BA177,'Raw Data'!BC177),"")</f>
        <v/>
      </c>
      <c r="T190" s="14" t="str">
        <f t="shared" si="29"/>
        <v/>
      </c>
      <c r="U190" s="14" t="str">
        <f>IF('Raw Data'!A177&lt;&gt;"",AVERAGE('Raw Data'!BD177,'Raw Data'!BF177,'Raw Data'!BH177,'Raw Data'!BJ177,'Raw Data'!BL177),"")</f>
        <v/>
      </c>
      <c r="V190" s="14" t="str">
        <f>IF('Raw Data'!A177&lt;&gt;"",AVERAGE('Raw Data'!BE177,'Raw Data'!BG177,'Raw Data'!BI177,'Raw Data'!BK177,'Raw Data'!BM177),"")</f>
        <v/>
      </c>
      <c r="W190" s="14" t="str">
        <f t="shared" si="30"/>
        <v/>
      </c>
      <c r="X190" s="14" t="str">
        <f t="shared" si="31"/>
        <v/>
      </c>
      <c r="Y190" s="14" t="str">
        <f t="shared" si="32"/>
        <v/>
      </c>
      <c r="Z190" s="14" t="str">
        <f t="shared" si="33"/>
        <v/>
      </c>
      <c r="AA190" s="14" t="str">
        <f t="shared" si="34"/>
        <v/>
      </c>
      <c r="AB190" s="25" t="str">
        <f t="shared" si="35"/>
        <v/>
      </c>
    </row>
    <row r="191" spans="1:28" x14ac:dyDescent="0.25">
      <c r="A191" s="2" t="str">
        <f>IF('Raw Data'!A178&lt;&gt;"",'Raw Data'!A178,"")</f>
        <v/>
      </c>
      <c r="B191" s="2" t="str">
        <f>IF('Raw Data'!B178&lt;&gt;"",'Raw Data'!B178,"")</f>
        <v/>
      </c>
      <c r="C191" s="2" t="str">
        <f>IF('Raw Data'!C178&lt;&gt;"",'Raw Data'!C178,"")</f>
        <v/>
      </c>
      <c r="D191" s="2" t="str">
        <f>IF('Raw Data'!D178&lt;&gt;"",'Raw Data'!D178,"")</f>
        <v/>
      </c>
      <c r="E191" s="2" t="str">
        <f>IF('Raw Data'!E178&lt;&gt;"",'Raw Data'!E178,"")</f>
        <v/>
      </c>
      <c r="F191" s="11" t="str">
        <f>IF('Raw Data'!A178&lt;&gt;"",AVERAGE('Raw Data'!F178,'Raw Data'!H178,'Raw Data'!J178,'Raw Data'!L178,'Raw Data'!N178),"")</f>
        <v/>
      </c>
      <c r="G191" s="11" t="str">
        <f>IF('Raw Data'!A178&lt;&gt;"",AVERAGE('Raw Data'!G178,'Raw Data'!I178,'Raw Data'!K178,'Raw Data'!M178,'Raw Data'!O178),"")</f>
        <v/>
      </c>
      <c r="H191" s="11" t="str">
        <f t="shared" si="25"/>
        <v/>
      </c>
      <c r="I191" s="11" t="str">
        <f>IF('Raw Data'!A178&lt;&gt;"",AVERAGE('Raw Data'!P178,'Raw Data'!R178,'Raw Data'!T178,'Raw Data'!V178,'Raw Data'!X178),"")</f>
        <v/>
      </c>
      <c r="J191" s="11" t="str">
        <f>IF('Raw Data'!A178&lt;&gt;"",AVERAGE('Raw Data'!Q178,'Raw Data'!S178,'Raw Data'!U178,'Raw Data'!W178,'Raw Data'!Y178),"")</f>
        <v/>
      </c>
      <c r="K191" s="11" t="str">
        <f t="shared" si="26"/>
        <v/>
      </c>
      <c r="L191" s="11" t="str">
        <f>IF('Raw Data'!A178&lt;&gt;"",AVERAGE('Raw Data'!Z178,'Raw Data'!AB178,'Raw Data'!AD178,'Raw Data'!AF178,'Raw Data'!AH178),"")</f>
        <v/>
      </c>
      <c r="M191" s="11" t="str">
        <f>IF('Raw Data'!A178&lt;&gt;"",AVERAGE('Raw Data'!AA178,'Raw Data'!AC178,'Raw Data'!AE178,'Raw Data'!AG178,'Raw Data'!AI178),"")</f>
        <v/>
      </c>
      <c r="N191" s="11" t="str">
        <f t="shared" si="27"/>
        <v/>
      </c>
      <c r="O191" s="11" t="str">
        <f>IF('Raw Data'!A178&lt;&gt;"",AVERAGE('Raw Data'!AJ178,'Raw Data'!AL178,'Raw Data'!AN178,'Raw Data'!AP178,'Raw Data'!AR178),"")</f>
        <v/>
      </c>
      <c r="P191" s="11" t="str">
        <f>IF('Raw Data'!A178&lt;&gt;"",AVERAGE('Raw Data'!AK178,'Raw Data'!AM178,'Raw Data'!AO178,'Raw Data'!AQ178,'Raw Data'!AS178),"")</f>
        <v/>
      </c>
      <c r="Q191" s="11" t="str">
        <f t="shared" si="28"/>
        <v/>
      </c>
      <c r="R191" s="11" t="str">
        <f>IF('Raw Data'!A178&lt;&gt;"",AVERAGE('Raw Data'!AT178,'Raw Data'!AV178,'Raw Data'!AX178,'Raw Data'!AZ178,'Raw Data'!BB178),"")</f>
        <v/>
      </c>
      <c r="S191" s="11" t="str">
        <f>IF('Raw Data'!A178&lt;&gt;"",AVERAGE('Raw Data'!AU178,'Raw Data'!AW178,'Raw Data'!AY178,'Raw Data'!BA178,'Raw Data'!BC178),"")</f>
        <v/>
      </c>
      <c r="T191" s="11" t="str">
        <f t="shared" si="29"/>
        <v/>
      </c>
      <c r="U191" s="11" t="str">
        <f>IF('Raw Data'!A178&lt;&gt;"",AVERAGE('Raw Data'!BD178,'Raw Data'!BF178,'Raw Data'!BH178,'Raw Data'!BJ178,'Raw Data'!BL178),"")</f>
        <v/>
      </c>
      <c r="V191" s="11" t="str">
        <f>IF('Raw Data'!A178&lt;&gt;"",AVERAGE('Raw Data'!BE178,'Raw Data'!BG178,'Raw Data'!BI178,'Raw Data'!BK178,'Raw Data'!BM178),"")</f>
        <v/>
      </c>
      <c r="W191" s="11" t="str">
        <f t="shared" si="30"/>
        <v/>
      </c>
      <c r="X191" s="11" t="str">
        <f t="shared" si="31"/>
        <v/>
      </c>
      <c r="Y191" s="11" t="str">
        <f t="shared" si="32"/>
        <v/>
      </c>
      <c r="Z191" s="11" t="str">
        <f t="shared" si="33"/>
        <v/>
      </c>
      <c r="AA191" s="11" t="str">
        <f t="shared" si="34"/>
        <v/>
      </c>
      <c r="AB191" s="24" t="str">
        <f t="shared" si="35"/>
        <v/>
      </c>
    </row>
    <row r="192" spans="1:28" x14ac:dyDescent="0.25">
      <c r="A192" s="10" t="str">
        <f>IF('Raw Data'!A179&lt;&gt;"",'Raw Data'!A179,"")</f>
        <v/>
      </c>
      <c r="B192" s="10" t="str">
        <f>IF('Raw Data'!B179&lt;&gt;"",'Raw Data'!B179,"")</f>
        <v/>
      </c>
      <c r="C192" s="10" t="str">
        <f>IF('Raw Data'!C179&lt;&gt;"",'Raw Data'!C179,"")</f>
        <v/>
      </c>
      <c r="D192" s="10" t="str">
        <f>IF('Raw Data'!D179&lt;&gt;"",'Raw Data'!D179,"")</f>
        <v/>
      </c>
      <c r="E192" s="10" t="str">
        <f>IF('Raw Data'!E179&lt;&gt;"",'Raw Data'!E179,"")</f>
        <v/>
      </c>
      <c r="F192" s="14" t="str">
        <f>IF('Raw Data'!A179&lt;&gt;"",AVERAGE('Raw Data'!F179,'Raw Data'!H179,'Raw Data'!J179,'Raw Data'!L179,'Raw Data'!N179),"")</f>
        <v/>
      </c>
      <c r="G192" s="14" t="str">
        <f>IF('Raw Data'!A179&lt;&gt;"",AVERAGE('Raw Data'!G179,'Raw Data'!I179,'Raw Data'!K179,'Raw Data'!M179,'Raw Data'!O179),"")</f>
        <v/>
      </c>
      <c r="H192" s="14" t="str">
        <f t="shared" si="25"/>
        <v/>
      </c>
      <c r="I192" s="14" t="str">
        <f>IF('Raw Data'!A179&lt;&gt;"",AVERAGE('Raw Data'!P179,'Raw Data'!R179,'Raw Data'!T179,'Raw Data'!V179,'Raw Data'!X179),"")</f>
        <v/>
      </c>
      <c r="J192" s="14" t="str">
        <f>IF('Raw Data'!A179&lt;&gt;"",AVERAGE('Raw Data'!Q179,'Raw Data'!S179,'Raw Data'!U179,'Raw Data'!W179,'Raw Data'!Y179),"")</f>
        <v/>
      </c>
      <c r="K192" s="14" t="str">
        <f t="shared" si="26"/>
        <v/>
      </c>
      <c r="L192" s="14" t="str">
        <f>IF('Raw Data'!A179&lt;&gt;"",AVERAGE('Raw Data'!Z179,'Raw Data'!AB179,'Raw Data'!AD179,'Raw Data'!AF179,'Raw Data'!AH179),"")</f>
        <v/>
      </c>
      <c r="M192" s="14" t="str">
        <f>IF('Raw Data'!A179&lt;&gt;"",AVERAGE('Raw Data'!AA179,'Raw Data'!AC179,'Raw Data'!AE179,'Raw Data'!AG179,'Raw Data'!AI179),"")</f>
        <v/>
      </c>
      <c r="N192" s="14" t="str">
        <f t="shared" si="27"/>
        <v/>
      </c>
      <c r="O192" s="14" t="str">
        <f>IF('Raw Data'!A179&lt;&gt;"",AVERAGE('Raw Data'!AJ179,'Raw Data'!AL179,'Raw Data'!AN179,'Raw Data'!AP179,'Raw Data'!AR179),"")</f>
        <v/>
      </c>
      <c r="P192" s="14" t="str">
        <f>IF('Raw Data'!A179&lt;&gt;"",AVERAGE('Raw Data'!AK179,'Raw Data'!AM179,'Raw Data'!AO179,'Raw Data'!AQ179,'Raw Data'!AS179),"")</f>
        <v/>
      </c>
      <c r="Q192" s="14" t="str">
        <f t="shared" si="28"/>
        <v/>
      </c>
      <c r="R192" s="14" t="str">
        <f>IF('Raw Data'!A179&lt;&gt;"",AVERAGE('Raw Data'!AT179,'Raw Data'!AV179,'Raw Data'!AX179,'Raw Data'!AZ179,'Raw Data'!BB179),"")</f>
        <v/>
      </c>
      <c r="S192" s="14" t="str">
        <f>IF('Raw Data'!A179&lt;&gt;"",AVERAGE('Raw Data'!AU179,'Raw Data'!AW179,'Raw Data'!AY179,'Raw Data'!BA179,'Raw Data'!BC179),"")</f>
        <v/>
      </c>
      <c r="T192" s="14" t="str">
        <f t="shared" si="29"/>
        <v/>
      </c>
      <c r="U192" s="14" t="str">
        <f>IF('Raw Data'!A179&lt;&gt;"",AVERAGE('Raw Data'!BD179,'Raw Data'!BF179,'Raw Data'!BH179,'Raw Data'!BJ179,'Raw Data'!BL179),"")</f>
        <v/>
      </c>
      <c r="V192" s="14" t="str">
        <f>IF('Raw Data'!A179&lt;&gt;"",AVERAGE('Raw Data'!BE179,'Raw Data'!BG179,'Raw Data'!BI179,'Raw Data'!BK179,'Raw Data'!BM179),"")</f>
        <v/>
      </c>
      <c r="W192" s="14" t="str">
        <f t="shared" si="30"/>
        <v/>
      </c>
      <c r="X192" s="14" t="str">
        <f t="shared" si="31"/>
        <v/>
      </c>
      <c r="Y192" s="14" t="str">
        <f t="shared" si="32"/>
        <v/>
      </c>
      <c r="Z192" s="14" t="str">
        <f t="shared" si="33"/>
        <v/>
      </c>
      <c r="AA192" s="14" t="str">
        <f t="shared" si="34"/>
        <v/>
      </c>
      <c r="AB192" s="25" t="str">
        <f t="shared" si="35"/>
        <v/>
      </c>
    </row>
    <row r="193" spans="1:28" x14ac:dyDescent="0.25">
      <c r="A193" s="2" t="str">
        <f>IF('Raw Data'!A180&lt;&gt;"",'Raw Data'!A180,"")</f>
        <v/>
      </c>
      <c r="B193" s="2" t="str">
        <f>IF('Raw Data'!B180&lt;&gt;"",'Raw Data'!B180,"")</f>
        <v/>
      </c>
      <c r="C193" s="2" t="str">
        <f>IF('Raw Data'!C180&lt;&gt;"",'Raw Data'!C180,"")</f>
        <v/>
      </c>
      <c r="D193" s="2" t="str">
        <f>IF('Raw Data'!D180&lt;&gt;"",'Raw Data'!D180,"")</f>
        <v/>
      </c>
      <c r="E193" s="2" t="str">
        <f>IF('Raw Data'!E180&lt;&gt;"",'Raw Data'!E180,"")</f>
        <v/>
      </c>
      <c r="F193" s="11" t="str">
        <f>IF('Raw Data'!A180&lt;&gt;"",AVERAGE('Raw Data'!F180,'Raw Data'!H180,'Raw Data'!J180,'Raw Data'!L180,'Raw Data'!N180),"")</f>
        <v/>
      </c>
      <c r="G193" s="11" t="str">
        <f>IF('Raw Data'!A180&lt;&gt;"",AVERAGE('Raw Data'!G180,'Raw Data'!I180,'Raw Data'!K180,'Raw Data'!M180,'Raw Data'!O180),"")</f>
        <v/>
      </c>
      <c r="H193" s="11" t="str">
        <f t="shared" si="25"/>
        <v/>
      </c>
      <c r="I193" s="11" t="str">
        <f>IF('Raw Data'!A180&lt;&gt;"",AVERAGE('Raw Data'!P180,'Raw Data'!R180,'Raw Data'!T180,'Raw Data'!V180,'Raw Data'!X180),"")</f>
        <v/>
      </c>
      <c r="J193" s="11" t="str">
        <f>IF('Raw Data'!A180&lt;&gt;"",AVERAGE('Raw Data'!Q180,'Raw Data'!S180,'Raw Data'!U180,'Raw Data'!W180,'Raw Data'!Y180),"")</f>
        <v/>
      </c>
      <c r="K193" s="11" t="str">
        <f t="shared" si="26"/>
        <v/>
      </c>
      <c r="L193" s="11" t="str">
        <f>IF('Raw Data'!A180&lt;&gt;"",AVERAGE('Raw Data'!Z180,'Raw Data'!AB180,'Raw Data'!AD180,'Raw Data'!AF180,'Raw Data'!AH180),"")</f>
        <v/>
      </c>
      <c r="M193" s="11" t="str">
        <f>IF('Raw Data'!A180&lt;&gt;"",AVERAGE('Raw Data'!AA180,'Raw Data'!AC180,'Raw Data'!AE180,'Raw Data'!AG180,'Raw Data'!AI180),"")</f>
        <v/>
      </c>
      <c r="N193" s="11" t="str">
        <f t="shared" si="27"/>
        <v/>
      </c>
      <c r="O193" s="11" t="str">
        <f>IF('Raw Data'!A180&lt;&gt;"",AVERAGE('Raw Data'!AJ180,'Raw Data'!AL180,'Raw Data'!AN180,'Raw Data'!AP180,'Raw Data'!AR180),"")</f>
        <v/>
      </c>
      <c r="P193" s="11" t="str">
        <f>IF('Raw Data'!A180&lt;&gt;"",AVERAGE('Raw Data'!AK180,'Raw Data'!AM180,'Raw Data'!AO180,'Raw Data'!AQ180,'Raw Data'!AS180),"")</f>
        <v/>
      </c>
      <c r="Q193" s="11" t="str">
        <f t="shared" si="28"/>
        <v/>
      </c>
      <c r="R193" s="11" t="str">
        <f>IF('Raw Data'!A180&lt;&gt;"",AVERAGE('Raw Data'!AT180,'Raw Data'!AV180,'Raw Data'!AX180,'Raw Data'!AZ180,'Raw Data'!BB180),"")</f>
        <v/>
      </c>
      <c r="S193" s="11" t="str">
        <f>IF('Raw Data'!A180&lt;&gt;"",AVERAGE('Raw Data'!AU180,'Raw Data'!AW180,'Raw Data'!AY180,'Raw Data'!BA180,'Raw Data'!BC180),"")</f>
        <v/>
      </c>
      <c r="T193" s="11" t="str">
        <f t="shared" si="29"/>
        <v/>
      </c>
      <c r="U193" s="11" t="str">
        <f>IF('Raw Data'!A180&lt;&gt;"",AVERAGE('Raw Data'!BD180,'Raw Data'!BF180,'Raw Data'!BH180,'Raw Data'!BJ180,'Raw Data'!BL180),"")</f>
        <v/>
      </c>
      <c r="V193" s="11" t="str">
        <f>IF('Raw Data'!A180&lt;&gt;"",AVERAGE('Raw Data'!BE180,'Raw Data'!BG180,'Raw Data'!BI180,'Raw Data'!BK180,'Raw Data'!BM180),"")</f>
        <v/>
      </c>
      <c r="W193" s="11" t="str">
        <f t="shared" si="30"/>
        <v/>
      </c>
      <c r="X193" s="11" t="str">
        <f t="shared" si="31"/>
        <v/>
      </c>
      <c r="Y193" s="11" t="str">
        <f t="shared" si="32"/>
        <v/>
      </c>
      <c r="Z193" s="11" t="str">
        <f t="shared" si="33"/>
        <v/>
      </c>
      <c r="AA193" s="11" t="str">
        <f t="shared" si="34"/>
        <v/>
      </c>
      <c r="AB193" s="24" t="str">
        <f t="shared" si="35"/>
        <v/>
      </c>
    </row>
    <row r="194" spans="1:28" x14ac:dyDescent="0.25">
      <c r="A194" s="10" t="str">
        <f>IF('Raw Data'!A181&lt;&gt;"",'Raw Data'!A181,"")</f>
        <v/>
      </c>
      <c r="B194" s="10" t="str">
        <f>IF('Raw Data'!B181&lt;&gt;"",'Raw Data'!B181,"")</f>
        <v/>
      </c>
      <c r="C194" s="10" t="str">
        <f>IF('Raw Data'!C181&lt;&gt;"",'Raw Data'!C181,"")</f>
        <v/>
      </c>
      <c r="D194" s="10" t="str">
        <f>IF('Raw Data'!D181&lt;&gt;"",'Raw Data'!D181,"")</f>
        <v/>
      </c>
      <c r="E194" s="10" t="str">
        <f>IF('Raw Data'!E181&lt;&gt;"",'Raw Data'!E181,"")</f>
        <v/>
      </c>
      <c r="F194" s="14" t="str">
        <f>IF('Raw Data'!A181&lt;&gt;"",AVERAGE('Raw Data'!F181,'Raw Data'!H181,'Raw Data'!J181,'Raw Data'!L181,'Raw Data'!N181),"")</f>
        <v/>
      </c>
      <c r="G194" s="14" t="str">
        <f>IF('Raw Data'!A181&lt;&gt;"",AVERAGE('Raw Data'!G181,'Raw Data'!I181,'Raw Data'!K181,'Raw Data'!M181,'Raw Data'!O181),"")</f>
        <v/>
      </c>
      <c r="H194" s="14" t="str">
        <f t="shared" si="25"/>
        <v/>
      </c>
      <c r="I194" s="14" t="str">
        <f>IF('Raw Data'!A181&lt;&gt;"",AVERAGE('Raw Data'!P181,'Raw Data'!R181,'Raw Data'!T181,'Raw Data'!V181,'Raw Data'!X181),"")</f>
        <v/>
      </c>
      <c r="J194" s="14" t="str">
        <f>IF('Raw Data'!A181&lt;&gt;"",AVERAGE('Raw Data'!Q181,'Raw Data'!S181,'Raw Data'!U181,'Raw Data'!W181,'Raw Data'!Y181),"")</f>
        <v/>
      </c>
      <c r="K194" s="14" t="str">
        <f t="shared" si="26"/>
        <v/>
      </c>
      <c r="L194" s="14" t="str">
        <f>IF('Raw Data'!A181&lt;&gt;"",AVERAGE('Raw Data'!Z181,'Raw Data'!AB181,'Raw Data'!AD181,'Raw Data'!AF181,'Raw Data'!AH181),"")</f>
        <v/>
      </c>
      <c r="M194" s="14" t="str">
        <f>IF('Raw Data'!A181&lt;&gt;"",AVERAGE('Raw Data'!AA181,'Raw Data'!AC181,'Raw Data'!AE181,'Raw Data'!AG181,'Raw Data'!AI181),"")</f>
        <v/>
      </c>
      <c r="N194" s="14" t="str">
        <f t="shared" si="27"/>
        <v/>
      </c>
      <c r="O194" s="14" t="str">
        <f>IF('Raw Data'!A181&lt;&gt;"",AVERAGE('Raw Data'!AJ181,'Raw Data'!AL181,'Raw Data'!AN181,'Raw Data'!AP181,'Raw Data'!AR181),"")</f>
        <v/>
      </c>
      <c r="P194" s="14" t="str">
        <f>IF('Raw Data'!A181&lt;&gt;"",AVERAGE('Raw Data'!AK181,'Raw Data'!AM181,'Raw Data'!AO181,'Raw Data'!AQ181,'Raw Data'!AS181),"")</f>
        <v/>
      </c>
      <c r="Q194" s="14" t="str">
        <f t="shared" si="28"/>
        <v/>
      </c>
      <c r="R194" s="14" t="str">
        <f>IF('Raw Data'!A181&lt;&gt;"",AVERAGE('Raw Data'!AT181,'Raw Data'!AV181,'Raw Data'!AX181,'Raw Data'!AZ181,'Raw Data'!BB181),"")</f>
        <v/>
      </c>
      <c r="S194" s="14" t="str">
        <f>IF('Raw Data'!A181&lt;&gt;"",AVERAGE('Raw Data'!AU181,'Raw Data'!AW181,'Raw Data'!AY181,'Raw Data'!BA181,'Raw Data'!BC181),"")</f>
        <v/>
      </c>
      <c r="T194" s="14" t="str">
        <f t="shared" si="29"/>
        <v/>
      </c>
      <c r="U194" s="14" t="str">
        <f>IF('Raw Data'!A181&lt;&gt;"",AVERAGE('Raw Data'!BD181,'Raw Data'!BF181,'Raw Data'!BH181,'Raw Data'!BJ181,'Raw Data'!BL181),"")</f>
        <v/>
      </c>
      <c r="V194" s="14" t="str">
        <f>IF('Raw Data'!A181&lt;&gt;"",AVERAGE('Raw Data'!BE181,'Raw Data'!BG181,'Raw Data'!BI181,'Raw Data'!BK181,'Raw Data'!BM181),"")</f>
        <v/>
      </c>
      <c r="W194" s="14" t="str">
        <f t="shared" si="30"/>
        <v/>
      </c>
      <c r="X194" s="14" t="str">
        <f t="shared" si="31"/>
        <v/>
      </c>
      <c r="Y194" s="14" t="str">
        <f t="shared" si="32"/>
        <v/>
      </c>
      <c r="Z194" s="14" t="str">
        <f t="shared" si="33"/>
        <v/>
      </c>
      <c r="AA194" s="14" t="str">
        <f t="shared" si="34"/>
        <v/>
      </c>
      <c r="AB194" s="25" t="str">
        <f t="shared" si="35"/>
        <v/>
      </c>
    </row>
    <row r="195" spans="1:28" x14ac:dyDescent="0.25">
      <c r="A195" s="2" t="str">
        <f>IF('Raw Data'!A182&lt;&gt;"",'Raw Data'!A182,"")</f>
        <v/>
      </c>
      <c r="B195" s="2" t="str">
        <f>IF('Raw Data'!B182&lt;&gt;"",'Raw Data'!B182,"")</f>
        <v/>
      </c>
      <c r="C195" s="2" t="str">
        <f>IF('Raw Data'!C182&lt;&gt;"",'Raw Data'!C182,"")</f>
        <v/>
      </c>
      <c r="D195" s="2" t="str">
        <f>IF('Raw Data'!D182&lt;&gt;"",'Raw Data'!D182,"")</f>
        <v/>
      </c>
      <c r="E195" s="2" t="str">
        <f>IF('Raw Data'!E182&lt;&gt;"",'Raw Data'!E182,"")</f>
        <v/>
      </c>
      <c r="F195" s="11" t="str">
        <f>IF('Raw Data'!A182&lt;&gt;"",AVERAGE('Raw Data'!F182,'Raw Data'!H182,'Raw Data'!J182,'Raw Data'!L182,'Raw Data'!N182),"")</f>
        <v/>
      </c>
      <c r="G195" s="11" t="str">
        <f>IF('Raw Data'!A182&lt;&gt;"",AVERAGE('Raw Data'!G182,'Raw Data'!I182,'Raw Data'!K182,'Raw Data'!M182,'Raw Data'!O182),"")</f>
        <v/>
      </c>
      <c r="H195" s="11" t="str">
        <f t="shared" si="25"/>
        <v/>
      </c>
      <c r="I195" s="11" t="str">
        <f>IF('Raw Data'!A182&lt;&gt;"",AVERAGE('Raw Data'!P182,'Raw Data'!R182,'Raw Data'!T182,'Raw Data'!V182,'Raw Data'!X182),"")</f>
        <v/>
      </c>
      <c r="J195" s="11" t="str">
        <f>IF('Raw Data'!A182&lt;&gt;"",AVERAGE('Raw Data'!Q182,'Raw Data'!S182,'Raw Data'!U182,'Raw Data'!W182,'Raw Data'!Y182),"")</f>
        <v/>
      </c>
      <c r="K195" s="11" t="str">
        <f t="shared" si="26"/>
        <v/>
      </c>
      <c r="L195" s="11" t="str">
        <f>IF('Raw Data'!A182&lt;&gt;"",AVERAGE('Raw Data'!Z182,'Raw Data'!AB182,'Raw Data'!AD182,'Raw Data'!AF182,'Raw Data'!AH182),"")</f>
        <v/>
      </c>
      <c r="M195" s="11" t="str">
        <f>IF('Raw Data'!A182&lt;&gt;"",AVERAGE('Raw Data'!AA182,'Raw Data'!AC182,'Raw Data'!AE182,'Raw Data'!AG182,'Raw Data'!AI182),"")</f>
        <v/>
      </c>
      <c r="N195" s="11" t="str">
        <f t="shared" si="27"/>
        <v/>
      </c>
      <c r="O195" s="11" t="str">
        <f>IF('Raw Data'!A182&lt;&gt;"",AVERAGE('Raw Data'!AJ182,'Raw Data'!AL182,'Raw Data'!AN182,'Raw Data'!AP182,'Raw Data'!AR182),"")</f>
        <v/>
      </c>
      <c r="P195" s="11" t="str">
        <f>IF('Raw Data'!A182&lt;&gt;"",AVERAGE('Raw Data'!AK182,'Raw Data'!AM182,'Raw Data'!AO182,'Raw Data'!AQ182,'Raw Data'!AS182),"")</f>
        <v/>
      </c>
      <c r="Q195" s="11" t="str">
        <f t="shared" si="28"/>
        <v/>
      </c>
      <c r="R195" s="11" t="str">
        <f>IF('Raw Data'!A182&lt;&gt;"",AVERAGE('Raw Data'!AT182,'Raw Data'!AV182,'Raw Data'!AX182,'Raw Data'!AZ182,'Raw Data'!BB182),"")</f>
        <v/>
      </c>
      <c r="S195" s="11" t="str">
        <f>IF('Raw Data'!A182&lt;&gt;"",AVERAGE('Raw Data'!AU182,'Raw Data'!AW182,'Raw Data'!AY182,'Raw Data'!BA182,'Raw Data'!BC182),"")</f>
        <v/>
      </c>
      <c r="T195" s="11" t="str">
        <f t="shared" si="29"/>
        <v/>
      </c>
      <c r="U195" s="11" t="str">
        <f>IF('Raw Data'!A182&lt;&gt;"",AVERAGE('Raw Data'!BD182,'Raw Data'!BF182,'Raw Data'!BH182,'Raw Data'!BJ182,'Raw Data'!BL182),"")</f>
        <v/>
      </c>
      <c r="V195" s="11" t="str">
        <f>IF('Raw Data'!A182&lt;&gt;"",AVERAGE('Raw Data'!BE182,'Raw Data'!BG182,'Raw Data'!BI182,'Raw Data'!BK182,'Raw Data'!BM182),"")</f>
        <v/>
      </c>
      <c r="W195" s="11" t="str">
        <f t="shared" si="30"/>
        <v/>
      </c>
      <c r="X195" s="11" t="str">
        <f t="shared" si="31"/>
        <v/>
      </c>
      <c r="Y195" s="11" t="str">
        <f t="shared" si="32"/>
        <v/>
      </c>
      <c r="Z195" s="11" t="str">
        <f t="shared" si="33"/>
        <v/>
      </c>
      <c r="AA195" s="11" t="str">
        <f t="shared" si="34"/>
        <v/>
      </c>
      <c r="AB195" s="24" t="str">
        <f t="shared" si="35"/>
        <v/>
      </c>
    </row>
    <row r="196" spans="1:28" x14ac:dyDescent="0.25">
      <c r="A196" s="10" t="str">
        <f>IF('Raw Data'!A183&lt;&gt;"",'Raw Data'!A183,"")</f>
        <v/>
      </c>
      <c r="B196" s="10" t="str">
        <f>IF('Raw Data'!B183&lt;&gt;"",'Raw Data'!B183,"")</f>
        <v/>
      </c>
      <c r="C196" s="10" t="str">
        <f>IF('Raw Data'!C183&lt;&gt;"",'Raw Data'!C183,"")</f>
        <v/>
      </c>
      <c r="D196" s="10" t="str">
        <f>IF('Raw Data'!D183&lt;&gt;"",'Raw Data'!D183,"")</f>
        <v/>
      </c>
      <c r="E196" s="10" t="str">
        <f>IF('Raw Data'!E183&lt;&gt;"",'Raw Data'!E183,"")</f>
        <v/>
      </c>
      <c r="F196" s="14" t="str">
        <f>IF('Raw Data'!A183&lt;&gt;"",AVERAGE('Raw Data'!F183,'Raw Data'!H183,'Raw Data'!J183,'Raw Data'!L183,'Raw Data'!N183),"")</f>
        <v/>
      </c>
      <c r="G196" s="14" t="str">
        <f>IF('Raw Data'!A183&lt;&gt;"",AVERAGE('Raw Data'!G183,'Raw Data'!I183,'Raw Data'!K183,'Raw Data'!M183,'Raw Data'!O183),"")</f>
        <v/>
      </c>
      <c r="H196" s="14" t="str">
        <f t="shared" si="25"/>
        <v/>
      </c>
      <c r="I196" s="14" t="str">
        <f>IF('Raw Data'!A183&lt;&gt;"",AVERAGE('Raw Data'!P183,'Raw Data'!R183,'Raw Data'!T183,'Raw Data'!V183,'Raw Data'!X183),"")</f>
        <v/>
      </c>
      <c r="J196" s="14" t="str">
        <f>IF('Raw Data'!A183&lt;&gt;"",AVERAGE('Raw Data'!Q183,'Raw Data'!S183,'Raw Data'!U183,'Raw Data'!W183,'Raw Data'!Y183),"")</f>
        <v/>
      </c>
      <c r="K196" s="14" t="str">
        <f t="shared" si="26"/>
        <v/>
      </c>
      <c r="L196" s="14" t="str">
        <f>IF('Raw Data'!A183&lt;&gt;"",AVERAGE('Raw Data'!Z183,'Raw Data'!AB183,'Raw Data'!AD183,'Raw Data'!AF183,'Raw Data'!AH183),"")</f>
        <v/>
      </c>
      <c r="M196" s="14" t="str">
        <f>IF('Raw Data'!A183&lt;&gt;"",AVERAGE('Raw Data'!AA183,'Raw Data'!AC183,'Raw Data'!AE183,'Raw Data'!AG183,'Raw Data'!AI183),"")</f>
        <v/>
      </c>
      <c r="N196" s="14" t="str">
        <f t="shared" si="27"/>
        <v/>
      </c>
      <c r="O196" s="14" t="str">
        <f>IF('Raw Data'!A183&lt;&gt;"",AVERAGE('Raw Data'!AJ183,'Raw Data'!AL183,'Raw Data'!AN183,'Raw Data'!AP183,'Raw Data'!AR183),"")</f>
        <v/>
      </c>
      <c r="P196" s="14" t="str">
        <f>IF('Raw Data'!A183&lt;&gt;"",AVERAGE('Raw Data'!AK183,'Raw Data'!AM183,'Raw Data'!AO183,'Raw Data'!AQ183,'Raw Data'!AS183),"")</f>
        <v/>
      </c>
      <c r="Q196" s="14" t="str">
        <f t="shared" si="28"/>
        <v/>
      </c>
      <c r="R196" s="14" t="str">
        <f>IF('Raw Data'!A183&lt;&gt;"",AVERAGE('Raw Data'!AT183,'Raw Data'!AV183,'Raw Data'!AX183,'Raw Data'!AZ183,'Raw Data'!BB183),"")</f>
        <v/>
      </c>
      <c r="S196" s="14" t="str">
        <f>IF('Raw Data'!A183&lt;&gt;"",AVERAGE('Raw Data'!AU183,'Raw Data'!AW183,'Raw Data'!AY183,'Raw Data'!BA183,'Raw Data'!BC183),"")</f>
        <v/>
      </c>
      <c r="T196" s="14" t="str">
        <f t="shared" si="29"/>
        <v/>
      </c>
      <c r="U196" s="14" t="str">
        <f>IF('Raw Data'!A183&lt;&gt;"",AVERAGE('Raw Data'!BD183,'Raw Data'!BF183,'Raw Data'!BH183,'Raw Data'!BJ183,'Raw Data'!BL183),"")</f>
        <v/>
      </c>
      <c r="V196" s="14" t="str">
        <f>IF('Raw Data'!A183&lt;&gt;"",AVERAGE('Raw Data'!BE183,'Raw Data'!BG183,'Raw Data'!BI183,'Raw Data'!BK183,'Raw Data'!BM183),"")</f>
        <v/>
      </c>
      <c r="W196" s="14" t="str">
        <f t="shared" si="30"/>
        <v/>
      </c>
      <c r="X196" s="14" t="str">
        <f t="shared" si="31"/>
        <v/>
      </c>
      <c r="Y196" s="14" t="str">
        <f t="shared" si="32"/>
        <v/>
      </c>
      <c r="Z196" s="14" t="str">
        <f t="shared" si="33"/>
        <v/>
      </c>
      <c r="AA196" s="14" t="str">
        <f t="shared" si="34"/>
        <v/>
      </c>
      <c r="AB196" s="25" t="str">
        <f t="shared" si="35"/>
        <v/>
      </c>
    </row>
    <row r="197" spans="1:28" x14ac:dyDescent="0.25">
      <c r="A197" s="2" t="str">
        <f>IF('Raw Data'!A184&lt;&gt;"",'Raw Data'!A184,"")</f>
        <v/>
      </c>
      <c r="B197" s="2" t="str">
        <f>IF('Raw Data'!B184&lt;&gt;"",'Raw Data'!B184,"")</f>
        <v/>
      </c>
      <c r="C197" s="2" t="str">
        <f>IF('Raw Data'!C184&lt;&gt;"",'Raw Data'!C184,"")</f>
        <v/>
      </c>
      <c r="D197" s="2" t="str">
        <f>IF('Raw Data'!D184&lt;&gt;"",'Raw Data'!D184,"")</f>
        <v/>
      </c>
      <c r="E197" s="2" t="str">
        <f>IF('Raw Data'!E184&lt;&gt;"",'Raw Data'!E184,"")</f>
        <v/>
      </c>
      <c r="F197" s="11" t="str">
        <f>IF('Raw Data'!A184&lt;&gt;"",AVERAGE('Raw Data'!F184,'Raw Data'!H184,'Raw Data'!J184,'Raw Data'!L184,'Raw Data'!N184),"")</f>
        <v/>
      </c>
      <c r="G197" s="11" t="str">
        <f>IF('Raw Data'!A184&lt;&gt;"",AVERAGE('Raw Data'!G184,'Raw Data'!I184,'Raw Data'!K184,'Raw Data'!M184,'Raw Data'!O184),"")</f>
        <v/>
      </c>
      <c r="H197" s="11" t="str">
        <f t="shared" si="25"/>
        <v/>
      </c>
      <c r="I197" s="11" t="str">
        <f>IF('Raw Data'!A184&lt;&gt;"",AVERAGE('Raw Data'!P184,'Raw Data'!R184,'Raw Data'!T184,'Raw Data'!V184,'Raw Data'!X184),"")</f>
        <v/>
      </c>
      <c r="J197" s="11" t="str">
        <f>IF('Raw Data'!A184&lt;&gt;"",AVERAGE('Raw Data'!Q184,'Raw Data'!S184,'Raw Data'!U184,'Raw Data'!W184,'Raw Data'!Y184),"")</f>
        <v/>
      </c>
      <c r="K197" s="11" t="str">
        <f t="shared" si="26"/>
        <v/>
      </c>
      <c r="L197" s="11" t="str">
        <f>IF('Raw Data'!A184&lt;&gt;"",AVERAGE('Raw Data'!Z184,'Raw Data'!AB184,'Raw Data'!AD184,'Raw Data'!AF184,'Raw Data'!AH184),"")</f>
        <v/>
      </c>
      <c r="M197" s="11" t="str">
        <f>IF('Raw Data'!A184&lt;&gt;"",AVERAGE('Raw Data'!AA184,'Raw Data'!AC184,'Raw Data'!AE184,'Raw Data'!AG184,'Raw Data'!AI184),"")</f>
        <v/>
      </c>
      <c r="N197" s="11" t="str">
        <f t="shared" si="27"/>
        <v/>
      </c>
      <c r="O197" s="11" t="str">
        <f>IF('Raw Data'!A184&lt;&gt;"",AVERAGE('Raw Data'!AJ184,'Raw Data'!AL184,'Raw Data'!AN184,'Raw Data'!AP184,'Raw Data'!AR184),"")</f>
        <v/>
      </c>
      <c r="P197" s="11" t="str">
        <f>IF('Raw Data'!A184&lt;&gt;"",AVERAGE('Raw Data'!AK184,'Raw Data'!AM184,'Raw Data'!AO184,'Raw Data'!AQ184,'Raw Data'!AS184),"")</f>
        <v/>
      </c>
      <c r="Q197" s="11" t="str">
        <f t="shared" si="28"/>
        <v/>
      </c>
      <c r="R197" s="11" t="str">
        <f>IF('Raw Data'!A184&lt;&gt;"",AVERAGE('Raw Data'!AT184,'Raw Data'!AV184,'Raw Data'!AX184,'Raw Data'!AZ184,'Raw Data'!BB184),"")</f>
        <v/>
      </c>
      <c r="S197" s="11" t="str">
        <f>IF('Raw Data'!A184&lt;&gt;"",AVERAGE('Raw Data'!AU184,'Raw Data'!AW184,'Raw Data'!AY184,'Raw Data'!BA184,'Raw Data'!BC184),"")</f>
        <v/>
      </c>
      <c r="T197" s="11" t="str">
        <f t="shared" si="29"/>
        <v/>
      </c>
      <c r="U197" s="11" t="str">
        <f>IF('Raw Data'!A184&lt;&gt;"",AVERAGE('Raw Data'!BD184,'Raw Data'!BF184,'Raw Data'!BH184,'Raw Data'!BJ184,'Raw Data'!BL184),"")</f>
        <v/>
      </c>
      <c r="V197" s="11" t="str">
        <f>IF('Raw Data'!A184&lt;&gt;"",AVERAGE('Raw Data'!BE184,'Raw Data'!BG184,'Raw Data'!BI184,'Raw Data'!BK184,'Raw Data'!BM184),"")</f>
        <v/>
      </c>
      <c r="W197" s="11" t="str">
        <f t="shared" si="30"/>
        <v/>
      </c>
      <c r="X197" s="11" t="str">
        <f t="shared" si="31"/>
        <v/>
      </c>
      <c r="Y197" s="11" t="str">
        <f t="shared" si="32"/>
        <v/>
      </c>
      <c r="Z197" s="11" t="str">
        <f t="shared" si="33"/>
        <v/>
      </c>
      <c r="AA197" s="11" t="str">
        <f t="shared" si="34"/>
        <v/>
      </c>
      <c r="AB197" s="24" t="str">
        <f t="shared" si="35"/>
        <v/>
      </c>
    </row>
    <row r="198" spans="1:28" x14ac:dyDescent="0.25">
      <c r="A198" s="10" t="str">
        <f>IF('Raw Data'!A185&lt;&gt;"",'Raw Data'!A185,"")</f>
        <v/>
      </c>
      <c r="B198" s="10" t="str">
        <f>IF('Raw Data'!B185&lt;&gt;"",'Raw Data'!B185,"")</f>
        <v/>
      </c>
      <c r="C198" s="10" t="str">
        <f>IF('Raw Data'!C185&lt;&gt;"",'Raw Data'!C185,"")</f>
        <v/>
      </c>
      <c r="D198" s="10" t="str">
        <f>IF('Raw Data'!D185&lt;&gt;"",'Raw Data'!D185,"")</f>
        <v/>
      </c>
      <c r="E198" s="10" t="str">
        <f>IF('Raw Data'!E185&lt;&gt;"",'Raw Data'!E185,"")</f>
        <v/>
      </c>
      <c r="F198" s="14" t="str">
        <f>IF('Raw Data'!A185&lt;&gt;"",AVERAGE('Raw Data'!F185,'Raw Data'!H185,'Raw Data'!J185,'Raw Data'!L185,'Raw Data'!N185),"")</f>
        <v/>
      </c>
      <c r="G198" s="14" t="str">
        <f>IF('Raw Data'!A185&lt;&gt;"",AVERAGE('Raw Data'!G185,'Raw Data'!I185,'Raw Data'!K185,'Raw Data'!M185,'Raw Data'!O185),"")</f>
        <v/>
      </c>
      <c r="H198" s="14" t="str">
        <f t="shared" si="25"/>
        <v/>
      </c>
      <c r="I198" s="14" t="str">
        <f>IF('Raw Data'!A185&lt;&gt;"",AVERAGE('Raw Data'!P185,'Raw Data'!R185,'Raw Data'!T185,'Raw Data'!V185,'Raw Data'!X185),"")</f>
        <v/>
      </c>
      <c r="J198" s="14" t="str">
        <f>IF('Raw Data'!A185&lt;&gt;"",AVERAGE('Raw Data'!Q185,'Raw Data'!S185,'Raw Data'!U185,'Raw Data'!W185,'Raw Data'!Y185),"")</f>
        <v/>
      </c>
      <c r="K198" s="14" t="str">
        <f t="shared" si="26"/>
        <v/>
      </c>
      <c r="L198" s="14" t="str">
        <f>IF('Raw Data'!A185&lt;&gt;"",AVERAGE('Raw Data'!Z185,'Raw Data'!AB185,'Raw Data'!AD185,'Raw Data'!AF185,'Raw Data'!AH185),"")</f>
        <v/>
      </c>
      <c r="M198" s="14" t="str">
        <f>IF('Raw Data'!A185&lt;&gt;"",AVERAGE('Raw Data'!AA185,'Raw Data'!AC185,'Raw Data'!AE185,'Raw Data'!AG185,'Raw Data'!AI185),"")</f>
        <v/>
      </c>
      <c r="N198" s="14" t="str">
        <f t="shared" si="27"/>
        <v/>
      </c>
      <c r="O198" s="14" t="str">
        <f>IF('Raw Data'!A185&lt;&gt;"",AVERAGE('Raw Data'!AJ185,'Raw Data'!AL185,'Raw Data'!AN185,'Raw Data'!AP185,'Raw Data'!AR185),"")</f>
        <v/>
      </c>
      <c r="P198" s="14" t="str">
        <f>IF('Raw Data'!A185&lt;&gt;"",AVERAGE('Raw Data'!AK185,'Raw Data'!AM185,'Raw Data'!AO185,'Raw Data'!AQ185,'Raw Data'!AS185),"")</f>
        <v/>
      </c>
      <c r="Q198" s="14" t="str">
        <f t="shared" si="28"/>
        <v/>
      </c>
      <c r="R198" s="14" t="str">
        <f>IF('Raw Data'!A185&lt;&gt;"",AVERAGE('Raw Data'!AT185,'Raw Data'!AV185,'Raw Data'!AX185,'Raw Data'!AZ185,'Raw Data'!BB185),"")</f>
        <v/>
      </c>
      <c r="S198" s="14" t="str">
        <f>IF('Raw Data'!A185&lt;&gt;"",AVERAGE('Raw Data'!AU185,'Raw Data'!AW185,'Raw Data'!AY185,'Raw Data'!BA185,'Raw Data'!BC185),"")</f>
        <v/>
      </c>
      <c r="T198" s="14" t="str">
        <f t="shared" si="29"/>
        <v/>
      </c>
      <c r="U198" s="14" t="str">
        <f>IF('Raw Data'!A185&lt;&gt;"",AVERAGE('Raw Data'!BD185,'Raw Data'!BF185,'Raw Data'!BH185,'Raw Data'!BJ185,'Raw Data'!BL185),"")</f>
        <v/>
      </c>
      <c r="V198" s="14" t="str">
        <f>IF('Raw Data'!A185&lt;&gt;"",AVERAGE('Raw Data'!BE185,'Raw Data'!BG185,'Raw Data'!BI185,'Raw Data'!BK185,'Raw Data'!BM185),"")</f>
        <v/>
      </c>
      <c r="W198" s="14" t="str">
        <f t="shared" si="30"/>
        <v/>
      </c>
      <c r="X198" s="14" t="str">
        <f t="shared" si="31"/>
        <v/>
      </c>
      <c r="Y198" s="14" t="str">
        <f t="shared" si="32"/>
        <v/>
      </c>
      <c r="Z198" s="14" t="str">
        <f t="shared" si="33"/>
        <v/>
      </c>
      <c r="AA198" s="14" t="str">
        <f t="shared" si="34"/>
        <v/>
      </c>
      <c r="AB198" s="25" t="str">
        <f t="shared" si="35"/>
        <v/>
      </c>
    </row>
    <row r="199" spans="1:28" x14ac:dyDescent="0.25">
      <c r="A199" s="2" t="str">
        <f>IF('Raw Data'!A186&lt;&gt;"",'Raw Data'!A186,"")</f>
        <v/>
      </c>
      <c r="B199" s="2" t="str">
        <f>IF('Raw Data'!B186&lt;&gt;"",'Raw Data'!B186,"")</f>
        <v/>
      </c>
      <c r="C199" s="2" t="str">
        <f>IF('Raw Data'!C186&lt;&gt;"",'Raw Data'!C186,"")</f>
        <v/>
      </c>
      <c r="D199" s="2" t="str">
        <f>IF('Raw Data'!D186&lt;&gt;"",'Raw Data'!D186,"")</f>
        <v/>
      </c>
      <c r="E199" s="2" t="str">
        <f>IF('Raw Data'!E186&lt;&gt;"",'Raw Data'!E186,"")</f>
        <v/>
      </c>
      <c r="F199" s="11" t="str">
        <f>IF('Raw Data'!A186&lt;&gt;"",AVERAGE('Raw Data'!F186,'Raw Data'!H186,'Raw Data'!J186,'Raw Data'!L186,'Raw Data'!N186),"")</f>
        <v/>
      </c>
      <c r="G199" s="11" t="str">
        <f>IF('Raw Data'!A186&lt;&gt;"",AVERAGE('Raw Data'!G186,'Raw Data'!I186,'Raw Data'!K186,'Raw Data'!M186,'Raw Data'!O186),"")</f>
        <v/>
      </c>
      <c r="H199" s="11" t="str">
        <f t="shared" si="25"/>
        <v/>
      </c>
      <c r="I199" s="11" t="str">
        <f>IF('Raw Data'!A186&lt;&gt;"",AVERAGE('Raw Data'!P186,'Raw Data'!R186,'Raw Data'!T186,'Raw Data'!V186,'Raw Data'!X186),"")</f>
        <v/>
      </c>
      <c r="J199" s="11" t="str">
        <f>IF('Raw Data'!A186&lt;&gt;"",AVERAGE('Raw Data'!Q186,'Raw Data'!S186,'Raw Data'!U186,'Raw Data'!W186,'Raw Data'!Y186),"")</f>
        <v/>
      </c>
      <c r="K199" s="11" t="str">
        <f t="shared" si="26"/>
        <v/>
      </c>
      <c r="L199" s="11" t="str">
        <f>IF('Raw Data'!A186&lt;&gt;"",AVERAGE('Raw Data'!Z186,'Raw Data'!AB186,'Raw Data'!AD186,'Raw Data'!AF186,'Raw Data'!AH186),"")</f>
        <v/>
      </c>
      <c r="M199" s="11" t="str">
        <f>IF('Raw Data'!A186&lt;&gt;"",AVERAGE('Raw Data'!AA186,'Raw Data'!AC186,'Raw Data'!AE186,'Raw Data'!AG186,'Raw Data'!AI186),"")</f>
        <v/>
      </c>
      <c r="N199" s="11" t="str">
        <f t="shared" si="27"/>
        <v/>
      </c>
      <c r="O199" s="11" t="str">
        <f>IF('Raw Data'!A186&lt;&gt;"",AVERAGE('Raw Data'!AJ186,'Raw Data'!AL186,'Raw Data'!AN186,'Raw Data'!AP186,'Raw Data'!AR186),"")</f>
        <v/>
      </c>
      <c r="P199" s="11" t="str">
        <f>IF('Raw Data'!A186&lt;&gt;"",AVERAGE('Raw Data'!AK186,'Raw Data'!AM186,'Raw Data'!AO186,'Raw Data'!AQ186,'Raw Data'!AS186),"")</f>
        <v/>
      </c>
      <c r="Q199" s="11" t="str">
        <f t="shared" si="28"/>
        <v/>
      </c>
      <c r="R199" s="11" t="str">
        <f>IF('Raw Data'!A186&lt;&gt;"",AVERAGE('Raw Data'!AT186,'Raw Data'!AV186,'Raw Data'!AX186,'Raw Data'!AZ186,'Raw Data'!BB186),"")</f>
        <v/>
      </c>
      <c r="S199" s="11" t="str">
        <f>IF('Raw Data'!A186&lt;&gt;"",AVERAGE('Raw Data'!AU186,'Raw Data'!AW186,'Raw Data'!AY186,'Raw Data'!BA186,'Raw Data'!BC186),"")</f>
        <v/>
      </c>
      <c r="T199" s="11" t="str">
        <f t="shared" si="29"/>
        <v/>
      </c>
      <c r="U199" s="11" t="str">
        <f>IF('Raw Data'!A186&lt;&gt;"",AVERAGE('Raw Data'!BD186,'Raw Data'!BF186,'Raw Data'!BH186,'Raw Data'!BJ186,'Raw Data'!BL186),"")</f>
        <v/>
      </c>
      <c r="V199" s="11" t="str">
        <f>IF('Raw Data'!A186&lt;&gt;"",AVERAGE('Raw Data'!BE186,'Raw Data'!BG186,'Raw Data'!BI186,'Raw Data'!BK186,'Raw Data'!BM186),"")</f>
        <v/>
      </c>
      <c r="W199" s="11" t="str">
        <f t="shared" si="30"/>
        <v/>
      </c>
      <c r="X199" s="11" t="str">
        <f t="shared" si="31"/>
        <v/>
      </c>
      <c r="Y199" s="11" t="str">
        <f t="shared" si="32"/>
        <v/>
      </c>
      <c r="Z199" s="11" t="str">
        <f t="shared" si="33"/>
        <v/>
      </c>
      <c r="AA199" s="11" t="str">
        <f t="shared" si="34"/>
        <v/>
      </c>
      <c r="AB199" s="24" t="str">
        <f t="shared" si="35"/>
        <v/>
      </c>
    </row>
    <row r="200" spans="1:28" x14ac:dyDescent="0.25">
      <c r="A200" s="10" t="str">
        <f>IF('Raw Data'!A187&lt;&gt;"",'Raw Data'!A187,"")</f>
        <v/>
      </c>
      <c r="B200" s="10" t="str">
        <f>IF('Raw Data'!B187&lt;&gt;"",'Raw Data'!B187,"")</f>
        <v/>
      </c>
      <c r="C200" s="10" t="str">
        <f>IF('Raw Data'!C187&lt;&gt;"",'Raw Data'!C187,"")</f>
        <v/>
      </c>
      <c r="D200" s="10" t="str">
        <f>IF('Raw Data'!D187&lt;&gt;"",'Raw Data'!D187,"")</f>
        <v/>
      </c>
      <c r="E200" s="10" t="str">
        <f>IF('Raw Data'!E187&lt;&gt;"",'Raw Data'!E187,"")</f>
        <v/>
      </c>
      <c r="F200" s="14" t="str">
        <f>IF('Raw Data'!A187&lt;&gt;"",AVERAGE('Raw Data'!F187,'Raw Data'!H187,'Raw Data'!J187,'Raw Data'!L187,'Raw Data'!N187),"")</f>
        <v/>
      </c>
      <c r="G200" s="14" t="str">
        <f>IF('Raw Data'!A187&lt;&gt;"",AVERAGE('Raw Data'!G187,'Raw Data'!I187,'Raw Data'!K187,'Raw Data'!M187,'Raw Data'!O187),"")</f>
        <v/>
      </c>
      <c r="H200" s="14" t="str">
        <f t="shared" si="25"/>
        <v/>
      </c>
      <c r="I200" s="14" t="str">
        <f>IF('Raw Data'!A187&lt;&gt;"",AVERAGE('Raw Data'!P187,'Raw Data'!R187,'Raw Data'!T187,'Raw Data'!V187,'Raw Data'!X187),"")</f>
        <v/>
      </c>
      <c r="J200" s="14" t="str">
        <f>IF('Raw Data'!A187&lt;&gt;"",AVERAGE('Raw Data'!Q187,'Raw Data'!S187,'Raw Data'!U187,'Raw Data'!W187,'Raw Data'!Y187),"")</f>
        <v/>
      </c>
      <c r="K200" s="14" t="str">
        <f t="shared" si="26"/>
        <v/>
      </c>
      <c r="L200" s="14" t="str">
        <f>IF('Raw Data'!A187&lt;&gt;"",AVERAGE('Raw Data'!Z187,'Raw Data'!AB187,'Raw Data'!AD187,'Raw Data'!AF187,'Raw Data'!AH187),"")</f>
        <v/>
      </c>
      <c r="M200" s="14" t="str">
        <f>IF('Raw Data'!A187&lt;&gt;"",AVERAGE('Raw Data'!AA187,'Raw Data'!AC187,'Raw Data'!AE187,'Raw Data'!AG187,'Raw Data'!AI187),"")</f>
        <v/>
      </c>
      <c r="N200" s="14" t="str">
        <f t="shared" si="27"/>
        <v/>
      </c>
      <c r="O200" s="14" t="str">
        <f>IF('Raw Data'!A187&lt;&gt;"",AVERAGE('Raw Data'!AJ187,'Raw Data'!AL187,'Raw Data'!AN187,'Raw Data'!AP187,'Raw Data'!AR187),"")</f>
        <v/>
      </c>
      <c r="P200" s="14" t="str">
        <f>IF('Raw Data'!A187&lt;&gt;"",AVERAGE('Raw Data'!AK187,'Raw Data'!AM187,'Raw Data'!AO187,'Raw Data'!AQ187,'Raw Data'!AS187),"")</f>
        <v/>
      </c>
      <c r="Q200" s="14" t="str">
        <f t="shared" si="28"/>
        <v/>
      </c>
      <c r="R200" s="14" t="str">
        <f>IF('Raw Data'!A187&lt;&gt;"",AVERAGE('Raw Data'!AT187,'Raw Data'!AV187,'Raw Data'!AX187,'Raw Data'!AZ187,'Raw Data'!BB187),"")</f>
        <v/>
      </c>
      <c r="S200" s="14" t="str">
        <f>IF('Raw Data'!A187&lt;&gt;"",AVERAGE('Raw Data'!AU187,'Raw Data'!AW187,'Raw Data'!AY187,'Raw Data'!BA187,'Raw Data'!BC187),"")</f>
        <v/>
      </c>
      <c r="T200" s="14" t="str">
        <f t="shared" si="29"/>
        <v/>
      </c>
      <c r="U200" s="14" t="str">
        <f>IF('Raw Data'!A187&lt;&gt;"",AVERAGE('Raw Data'!BD187,'Raw Data'!BF187,'Raw Data'!BH187,'Raw Data'!BJ187,'Raw Data'!BL187),"")</f>
        <v/>
      </c>
      <c r="V200" s="14" t="str">
        <f>IF('Raw Data'!A187&lt;&gt;"",AVERAGE('Raw Data'!BE187,'Raw Data'!BG187,'Raw Data'!BI187,'Raw Data'!BK187,'Raw Data'!BM187),"")</f>
        <v/>
      </c>
      <c r="W200" s="14" t="str">
        <f t="shared" si="30"/>
        <v/>
      </c>
      <c r="X200" s="14" t="str">
        <f t="shared" si="31"/>
        <v/>
      </c>
      <c r="Y200" s="14" t="str">
        <f t="shared" si="32"/>
        <v/>
      </c>
      <c r="Z200" s="14" t="str">
        <f t="shared" si="33"/>
        <v/>
      </c>
      <c r="AA200" s="14" t="str">
        <f t="shared" si="34"/>
        <v/>
      </c>
      <c r="AB200" s="25" t="str">
        <f t="shared" si="35"/>
        <v/>
      </c>
    </row>
    <row r="201" spans="1:28" x14ac:dyDescent="0.25">
      <c r="A201" s="2" t="str">
        <f>IF('Raw Data'!A188&lt;&gt;"",'Raw Data'!A188,"")</f>
        <v/>
      </c>
      <c r="B201" s="2" t="str">
        <f>IF('Raw Data'!B188&lt;&gt;"",'Raw Data'!B188,"")</f>
        <v/>
      </c>
      <c r="C201" s="2" t="str">
        <f>IF('Raw Data'!C188&lt;&gt;"",'Raw Data'!C188,"")</f>
        <v/>
      </c>
      <c r="D201" s="2" t="str">
        <f>IF('Raw Data'!D188&lt;&gt;"",'Raw Data'!D188,"")</f>
        <v/>
      </c>
      <c r="E201" s="2" t="str">
        <f>IF('Raw Data'!E188&lt;&gt;"",'Raw Data'!E188,"")</f>
        <v/>
      </c>
      <c r="F201" s="11" t="str">
        <f>IF('Raw Data'!A188&lt;&gt;"",AVERAGE('Raw Data'!F188,'Raw Data'!H188,'Raw Data'!J188,'Raw Data'!L188,'Raw Data'!N188),"")</f>
        <v/>
      </c>
      <c r="G201" s="11" t="str">
        <f>IF('Raw Data'!A188&lt;&gt;"",AVERAGE('Raw Data'!G188,'Raw Data'!I188,'Raw Data'!K188,'Raw Data'!M188,'Raw Data'!O188),"")</f>
        <v/>
      </c>
      <c r="H201" s="11" t="str">
        <f t="shared" si="25"/>
        <v/>
      </c>
      <c r="I201" s="11" t="str">
        <f>IF('Raw Data'!A188&lt;&gt;"",AVERAGE('Raw Data'!P188,'Raw Data'!R188,'Raw Data'!T188,'Raw Data'!V188,'Raw Data'!X188),"")</f>
        <v/>
      </c>
      <c r="J201" s="11" t="str">
        <f>IF('Raw Data'!A188&lt;&gt;"",AVERAGE('Raw Data'!Q188,'Raw Data'!S188,'Raw Data'!U188,'Raw Data'!W188,'Raw Data'!Y188),"")</f>
        <v/>
      </c>
      <c r="K201" s="11" t="str">
        <f t="shared" si="26"/>
        <v/>
      </c>
      <c r="L201" s="11" t="str">
        <f>IF('Raw Data'!A188&lt;&gt;"",AVERAGE('Raw Data'!Z188,'Raw Data'!AB188,'Raw Data'!AD188,'Raw Data'!AF188,'Raw Data'!AH188),"")</f>
        <v/>
      </c>
      <c r="M201" s="11" t="str">
        <f>IF('Raw Data'!A188&lt;&gt;"",AVERAGE('Raw Data'!AA188,'Raw Data'!AC188,'Raw Data'!AE188,'Raw Data'!AG188,'Raw Data'!AI188),"")</f>
        <v/>
      </c>
      <c r="N201" s="11" t="str">
        <f t="shared" si="27"/>
        <v/>
      </c>
      <c r="O201" s="11" t="str">
        <f>IF('Raw Data'!A188&lt;&gt;"",AVERAGE('Raw Data'!AJ188,'Raw Data'!AL188,'Raw Data'!AN188,'Raw Data'!AP188,'Raw Data'!AR188),"")</f>
        <v/>
      </c>
      <c r="P201" s="11" t="str">
        <f>IF('Raw Data'!A188&lt;&gt;"",AVERAGE('Raw Data'!AK188,'Raw Data'!AM188,'Raw Data'!AO188,'Raw Data'!AQ188,'Raw Data'!AS188),"")</f>
        <v/>
      </c>
      <c r="Q201" s="11" t="str">
        <f t="shared" si="28"/>
        <v/>
      </c>
      <c r="R201" s="11" t="str">
        <f>IF('Raw Data'!A188&lt;&gt;"",AVERAGE('Raw Data'!AT188,'Raw Data'!AV188,'Raw Data'!AX188,'Raw Data'!AZ188,'Raw Data'!BB188),"")</f>
        <v/>
      </c>
      <c r="S201" s="11" t="str">
        <f>IF('Raw Data'!A188&lt;&gt;"",AVERAGE('Raw Data'!AU188,'Raw Data'!AW188,'Raw Data'!AY188,'Raw Data'!BA188,'Raw Data'!BC188),"")</f>
        <v/>
      </c>
      <c r="T201" s="11" t="str">
        <f t="shared" si="29"/>
        <v/>
      </c>
      <c r="U201" s="11" t="str">
        <f>IF('Raw Data'!A188&lt;&gt;"",AVERAGE('Raw Data'!BD188,'Raw Data'!BF188,'Raw Data'!BH188,'Raw Data'!BJ188,'Raw Data'!BL188),"")</f>
        <v/>
      </c>
      <c r="V201" s="11" t="str">
        <f>IF('Raw Data'!A188&lt;&gt;"",AVERAGE('Raw Data'!BE188,'Raw Data'!BG188,'Raw Data'!BI188,'Raw Data'!BK188,'Raw Data'!BM188),"")</f>
        <v/>
      </c>
      <c r="W201" s="11" t="str">
        <f t="shared" si="30"/>
        <v/>
      </c>
      <c r="X201" s="11" t="str">
        <f t="shared" si="31"/>
        <v/>
      </c>
      <c r="Y201" s="11" t="str">
        <f t="shared" si="32"/>
        <v/>
      </c>
      <c r="Z201" s="11" t="str">
        <f t="shared" si="33"/>
        <v/>
      </c>
      <c r="AA201" s="11" t="str">
        <f t="shared" si="34"/>
        <v/>
      </c>
      <c r="AB201" s="24" t="str">
        <f t="shared" si="35"/>
        <v/>
      </c>
    </row>
    <row r="202" spans="1:28" x14ac:dyDescent="0.25">
      <c r="A202" s="10" t="str">
        <f>IF('Raw Data'!A189&lt;&gt;"",'Raw Data'!A189,"")</f>
        <v/>
      </c>
      <c r="B202" s="10" t="str">
        <f>IF('Raw Data'!B189&lt;&gt;"",'Raw Data'!B189,"")</f>
        <v/>
      </c>
      <c r="C202" s="10" t="str">
        <f>IF('Raw Data'!C189&lt;&gt;"",'Raw Data'!C189,"")</f>
        <v/>
      </c>
      <c r="D202" s="10" t="str">
        <f>IF('Raw Data'!D189&lt;&gt;"",'Raw Data'!D189,"")</f>
        <v/>
      </c>
      <c r="E202" s="10" t="str">
        <f>IF('Raw Data'!E189&lt;&gt;"",'Raw Data'!E189,"")</f>
        <v/>
      </c>
      <c r="F202" s="14" t="str">
        <f>IF('Raw Data'!A189&lt;&gt;"",AVERAGE('Raw Data'!F189,'Raw Data'!H189,'Raw Data'!J189,'Raw Data'!L189,'Raw Data'!N189),"")</f>
        <v/>
      </c>
      <c r="G202" s="14" t="str">
        <f>IF('Raw Data'!A189&lt;&gt;"",AVERAGE('Raw Data'!G189,'Raw Data'!I189,'Raw Data'!K189,'Raw Data'!M189,'Raw Data'!O189),"")</f>
        <v/>
      </c>
      <c r="H202" s="14" t="str">
        <f t="shared" si="25"/>
        <v/>
      </c>
      <c r="I202" s="14" t="str">
        <f>IF('Raw Data'!A189&lt;&gt;"",AVERAGE('Raw Data'!P189,'Raw Data'!R189,'Raw Data'!T189,'Raw Data'!V189,'Raw Data'!X189),"")</f>
        <v/>
      </c>
      <c r="J202" s="14" t="str">
        <f>IF('Raw Data'!A189&lt;&gt;"",AVERAGE('Raw Data'!Q189,'Raw Data'!S189,'Raw Data'!U189,'Raw Data'!W189,'Raw Data'!Y189),"")</f>
        <v/>
      </c>
      <c r="K202" s="14" t="str">
        <f t="shared" si="26"/>
        <v/>
      </c>
      <c r="L202" s="14" t="str">
        <f>IF('Raw Data'!A189&lt;&gt;"",AVERAGE('Raw Data'!Z189,'Raw Data'!AB189,'Raw Data'!AD189,'Raw Data'!AF189,'Raw Data'!AH189),"")</f>
        <v/>
      </c>
      <c r="M202" s="14" t="str">
        <f>IF('Raw Data'!A189&lt;&gt;"",AVERAGE('Raw Data'!AA189,'Raw Data'!AC189,'Raw Data'!AE189,'Raw Data'!AG189,'Raw Data'!AI189),"")</f>
        <v/>
      </c>
      <c r="N202" s="14" t="str">
        <f t="shared" si="27"/>
        <v/>
      </c>
      <c r="O202" s="14" t="str">
        <f>IF('Raw Data'!A189&lt;&gt;"",AVERAGE('Raw Data'!AJ189,'Raw Data'!AL189,'Raw Data'!AN189,'Raw Data'!AP189,'Raw Data'!AR189),"")</f>
        <v/>
      </c>
      <c r="P202" s="14" t="str">
        <f>IF('Raw Data'!A189&lt;&gt;"",AVERAGE('Raw Data'!AK189,'Raw Data'!AM189,'Raw Data'!AO189,'Raw Data'!AQ189,'Raw Data'!AS189),"")</f>
        <v/>
      </c>
      <c r="Q202" s="14" t="str">
        <f t="shared" si="28"/>
        <v/>
      </c>
      <c r="R202" s="14" t="str">
        <f>IF('Raw Data'!A189&lt;&gt;"",AVERAGE('Raw Data'!AT189,'Raw Data'!AV189,'Raw Data'!AX189,'Raw Data'!AZ189,'Raw Data'!BB189),"")</f>
        <v/>
      </c>
      <c r="S202" s="14" t="str">
        <f>IF('Raw Data'!A189&lt;&gt;"",AVERAGE('Raw Data'!AU189,'Raw Data'!AW189,'Raw Data'!AY189,'Raw Data'!BA189,'Raw Data'!BC189),"")</f>
        <v/>
      </c>
      <c r="T202" s="14" t="str">
        <f t="shared" si="29"/>
        <v/>
      </c>
      <c r="U202" s="14" t="str">
        <f>IF('Raw Data'!A189&lt;&gt;"",AVERAGE('Raw Data'!BD189,'Raw Data'!BF189,'Raw Data'!BH189,'Raw Data'!BJ189,'Raw Data'!BL189),"")</f>
        <v/>
      </c>
      <c r="V202" s="14" t="str">
        <f>IF('Raw Data'!A189&lt;&gt;"",AVERAGE('Raw Data'!BE189,'Raw Data'!BG189,'Raw Data'!BI189,'Raw Data'!BK189,'Raw Data'!BM189),"")</f>
        <v/>
      </c>
      <c r="W202" s="14" t="str">
        <f t="shared" si="30"/>
        <v/>
      </c>
      <c r="X202" s="14" t="str">
        <f t="shared" si="31"/>
        <v/>
      </c>
      <c r="Y202" s="14" t="str">
        <f t="shared" si="32"/>
        <v/>
      </c>
      <c r="Z202" s="14" t="str">
        <f t="shared" si="33"/>
        <v/>
      </c>
      <c r="AA202" s="14" t="str">
        <f t="shared" si="34"/>
        <v/>
      </c>
      <c r="AB202" s="25" t="str">
        <f t="shared" si="35"/>
        <v/>
      </c>
    </row>
    <row r="203" spans="1:28" x14ac:dyDescent="0.25">
      <c r="A203" s="2" t="str">
        <f>IF('Raw Data'!A190&lt;&gt;"",'Raw Data'!A190,"")</f>
        <v/>
      </c>
      <c r="B203" s="2" t="str">
        <f>IF('Raw Data'!B190&lt;&gt;"",'Raw Data'!B190,"")</f>
        <v/>
      </c>
      <c r="C203" s="2" t="str">
        <f>IF('Raw Data'!C190&lt;&gt;"",'Raw Data'!C190,"")</f>
        <v/>
      </c>
      <c r="D203" s="2" t="str">
        <f>IF('Raw Data'!D190&lt;&gt;"",'Raw Data'!D190,"")</f>
        <v/>
      </c>
      <c r="E203" s="2" t="str">
        <f>IF('Raw Data'!E190&lt;&gt;"",'Raw Data'!E190,"")</f>
        <v/>
      </c>
      <c r="F203" s="11" t="str">
        <f>IF('Raw Data'!A190&lt;&gt;"",AVERAGE('Raw Data'!F190,'Raw Data'!H190,'Raw Data'!J190,'Raw Data'!L190,'Raw Data'!N190),"")</f>
        <v/>
      </c>
      <c r="G203" s="11" t="str">
        <f>IF('Raw Data'!A190&lt;&gt;"",AVERAGE('Raw Data'!G190,'Raw Data'!I190,'Raw Data'!K190,'Raw Data'!M190,'Raw Data'!O190),"")</f>
        <v/>
      </c>
      <c r="H203" s="11" t="str">
        <f t="shared" si="25"/>
        <v/>
      </c>
      <c r="I203" s="11" t="str">
        <f>IF('Raw Data'!A190&lt;&gt;"",AVERAGE('Raw Data'!P190,'Raw Data'!R190,'Raw Data'!T190,'Raw Data'!V190,'Raw Data'!X190),"")</f>
        <v/>
      </c>
      <c r="J203" s="11" t="str">
        <f>IF('Raw Data'!A190&lt;&gt;"",AVERAGE('Raw Data'!Q190,'Raw Data'!S190,'Raw Data'!U190,'Raw Data'!W190,'Raw Data'!Y190),"")</f>
        <v/>
      </c>
      <c r="K203" s="11" t="str">
        <f t="shared" si="26"/>
        <v/>
      </c>
      <c r="L203" s="11" t="str">
        <f>IF('Raw Data'!A190&lt;&gt;"",AVERAGE('Raw Data'!Z190,'Raw Data'!AB190,'Raw Data'!AD190,'Raw Data'!AF190,'Raw Data'!AH190),"")</f>
        <v/>
      </c>
      <c r="M203" s="11" t="str">
        <f>IF('Raw Data'!A190&lt;&gt;"",AVERAGE('Raw Data'!AA190,'Raw Data'!AC190,'Raw Data'!AE190,'Raw Data'!AG190,'Raw Data'!AI190),"")</f>
        <v/>
      </c>
      <c r="N203" s="11" t="str">
        <f t="shared" si="27"/>
        <v/>
      </c>
      <c r="O203" s="11" t="str">
        <f>IF('Raw Data'!A190&lt;&gt;"",AVERAGE('Raw Data'!AJ190,'Raw Data'!AL190,'Raw Data'!AN190,'Raw Data'!AP190,'Raw Data'!AR190),"")</f>
        <v/>
      </c>
      <c r="P203" s="11" t="str">
        <f>IF('Raw Data'!A190&lt;&gt;"",AVERAGE('Raw Data'!AK190,'Raw Data'!AM190,'Raw Data'!AO190,'Raw Data'!AQ190,'Raw Data'!AS190),"")</f>
        <v/>
      </c>
      <c r="Q203" s="11" t="str">
        <f t="shared" si="28"/>
        <v/>
      </c>
      <c r="R203" s="11" t="str">
        <f>IF('Raw Data'!A190&lt;&gt;"",AVERAGE('Raw Data'!AT190,'Raw Data'!AV190,'Raw Data'!AX190,'Raw Data'!AZ190,'Raw Data'!BB190),"")</f>
        <v/>
      </c>
      <c r="S203" s="11" t="str">
        <f>IF('Raw Data'!A190&lt;&gt;"",AVERAGE('Raw Data'!AU190,'Raw Data'!AW190,'Raw Data'!AY190,'Raw Data'!BA190,'Raw Data'!BC190),"")</f>
        <v/>
      </c>
      <c r="T203" s="11" t="str">
        <f t="shared" si="29"/>
        <v/>
      </c>
      <c r="U203" s="11" t="str">
        <f>IF('Raw Data'!A190&lt;&gt;"",AVERAGE('Raw Data'!BD190,'Raw Data'!BF190,'Raw Data'!BH190,'Raw Data'!BJ190,'Raw Data'!BL190),"")</f>
        <v/>
      </c>
      <c r="V203" s="11" t="str">
        <f>IF('Raw Data'!A190&lt;&gt;"",AVERAGE('Raw Data'!BE190,'Raw Data'!BG190,'Raw Data'!BI190,'Raw Data'!BK190,'Raw Data'!BM190),"")</f>
        <v/>
      </c>
      <c r="W203" s="11" t="str">
        <f t="shared" si="30"/>
        <v/>
      </c>
      <c r="X203" s="11" t="str">
        <f t="shared" si="31"/>
        <v/>
      </c>
      <c r="Y203" s="11" t="str">
        <f t="shared" si="32"/>
        <v/>
      </c>
      <c r="Z203" s="11" t="str">
        <f t="shared" si="33"/>
        <v/>
      </c>
      <c r="AA203" s="11" t="str">
        <f t="shared" si="34"/>
        <v/>
      </c>
      <c r="AB203" s="24" t="str">
        <f t="shared" si="35"/>
        <v/>
      </c>
    </row>
    <row r="204" spans="1:28" x14ac:dyDescent="0.25">
      <c r="A204" s="10" t="str">
        <f>IF('Raw Data'!A191&lt;&gt;"",'Raw Data'!A191,"")</f>
        <v/>
      </c>
      <c r="B204" s="10" t="str">
        <f>IF('Raw Data'!B191&lt;&gt;"",'Raw Data'!B191,"")</f>
        <v/>
      </c>
      <c r="C204" s="10" t="str">
        <f>IF('Raw Data'!C191&lt;&gt;"",'Raw Data'!C191,"")</f>
        <v/>
      </c>
      <c r="D204" s="10" t="str">
        <f>IF('Raw Data'!D191&lt;&gt;"",'Raw Data'!D191,"")</f>
        <v/>
      </c>
      <c r="E204" s="10" t="str">
        <f>IF('Raw Data'!E191&lt;&gt;"",'Raw Data'!E191,"")</f>
        <v/>
      </c>
      <c r="F204" s="14" t="str">
        <f>IF('Raw Data'!A191&lt;&gt;"",AVERAGE('Raw Data'!F191,'Raw Data'!H191,'Raw Data'!J191,'Raw Data'!L191,'Raw Data'!N191),"")</f>
        <v/>
      </c>
      <c r="G204" s="14" t="str">
        <f>IF('Raw Data'!A191&lt;&gt;"",AVERAGE('Raw Data'!G191,'Raw Data'!I191,'Raw Data'!K191,'Raw Data'!M191,'Raw Data'!O191),"")</f>
        <v/>
      </c>
      <c r="H204" s="14" t="str">
        <f t="shared" si="25"/>
        <v/>
      </c>
      <c r="I204" s="14" t="str">
        <f>IF('Raw Data'!A191&lt;&gt;"",AVERAGE('Raw Data'!P191,'Raw Data'!R191,'Raw Data'!T191,'Raw Data'!V191,'Raw Data'!X191),"")</f>
        <v/>
      </c>
      <c r="J204" s="14" t="str">
        <f>IF('Raw Data'!A191&lt;&gt;"",AVERAGE('Raw Data'!Q191,'Raw Data'!S191,'Raw Data'!U191,'Raw Data'!W191,'Raw Data'!Y191),"")</f>
        <v/>
      </c>
      <c r="K204" s="14" t="str">
        <f t="shared" si="26"/>
        <v/>
      </c>
      <c r="L204" s="14" t="str">
        <f>IF('Raw Data'!A191&lt;&gt;"",AVERAGE('Raw Data'!Z191,'Raw Data'!AB191,'Raw Data'!AD191,'Raw Data'!AF191,'Raw Data'!AH191),"")</f>
        <v/>
      </c>
      <c r="M204" s="14" t="str">
        <f>IF('Raw Data'!A191&lt;&gt;"",AVERAGE('Raw Data'!AA191,'Raw Data'!AC191,'Raw Data'!AE191,'Raw Data'!AG191,'Raw Data'!AI191),"")</f>
        <v/>
      </c>
      <c r="N204" s="14" t="str">
        <f t="shared" si="27"/>
        <v/>
      </c>
      <c r="O204" s="14" t="str">
        <f>IF('Raw Data'!A191&lt;&gt;"",AVERAGE('Raw Data'!AJ191,'Raw Data'!AL191,'Raw Data'!AN191,'Raw Data'!AP191,'Raw Data'!AR191),"")</f>
        <v/>
      </c>
      <c r="P204" s="14" t="str">
        <f>IF('Raw Data'!A191&lt;&gt;"",AVERAGE('Raw Data'!AK191,'Raw Data'!AM191,'Raw Data'!AO191,'Raw Data'!AQ191,'Raw Data'!AS191),"")</f>
        <v/>
      </c>
      <c r="Q204" s="14" t="str">
        <f t="shared" si="28"/>
        <v/>
      </c>
      <c r="R204" s="14" t="str">
        <f>IF('Raw Data'!A191&lt;&gt;"",AVERAGE('Raw Data'!AT191,'Raw Data'!AV191,'Raw Data'!AX191,'Raw Data'!AZ191,'Raw Data'!BB191),"")</f>
        <v/>
      </c>
      <c r="S204" s="14" t="str">
        <f>IF('Raw Data'!A191&lt;&gt;"",AVERAGE('Raw Data'!AU191,'Raw Data'!AW191,'Raw Data'!AY191,'Raw Data'!BA191,'Raw Data'!BC191),"")</f>
        <v/>
      </c>
      <c r="T204" s="14" t="str">
        <f t="shared" si="29"/>
        <v/>
      </c>
      <c r="U204" s="14" t="str">
        <f>IF('Raw Data'!A191&lt;&gt;"",AVERAGE('Raw Data'!BD191,'Raw Data'!BF191,'Raw Data'!BH191,'Raw Data'!BJ191,'Raw Data'!BL191),"")</f>
        <v/>
      </c>
      <c r="V204" s="14" t="str">
        <f>IF('Raw Data'!A191&lt;&gt;"",AVERAGE('Raw Data'!BE191,'Raw Data'!BG191,'Raw Data'!BI191,'Raw Data'!BK191,'Raw Data'!BM191),"")</f>
        <v/>
      </c>
      <c r="W204" s="14" t="str">
        <f t="shared" si="30"/>
        <v/>
      </c>
      <c r="X204" s="14" t="str">
        <f t="shared" si="31"/>
        <v/>
      </c>
      <c r="Y204" s="14" t="str">
        <f t="shared" si="32"/>
        <v/>
      </c>
      <c r="Z204" s="14" t="str">
        <f t="shared" si="33"/>
        <v/>
      </c>
      <c r="AA204" s="14" t="str">
        <f t="shared" si="34"/>
        <v/>
      </c>
      <c r="AB204" s="25" t="str">
        <f t="shared" si="35"/>
        <v/>
      </c>
    </row>
    <row r="205" spans="1:28" x14ac:dyDescent="0.25">
      <c r="A205" s="2" t="str">
        <f>IF('Raw Data'!A192&lt;&gt;"",'Raw Data'!A192,"")</f>
        <v/>
      </c>
      <c r="B205" s="2" t="str">
        <f>IF('Raw Data'!B192&lt;&gt;"",'Raw Data'!B192,"")</f>
        <v/>
      </c>
      <c r="C205" s="2" t="str">
        <f>IF('Raw Data'!C192&lt;&gt;"",'Raw Data'!C192,"")</f>
        <v/>
      </c>
      <c r="D205" s="2" t="str">
        <f>IF('Raw Data'!D192&lt;&gt;"",'Raw Data'!D192,"")</f>
        <v/>
      </c>
      <c r="E205" s="2" t="str">
        <f>IF('Raw Data'!E192&lt;&gt;"",'Raw Data'!E192,"")</f>
        <v/>
      </c>
      <c r="F205" s="11" t="str">
        <f>IF('Raw Data'!A192&lt;&gt;"",AVERAGE('Raw Data'!F192,'Raw Data'!H192,'Raw Data'!J192,'Raw Data'!L192,'Raw Data'!N192),"")</f>
        <v/>
      </c>
      <c r="G205" s="11" t="str">
        <f>IF('Raw Data'!A192&lt;&gt;"",AVERAGE('Raw Data'!G192,'Raw Data'!I192,'Raw Data'!K192,'Raw Data'!M192,'Raw Data'!O192),"")</f>
        <v/>
      </c>
      <c r="H205" s="11" t="str">
        <f t="shared" si="25"/>
        <v/>
      </c>
      <c r="I205" s="11" t="str">
        <f>IF('Raw Data'!A192&lt;&gt;"",AVERAGE('Raw Data'!P192,'Raw Data'!R192,'Raw Data'!T192,'Raw Data'!V192,'Raw Data'!X192),"")</f>
        <v/>
      </c>
      <c r="J205" s="11" t="str">
        <f>IF('Raw Data'!A192&lt;&gt;"",AVERAGE('Raw Data'!Q192,'Raw Data'!S192,'Raw Data'!U192,'Raw Data'!W192,'Raw Data'!Y192),"")</f>
        <v/>
      </c>
      <c r="K205" s="11" t="str">
        <f t="shared" si="26"/>
        <v/>
      </c>
      <c r="L205" s="11" t="str">
        <f>IF('Raw Data'!A192&lt;&gt;"",AVERAGE('Raw Data'!Z192,'Raw Data'!AB192,'Raw Data'!AD192,'Raw Data'!AF192,'Raw Data'!AH192),"")</f>
        <v/>
      </c>
      <c r="M205" s="11" t="str">
        <f>IF('Raw Data'!A192&lt;&gt;"",AVERAGE('Raw Data'!AA192,'Raw Data'!AC192,'Raw Data'!AE192,'Raw Data'!AG192,'Raw Data'!AI192),"")</f>
        <v/>
      </c>
      <c r="N205" s="11" t="str">
        <f t="shared" si="27"/>
        <v/>
      </c>
      <c r="O205" s="11" t="str">
        <f>IF('Raw Data'!A192&lt;&gt;"",AVERAGE('Raw Data'!AJ192,'Raw Data'!AL192,'Raw Data'!AN192,'Raw Data'!AP192,'Raw Data'!AR192),"")</f>
        <v/>
      </c>
      <c r="P205" s="11" t="str">
        <f>IF('Raw Data'!A192&lt;&gt;"",AVERAGE('Raw Data'!AK192,'Raw Data'!AM192,'Raw Data'!AO192,'Raw Data'!AQ192,'Raw Data'!AS192),"")</f>
        <v/>
      </c>
      <c r="Q205" s="11" t="str">
        <f t="shared" si="28"/>
        <v/>
      </c>
      <c r="R205" s="11" t="str">
        <f>IF('Raw Data'!A192&lt;&gt;"",AVERAGE('Raw Data'!AT192,'Raw Data'!AV192,'Raw Data'!AX192,'Raw Data'!AZ192,'Raw Data'!BB192),"")</f>
        <v/>
      </c>
      <c r="S205" s="11" t="str">
        <f>IF('Raw Data'!A192&lt;&gt;"",AVERAGE('Raw Data'!AU192,'Raw Data'!AW192,'Raw Data'!AY192,'Raw Data'!BA192,'Raw Data'!BC192),"")</f>
        <v/>
      </c>
      <c r="T205" s="11" t="str">
        <f t="shared" si="29"/>
        <v/>
      </c>
      <c r="U205" s="11" t="str">
        <f>IF('Raw Data'!A192&lt;&gt;"",AVERAGE('Raw Data'!BD192,'Raw Data'!BF192,'Raw Data'!BH192,'Raw Data'!BJ192,'Raw Data'!BL192),"")</f>
        <v/>
      </c>
      <c r="V205" s="11" t="str">
        <f>IF('Raw Data'!A192&lt;&gt;"",AVERAGE('Raw Data'!BE192,'Raw Data'!BG192,'Raw Data'!BI192,'Raw Data'!BK192,'Raw Data'!BM192),"")</f>
        <v/>
      </c>
      <c r="W205" s="11" t="str">
        <f t="shared" si="30"/>
        <v/>
      </c>
      <c r="X205" s="11" t="str">
        <f t="shared" si="31"/>
        <v/>
      </c>
      <c r="Y205" s="11" t="str">
        <f t="shared" si="32"/>
        <v/>
      </c>
      <c r="Z205" s="11" t="str">
        <f t="shared" si="33"/>
        <v/>
      </c>
      <c r="AA205" s="11" t="str">
        <f t="shared" si="34"/>
        <v/>
      </c>
      <c r="AB205" s="24" t="str">
        <f t="shared" si="35"/>
        <v/>
      </c>
    </row>
    <row r="206" spans="1:28" x14ac:dyDescent="0.25">
      <c r="A206" s="10" t="str">
        <f>IF('Raw Data'!A193&lt;&gt;"",'Raw Data'!A193,"")</f>
        <v/>
      </c>
      <c r="B206" s="10" t="str">
        <f>IF('Raw Data'!B193&lt;&gt;"",'Raw Data'!B193,"")</f>
        <v/>
      </c>
      <c r="C206" s="10" t="str">
        <f>IF('Raw Data'!C193&lt;&gt;"",'Raw Data'!C193,"")</f>
        <v/>
      </c>
      <c r="D206" s="10" t="str">
        <f>IF('Raw Data'!D193&lt;&gt;"",'Raw Data'!D193,"")</f>
        <v/>
      </c>
      <c r="E206" s="10" t="str">
        <f>IF('Raw Data'!E193&lt;&gt;"",'Raw Data'!E193,"")</f>
        <v/>
      </c>
      <c r="F206" s="14" t="str">
        <f>IF('Raw Data'!A193&lt;&gt;"",AVERAGE('Raw Data'!F193,'Raw Data'!H193,'Raw Data'!J193,'Raw Data'!L193,'Raw Data'!N193),"")</f>
        <v/>
      </c>
      <c r="G206" s="14" t="str">
        <f>IF('Raw Data'!A193&lt;&gt;"",AVERAGE('Raw Data'!G193,'Raw Data'!I193,'Raw Data'!K193,'Raw Data'!M193,'Raw Data'!O193),"")</f>
        <v/>
      </c>
      <c r="H206" s="14" t="str">
        <f t="shared" si="25"/>
        <v/>
      </c>
      <c r="I206" s="14" t="str">
        <f>IF('Raw Data'!A193&lt;&gt;"",AVERAGE('Raw Data'!P193,'Raw Data'!R193,'Raw Data'!T193,'Raw Data'!V193,'Raw Data'!X193),"")</f>
        <v/>
      </c>
      <c r="J206" s="14" t="str">
        <f>IF('Raw Data'!A193&lt;&gt;"",AVERAGE('Raw Data'!Q193,'Raw Data'!S193,'Raw Data'!U193,'Raw Data'!W193,'Raw Data'!Y193),"")</f>
        <v/>
      </c>
      <c r="K206" s="14" t="str">
        <f t="shared" si="26"/>
        <v/>
      </c>
      <c r="L206" s="14" t="str">
        <f>IF('Raw Data'!A193&lt;&gt;"",AVERAGE('Raw Data'!Z193,'Raw Data'!AB193,'Raw Data'!AD193,'Raw Data'!AF193,'Raw Data'!AH193),"")</f>
        <v/>
      </c>
      <c r="M206" s="14" t="str">
        <f>IF('Raw Data'!A193&lt;&gt;"",AVERAGE('Raw Data'!AA193,'Raw Data'!AC193,'Raw Data'!AE193,'Raw Data'!AG193,'Raw Data'!AI193),"")</f>
        <v/>
      </c>
      <c r="N206" s="14" t="str">
        <f t="shared" si="27"/>
        <v/>
      </c>
      <c r="O206" s="14" t="str">
        <f>IF('Raw Data'!A193&lt;&gt;"",AVERAGE('Raw Data'!AJ193,'Raw Data'!AL193,'Raw Data'!AN193,'Raw Data'!AP193,'Raw Data'!AR193),"")</f>
        <v/>
      </c>
      <c r="P206" s="14" t="str">
        <f>IF('Raw Data'!A193&lt;&gt;"",AVERAGE('Raw Data'!AK193,'Raw Data'!AM193,'Raw Data'!AO193,'Raw Data'!AQ193,'Raw Data'!AS193),"")</f>
        <v/>
      </c>
      <c r="Q206" s="14" t="str">
        <f t="shared" si="28"/>
        <v/>
      </c>
      <c r="R206" s="14" t="str">
        <f>IF('Raw Data'!A193&lt;&gt;"",AVERAGE('Raw Data'!AT193,'Raw Data'!AV193,'Raw Data'!AX193,'Raw Data'!AZ193,'Raw Data'!BB193),"")</f>
        <v/>
      </c>
      <c r="S206" s="14" t="str">
        <f>IF('Raw Data'!A193&lt;&gt;"",AVERAGE('Raw Data'!AU193,'Raw Data'!AW193,'Raw Data'!AY193,'Raw Data'!BA193,'Raw Data'!BC193),"")</f>
        <v/>
      </c>
      <c r="T206" s="14" t="str">
        <f t="shared" si="29"/>
        <v/>
      </c>
      <c r="U206" s="14" t="str">
        <f>IF('Raw Data'!A193&lt;&gt;"",AVERAGE('Raw Data'!BD193,'Raw Data'!BF193,'Raw Data'!BH193,'Raw Data'!BJ193,'Raw Data'!BL193),"")</f>
        <v/>
      </c>
      <c r="V206" s="14" t="str">
        <f>IF('Raw Data'!A193&lt;&gt;"",AVERAGE('Raw Data'!BE193,'Raw Data'!BG193,'Raw Data'!BI193,'Raw Data'!BK193,'Raw Data'!BM193),"")</f>
        <v/>
      </c>
      <c r="W206" s="14" t="str">
        <f t="shared" si="30"/>
        <v/>
      </c>
      <c r="X206" s="14" t="str">
        <f t="shared" si="31"/>
        <v/>
      </c>
      <c r="Y206" s="14" t="str">
        <f t="shared" si="32"/>
        <v/>
      </c>
      <c r="Z206" s="14" t="str">
        <f t="shared" si="33"/>
        <v/>
      </c>
      <c r="AA206" s="14" t="str">
        <f t="shared" si="34"/>
        <v/>
      </c>
      <c r="AB206" s="25" t="str">
        <f t="shared" si="35"/>
        <v/>
      </c>
    </row>
    <row r="207" spans="1:28" x14ac:dyDescent="0.25">
      <c r="A207" s="2" t="str">
        <f>IF('Raw Data'!A194&lt;&gt;"",'Raw Data'!A194,"")</f>
        <v/>
      </c>
      <c r="B207" s="2" t="str">
        <f>IF('Raw Data'!B194&lt;&gt;"",'Raw Data'!B194,"")</f>
        <v/>
      </c>
      <c r="C207" s="2" t="str">
        <f>IF('Raw Data'!C194&lt;&gt;"",'Raw Data'!C194,"")</f>
        <v/>
      </c>
      <c r="D207" s="2" t="str">
        <f>IF('Raw Data'!D194&lt;&gt;"",'Raw Data'!D194,"")</f>
        <v/>
      </c>
      <c r="E207" s="2" t="str">
        <f>IF('Raw Data'!E194&lt;&gt;"",'Raw Data'!E194,"")</f>
        <v/>
      </c>
      <c r="F207" s="11" t="str">
        <f>IF('Raw Data'!A194&lt;&gt;"",AVERAGE('Raw Data'!F194,'Raw Data'!H194,'Raw Data'!J194,'Raw Data'!L194,'Raw Data'!N194),"")</f>
        <v/>
      </c>
      <c r="G207" s="11" t="str">
        <f>IF('Raw Data'!A194&lt;&gt;"",AVERAGE('Raw Data'!G194,'Raw Data'!I194,'Raw Data'!K194,'Raw Data'!M194,'Raw Data'!O194),"")</f>
        <v/>
      </c>
      <c r="H207" s="11" t="str">
        <f t="shared" si="25"/>
        <v/>
      </c>
      <c r="I207" s="11" t="str">
        <f>IF('Raw Data'!A194&lt;&gt;"",AVERAGE('Raw Data'!P194,'Raw Data'!R194,'Raw Data'!T194,'Raw Data'!V194,'Raw Data'!X194),"")</f>
        <v/>
      </c>
      <c r="J207" s="11" t="str">
        <f>IF('Raw Data'!A194&lt;&gt;"",AVERAGE('Raw Data'!Q194,'Raw Data'!S194,'Raw Data'!U194,'Raw Data'!W194,'Raw Data'!Y194),"")</f>
        <v/>
      </c>
      <c r="K207" s="11" t="str">
        <f t="shared" si="26"/>
        <v/>
      </c>
      <c r="L207" s="11" t="str">
        <f>IF('Raw Data'!A194&lt;&gt;"",AVERAGE('Raw Data'!Z194,'Raw Data'!AB194,'Raw Data'!AD194,'Raw Data'!AF194,'Raw Data'!AH194),"")</f>
        <v/>
      </c>
      <c r="M207" s="11" t="str">
        <f>IF('Raw Data'!A194&lt;&gt;"",AVERAGE('Raw Data'!AA194,'Raw Data'!AC194,'Raw Data'!AE194,'Raw Data'!AG194,'Raw Data'!AI194),"")</f>
        <v/>
      </c>
      <c r="N207" s="11" t="str">
        <f t="shared" si="27"/>
        <v/>
      </c>
      <c r="O207" s="11" t="str">
        <f>IF('Raw Data'!A194&lt;&gt;"",AVERAGE('Raw Data'!AJ194,'Raw Data'!AL194,'Raw Data'!AN194,'Raw Data'!AP194,'Raw Data'!AR194),"")</f>
        <v/>
      </c>
      <c r="P207" s="11" t="str">
        <f>IF('Raw Data'!A194&lt;&gt;"",AVERAGE('Raw Data'!AK194,'Raw Data'!AM194,'Raw Data'!AO194,'Raw Data'!AQ194,'Raw Data'!AS194),"")</f>
        <v/>
      </c>
      <c r="Q207" s="11" t="str">
        <f t="shared" si="28"/>
        <v/>
      </c>
      <c r="R207" s="11" t="str">
        <f>IF('Raw Data'!A194&lt;&gt;"",AVERAGE('Raw Data'!AT194,'Raw Data'!AV194,'Raw Data'!AX194,'Raw Data'!AZ194,'Raw Data'!BB194),"")</f>
        <v/>
      </c>
      <c r="S207" s="11" t="str">
        <f>IF('Raw Data'!A194&lt;&gt;"",AVERAGE('Raw Data'!AU194,'Raw Data'!AW194,'Raw Data'!AY194,'Raw Data'!BA194,'Raw Data'!BC194),"")</f>
        <v/>
      </c>
      <c r="T207" s="11" t="str">
        <f t="shared" si="29"/>
        <v/>
      </c>
      <c r="U207" s="11" t="str">
        <f>IF('Raw Data'!A194&lt;&gt;"",AVERAGE('Raw Data'!BD194,'Raw Data'!BF194,'Raw Data'!BH194,'Raw Data'!BJ194,'Raw Data'!BL194),"")</f>
        <v/>
      </c>
      <c r="V207" s="11" t="str">
        <f>IF('Raw Data'!A194&lt;&gt;"",AVERAGE('Raw Data'!BE194,'Raw Data'!BG194,'Raw Data'!BI194,'Raw Data'!BK194,'Raw Data'!BM194),"")</f>
        <v/>
      </c>
      <c r="W207" s="11" t="str">
        <f t="shared" si="30"/>
        <v/>
      </c>
      <c r="X207" s="11" t="str">
        <f t="shared" si="31"/>
        <v/>
      </c>
      <c r="Y207" s="11" t="str">
        <f t="shared" si="32"/>
        <v/>
      </c>
      <c r="Z207" s="11" t="str">
        <f t="shared" si="33"/>
        <v/>
      </c>
      <c r="AA207" s="11" t="str">
        <f t="shared" si="34"/>
        <v/>
      </c>
      <c r="AB207" s="24" t="str">
        <f t="shared" si="35"/>
        <v/>
      </c>
    </row>
    <row r="208" spans="1:28" x14ac:dyDescent="0.25">
      <c r="A208" s="10" t="str">
        <f>IF('Raw Data'!A195&lt;&gt;"",'Raw Data'!A195,"")</f>
        <v/>
      </c>
      <c r="B208" s="10" t="str">
        <f>IF('Raw Data'!B195&lt;&gt;"",'Raw Data'!B195,"")</f>
        <v/>
      </c>
      <c r="C208" s="10" t="str">
        <f>IF('Raw Data'!C195&lt;&gt;"",'Raw Data'!C195,"")</f>
        <v/>
      </c>
      <c r="D208" s="10" t="str">
        <f>IF('Raw Data'!D195&lt;&gt;"",'Raw Data'!D195,"")</f>
        <v/>
      </c>
      <c r="E208" s="10" t="str">
        <f>IF('Raw Data'!E195&lt;&gt;"",'Raw Data'!E195,"")</f>
        <v/>
      </c>
      <c r="F208" s="14" t="str">
        <f>IF('Raw Data'!A195&lt;&gt;"",AVERAGE('Raw Data'!F195,'Raw Data'!H195,'Raw Data'!J195,'Raw Data'!L195,'Raw Data'!N195),"")</f>
        <v/>
      </c>
      <c r="G208" s="14" t="str">
        <f>IF('Raw Data'!A195&lt;&gt;"",AVERAGE('Raw Data'!G195,'Raw Data'!I195,'Raw Data'!K195,'Raw Data'!M195,'Raw Data'!O195),"")</f>
        <v/>
      </c>
      <c r="H208" s="14" t="str">
        <f t="shared" si="25"/>
        <v/>
      </c>
      <c r="I208" s="14" t="str">
        <f>IF('Raw Data'!A195&lt;&gt;"",AVERAGE('Raw Data'!P195,'Raw Data'!R195,'Raw Data'!T195,'Raw Data'!V195,'Raw Data'!X195),"")</f>
        <v/>
      </c>
      <c r="J208" s="14" t="str">
        <f>IF('Raw Data'!A195&lt;&gt;"",AVERAGE('Raw Data'!Q195,'Raw Data'!S195,'Raw Data'!U195,'Raw Data'!W195,'Raw Data'!Y195),"")</f>
        <v/>
      </c>
      <c r="K208" s="14" t="str">
        <f t="shared" si="26"/>
        <v/>
      </c>
      <c r="L208" s="14" t="str">
        <f>IF('Raw Data'!A195&lt;&gt;"",AVERAGE('Raw Data'!Z195,'Raw Data'!AB195,'Raw Data'!AD195,'Raw Data'!AF195,'Raw Data'!AH195),"")</f>
        <v/>
      </c>
      <c r="M208" s="14" t="str">
        <f>IF('Raw Data'!A195&lt;&gt;"",AVERAGE('Raw Data'!AA195,'Raw Data'!AC195,'Raw Data'!AE195,'Raw Data'!AG195,'Raw Data'!AI195),"")</f>
        <v/>
      </c>
      <c r="N208" s="14" t="str">
        <f t="shared" si="27"/>
        <v/>
      </c>
      <c r="O208" s="14" t="str">
        <f>IF('Raw Data'!A195&lt;&gt;"",AVERAGE('Raw Data'!AJ195,'Raw Data'!AL195,'Raw Data'!AN195,'Raw Data'!AP195,'Raw Data'!AR195),"")</f>
        <v/>
      </c>
      <c r="P208" s="14" t="str">
        <f>IF('Raw Data'!A195&lt;&gt;"",AVERAGE('Raw Data'!AK195,'Raw Data'!AM195,'Raw Data'!AO195,'Raw Data'!AQ195,'Raw Data'!AS195),"")</f>
        <v/>
      </c>
      <c r="Q208" s="14" t="str">
        <f t="shared" si="28"/>
        <v/>
      </c>
      <c r="R208" s="14" t="str">
        <f>IF('Raw Data'!A195&lt;&gt;"",AVERAGE('Raw Data'!AT195,'Raw Data'!AV195,'Raw Data'!AX195,'Raw Data'!AZ195,'Raw Data'!BB195),"")</f>
        <v/>
      </c>
      <c r="S208" s="14" t="str">
        <f>IF('Raw Data'!A195&lt;&gt;"",AVERAGE('Raw Data'!AU195,'Raw Data'!AW195,'Raw Data'!AY195,'Raw Data'!BA195,'Raw Data'!BC195),"")</f>
        <v/>
      </c>
      <c r="T208" s="14" t="str">
        <f t="shared" si="29"/>
        <v/>
      </c>
      <c r="U208" s="14" t="str">
        <f>IF('Raw Data'!A195&lt;&gt;"",AVERAGE('Raw Data'!BD195,'Raw Data'!BF195,'Raw Data'!BH195,'Raw Data'!BJ195,'Raw Data'!BL195),"")</f>
        <v/>
      </c>
      <c r="V208" s="14" t="str">
        <f>IF('Raw Data'!A195&lt;&gt;"",AVERAGE('Raw Data'!BE195,'Raw Data'!BG195,'Raw Data'!BI195,'Raw Data'!BK195,'Raw Data'!BM195),"")</f>
        <v/>
      </c>
      <c r="W208" s="14" t="str">
        <f t="shared" si="30"/>
        <v/>
      </c>
      <c r="X208" s="14" t="str">
        <f t="shared" si="31"/>
        <v/>
      </c>
      <c r="Y208" s="14" t="str">
        <f t="shared" si="32"/>
        <v/>
      </c>
      <c r="Z208" s="14" t="str">
        <f t="shared" si="33"/>
        <v/>
      </c>
      <c r="AA208" s="14" t="str">
        <f t="shared" si="34"/>
        <v/>
      </c>
      <c r="AB208" s="25" t="str">
        <f t="shared" si="35"/>
        <v/>
      </c>
    </row>
    <row r="209" spans="1:28" x14ac:dyDescent="0.25">
      <c r="A209" s="2" t="str">
        <f>IF('Raw Data'!A196&lt;&gt;"",'Raw Data'!A196,"")</f>
        <v/>
      </c>
      <c r="B209" s="2" t="str">
        <f>IF('Raw Data'!B196&lt;&gt;"",'Raw Data'!B196,"")</f>
        <v/>
      </c>
      <c r="C209" s="2" t="str">
        <f>IF('Raw Data'!C196&lt;&gt;"",'Raw Data'!C196,"")</f>
        <v/>
      </c>
      <c r="D209" s="2" t="str">
        <f>IF('Raw Data'!D196&lt;&gt;"",'Raw Data'!D196,"")</f>
        <v/>
      </c>
      <c r="E209" s="2" t="str">
        <f>IF('Raw Data'!E196&lt;&gt;"",'Raw Data'!E196,"")</f>
        <v/>
      </c>
      <c r="F209" s="11" t="str">
        <f>IF('Raw Data'!A196&lt;&gt;"",AVERAGE('Raw Data'!F196,'Raw Data'!H196,'Raw Data'!J196,'Raw Data'!L196,'Raw Data'!N196),"")</f>
        <v/>
      </c>
      <c r="G209" s="11" t="str">
        <f>IF('Raw Data'!A196&lt;&gt;"",AVERAGE('Raw Data'!G196,'Raw Data'!I196,'Raw Data'!K196,'Raw Data'!M196,'Raw Data'!O196),"")</f>
        <v/>
      </c>
      <c r="H209" s="11" t="str">
        <f t="shared" ref="H209:H272" si="36">IF(F209&lt;&gt;"",F209-G209,"")</f>
        <v/>
      </c>
      <c r="I209" s="11" t="str">
        <f>IF('Raw Data'!A196&lt;&gt;"",AVERAGE('Raw Data'!P196,'Raw Data'!R196,'Raw Data'!T196,'Raw Data'!V196,'Raw Data'!X196),"")</f>
        <v/>
      </c>
      <c r="J209" s="11" t="str">
        <f>IF('Raw Data'!A196&lt;&gt;"",AVERAGE('Raw Data'!Q196,'Raw Data'!S196,'Raw Data'!U196,'Raw Data'!W196,'Raw Data'!Y196),"")</f>
        <v/>
      </c>
      <c r="K209" s="11" t="str">
        <f t="shared" ref="K209:K272" si="37">IF(I209&lt;&gt;"",I209-J209,"")</f>
        <v/>
      </c>
      <c r="L209" s="11" t="str">
        <f>IF('Raw Data'!A196&lt;&gt;"",AVERAGE('Raw Data'!Z196,'Raw Data'!AB196,'Raw Data'!AD196,'Raw Data'!AF196,'Raw Data'!AH196),"")</f>
        <v/>
      </c>
      <c r="M209" s="11" t="str">
        <f>IF('Raw Data'!A196&lt;&gt;"",AVERAGE('Raw Data'!AA196,'Raw Data'!AC196,'Raw Data'!AE196,'Raw Data'!AG196,'Raw Data'!AI196),"")</f>
        <v/>
      </c>
      <c r="N209" s="11" t="str">
        <f t="shared" ref="N209:N272" si="38">IF(L209&lt;&gt;"",L209-M209,"")</f>
        <v/>
      </c>
      <c r="O209" s="11" t="str">
        <f>IF('Raw Data'!A196&lt;&gt;"",AVERAGE('Raw Data'!AJ196,'Raw Data'!AL196,'Raw Data'!AN196,'Raw Data'!AP196,'Raw Data'!AR196),"")</f>
        <v/>
      </c>
      <c r="P209" s="11" t="str">
        <f>IF('Raw Data'!A196&lt;&gt;"",AVERAGE('Raw Data'!AK196,'Raw Data'!AM196,'Raw Data'!AO196,'Raw Data'!AQ196,'Raw Data'!AS196),"")</f>
        <v/>
      </c>
      <c r="Q209" s="11" t="str">
        <f t="shared" ref="Q209:Q272" si="39">IF(O209&lt;&gt;"",O209-P209,"")</f>
        <v/>
      </c>
      <c r="R209" s="11" t="str">
        <f>IF('Raw Data'!A196&lt;&gt;"",AVERAGE('Raw Data'!AT196,'Raw Data'!AV196,'Raw Data'!AX196,'Raw Data'!AZ196,'Raw Data'!BB196),"")</f>
        <v/>
      </c>
      <c r="S209" s="11" t="str">
        <f>IF('Raw Data'!A196&lt;&gt;"",AVERAGE('Raw Data'!AU196,'Raw Data'!AW196,'Raw Data'!AY196,'Raw Data'!BA196,'Raw Data'!BC196),"")</f>
        <v/>
      </c>
      <c r="T209" s="11" t="str">
        <f t="shared" ref="T209:T272" si="40">IF(R209&lt;&gt;"",R209-S209,"")</f>
        <v/>
      </c>
      <c r="U209" s="11" t="str">
        <f>IF('Raw Data'!A196&lt;&gt;"",AVERAGE('Raw Data'!BD196,'Raw Data'!BF196,'Raw Data'!BH196,'Raw Data'!BJ196,'Raw Data'!BL196),"")</f>
        <v/>
      </c>
      <c r="V209" s="11" t="str">
        <f>IF('Raw Data'!A196&lt;&gt;"",AVERAGE('Raw Data'!BE196,'Raw Data'!BG196,'Raw Data'!BI196,'Raw Data'!BK196,'Raw Data'!BM196),"")</f>
        <v/>
      </c>
      <c r="W209" s="11" t="str">
        <f t="shared" ref="W209:W272" si="41">IF(U209&lt;&gt;"",U209-V209,"")</f>
        <v/>
      </c>
      <c r="X209" s="11" t="str">
        <f t="shared" ref="X209:X272" si="42">IF(A209&lt;&gt;"",AVERAGE(F209,I209,L209,O209,R209,U209),"")</f>
        <v/>
      </c>
      <c r="Y209" s="11" t="str">
        <f t="shared" ref="Y209:Y272" si="43">IF(A209&lt;&gt;"",AVERAGE(G209,J209,M209,P209,S209,V209),"")</f>
        <v/>
      </c>
      <c r="Z209" s="11" t="str">
        <f t="shared" ref="Z209:Z272" si="44">IF(A209&lt;&gt;"",X209-Y209,"")</f>
        <v/>
      </c>
      <c r="AA209" s="11" t="str">
        <f t="shared" ref="AA209:AA272" si="45">IF(A209&lt;&gt;"",(K209*0.25)+(Q209*0.2)+(W209*0.2)+(H209*0.15)+(N209*0.1)+(T209*0.1),"")</f>
        <v/>
      </c>
      <c r="AB209" s="24" t="str">
        <f t="shared" ref="AB209:AB272" si="46">IF(A209&lt;&gt;"",(AA209*0.5)+(0.3*K209)+(0.2*Q209),"")</f>
        <v/>
      </c>
    </row>
    <row r="210" spans="1:28" x14ac:dyDescent="0.25">
      <c r="A210" s="10" t="str">
        <f>IF('Raw Data'!A197&lt;&gt;"",'Raw Data'!A197,"")</f>
        <v/>
      </c>
      <c r="B210" s="10" t="str">
        <f>IF('Raw Data'!B197&lt;&gt;"",'Raw Data'!B197,"")</f>
        <v/>
      </c>
      <c r="C210" s="10" t="str">
        <f>IF('Raw Data'!C197&lt;&gt;"",'Raw Data'!C197,"")</f>
        <v/>
      </c>
      <c r="D210" s="10" t="str">
        <f>IF('Raw Data'!D197&lt;&gt;"",'Raw Data'!D197,"")</f>
        <v/>
      </c>
      <c r="E210" s="10" t="str">
        <f>IF('Raw Data'!E197&lt;&gt;"",'Raw Data'!E197,"")</f>
        <v/>
      </c>
      <c r="F210" s="14" t="str">
        <f>IF('Raw Data'!A197&lt;&gt;"",AVERAGE('Raw Data'!F197,'Raw Data'!H197,'Raw Data'!J197,'Raw Data'!L197,'Raw Data'!N197),"")</f>
        <v/>
      </c>
      <c r="G210" s="14" t="str">
        <f>IF('Raw Data'!A197&lt;&gt;"",AVERAGE('Raw Data'!G197,'Raw Data'!I197,'Raw Data'!K197,'Raw Data'!M197,'Raw Data'!O197),"")</f>
        <v/>
      </c>
      <c r="H210" s="14" t="str">
        <f t="shared" si="36"/>
        <v/>
      </c>
      <c r="I210" s="14" t="str">
        <f>IF('Raw Data'!A197&lt;&gt;"",AVERAGE('Raw Data'!P197,'Raw Data'!R197,'Raw Data'!T197,'Raw Data'!V197,'Raw Data'!X197),"")</f>
        <v/>
      </c>
      <c r="J210" s="14" t="str">
        <f>IF('Raw Data'!A197&lt;&gt;"",AVERAGE('Raw Data'!Q197,'Raw Data'!S197,'Raw Data'!U197,'Raw Data'!W197,'Raw Data'!Y197),"")</f>
        <v/>
      </c>
      <c r="K210" s="14" t="str">
        <f t="shared" si="37"/>
        <v/>
      </c>
      <c r="L210" s="14" t="str">
        <f>IF('Raw Data'!A197&lt;&gt;"",AVERAGE('Raw Data'!Z197,'Raw Data'!AB197,'Raw Data'!AD197,'Raw Data'!AF197,'Raw Data'!AH197),"")</f>
        <v/>
      </c>
      <c r="M210" s="14" t="str">
        <f>IF('Raw Data'!A197&lt;&gt;"",AVERAGE('Raw Data'!AA197,'Raw Data'!AC197,'Raw Data'!AE197,'Raw Data'!AG197,'Raw Data'!AI197),"")</f>
        <v/>
      </c>
      <c r="N210" s="14" t="str">
        <f t="shared" si="38"/>
        <v/>
      </c>
      <c r="O210" s="14" t="str">
        <f>IF('Raw Data'!A197&lt;&gt;"",AVERAGE('Raw Data'!AJ197,'Raw Data'!AL197,'Raw Data'!AN197,'Raw Data'!AP197,'Raw Data'!AR197),"")</f>
        <v/>
      </c>
      <c r="P210" s="14" t="str">
        <f>IF('Raw Data'!A197&lt;&gt;"",AVERAGE('Raw Data'!AK197,'Raw Data'!AM197,'Raw Data'!AO197,'Raw Data'!AQ197,'Raw Data'!AS197),"")</f>
        <v/>
      </c>
      <c r="Q210" s="14" t="str">
        <f t="shared" si="39"/>
        <v/>
      </c>
      <c r="R210" s="14" t="str">
        <f>IF('Raw Data'!A197&lt;&gt;"",AVERAGE('Raw Data'!AT197,'Raw Data'!AV197,'Raw Data'!AX197,'Raw Data'!AZ197,'Raw Data'!BB197),"")</f>
        <v/>
      </c>
      <c r="S210" s="14" t="str">
        <f>IF('Raw Data'!A197&lt;&gt;"",AVERAGE('Raw Data'!AU197,'Raw Data'!AW197,'Raw Data'!AY197,'Raw Data'!BA197,'Raw Data'!BC197),"")</f>
        <v/>
      </c>
      <c r="T210" s="14" t="str">
        <f t="shared" si="40"/>
        <v/>
      </c>
      <c r="U210" s="14" t="str">
        <f>IF('Raw Data'!A197&lt;&gt;"",AVERAGE('Raw Data'!BD197,'Raw Data'!BF197,'Raw Data'!BH197,'Raw Data'!BJ197,'Raw Data'!BL197),"")</f>
        <v/>
      </c>
      <c r="V210" s="14" t="str">
        <f>IF('Raw Data'!A197&lt;&gt;"",AVERAGE('Raw Data'!BE197,'Raw Data'!BG197,'Raw Data'!BI197,'Raw Data'!BK197,'Raw Data'!BM197),"")</f>
        <v/>
      </c>
      <c r="W210" s="14" t="str">
        <f t="shared" si="41"/>
        <v/>
      </c>
      <c r="X210" s="14" t="str">
        <f t="shared" si="42"/>
        <v/>
      </c>
      <c r="Y210" s="14" t="str">
        <f t="shared" si="43"/>
        <v/>
      </c>
      <c r="Z210" s="14" t="str">
        <f t="shared" si="44"/>
        <v/>
      </c>
      <c r="AA210" s="14" t="str">
        <f t="shared" si="45"/>
        <v/>
      </c>
      <c r="AB210" s="25" t="str">
        <f t="shared" si="46"/>
        <v/>
      </c>
    </row>
    <row r="211" spans="1:28" x14ac:dyDescent="0.25">
      <c r="A211" s="2" t="str">
        <f>IF('Raw Data'!A198&lt;&gt;"",'Raw Data'!A198,"")</f>
        <v/>
      </c>
      <c r="B211" s="2" t="str">
        <f>IF('Raw Data'!B198&lt;&gt;"",'Raw Data'!B198,"")</f>
        <v/>
      </c>
      <c r="C211" s="2" t="str">
        <f>IF('Raw Data'!C198&lt;&gt;"",'Raw Data'!C198,"")</f>
        <v/>
      </c>
      <c r="D211" s="2" t="str">
        <f>IF('Raw Data'!D198&lt;&gt;"",'Raw Data'!D198,"")</f>
        <v/>
      </c>
      <c r="E211" s="2" t="str">
        <f>IF('Raw Data'!E198&lt;&gt;"",'Raw Data'!E198,"")</f>
        <v/>
      </c>
      <c r="F211" s="11" t="str">
        <f>IF('Raw Data'!A198&lt;&gt;"",AVERAGE('Raw Data'!F198,'Raw Data'!H198,'Raw Data'!J198,'Raw Data'!L198,'Raw Data'!N198),"")</f>
        <v/>
      </c>
      <c r="G211" s="11" t="str">
        <f>IF('Raw Data'!A198&lt;&gt;"",AVERAGE('Raw Data'!G198,'Raw Data'!I198,'Raw Data'!K198,'Raw Data'!M198,'Raw Data'!O198),"")</f>
        <v/>
      </c>
      <c r="H211" s="11" t="str">
        <f t="shared" si="36"/>
        <v/>
      </c>
      <c r="I211" s="11" t="str">
        <f>IF('Raw Data'!A198&lt;&gt;"",AVERAGE('Raw Data'!P198,'Raw Data'!R198,'Raw Data'!T198,'Raw Data'!V198,'Raw Data'!X198),"")</f>
        <v/>
      </c>
      <c r="J211" s="11" t="str">
        <f>IF('Raw Data'!A198&lt;&gt;"",AVERAGE('Raw Data'!Q198,'Raw Data'!S198,'Raw Data'!U198,'Raw Data'!W198,'Raw Data'!Y198),"")</f>
        <v/>
      </c>
      <c r="K211" s="11" t="str">
        <f t="shared" si="37"/>
        <v/>
      </c>
      <c r="L211" s="11" t="str">
        <f>IF('Raw Data'!A198&lt;&gt;"",AVERAGE('Raw Data'!Z198,'Raw Data'!AB198,'Raw Data'!AD198,'Raw Data'!AF198,'Raw Data'!AH198),"")</f>
        <v/>
      </c>
      <c r="M211" s="11" t="str">
        <f>IF('Raw Data'!A198&lt;&gt;"",AVERAGE('Raw Data'!AA198,'Raw Data'!AC198,'Raw Data'!AE198,'Raw Data'!AG198,'Raw Data'!AI198),"")</f>
        <v/>
      </c>
      <c r="N211" s="11" t="str">
        <f t="shared" si="38"/>
        <v/>
      </c>
      <c r="O211" s="11" t="str">
        <f>IF('Raw Data'!A198&lt;&gt;"",AVERAGE('Raw Data'!AJ198,'Raw Data'!AL198,'Raw Data'!AN198,'Raw Data'!AP198,'Raw Data'!AR198),"")</f>
        <v/>
      </c>
      <c r="P211" s="11" t="str">
        <f>IF('Raw Data'!A198&lt;&gt;"",AVERAGE('Raw Data'!AK198,'Raw Data'!AM198,'Raw Data'!AO198,'Raw Data'!AQ198,'Raw Data'!AS198),"")</f>
        <v/>
      </c>
      <c r="Q211" s="11" t="str">
        <f t="shared" si="39"/>
        <v/>
      </c>
      <c r="R211" s="11" t="str">
        <f>IF('Raw Data'!A198&lt;&gt;"",AVERAGE('Raw Data'!AT198,'Raw Data'!AV198,'Raw Data'!AX198,'Raw Data'!AZ198,'Raw Data'!BB198),"")</f>
        <v/>
      </c>
      <c r="S211" s="11" t="str">
        <f>IF('Raw Data'!A198&lt;&gt;"",AVERAGE('Raw Data'!AU198,'Raw Data'!AW198,'Raw Data'!AY198,'Raw Data'!BA198,'Raw Data'!BC198),"")</f>
        <v/>
      </c>
      <c r="T211" s="11" t="str">
        <f t="shared" si="40"/>
        <v/>
      </c>
      <c r="U211" s="11" t="str">
        <f>IF('Raw Data'!A198&lt;&gt;"",AVERAGE('Raw Data'!BD198,'Raw Data'!BF198,'Raw Data'!BH198,'Raw Data'!BJ198,'Raw Data'!BL198),"")</f>
        <v/>
      </c>
      <c r="V211" s="11" t="str">
        <f>IF('Raw Data'!A198&lt;&gt;"",AVERAGE('Raw Data'!BE198,'Raw Data'!BG198,'Raw Data'!BI198,'Raw Data'!BK198,'Raw Data'!BM198),"")</f>
        <v/>
      </c>
      <c r="W211" s="11" t="str">
        <f t="shared" si="41"/>
        <v/>
      </c>
      <c r="X211" s="11" t="str">
        <f t="shared" si="42"/>
        <v/>
      </c>
      <c r="Y211" s="11" t="str">
        <f t="shared" si="43"/>
        <v/>
      </c>
      <c r="Z211" s="11" t="str">
        <f t="shared" si="44"/>
        <v/>
      </c>
      <c r="AA211" s="11" t="str">
        <f t="shared" si="45"/>
        <v/>
      </c>
      <c r="AB211" s="24" t="str">
        <f t="shared" si="46"/>
        <v/>
      </c>
    </row>
    <row r="212" spans="1:28" x14ac:dyDescent="0.25">
      <c r="A212" s="10" t="str">
        <f>IF('Raw Data'!A199&lt;&gt;"",'Raw Data'!A199,"")</f>
        <v/>
      </c>
      <c r="B212" s="10" t="str">
        <f>IF('Raw Data'!B199&lt;&gt;"",'Raw Data'!B199,"")</f>
        <v/>
      </c>
      <c r="C212" s="10" t="str">
        <f>IF('Raw Data'!C199&lt;&gt;"",'Raw Data'!C199,"")</f>
        <v/>
      </c>
      <c r="D212" s="10" t="str">
        <f>IF('Raw Data'!D199&lt;&gt;"",'Raw Data'!D199,"")</f>
        <v/>
      </c>
      <c r="E212" s="10" t="str">
        <f>IF('Raw Data'!E199&lt;&gt;"",'Raw Data'!E199,"")</f>
        <v/>
      </c>
      <c r="F212" s="14" t="str">
        <f>IF('Raw Data'!A199&lt;&gt;"",AVERAGE('Raw Data'!F199,'Raw Data'!H199,'Raw Data'!J199,'Raw Data'!L199,'Raw Data'!N199),"")</f>
        <v/>
      </c>
      <c r="G212" s="14" t="str">
        <f>IF('Raw Data'!A199&lt;&gt;"",AVERAGE('Raw Data'!G199,'Raw Data'!I199,'Raw Data'!K199,'Raw Data'!M199,'Raw Data'!O199),"")</f>
        <v/>
      </c>
      <c r="H212" s="14" t="str">
        <f t="shared" si="36"/>
        <v/>
      </c>
      <c r="I212" s="14" t="str">
        <f>IF('Raw Data'!A199&lt;&gt;"",AVERAGE('Raw Data'!P199,'Raw Data'!R199,'Raw Data'!T199,'Raw Data'!V199,'Raw Data'!X199),"")</f>
        <v/>
      </c>
      <c r="J212" s="14" t="str">
        <f>IF('Raw Data'!A199&lt;&gt;"",AVERAGE('Raw Data'!Q199,'Raw Data'!S199,'Raw Data'!U199,'Raw Data'!W199,'Raw Data'!Y199),"")</f>
        <v/>
      </c>
      <c r="K212" s="14" t="str">
        <f t="shared" si="37"/>
        <v/>
      </c>
      <c r="L212" s="14" t="str">
        <f>IF('Raw Data'!A199&lt;&gt;"",AVERAGE('Raw Data'!Z199,'Raw Data'!AB199,'Raw Data'!AD199,'Raw Data'!AF199,'Raw Data'!AH199),"")</f>
        <v/>
      </c>
      <c r="M212" s="14" t="str">
        <f>IF('Raw Data'!A199&lt;&gt;"",AVERAGE('Raw Data'!AA199,'Raw Data'!AC199,'Raw Data'!AE199,'Raw Data'!AG199,'Raw Data'!AI199),"")</f>
        <v/>
      </c>
      <c r="N212" s="14" t="str">
        <f t="shared" si="38"/>
        <v/>
      </c>
      <c r="O212" s="14" t="str">
        <f>IF('Raw Data'!A199&lt;&gt;"",AVERAGE('Raw Data'!AJ199,'Raw Data'!AL199,'Raw Data'!AN199,'Raw Data'!AP199,'Raw Data'!AR199),"")</f>
        <v/>
      </c>
      <c r="P212" s="14" t="str">
        <f>IF('Raw Data'!A199&lt;&gt;"",AVERAGE('Raw Data'!AK199,'Raw Data'!AM199,'Raw Data'!AO199,'Raw Data'!AQ199,'Raw Data'!AS199),"")</f>
        <v/>
      </c>
      <c r="Q212" s="14" t="str">
        <f t="shared" si="39"/>
        <v/>
      </c>
      <c r="R212" s="14" t="str">
        <f>IF('Raw Data'!A199&lt;&gt;"",AVERAGE('Raw Data'!AT199,'Raw Data'!AV199,'Raw Data'!AX199,'Raw Data'!AZ199,'Raw Data'!BB199),"")</f>
        <v/>
      </c>
      <c r="S212" s="14" t="str">
        <f>IF('Raw Data'!A199&lt;&gt;"",AVERAGE('Raw Data'!AU199,'Raw Data'!AW199,'Raw Data'!AY199,'Raw Data'!BA199,'Raw Data'!BC199),"")</f>
        <v/>
      </c>
      <c r="T212" s="14" t="str">
        <f t="shared" si="40"/>
        <v/>
      </c>
      <c r="U212" s="14" t="str">
        <f>IF('Raw Data'!A199&lt;&gt;"",AVERAGE('Raw Data'!BD199,'Raw Data'!BF199,'Raw Data'!BH199,'Raw Data'!BJ199,'Raw Data'!BL199),"")</f>
        <v/>
      </c>
      <c r="V212" s="14" t="str">
        <f>IF('Raw Data'!A199&lt;&gt;"",AVERAGE('Raw Data'!BE199,'Raw Data'!BG199,'Raw Data'!BI199,'Raw Data'!BK199,'Raw Data'!BM199),"")</f>
        <v/>
      </c>
      <c r="W212" s="14" t="str">
        <f t="shared" si="41"/>
        <v/>
      </c>
      <c r="X212" s="14" t="str">
        <f t="shared" si="42"/>
        <v/>
      </c>
      <c r="Y212" s="14" t="str">
        <f t="shared" si="43"/>
        <v/>
      </c>
      <c r="Z212" s="14" t="str">
        <f t="shared" si="44"/>
        <v/>
      </c>
      <c r="AA212" s="14" t="str">
        <f t="shared" si="45"/>
        <v/>
      </c>
      <c r="AB212" s="25" t="str">
        <f t="shared" si="46"/>
        <v/>
      </c>
    </row>
    <row r="213" spans="1:28" x14ac:dyDescent="0.25">
      <c r="A213" s="2" t="str">
        <f>IF('Raw Data'!A200&lt;&gt;"",'Raw Data'!A200,"")</f>
        <v/>
      </c>
      <c r="B213" s="2" t="str">
        <f>IF('Raw Data'!B200&lt;&gt;"",'Raw Data'!B200,"")</f>
        <v/>
      </c>
      <c r="C213" s="2" t="str">
        <f>IF('Raw Data'!C200&lt;&gt;"",'Raw Data'!C200,"")</f>
        <v/>
      </c>
      <c r="D213" s="2" t="str">
        <f>IF('Raw Data'!D200&lt;&gt;"",'Raw Data'!D200,"")</f>
        <v/>
      </c>
      <c r="E213" s="2" t="str">
        <f>IF('Raw Data'!E200&lt;&gt;"",'Raw Data'!E200,"")</f>
        <v/>
      </c>
      <c r="F213" s="11" t="str">
        <f>IF('Raw Data'!A200&lt;&gt;"",AVERAGE('Raw Data'!F200,'Raw Data'!H200,'Raw Data'!J200,'Raw Data'!L200,'Raw Data'!N200),"")</f>
        <v/>
      </c>
      <c r="G213" s="11" t="str">
        <f>IF('Raw Data'!A200&lt;&gt;"",AVERAGE('Raw Data'!G200,'Raw Data'!I200,'Raw Data'!K200,'Raw Data'!M200,'Raw Data'!O200),"")</f>
        <v/>
      </c>
      <c r="H213" s="11" t="str">
        <f t="shared" si="36"/>
        <v/>
      </c>
      <c r="I213" s="11" t="str">
        <f>IF('Raw Data'!A200&lt;&gt;"",AVERAGE('Raw Data'!P200,'Raw Data'!R200,'Raw Data'!T200,'Raw Data'!V200,'Raw Data'!X200),"")</f>
        <v/>
      </c>
      <c r="J213" s="11" t="str">
        <f>IF('Raw Data'!A200&lt;&gt;"",AVERAGE('Raw Data'!Q200,'Raw Data'!S200,'Raw Data'!U200,'Raw Data'!W200,'Raw Data'!Y200),"")</f>
        <v/>
      </c>
      <c r="K213" s="11" t="str">
        <f t="shared" si="37"/>
        <v/>
      </c>
      <c r="L213" s="11" t="str">
        <f>IF('Raw Data'!A200&lt;&gt;"",AVERAGE('Raw Data'!Z200,'Raw Data'!AB200,'Raw Data'!AD200,'Raw Data'!AF200,'Raw Data'!AH200),"")</f>
        <v/>
      </c>
      <c r="M213" s="11" t="str">
        <f>IF('Raw Data'!A200&lt;&gt;"",AVERAGE('Raw Data'!AA200,'Raw Data'!AC200,'Raw Data'!AE200,'Raw Data'!AG200,'Raw Data'!AI200),"")</f>
        <v/>
      </c>
      <c r="N213" s="11" t="str">
        <f t="shared" si="38"/>
        <v/>
      </c>
      <c r="O213" s="11" t="str">
        <f>IF('Raw Data'!A200&lt;&gt;"",AVERAGE('Raw Data'!AJ200,'Raw Data'!AL200,'Raw Data'!AN200,'Raw Data'!AP200,'Raw Data'!AR200),"")</f>
        <v/>
      </c>
      <c r="P213" s="11" t="str">
        <f>IF('Raw Data'!A200&lt;&gt;"",AVERAGE('Raw Data'!AK200,'Raw Data'!AM200,'Raw Data'!AO200,'Raw Data'!AQ200,'Raw Data'!AS200),"")</f>
        <v/>
      </c>
      <c r="Q213" s="11" t="str">
        <f t="shared" si="39"/>
        <v/>
      </c>
      <c r="R213" s="11" t="str">
        <f>IF('Raw Data'!A200&lt;&gt;"",AVERAGE('Raw Data'!AT200,'Raw Data'!AV200,'Raw Data'!AX200,'Raw Data'!AZ200,'Raw Data'!BB200),"")</f>
        <v/>
      </c>
      <c r="S213" s="11" t="str">
        <f>IF('Raw Data'!A200&lt;&gt;"",AVERAGE('Raw Data'!AU200,'Raw Data'!AW200,'Raw Data'!AY200,'Raw Data'!BA200,'Raw Data'!BC200),"")</f>
        <v/>
      </c>
      <c r="T213" s="11" t="str">
        <f t="shared" si="40"/>
        <v/>
      </c>
      <c r="U213" s="11" t="str">
        <f>IF('Raw Data'!A200&lt;&gt;"",AVERAGE('Raw Data'!BD200,'Raw Data'!BF200,'Raw Data'!BH200,'Raw Data'!BJ200,'Raw Data'!BL200),"")</f>
        <v/>
      </c>
      <c r="V213" s="11" t="str">
        <f>IF('Raw Data'!A200&lt;&gt;"",AVERAGE('Raw Data'!BE200,'Raw Data'!BG200,'Raw Data'!BI200,'Raw Data'!BK200,'Raw Data'!BM200),"")</f>
        <v/>
      </c>
      <c r="W213" s="11" t="str">
        <f t="shared" si="41"/>
        <v/>
      </c>
      <c r="X213" s="11" t="str">
        <f t="shared" si="42"/>
        <v/>
      </c>
      <c r="Y213" s="11" t="str">
        <f t="shared" si="43"/>
        <v/>
      </c>
      <c r="Z213" s="11" t="str">
        <f t="shared" si="44"/>
        <v/>
      </c>
      <c r="AA213" s="11" t="str">
        <f t="shared" si="45"/>
        <v/>
      </c>
      <c r="AB213" s="24" t="str">
        <f t="shared" si="46"/>
        <v/>
      </c>
    </row>
    <row r="214" spans="1:28" x14ac:dyDescent="0.25">
      <c r="A214" s="10" t="str">
        <f>IF('Raw Data'!A201&lt;&gt;"",'Raw Data'!A201,"")</f>
        <v/>
      </c>
      <c r="B214" s="10" t="str">
        <f>IF('Raw Data'!B201&lt;&gt;"",'Raw Data'!B201,"")</f>
        <v/>
      </c>
      <c r="C214" s="10" t="str">
        <f>IF('Raw Data'!C201&lt;&gt;"",'Raw Data'!C201,"")</f>
        <v/>
      </c>
      <c r="D214" s="10" t="str">
        <f>IF('Raw Data'!D201&lt;&gt;"",'Raw Data'!D201,"")</f>
        <v/>
      </c>
      <c r="E214" s="10" t="str">
        <f>IF('Raw Data'!E201&lt;&gt;"",'Raw Data'!E201,"")</f>
        <v/>
      </c>
      <c r="F214" s="14" t="str">
        <f>IF('Raw Data'!A201&lt;&gt;"",AVERAGE('Raw Data'!F201,'Raw Data'!H201,'Raw Data'!J201,'Raw Data'!L201,'Raw Data'!N201),"")</f>
        <v/>
      </c>
      <c r="G214" s="14" t="str">
        <f>IF('Raw Data'!A201&lt;&gt;"",AVERAGE('Raw Data'!G201,'Raw Data'!I201,'Raw Data'!K201,'Raw Data'!M201,'Raw Data'!O201),"")</f>
        <v/>
      </c>
      <c r="H214" s="14" t="str">
        <f t="shared" si="36"/>
        <v/>
      </c>
      <c r="I214" s="14" t="str">
        <f>IF('Raw Data'!A201&lt;&gt;"",AVERAGE('Raw Data'!P201,'Raw Data'!R201,'Raw Data'!T201,'Raw Data'!V201,'Raw Data'!X201),"")</f>
        <v/>
      </c>
      <c r="J214" s="14" t="str">
        <f>IF('Raw Data'!A201&lt;&gt;"",AVERAGE('Raw Data'!Q201,'Raw Data'!S201,'Raw Data'!U201,'Raw Data'!W201,'Raw Data'!Y201),"")</f>
        <v/>
      </c>
      <c r="K214" s="14" t="str">
        <f t="shared" si="37"/>
        <v/>
      </c>
      <c r="L214" s="14" t="str">
        <f>IF('Raw Data'!A201&lt;&gt;"",AVERAGE('Raw Data'!Z201,'Raw Data'!AB201,'Raw Data'!AD201,'Raw Data'!AF201,'Raw Data'!AH201),"")</f>
        <v/>
      </c>
      <c r="M214" s="14" t="str">
        <f>IF('Raw Data'!A201&lt;&gt;"",AVERAGE('Raw Data'!AA201,'Raw Data'!AC201,'Raw Data'!AE201,'Raw Data'!AG201,'Raw Data'!AI201),"")</f>
        <v/>
      </c>
      <c r="N214" s="14" t="str">
        <f t="shared" si="38"/>
        <v/>
      </c>
      <c r="O214" s="14" t="str">
        <f>IF('Raw Data'!A201&lt;&gt;"",AVERAGE('Raw Data'!AJ201,'Raw Data'!AL201,'Raw Data'!AN201,'Raw Data'!AP201,'Raw Data'!AR201),"")</f>
        <v/>
      </c>
      <c r="P214" s="14" t="str">
        <f>IF('Raw Data'!A201&lt;&gt;"",AVERAGE('Raw Data'!AK201,'Raw Data'!AM201,'Raw Data'!AO201,'Raw Data'!AQ201,'Raw Data'!AS201),"")</f>
        <v/>
      </c>
      <c r="Q214" s="14" t="str">
        <f t="shared" si="39"/>
        <v/>
      </c>
      <c r="R214" s="14" t="str">
        <f>IF('Raw Data'!A201&lt;&gt;"",AVERAGE('Raw Data'!AT201,'Raw Data'!AV201,'Raw Data'!AX201,'Raw Data'!AZ201,'Raw Data'!BB201),"")</f>
        <v/>
      </c>
      <c r="S214" s="14" t="str">
        <f>IF('Raw Data'!A201&lt;&gt;"",AVERAGE('Raw Data'!AU201,'Raw Data'!AW201,'Raw Data'!AY201,'Raw Data'!BA201,'Raw Data'!BC201),"")</f>
        <v/>
      </c>
      <c r="T214" s="14" t="str">
        <f t="shared" si="40"/>
        <v/>
      </c>
      <c r="U214" s="14" t="str">
        <f>IF('Raw Data'!A201&lt;&gt;"",AVERAGE('Raw Data'!BD201,'Raw Data'!BF201,'Raw Data'!BH201,'Raw Data'!BJ201,'Raw Data'!BL201),"")</f>
        <v/>
      </c>
      <c r="V214" s="14" t="str">
        <f>IF('Raw Data'!A201&lt;&gt;"",AVERAGE('Raw Data'!BE201,'Raw Data'!BG201,'Raw Data'!BI201,'Raw Data'!BK201,'Raw Data'!BM201),"")</f>
        <v/>
      </c>
      <c r="W214" s="14" t="str">
        <f t="shared" si="41"/>
        <v/>
      </c>
      <c r="X214" s="14" t="str">
        <f t="shared" si="42"/>
        <v/>
      </c>
      <c r="Y214" s="14" t="str">
        <f t="shared" si="43"/>
        <v/>
      </c>
      <c r="Z214" s="14" t="str">
        <f t="shared" si="44"/>
        <v/>
      </c>
      <c r="AA214" s="14" t="str">
        <f t="shared" si="45"/>
        <v/>
      </c>
      <c r="AB214" s="25" t="str">
        <f t="shared" si="46"/>
        <v/>
      </c>
    </row>
    <row r="215" spans="1:28" x14ac:dyDescent="0.25">
      <c r="A215" s="2" t="str">
        <f>IF('Raw Data'!A202&lt;&gt;"",'Raw Data'!A202,"")</f>
        <v/>
      </c>
      <c r="B215" s="2" t="str">
        <f>IF('Raw Data'!B202&lt;&gt;"",'Raw Data'!B202,"")</f>
        <v/>
      </c>
      <c r="C215" s="2" t="str">
        <f>IF('Raw Data'!C202&lt;&gt;"",'Raw Data'!C202,"")</f>
        <v/>
      </c>
      <c r="D215" s="2" t="str">
        <f>IF('Raw Data'!D202&lt;&gt;"",'Raw Data'!D202,"")</f>
        <v/>
      </c>
      <c r="E215" s="2" t="str">
        <f>IF('Raw Data'!E202&lt;&gt;"",'Raw Data'!E202,"")</f>
        <v/>
      </c>
      <c r="F215" s="11" t="str">
        <f>IF('Raw Data'!A202&lt;&gt;"",AVERAGE('Raw Data'!F202,'Raw Data'!H202,'Raw Data'!J202,'Raw Data'!L202,'Raw Data'!N202),"")</f>
        <v/>
      </c>
      <c r="G215" s="11" t="str">
        <f>IF('Raw Data'!A202&lt;&gt;"",AVERAGE('Raw Data'!G202,'Raw Data'!I202,'Raw Data'!K202,'Raw Data'!M202,'Raw Data'!O202),"")</f>
        <v/>
      </c>
      <c r="H215" s="11" t="str">
        <f t="shared" si="36"/>
        <v/>
      </c>
      <c r="I215" s="11" t="str">
        <f>IF('Raw Data'!A202&lt;&gt;"",AVERAGE('Raw Data'!P202,'Raw Data'!R202,'Raw Data'!T202,'Raw Data'!V202,'Raw Data'!X202),"")</f>
        <v/>
      </c>
      <c r="J215" s="11" t="str">
        <f>IF('Raw Data'!A202&lt;&gt;"",AVERAGE('Raw Data'!Q202,'Raw Data'!S202,'Raw Data'!U202,'Raw Data'!W202,'Raw Data'!Y202),"")</f>
        <v/>
      </c>
      <c r="K215" s="11" t="str">
        <f t="shared" si="37"/>
        <v/>
      </c>
      <c r="L215" s="11" t="str">
        <f>IF('Raw Data'!A202&lt;&gt;"",AVERAGE('Raw Data'!Z202,'Raw Data'!AB202,'Raw Data'!AD202,'Raw Data'!AF202,'Raw Data'!AH202),"")</f>
        <v/>
      </c>
      <c r="M215" s="11" t="str">
        <f>IF('Raw Data'!A202&lt;&gt;"",AVERAGE('Raw Data'!AA202,'Raw Data'!AC202,'Raw Data'!AE202,'Raw Data'!AG202,'Raw Data'!AI202),"")</f>
        <v/>
      </c>
      <c r="N215" s="11" t="str">
        <f t="shared" si="38"/>
        <v/>
      </c>
      <c r="O215" s="11" t="str">
        <f>IF('Raw Data'!A202&lt;&gt;"",AVERAGE('Raw Data'!AJ202,'Raw Data'!AL202,'Raw Data'!AN202,'Raw Data'!AP202,'Raw Data'!AR202),"")</f>
        <v/>
      </c>
      <c r="P215" s="11" t="str">
        <f>IF('Raw Data'!A202&lt;&gt;"",AVERAGE('Raw Data'!AK202,'Raw Data'!AM202,'Raw Data'!AO202,'Raw Data'!AQ202,'Raw Data'!AS202),"")</f>
        <v/>
      </c>
      <c r="Q215" s="11" t="str">
        <f t="shared" si="39"/>
        <v/>
      </c>
      <c r="R215" s="11" t="str">
        <f>IF('Raw Data'!A202&lt;&gt;"",AVERAGE('Raw Data'!AT202,'Raw Data'!AV202,'Raw Data'!AX202,'Raw Data'!AZ202,'Raw Data'!BB202),"")</f>
        <v/>
      </c>
      <c r="S215" s="11" t="str">
        <f>IF('Raw Data'!A202&lt;&gt;"",AVERAGE('Raw Data'!AU202,'Raw Data'!AW202,'Raw Data'!AY202,'Raw Data'!BA202,'Raw Data'!BC202),"")</f>
        <v/>
      </c>
      <c r="T215" s="11" t="str">
        <f t="shared" si="40"/>
        <v/>
      </c>
      <c r="U215" s="11" t="str">
        <f>IF('Raw Data'!A202&lt;&gt;"",AVERAGE('Raw Data'!BD202,'Raw Data'!BF202,'Raw Data'!BH202,'Raw Data'!BJ202,'Raw Data'!BL202),"")</f>
        <v/>
      </c>
      <c r="V215" s="11" t="str">
        <f>IF('Raw Data'!A202&lt;&gt;"",AVERAGE('Raw Data'!BE202,'Raw Data'!BG202,'Raw Data'!BI202,'Raw Data'!BK202,'Raw Data'!BM202),"")</f>
        <v/>
      </c>
      <c r="W215" s="11" t="str">
        <f t="shared" si="41"/>
        <v/>
      </c>
      <c r="X215" s="11" t="str">
        <f t="shared" si="42"/>
        <v/>
      </c>
      <c r="Y215" s="11" t="str">
        <f t="shared" si="43"/>
        <v/>
      </c>
      <c r="Z215" s="11" t="str">
        <f t="shared" si="44"/>
        <v/>
      </c>
      <c r="AA215" s="11" t="str">
        <f t="shared" si="45"/>
        <v/>
      </c>
      <c r="AB215" s="24" t="str">
        <f t="shared" si="46"/>
        <v/>
      </c>
    </row>
    <row r="216" spans="1:28" x14ac:dyDescent="0.25">
      <c r="A216" s="10" t="str">
        <f>IF('Raw Data'!A203&lt;&gt;"",'Raw Data'!A203,"")</f>
        <v/>
      </c>
      <c r="B216" s="10" t="str">
        <f>IF('Raw Data'!B203&lt;&gt;"",'Raw Data'!B203,"")</f>
        <v/>
      </c>
      <c r="C216" s="10" t="str">
        <f>IF('Raw Data'!C203&lt;&gt;"",'Raw Data'!C203,"")</f>
        <v/>
      </c>
      <c r="D216" s="10" t="str">
        <f>IF('Raw Data'!D203&lt;&gt;"",'Raw Data'!D203,"")</f>
        <v/>
      </c>
      <c r="E216" s="10" t="str">
        <f>IF('Raw Data'!E203&lt;&gt;"",'Raw Data'!E203,"")</f>
        <v/>
      </c>
      <c r="F216" s="14" t="str">
        <f>IF('Raw Data'!A203&lt;&gt;"",AVERAGE('Raw Data'!F203,'Raw Data'!H203,'Raw Data'!J203,'Raw Data'!L203,'Raw Data'!N203),"")</f>
        <v/>
      </c>
      <c r="G216" s="14" t="str">
        <f>IF('Raw Data'!A203&lt;&gt;"",AVERAGE('Raw Data'!G203,'Raw Data'!I203,'Raw Data'!K203,'Raw Data'!M203,'Raw Data'!O203),"")</f>
        <v/>
      </c>
      <c r="H216" s="14" t="str">
        <f t="shared" si="36"/>
        <v/>
      </c>
      <c r="I216" s="14" t="str">
        <f>IF('Raw Data'!A203&lt;&gt;"",AVERAGE('Raw Data'!P203,'Raw Data'!R203,'Raw Data'!T203,'Raw Data'!V203,'Raw Data'!X203),"")</f>
        <v/>
      </c>
      <c r="J216" s="14" t="str">
        <f>IF('Raw Data'!A203&lt;&gt;"",AVERAGE('Raw Data'!Q203,'Raw Data'!S203,'Raw Data'!U203,'Raw Data'!W203,'Raw Data'!Y203),"")</f>
        <v/>
      </c>
      <c r="K216" s="14" t="str">
        <f t="shared" si="37"/>
        <v/>
      </c>
      <c r="L216" s="14" t="str">
        <f>IF('Raw Data'!A203&lt;&gt;"",AVERAGE('Raw Data'!Z203,'Raw Data'!AB203,'Raw Data'!AD203,'Raw Data'!AF203,'Raw Data'!AH203),"")</f>
        <v/>
      </c>
      <c r="M216" s="14" t="str">
        <f>IF('Raw Data'!A203&lt;&gt;"",AVERAGE('Raw Data'!AA203,'Raw Data'!AC203,'Raw Data'!AE203,'Raw Data'!AG203,'Raw Data'!AI203),"")</f>
        <v/>
      </c>
      <c r="N216" s="14" t="str">
        <f t="shared" si="38"/>
        <v/>
      </c>
      <c r="O216" s="14" t="str">
        <f>IF('Raw Data'!A203&lt;&gt;"",AVERAGE('Raw Data'!AJ203,'Raw Data'!AL203,'Raw Data'!AN203,'Raw Data'!AP203,'Raw Data'!AR203),"")</f>
        <v/>
      </c>
      <c r="P216" s="14" t="str">
        <f>IF('Raw Data'!A203&lt;&gt;"",AVERAGE('Raw Data'!AK203,'Raw Data'!AM203,'Raw Data'!AO203,'Raw Data'!AQ203,'Raw Data'!AS203),"")</f>
        <v/>
      </c>
      <c r="Q216" s="14" t="str">
        <f t="shared" si="39"/>
        <v/>
      </c>
      <c r="R216" s="14" t="str">
        <f>IF('Raw Data'!A203&lt;&gt;"",AVERAGE('Raw Data'!AT203,'Raw Data'!AV203,'Raw Data'!AX203,'Raw Data'!AZ203,'Raw Data'!BB203),"")</f>
        <v/>
      </c>
      <c r="S216" s="14" t="str">
        <f>IF('Raw Data'!A203&lt;&gt;"",AVERAGE('Raw Data'!AU203,'Raw Data'!AW203,'Raw Data'!AY203,'Raw Data'!BA203,'Raw Data'!BC203),"")</f>
        <v/>
      </c>
      <c r="T216" s="14" t="str">
        <f t="shared" si="40"/>
        <v/>
      </c>
      <c r="U216" s="14" t="str">
        <f>IF('Raw Data'!A203&lt;&gt;"",AVERAGE('Raw Data'!BD203,'Raw Data'!BF203,'Raw Data'!BH203,'Raw Data'!BJ203,'Raw Data'!BL203),"")</f>
        <v/>
      </c>
      <c r="V216" s="14" t="str">
        <f>IF('Raw Data'!A203&lt;&gt;"",AVERAGE('Raw Data'!BE203,'Raw Data'!BG203,'Raw Data'!BI203,'Raw Data'!BK203,'Raw Data'!BM203),"")</f>
        <v/>
      </c>
      <c r="W216" s="14" t="str">
        <f t="shared" si="41"/>
        <v/>
      </c>
      <c r="X216" s="14" t="str">
        <f t="shared" si="42"/>
        <v/>
      </c>
      <c r="Y216" s="14" t="str">
        <f t="shared" si="43"/>
        <v/>
      </c>
      <c r="Z216" s="14" t="str">
        <f t="shared" si="44"/>
        <v/>
      </c>
      <c r="AA216" s="14" t="str">
        <f t="shared" si="45"/>
        <v/>
      </c>
      <c r="AB216" s="25" t="str">
        <f t="shared" si="46"/>
        <v/>
      </c>
    </row>
    <row r="217" spans="1:28" x14ac:dyDescent="0.25">
      <c r="A217" s="2" t="str">
        <f>IF('Raw Data'!A204&lt;&gt;"",'Raw Data'!A204,"")</f>
        <v/>
      </c>
      <c r="B217" s="2" t="str">
        <f>IF('Raw Data'!B204&lt;&gt;"",'Raw Data'!B204,"")</f>
        <v/>
      </c>
      <c r="C217" s="2" t="str">
        <f>IF('Raw Data'!C204&lt;&gt;"",'Raw Data'!C204,"")</f>
        <v/>
      </c>
      <c r="D217" s="2" t="str">
        <f>IF('Raw Data'!D204&lt;&gt;"",'Raw Data'!D204,"")</f>
        <v/>
      </c>
      <c r="E217" s="2" t="str">
        <f>IF('Raw Data'!E204&lt;&gt;"",'Raw Data'!E204,"")</f>
        <v/>
      </c>
      <c r="F217" s="11" t="str">
        <f>IF('Raw Data'!A204&lt;&gt;"",AVERAGE('Raw Data'!F204,'Raw Data'!H204,'Raw Data'!J204,'Raw Data'!L204,'Raw Data'!N204),"")</f>
        <v/>
      </c>
      <c r="G217" s="11" t="str">
        <f>IF('Raw Data'!A204&lt;&gt;"",AVERAGE('Raw Data'!G204,'Raw Data'!I204,'Raw Data'!K204,'Raw Data'!M204,'Raw Data'!O204),"")</f>
        <v/>
      </c>
      <c r="H217" s="11" t="str">
        <f t="shared" si="36"/>
        <v/>
      </c>
      <c r="I217" s="11" t="str">
        <f>IF('Raw Data'!A204&lt;&gt;"",AVERAGE('Raw Data'!P204,'Raw Data'!R204,'Raw Data'!T204,'Raw Data'!V204,'Raw Data'!X204),"")</f>
        <v/>
      </c>
      <c r="J217" s="11" t="str">
        <f>IF('Raw Data'!A204&lt;&gt;"",AVERAGE('Raw Data'!Q204,'Raw Data'!S204,'Raw Data'!U204,'Raw Data'!W204,'Raw Data'!Y204),"")</f>
        <v/>
      </c>
      <c r="K217" s="11" t="str">
        <f t="shared" si="37"/>
        <v/>
      </c>
      <c r="L217" s="11" t="str">
        <f>IF('Raw Data'!A204&lt;&gt;"",AVERAGE('Raw Data'!Z204,'Raw Data'!AB204,'Raw Data'!AD204,'Raw Data'!AF204,'Raw Data'!AH204),"")</f>
        <v/>
      </c>
      <c r="M217" s="11" t="str">
        <f>IF('Raw Data'!A204&lt;&gt;"",AVERAGE('Raw Data'!AA204,'Raw Data'!AC204,'Raw Data'!AE204,'Raw Data'!AG204,'Raw Data'!AI204),"")</f>
        <v/>
      </c>
      <c r="N217" s="11" t="str">
        <f t="shared" si="38"/>
        <v/>
      </c>
      <c r="O217" s="11" t="str">
        <f>IF('Raw Data'!A204&lt;&gt;"",AVERAGE('Raw Data'!AJ204,'Raw Data'!AL204,'Raw Data'!AN204,'Raw Data'!AP204,'Raw Data'!AR204),"")</f>
        <v/>
      </c>
      <c r="P217" s="11" t="str">
        <f>IF('Raw Data'!A204&lt;&gt;"",AVERAGE('Raw Data'!AK204,'Raw Data'!AM204,'Raw Data'!AO204,'Raw Data'!AQ204,'Raw Data'!AS204),"")</f>
        <v/>
      </c>
      <c r="Q217" s="11" t="str">
        <f t="shared" si="39"/>
        <v/>
      </c>
      <c r="R217" s="11" t="str">
        <f>IF('Raw Data'!A204&lt;&gt;"",AVERAGE('Raw Data'!AT204,'Raw Data'!AV204,'Raw Data'!AX204,'Raw Data'!AZ204,'Raw Data'!BB204),"")</f>
        <v/>
      </c>
      <c r="S217" s="11" t="str">
        <f>IF('Raw Data'!A204&lt;&gt;"",AVERAGE('Raw Data'!AU204,'Raw Data'!AW204,'Raw Data'!AY204,'Raw Data'!BA204,'Raw Data'!BC204),"")</f>
        <v/>
      </c>
      <c r="T217" s="11" t="str">
        <f t="shared" si="40"/>
        <v/>
      </c>
      <c r="U217" s="11" t="str">
        <f>IF('Raw Data'!A204&lt;&gt;"",AVERAGE('Raw Data'!BD204,'Raw Data'!BF204,'Raw Data'!BH204,'Raw Data'!BJ204,'Raw Data'!BL204),"")</f>
        <v/>
      </c>
      <c r="V217" s="11" t="str">
        <f>IF('Raw Data'!A204&lt;&gt;"",AVERAGE('Raw Data'!BE204,'Raw Data'!BG204,'Raw Data'!BI204,'Raw Data'!BK204,'Raw Data'!BM204),"")</f>
        <v/>
      </c>
      <c r="W217" s="11" t="str">
        <f t="shared" si="41"/>
        <v/>
      </c>
      <c r="X217" s="11" t="str">
        <f t="shared" si="42"/>
        <v/>
      </c>
      <c r="Y217" s="11" t="str">
        <f t="shared" si="43"/>
        <v/>
      </c>
      <c r="Z217" s="11" t="str">
        <f t="shared" si="44"/>
        <v/>
      </c>
      <c r="AA217" s="11" t="str">
        <f t="shared" si="45"/>
        <v/>
      </c>
      <c r="AB217" s="24" t="str">
        <f t="shared" si="46"/>
        <v/>
      </c>
    </row>
    <row r="218" spans="1:28" x14ac:dyDescent="0.25">
      <c r="A218" s="10" t="str">
        <f>IF('Raw Data'!A205&lt;&gt;"",'Raw Data'!A205,"")</f>
        <v/>
      </c>
      <c r="B218" s="10" t="str">
        <f>IF('Raw Data'!B205&lt;&gt;"",'Raw Data'!B205,"")</f>
        <v/>
      </c>
      <c r="C218" s="10" t="str">
        <f>IF('Raw Data'!C205&lt;&gt;"",'Raw Data'!C205,"")</f>
        <v/>
      </c>
      <c r="D218" s="10" t="str">
        <f>IF('Raw Data'!D205&lt;&gt;"",'Raw Data'!D205,"")</f>
        <v/>
      </c>
      <c r="E218" s="10" t="str">
        <f>IF('Raw Data'!E205&lt;&gt;"",'Raw Data'!E205,"")</f>
        <v/>
      </c>
      <c r="F218" s="14" t="str">
        <f>IF('Raw Data'!A205&lt;&gt;"",AVERAGE('Raw Data'!F205,'Raw Data'!H205,'Raw Data'!J205,'Raw Data'!L205,'Raw Data'!N205),"")</f>
        <v/>
      </c>
      <c r="G218" s="14" t="str">
        <f>IF('Raw Data'!A205&lt;&gt;"",AVERAGE('Raw Data'!G205,'Raw Data'!I205,'Raw Data'!K205,'Raw Data'!M205,'Raw Data'!O205),"")</f>
        <v/>
      </c>
      <c r="H218" s="14" t="str">
        <f t="shared" si="36"/>
        <v/>
      </c>
      <c r="I218" s="14" t="str">
        <f>IF('Raw Data'!A205&lt;&gt;"",AVERAGE('Raw Data'!P205,'Raw Data'!R205,'Raw Data'!T205,'Raw Data'!V205,'Raw Data'!X205),"")</f>
        <v/>
      </c>
      <c r="J218" s="14" t="str">
        <f>IF('Raw Data'!A205&lt;&gt;"",AVERAGE('Raw Data'!Q205,'Raw Data'!S205,'Raw Data'!U205,'Raw Data'!W205,'Raw Data'!Y205),"")</f>
        <v/>
      </c>
      <c r="K218" s="14" t="str">
        <f t="shared" si="37"/>
        <v/>
      </c>
      <c r="L218" s="14" t="str">
        <f>IF('Raw Data'!A205&lt;&gt;"",AVERAGE('Raw Data'!Z205,'Raw Data'!AB205,'Raw Data'!AD205,'Raw Data'!AF205,'Raw Data'!AH205),"")</f>
        <v/>
      </c>
      <c r="M218" s="14" t="str">
        <f>IF('Raw Data'!A205&lt;&gt;"",AVERAGE('Raw Data'!AA205,'Raw Data'!AC205,'Raw Data'!AE205,'Raw Data'!AG205,'Raw Data'!AI205),"")</f>
        <v/>
      </c>
      <c r="N218" s="14" t="str">
        <f t="shared" si="38"/>
        <v/>
      </c>
      <c r="O218" s="14" t="str">
        <f>IF('Raw Data'!A205&lt;&gt;"",AVERAGE('Raw Data'!AJ205,'Raw Data'!AL205,'Raw Data'!AN205,'Raw Data'!AP205,'Raw Data'!AR205),"")</f>
        <v/>
      </c>
      <c r="P218" s="14" t="str">
        <f>IF('Raw Data'!A205&lt;&gt;"",AVERAGE('Raw Data'!AK205,'Raw Data'!AM205,'Raw Data'!AO205,'Raw Data'!AQ205,'Raw Data'!AS205),"")</f>
        <v/>
      </c>
      <c r="Q218" s="14" t="str">
        <f t="shared" si="39"/>
        <v/>
      </c>
      <c r="R218" s="14" t="str">
        <f>IF('Raw Data'!A205&lt;&gt;"",AVERAGE('Raw Data'!AT205,'Raw Data'!AV205,'Raw Data'!AX205,'Raw Data'!AZ205,'Raw Data'!BB205),"")</f>
        <v/>
      </c>
      <c r="S218" s="14" t="str">
        <f>IF('Raw Data'!A205&lt;&gt;"",AVERAGE('Raw Data'!AU205,'Raw Data'!AW205,'Raw Data'!AY205,'Raw Data'!BA205,'Raw Data'!BC205),"")</f>
        <v/>
      </c>
      <c r="T218" s="14" t="str">
        <f t="shared" si="40"/>
        <v/>
      </c>
      <c r="U218" s="14" t="str">
        <f>IF('Raw Data'!A205&lt;&gt;"",AVERAGE('Raw Data'!BD205,'Raw Data'!BF205,'Raw Data'!BH205,'Raw Data'!BJ205,'Raw Data'!BL205),"")</f>
        <v/>
      </c>
      <c r="V218" s="14" t="str">
        <f>IF('Raw Data'!A205&lt;&gt;"",AVERAGE('Raw Data'!BE205,'Raw Data'!BG205,'Raw Data'!BI205,'Raw Data'!BK205,'Raw Data'!BM205),"")</f>
        <v/>
      </c>
      <c r="W218" s="14" t="str">
        <f t="shared" si="41"/>
        <v/>
      </c>
      <c r="X218" s="14" t="str">
        <f t="shared" si="42"/>
        <v/>
      </c>
      <c r="Y218" s="14" t="str">
        <f t="shared" si="43"/>
        <v/>
      </c>
      <c r="Z218" s="14" t="str">
        <f t="shared" si="44"/>
        <v/>
      </c>
      <c r="AA218" s="14" t="str">
        <f t="shared" si="45"/>
        <v/>
      </c>
      <c r="AB218" s="25" t="str">
        <f t="shared" si="46"/>
        <v/>
      </c>
    </row>
    <row r="219" spans="1:28" x14ac:dyDescent="0.25">
      <c r="A219" s="2" t="str">
        <f>IF('Raw Data'!A206&lt;&gt;"",'Raw Data'!A206,"")</f>
        <v/>
      </c>
      <c r="B219" s="2" t="str">
        <f>IF('Raw Data'!B206&lt;&gt;"",'Raw Data'!B206,"")</f>
        <v/>
      </c>
      <c r="C219" s="2" t="str">
        <f>IF('Raw Data'!C206&lt;&gt;"",'Raw Data'!C206,"")</f>
        <v/>
      </c>
      <c r="D219" s="2" t="str">
        <f>IF('Raw Data'!D206&lt;&gt;"",'Raw Data'!D206,"")</f>
        <v/>
      </c>
      <c r="E219" s="2" t="str">
        <f>IF('Raw Data'!E206&lt;&gt;"",'Raw Data'!E206,"")</f>
        <v/>
      </c>
      <c r="F219" s="11" t="str">
        <f>IF('Raw Data'!A206&lt;&gt;"",AVERAGE('Raw Data'!F206,'Raw Data'!H206,'Raw Data'!J206,'Raw Data'!L206,'Raw Data'!N206),"")</f>
        <v/>
      </c>
      <c r="G219" s="11" t="str">
        <f>IF('Raw Data'!A206&lt;&gt;"",AVERAGE('Raw Data'!G206,'Raw Data'!I206,'Raw Data'!K206,'Raw Data'!M206,'Raw Data'!O206),"")</f>
        <v/>
      </c>
      <c r="H219" s="11" t="str">
        <f t="shared" si="36"/>
        <v/>
      </c>
      <c r="I219" s="11" t="str">
        <f>IF('Raw Data'!A206&lt;&gt;"",AVERAGE('Raw Data'!P206,'Raw Data'!R206,'Raw Data'!T206,'Raw Data'!V206,'Raw Data'!X206),"")</f>
        <v/>
      </c>
      <c r="J219" s="11" t="str">
        <f>IF('Raw Data'!A206&lt;&gt;"",AVERAGE('Raw Data'!Q206,'Raw Data'!S206,'Raw Data'!U206,'Raw Data'!W206,'Raw Data'!Y206),"")</f>
        <v/>
      </c>
      <c r="K219" s="11" t="str">
        <f t="shared" si="37"/>
        <v/>
      </c>
      <c r="L219" s="11" t="str">
        <f>IF('Raw Data'!A206&lt;&gt;"",AVERAGE('Raw Data'!Z206,'Raw Data'!AB206,'Raw Data'!AD206,'Raw Data'!AF206,'Raw Data'!AH206),"")</f>
        <v/>
      </c>
      <c r="M219" s="11" t="str">
        <f>IF('Raw Data'!A206&lt;&gt;"",AVERAGE('Raw Data'!AA206,'Raw Data'!AC206,'Raw Data'!AE206,'Raw Data'!AG206,'Raw Data'!AI206),"")</f>
        <v/>
      </c>
      <c r="N219" s="11" t="str">
        <f t="shared" si="38"/>
        <v/>
      </c>
      <c r="O219" s="11" t="str">
        <f>IF('Raw Data'!A206&lt;&gt;"",AVERAGE('Raw Data'!AJ206,'Raw Data'!AL206,'Raw Data'!AN206,'Raw Data'!AP206,'Raw Data'!AR206),"")</f>
        <v/>
      </c>
      <c r="P219" s="11" t="str">
        <f>IF('Raw Data'!A206&lt;&gt;"",AVERAGE('Raw Data'!AK206,'Raw Data'!AM206,'Raw Data'!AO206,'Raw Data'!AQ206,'Raw Data'!AS206),"")</f>
        <v/>
      </c>
      <c r="Q219" s="11" t="str">
        <f t="shared" si="39"/>
        <v/>
      </c>
      <c r="R219" s="11" t="str">
        <f>IF('Raw Data'!A206&lt;&gt;"",AVERAGE('Raw Data'!AT206,'Raw Data'!AV206,'Raw Data'!AX206,'Raw Data'!AZ206,'Raw Data'!BB206),"")</f>
        <v/>
      </c>
      <c r="S219" s="11" t="str">
        <f>IF('Raw Data'!A206&lt;&gt;"",AVERAGE('Raw Data'!AU206,'Raw Data'!AW206,'Raw Data'!AY206,'Raw Data'!BA206,'Raw Data'!BC206),"")</f>
        <v/>
      </c>
      <c r="T219" s="11" t="str">
        <f t="shared" si="40"/>
        <v/>
      </c>
      <c r="U219" s="11" t="str">
        <f>IF('Raw Data'!A206&lt;&gt;"",AVERAGE('Raw Data'!BD206,'Raw Data'!BF206,'Raw Data'!BH206,'Raw Data'!BJ206,'Raw Data'!BL206),"")</f>
        <v/>
      </c>
      <c r="V219" s="11" t="str">
        <f>IF('Raw Data'!A206&lt;&gt;"",AVERAGE('Raw Data'!BE206,'Raw Data'!BG206,'Raw Data'!BI206,'Raw Data'!BK206,'Raw Data'!BM206),"")</f>
        <v/>
      </c>
      <c r="W219" s="11" t="str">
        <f t="shared" si="41"/>
        <v/>
      </c>
      <c r="X219" s="11" t="str">
        <f t="shared" si="42"/>
        <v/>
      </c>
      <c r="Y219" s="11" t="str">
        <f t="shared" si="43"/>
        <v/>
      </c>
      <c r="Z219" s="11" t="str">
        <f t="shared" si="44"/>
        <v/>
      </c>
      <c r="AA219" s="11" t="str">
        <f t="shared" si="45"/>
        <v/>
      </c>
      <c r="AB219" s="24" t="str">
        <f t="shared" si="46"/>
        <v/>
      </c>
    </row>
    <row r="220" spans="1:28" x14ac:dyDescent="0.25">
      <c r="A220" s="10" t="str">
        <f>IF('Raw Data'!A207&lt;&gt;"",'Raw Data'!A207,"")</f>
        <v/>
      </c>
      <c r="B220" s="10" t="str">
        <f>IF('Raw Data'!B207&lt;&gt;"",'Raw Data'!B207,"")</f>
        <v/>
      </c>
      <c r="C220" s="10" t="str">
        <f>IF('Raw Data'!C207&lt;&gt;"",'Raw Data'!C207,"")</f>
        <v/>
      </c>
      <c r="D220" s="10" t="str">
        <f>IF('Raw Data'!D207&lt;&gt;"",'Raw Data'!D207,"")</f>
        <v/>
      </c>
      <c r="E220" s="10" t="str">
        <f>IF('Raw Data'!E207&lt;&gt;"",'Raw Data'!E207,"")</f>
        <v/>
      </c>
      <c r="F220" s="14" t="str">
        <f>IF('Raw Data'!A207&lt;&gt;"",AVERAGE('Raw Data'!F207,'Raw Data'!H207,'Raw Data'!J207,'Raw Data'!L207,'Raw Data'!N207),"")</f>
        <v/>
      </c>
      <c r="G220" s="14" t="str">
        <f>IF('Raw Data'!A207&lt;&gt;"",AVERAGE('Raw Data'!G207,'Raw Data'!I207,'Raw Data'!K207,'Raw Data'!M207,'Raw Data'!O207),"")</f>
        <v/>
      </c>
      <c r="H220" s="14" t="str">
        <f t="shared" si="36"/>
        <v/>
      </c>
      <c r="I220" s="14" t="str">
        <f>IF('Raw Data'!A207&lt;&gt;"",AVERAGE('Raw Data'!P207,'Raw Data'!R207,'Raw Data'!T207,'Raw Data'!V207,'Raw Data'!X207),"")</f>
        <v/>
      </c>
      <c r="J220" s="14" t="str">
        <f>IF('Raw Data'!A207&lt;&gt;"",AVERAGE('Raw Data'!Q207,'Raw Data'!S207,'Raw Data'!U207,'Raw Data'!W207,'Raw Data'!Y207),"")</f>
        <v/>
      </c>
      <c r="K220" s="14" t="str">
        <f t="shared" si="37"/>
        <v/>
      </c>
      <c r="L220" s="14" t="str">
        <f>IF('Raw Data'!A207&lt;&gt;"",AVERAGE('Raw Data'!Z207,'Raw Data'!AB207,'Raw Data'!AD207,'Raw Data'!AF207,'Raw Data'!AH207),"")</f>
        <v/>
      </c>
      <c r="M220" s="14" t="str">
        <f>IF('Raw Data'!A207&lt;&gt;"",AVERAGE('Raw Data'!AA207,'Raw Data'!AC207,'Raw Data'!AE207,'Raw Data'!AG207,'Raw Data'!AI207),"")</f>
        <v/>
      </c>
      <c r="N220" s="14" t="str">
        <f t="shared" si="38"/>
        <v/>
      </c>
      <c r="O220" s="14" t="str">
        <f>IF('Raw Data'!A207&lt;&gt;"",AVERAGE('Raw Data'!AJ207,'Raw Data'!AL207,'Raw Data'!AN207,'Raw Data'!AP207,'Raw Data'!AR207),"")</f>
        <v/>
      </c>
      <c r="P220" s="14" t="str">
        <f>IF('Raw Data'!A207&lt;&gt;"",AVERAGE('Raw Data'!AK207,'Raw Data'!AM207,'Raw Data'!AO207,'Raw Data'!AQ207,'Raw Data'!AS207),"")</f>
        <v/>
      </c>
      <c r="Q220" s="14" t="str">
        <f t="shared" si="39"/>
        <v/>
      </c>
      <c r="R220" s="14" t="str">
        <f>IF('Raw Data'!A207&lt;&gt;"",AVERAGE('Raw Data'!AT207,'Raw Data'!AV207,'Raw Data'!AX207,'Raw Data'!AZ207,'Raw Data'!BB207),"")</f>
        <v/>
      </c>
      <c r="S220" s="14" t="str">
        <f>IF('Raw Data'!A207&lt;&gt;"",AVERAGE('Raw Data'!AU207,'Raw Data'!AW207,'Raw Data'!AY207,'Raw Data'!BA207,'Raw Data'!BC207),"")</f>
        <v/>
      </c>
      <c r="T220" s="14" t="str">
        <f t="shared" si="40"/>
        <v/>
      </c>
      <c r="U220" s="14" t="str">
        <f>IF('Raw Data'!A207&lt;&gt;"",AVERAGE('Raw Data'!BD207,'Raw Data'!BF207,'Raw Data'!BH207,'Raw Data'!BJ207,'Raw Data'!BL207),"")</f>
        <v/>
      </c>
      <c r="V220" s="14" t="str">
        <f>IF('Raw Data'!A207&lt;&gt;"",AVERAGE('Raw Data'!BE207,'Raw Data'!BG207,'Raw Data'!BI207,'Raw Data'!BK207,'Raw Data'!BM207),"")</f>
        <v/>
      </c>
      <c r="W220" s="14" t="str">
        <f t="shared" si="41"/>
        <v/>
      </c>
      <c r="X220" s="14" t="str">
        <f t="shared" si="42"/>
        <v/>
      </c>
      <c r="Y220" s="14" t="str">
        <f t="shared" si="43"/>
        <v/>
      </c>
      <c r="Z220" s="14" t="str">
        <f t="shared" si="44"/>
        <v/>
      </c>
      <c r="AA220" s="14" t="str">
        <f t="shared" si="45"/>
        <v/>
      </c>
      <c r="AB220" s="25" t="str">
        <f t="shared" si="46"/>
        <v/>
      </c>
    </row>
    <row r="221" spans="1:28" x14ac:dyDescent="0.25">
      <c r="A221" s="2" t="str">
        <f>IF('Raw Data'!A208&lt;&gt;"",'Raw Data'!A208,"")</f>
        <v/>
      </c>
      <c r="B221" s="2" t="str">
        <f>IF('Raw Data'!B208&lt;&gt;"",'Raw Data'!B208,"")</f>
        <v/>
      </c>
      <c r="C221" s="2" t="str">
        <f>IF('Raw Data'!C208&lt;&gt;"",'Raw Data'!C208,"")</f>
        <v/>
      </c>
      <c r="D221" s="2" t="str">
        <f>IF('Raw Data'!D208&lt;&gt;"",'Raw Data'!D208,"")</f>
        <v/>
      </c>
      <c r="E221" s="2" t="str">
        <f>IF('Raw Data'!E208&lt;&gt;"",'Raw Data'!E208,"")</f>
        <v/>
      </c>
      <c r="F221" s="11" t="str">
        <f>IF('Raw Data'!A208&lt;&gt;"",AVERAGE('Raw Data'!F208,'Raw Data'!H208,'Raw Data'!J208,'Raw Data'!L208,'Raw Data'!N208),"")</f>
        <v/>
      </c>
      <c r="G221" s="11" t="str">
        <f>IF('Raw Data'!A208&lt;&gt;"",AVERAGE('Raw Data'!G208,'Raw Data'!I208,'Raw Data'!K208,'Raw Data'!M208,'Raw Data'!O208),"")</f>
        <v/>
      </c>
      <c r="H221" s="11" t="str">
        <f t="shared" si="36"/>
        <v/>
      </c>
      <c r="I221" s="11" t="str">
        <f>IF('Raw Data'!A208&lt;&gt;"",AVERAGE('Raw Data'!P208,'Raw Data'!R208,'Raw Data'!T208,'Raw Data'!V208,'Raw Data'!X208),"")</f>
        <v/>
      </c>
      <c r="J221" s="11" t="str">
        <f>IF('Raw Data'!A208&lt;&gt;"",AVERAGE('Raw Data'!Q208,'Raw Data'!S208,'Raw Data'!U208,'Raw Data'!W208,'Raw Data'!Y208),"")</f>
        <v/>
      </c>
      <c r="K221" s="11" t="str">
        <f t="shared" si="37"/>
        <v/>
      </c>
      <c r="L221" s="11" t="str">
        <f>IF('Raw Data'!A208&lt;&gt;"",AVERAGE('Raw Data'!Z208,'Raw Data'!AB208,'Raw Data'!AD208,'Raw Data'!AF208,'Raw Data'!AH208),"")</f>
        <v/>
      </c>
      <c r="M221" s="11" t="str">
        <f>IF('Raw Data'!A208&lt;&gt;"",AVERAGE('Raw Data'!AA208,'Raw Data'!AC208,'Raw Data'!AE208,'Raw Data'!AG208,'Raw Data'!AI208),"")</f>
        <v/>
      </c>
      <c r="N221" s="11" t="str">
        <f t="shared" si="38"/>
        <v/>
      </c>
      <c r="O221" s="11" t="str">
        <f>IF('Raw Data'!A208&lt;&gt;"",AVERAGE('Raw Data'!AJ208,'Raw Data'!AL208,'Raw Data'!AN208,'Raw Data'!AP208,'Raw Data'!AR208),"")</f>
        <v/>
      </c>
      <c r="P221" s="11" t="str">
        <f>IF('Raw Data'!A208&lt;&gt;"",AVERAGE('Raw Data'!AK208,'Raw Data'!AM208,'Raw Data'!AO208,'Raw Data'!AQ208,'Raw Data'!AS208),"")</f>
        <v/>
      </c>
      <c r="Q221" s="11" t="str">
        <f t="shared" si="39"/>
        <v/>
      </c>
      <c r="R221" s="11" t="str">
        <f>IF('Raw Data'!A208&lt;&gt;"",AVERAGE('Raw Data'!AT208,'Raw Data'!AV208,'Raw Data'!AX208,'Raw Data'!AZ208,'Raw Data'!BB208),"")</f>
        <v/>
      </c>
      <c r="S221" s="11" t="str">
        <f>IF('Raw Data'!A208&lt;&gt;"",AVERAGE('Raw Data'!AU208,'Raw Data'!AW208,'Raw Data'!AY208,'Raw Data'!BA208,'Raw Data'!BC208),"")</f>
        <v/>
      </c>
      <c r="T221" s="11" t="str">
        <f t="shared" si="40"/>
        <v/>
      </c>
      <c r="U221" s="11" t="str">
        <f>IF('Raw Data'!A208&lt;&gt;"",AVERAGE('Raw Data'!BD208,'Raw Data'!BF208,'Raw Data'!BH208,'Raw Data'!BJ208,'Raw Data'!BL208),"")</f>
        <v/>
      </c>
      <c r="V221" s="11" t="str">
        <f>IF('Raw Data'!A208&lt;&gt;"",AVERAGE('Raw Data'!BE208,'Raw Data'!BG208,'Raw Data'!BI208,'Raw Data'!BK208,'Raw Data'!BM208),"")</f>
        <v/>
      </c>
      <c r="W221" s="11" t="str">
        <f t="shared" si="41"/>
        <v/>
      </c>
      <c r="X221" s="11" t="str">
        <f t="shared" si="42"/>
        <v/>
      </c>
      <c r="Y221" s="11" t="str">
        <f t="shared" si="43"/>
        <v/>
      </c>
      <c r="Z221" s="11" t="str">
        <f t="shared" si="44"/>
        <v/>
      </c>
      <c r="AA221" s="11" t="str">
        <f t="shared" si="45"/>
        <v/>
      </c>
      <c r="AB221" s="24" t="str">
        <f t="shared" si="46"/>
        <v/>
      </c>
    </row>
    <row r="222" spans="1:28" x14ac:dyDescent="0.25">
      <c r="A222" s="10" t="str">
        <f>IF('Raw Data'!A209&lt;&gt;"",'Raw Data'!A209,"")</f>
        <v/>
      </c>
      <c r="B222" s="10" t="str">
        <f>IF('Raw Data'!B209&lt;&gt;"",'Raw Data'!B209,"")</f>
        <v/>
      </c>
      <c r="C222" s="10" t="str">
        <f>IF('Raw Data'!C209&lt;&gt;"",'Raw Data'!C209,"")</f>
        <v/>
      </c>
      <c r="D222" s="10" t="str">
        <f>IF('Raw Data'!D209&lt;&gt;"",'Raw Data'!D209,"")</f>
        <v/>
      </c>
      <c r="E222" s="10" t="str">
        <f>IF('Raw Data'!E209&lt;&gt;"",'Raw Data'!E209,"")</f>
        <v/>
      </c>
      <c r="F222" s="14" t="str">
        <f>IF('Raw Data'!A209&lt;&gt;"",AVERAGE('Raw Data'!F209,'Raw Data'!H209,'Raw Data'!J209,'Raw Data'!L209,'Raw Data'!N209),"")</f>
        <v/>
      </c>
      <c r="G222" s="14" t="str">
        <f>IF('Raw Data'!A209&lt;&gt;"",AVERAGE('Raw Data'!G209,'Raw Data'!I209,'Raw Data'!K209,'Raw Data'!M209,'Raw Data'!O209),"")</f>
        <v/>
      </c>
      <c r="H222" s="14" t="str">
        <f t="shared" si="36"/>
        <v/>
      </c>
      <c r="I222" s="14" t="str">
        <f>IF('Raw Data'!A209&lt;&gt;"",AVERAGE('Raw Data'!P209,'Raw Data'!R209,'Raw Data'!T209,'Raw Data'!V209,'Raw Data'!X209),"")</f>
        <v/>
      </c>
      <c r="J222" s="14" t="str">
        <f>IF('Raw Data'!A209&lt;&gt;"",AVERAGE('Raw Data'!Q209,'Raw Data'!S209,'Raw Data'!U209,'Raw Data'!W209,'Raw Data'!Y209),"")</f>
        <v/>
      </c>
      <c r="K222" s="14" t="str">
        <f t="shared" si="37"/>
        <v/>
      </c>
      <c r="L222" s="14" t="str">
        <f>IF('Raw Data'!A209&lt;&gt;"",AVERAGE('Raw Data'!Z209,'Raw Data'!AB209,'Raw Data'!AD209,'Raw Data'!AF209,'Raw Data'!AH209),"")</f>
        <v/>
      </c>
      <c r="M222" s="14" t="str">
        <f>IF('Raw Data'!A209&lt;&gt;"",AVERAGE('Raw Data'!AA209,'Raw Data'!AC209,'Raw Data'!AE209,'Raw Data'!AG209,'Raw Data'!AI209),"")</f>
        <v/>
      </c>
      <c r="N222" s="14" t="str">
        <f t="shared" si="38"/>
        <v/>
      </c>
      <c r="O222" s="14" t="str">
        <f>IF('Raw Data'!A209&lt;&gt;"",AVERAGE('Raw Data'!AJ209,'Raw Data'!AL209,'Raw Data'!AN209,'Raw Data'!AP209,'Raw Data'!AR209),"")</f>
        <v/>
      </c>
      <c r="P222" s="14" t="str">
        <f>IF('Raw Data'!A209&lt;&gt;"",AVERAGE('Raw Data'!AK209,'Raw Data'!AM209,'Raw Data'!AO209,'Raw Data'!AQ209,'Raw Data'!AS209),"")</f>
        <v/>
      </c>
      <c r="Q222" s="14" t="str">
        <f t="shared" si="39"/>
        <v/>
      </c>
      <c r="R222" s="14" t="str">
        <f>IF('Raw Data'!A209&lt;&gt;"",AVERAGE('Raw Data'!AT209,'Raw Data'!AV209,'Raw Data'!AX209,'Raw Data'!AZ209,'Raw Data'!BB209),"")</f>
        <v/>
      </c>
      <c r="S222" s="14" t="str">
        <f>IF('Raw Data'!A209&lt;&gt;"",AVERAGE('Raw Data'!AU209,'Raw Data'!AW209,'Raw Data'!AY209,'Raw Data'!BA209,'Raw Data'!BC209),"")</f>
        <v/>
      </c>
      <c r="T222" s="14" t="str">
        <f t="shared" si="40"/>
        <v/>
      </c>
      <c r="U222" s="14" t="str">
        <f>IF('Raw Data'!A209&lt;&gt;"",AVERAGE('Raw Data'!BD209,'Raw Data'!BF209,'Raw Data'!BH209,'Raw Data'!BJ209,'Raw Data'!BL209),"")</f>
        <v/>
      </c>
      <c r="V222" s="14" t="str">
        <f>IF('Raw Data'!A209&lt;&gt;"",AVERAGE('Raw Data'!BE209,'Raw Data'!BG209,'Raw Data'!BI209,'Raw Data'!BK209,'Raw Data'!BM209),"")</f>
        <v/>
      </c>
      <c r="W222" s="14" t="str">
        <f t="shared" si="41"/>
        <v/>
      </c>
      <c r="X222" s="14" t="str">
        <f t="shared" si="42"/>
        <v/>
      </c>
      <c r="Y222" s="14" t="str">
        <f t="shared" si="43"/>
        <v/>
      </c>
      <c r="Z222" s="14" t="str">
        <f t="shared" si="44"/>
        <v/>
      </c>
      <c r="AA222" s="14" t="str">
        <f t="shared" si="45"/>
        <v/>
      </c>
      <c r="AB222" s="25" t="str">
        <f t="shared" si="46"/>
        <v/>
      </c>
    </row>
    <row r="223" spans="1:28" x14ac:dyDescent="0.25">
      <c r="A223" s="2" t="str">
        <f>IF('Raw Data'!A210&lt;&gt;"",'Raw Data'!A210,"")</f>
        <v/>
      </c>
      <c r="B223" s="2" t="str">
        <f>IF('Raw Data'!B210&lt;&gt;"",'Raw Data'!B210,"")</f>
        <v/>
      </c>
      <c r="C223" s="2" t="str">
        <f>IF('Raw Data'!C210&lt;&gt;"",'Raw Data'!C210,"")</f>
        <v/>
      </c>
      <c r="D223" s="2" t="str">
        <f>IF('Raw Data'!D210&lt;&gt;"",'Raw Data'!D210,"")</f>
        <v/>
      </c>
      <c r="E223" s="2" t="str">
        <f>IF('Raw Data'!E210&lt;&gt;"",'Raw Data'!E210,"")</f>
        <v/>
      </c>
      <c r="F223" s="11" t="str">
        <f>IF('Raw Data'!A210&lt;&gt;"",AVERAGE('Raw Data'!F210,'Raw Data'!H210,'Raw Data'!J210,'Raw Data'!L210,'Raw Data'!N210),"")</f>
        <v/>
      </c>
      <c r="G223" s="11" t="str">
        <f>IF('Raw Data'!A210&lt;&gt;"",AVERAGE('Raw Data'!G210,'Raw Data'!I210,'Raw Data'!K210,'Raw Data'!M210,'Raw Data'!O210),"")</f>
        <v/>
      </c>
      <c r="H223" s="11" t="str">
        <f t="shared" si="36"/>
        <v/>
      </c>
      <c r="I223" s="11" t="str">
        <f>IF('Raw Data'!A210&lt;&gt;"",AVERAGE('Raw Data'!P210,'Raw Data'!R210,'Raw Data'!T210,'Raw Data'!V210,'Raw Data'!X210),"")</f>
        <v/>
      </c>
      <c r="J223" s="11" t="str">
        <f>IF('Raw Data'!A210&lt;&gt;"",AVERAGE('Raw Data'!Q210,'Raw Data'!S210,'Raw Data'!U210,'Raw Data'!W210,'Raw Data'!Y210),"")</f>
        <v/>
      </c>
      <c r="K223" s="11" t="str">
        <f t="shared" si="37"/>
        <v/>
      </c>
      <c r="L223" s="11" t="str">
        <f>IF('Raw Data'!A210&lt;&gt;"",AVERAGE('Raw Data'!Z210,'Raw Data'!AB210,'Raw Data'!AD210,'Raw Data'!AF210,'Raw Data'!AH210),"")</f>
        <v/>
      </c>
      <c r="M223" s="11" t="str">
        <f>IF('Raw Data'!A210&lt;&gt;"",AVERAGE('Raw Data'!AA210,'Raw Data'!AC210,'Raw Data'!AE210,'Raw Data'!AG210,'Raw Data'!AI210),"")</f>
        <v/>
      </c>
      <c r="N223" s="11" t="str">
        <f t="shared" si="38"/>
        <v/>
      </c>
      <c r="O223" s="11" t="str">
        <f>IF('Raw Data'!A210&lt;&gt;"",AVERAGE('Raw Data'!AJ210,'Raw Data'!AL210,'Raw Data'!AN210,'Raw Data'!AP210,'Raw Data'!AR210),"")</f>
        <v/>
      </c>
      <c r="P223" s="11" t="str">
        <f>IF('Raw Data'!A210&lt;&gt;"",AVERAGE('Raw Data'!AK210,'Raw Data'!AM210,'Raw Data'!AO210,'Raw Data'!AQ210,'Raw Data'!AS210),"")</f>
        <v/>
      </c>
      <c r="Q223" s="11" t="str">
        <f t="shared" si="39"/>
        <v/>
      </c>
      <c r="R223" s="11" t="str">
        <f>IF('Raw Data'!A210&lt;&gt;"",AVERAGE('Raw Data'!AT210,'Raw Data'!AV210,'Raw Data'!AX210,'Raw Data'!AZ210,'Raw Data'!BB210),"")</f>
        <v/>
      </c>
      <c r="S223" s="11" t="str">
        <f>IF('Raw Data'!A210&lt;&gt;"",AVERAGE('Raw Data'!AU210,'Raw Data'!AW210,'Raw Data'!AY210,'Raw Data'!BA210,'Raw Data'!BC210),"")</f>
        <v/>
      </c>
      <c r="T223" s="11" t="str">
        <f t="shared" si="40"/>
        <v/>
      </c>
      <c r="U223" s="11" t="str">
        <f>IF('Raw Data'!A210&lt;&gt;"",AVERAGE('Raw Data'!BD210,'Raw Data'!BF210,'Raw Data'!BH210,'Raw Data'!BJ210,'Raw Data'!BL210),"")</f>
        <v/>
      </c>
      <c r="V223" s="11" t="str">
        <f>IF('Raw Data'!A210&lt;&gt;"",AVERAGE('Raw Data'!BE210,'Raw Data'!BG210,'Raw Data'!BI210,'Raw Data'!BK210,'Raw Data'!BM210),"")</f>
        <v/>
      </c>
      <c r="W223" s="11" t="str">
        <f t="shared" si="41"/>
        <v/>
      </c>
      <c r="X223" s="11" t="str">
        <f t="shared" si="42"/>
        <v/>
      </c>
      <c r="Y223" s="11" t="str">
        <f t="shared" si="43"/>
        <v/>
      </c>
      <c r="Z223" s="11" t="str">
        <f t="shared" si="44"/>
        <v/>
      </c>
      <c r="AA223" s="11" t="str">
        <f t="shared" si="45"/>
        <v/>
      </c>
      <c r="AB223" s="24" t="str">
        <f t="shared" si="46"/>
        <v/>
      </c>
    </row>
    <row r="224" spans="1:28" x14ac:dyDescent="0.25">
      <c r="A224" s="10" t="str">
        <f>IF('Raw Data'!A211&lt;&gt;"",'Raw Data'!A211,"")</f>
        <v/>
      </c>
      <c r="B224" s="10" t="str">
        <f>IF('Raw Data'!B211&lt;&gt;"",'Raw Data'!B211,"")</f>
        <v/>
      </c>
      <c r="C224" s="10" t="str">
        <f>IF('Raw Data'!C211&lt;&gt;"",'Raw Data'!C211,"")</f>
        <v/>
      </c>
      <c r="D224" s="10" t="str">
        <f>IF('Raw Data'!D211&lt;&gt;"",'Raw Data'!D211,"")</f>
        <v/>
      </c>
      <c r="E224" s="10" t="str">
        <f>IF('Raw Data'!E211&lt;&gt;"",'Raw Data'!E211,"")</f>
        <v/>
      </c>
      <c r="F224" s="14" t="str">
        <f>IF('Raw Data'!A211&lt;&gt;"",AVERAGE('Raw Data'!F211,'Raw Data'!H211,'Raw Data'!J211,'Raw Data'!L211,'Raw Data'!N211),"")</f>
        <v/>
      </c>
      <c r="G224" s="14" t="str">
        <f>IF('Raw Data'!A211&lt;&gt;"",AVERAGE('Raw Data'!G211,'Raw Data'!I211,'Raw Data'!K211,'Raw Data'!M211,'Raw Data'!O211),"")</f>
        <v/>
      </c>
      <c r="H224" s="14" t="str">
        <f t="shared" si="36"/>
        <v/>
      </c>
      <c r="I224" s="14" t="str">
        <f>IF('Raw Data'!A211&lt;&gt;"",AVERAGE('Raw Data'!P211,'Raw Data'!R211,'Raw Data'!T211,'Raw Data'!V211,'Raw Data'!X211),"")</f>
        <v/>
      </c>
      <c r="J224" s="14" t="str">
        <f>IF('Raw Data'!A211&lt;&gt;"",AVERAGE('Raw Data'!Q211,'Raw Data'!S211,'Raw Data'!U211,'Raw Data'!W211,'Raw Data'!Y211),"")</f>
        <v/>
      </c>
      <c r="K224" s="14" t="str">
        <f t="shared" si="37"/>
        <v/>
      </c>
      <c r="L224" s="14" t="str">
        <f>IF('Raw Data'!A211&lt;&gt;"",AVERAGE('Raw Data'!Z211,'Raw Data'!AB211,'Raw Data'!AD211,'Raw Data'!AF211,'Raw Data'!AH211),"")</f>
        <v/>
      </c>
      <c r="M224" s="14" t="str">
        <f>IF('Raw Data'!A211&lt;&gt;"",AVERAGE('Raw Data'!AA211,'Raw Data'!AC211,'Raw Data'!AE211,'Raw Data'!AG211,'Raw Data'!AI211),"")</f>
        <v/>
      </c>
      <c r="N224" s="14" t="str">
        <f t="shared" si="38"/>
        <v/>
      </c>
      <c r="O224" s="14" t="str">
        <f>IF('Raw Data'!A211&lt;&gt;"",AVERAGE('Raw Data'!AJ211,'Raw Data'!AL211,'Raw Data'!AN211,'Raw Data'!AP211,'Raw Data'!AR211),"")</f>
        <v/>
      </c>
      <c r="P224" s="14" t="str">
        <f>IF('Raw Data'!A211&lt;&gt;"",AVERAGE('Raw Data'!AK211,'Raw Data'!AM211,'Raw Data'!AO211,'Raw Data'!AQ211,'Raw Data'!AS211),"")</f>
        <v/>
      </c>
      <c r="Q224" s="14" t="str">
        <f t="shared" si="39"/>
        <v/>
      </c>
      <c r="R224" s="14" t="str">
        <f>IF('Raw Data'!A211&lt;&gt;"",AVERAGE('Raw Data'!AT211,'Raw Data'!AV211,'Raw Data'!AX211,'Raw Data'!AZ211,'Raw Data'!BB211),"")</f>
        <v/>
      </c>
      <c r="S224" s="14" t="str">
        <f>IF('Raw Data'!A211&lt;&gt;"",AVERAGE('Raw Data'!AU211,'Raw Data'!AW211,'Raw Data'!AY211,'Raw Data'!BA211,'Raw Data'!BC211),"")</f>
        <v/>
      </c>
      <c r="T224" s="14" t="str">
        <f t="shared" si="40"/>
        <v/>
      </c>
      <c r="U224" s="14" t="str">
        <f>IF('Raw Data'!A211&lt;&gt;"",AVERAGE('Raw Data'!BD211,'Raw Data'!BF211,'Raw Data'!BH211,'Raw Data'!BJ211,'Raw Data'!BL211),"")</f>
        <v/>
      </c>
      <c r="V224" s="14" t="str">
        <f>IF('Raw Data'!A211&lt;&gt;"",AVERAGE('Raw Data'!BE211,'Raw Data'!BG211,'Raw Data'!BI211,'Raw Data'!BK211,'Raw Data'!BM211),"")</f>
        <v/>
      </c>
      <c r="W224" s="14" t="str">
        <f t="shared" si="41"/>
        <v/>
      </c>
      <c r="X224" s="14" t="str">
        <f t="shared" si="42"/>
        <v/>
      </c>
      <c r="Y224" s="14" t="str">
        <f t="shared" si="43"/>
        <v/>
      </c>
      <c r="Z224" s="14" t="str">
        <f t="shared" si="44"/>
        <v/>
      </c>
      <c r="AA224" s="14" t="str">
        <f t="shared" si="45"/>
        <v/>
      </c>
      <c r="AB224" s="25" t="str">
        <f t="shared" si="46"/>
        <v/>
      </c>
    </row>
    <row r="225" spans="1:28" x14ac:dyDescent="0.25">
      <c r="A225" s="2" t="str">
        <f>IF('Raw Data'!A212&lt;&gt;"",'Raw Data'!A212,"")</f>
        <v/>
      </c>
      <c r="B225" s="2" t="str">
        <f>IF('Raw Data'!B212&lt;&gt;"",'Raw Data'!B212,"")</f>
        <v/>
      </c>
      <c r="C225" s="2" t="str">
        <f>IF('Raw Data'!C212&lt;&gt;"",'Raw Data'!C212,"")</f>
        <v/>
      </c>
      <c r="D225" s="2" t="str">
        <f>IF('Raw Data'!D212&lt;&gt;"",'Raw Data'!D212,"")</f>
        <v/>
      </c>
      <c r="E225" s="2" t="str">
        <f>IF('Raw Data'!E212&lt;&gt;"",'Raw Data'!E212,"")</f>
        <v/>
      </c>
      <c r="F225" s="11" t="str">
        <f>IF('Raw Data'!A212&lt;&gt;"",AVERAGE('Raw Data'!F212,'Raw Data'!H212,'Raw Data'!J212,'Raw Data'!L212,'Raw Data'!N212),"")</f>
        <v/>
      </c>
      <c r="G225" s="11" t="str">
        <f>IF('Raw Data'!A212&lt;&gt;"",AVERAGE('Raw Data'!G212,'Raw Data'!I212,'Raw Data'!K212,'Raw Data'!M212,'Raw Data'!O212),"")</f>
        <v/>
      </c>
      <c r="H225" s="11" t="str">
        <f t="shared" si="36"/>
        <v/>
      </c>
      <c r="I225" s="11" t="str">
        <f>IF('Raw Data'!A212&lt;&gt;"",AVERAGE('Raw Data'!P212,'Raw Data'!R212,'Raw Data'!T212,'Raw Data'!V212,'Raw Data'!X212),"")</f>
        <v/>
      </c>
      <c r="J225" s="11" t="str">
        <f>IF('Raw Data'!A212&lt;&gt;"",AVERAGE('Raw Data'!Q212,'Raw Data'!S212,'Raw Data'!U212,'Raw Data'!W212,'Raw Data'!Y212),"")</f>
        <v/>
      </c>
      <c r="K225" s="11" t="str">
        <f t="shared" si="37"/>
        <v/>
      </c>
      <c r="L225" s="11" t="str">
        <f>IF('Raw Data'!A212&lt;&gt;"",AVERAGE('Raw Data'!Z212,'Raw Data'!AB212,'Raw Data'!AD212,'Raw Data'!AF212,'Raw Data'!AH212),"")</f>
        <v/>
      </c>
      <c r="M225" s="11" t="str">
        <f>IF('Raw Data'!A212&lt;&gt;"",AVERAGE('Raw Data'!AA212,'Raw Data'!AC212,'Raw Data'!AE212,'Raw Data'!AG212,'Raw Data'!AI212),"")</f>
        <v/>
      </c>
      <c r="N225" s="11" t="str">
        <f t="shared" si="38"/>
        <v/>
      </c>
      <c r="O225" s="11" t="str">
        <f>IF('Raw Data'!A212&lt;&gt;"",AVERAGE('Raw Data'!AJ212,'Raw Data'!AL212,'Raw Data'!AN212,'Raw Data'!AP212,'Raw Data'!AR212),"")</f>
        <v/>
      </c>
      <c r="P225" s="11" t="str">
        <f>IF('Raw Data'!A212&lt;&gt;"",AVERAGE('Raw Data'!AK212,'Raw Data'!AM212,'Raw Data'!AO212,'Raw Data'!AQ212,'Raw Data'!AS212),"")</f>
        <v/>
      </c>
      <c r="Q225" s="11" t="str">
        <f t="shared" si="39"/>
        <v/>
      </c>
      <c r="R225" s="11" t="str">
        <f>IF('Raw Data'!A212&lt;&gt;"",AVERAGE('Raw Data'!AT212,'Raw Data'!AV212,'Raw Data'!AX212,'Raw Data'!AZ212,'Raw Data'!BB212),"")</f>
        <v/>
      </c>
      <c r="S225" s="11" t="str">
        <f>IF('Raw Data'!A212&lt;&gt;"",AVERAGE('Raw Data'!AU212,'Raw Data'!AW212,'Raw Data'!AY212,'Raw Data'!BA212,'Raw Data'!BC212),"")</f>
        <v/>
      </c>
      <c r="T225" s="11" t="str">
        <f t="shared" si="40"/>
        <v/>
      </c>
      <c r="U225" s="11" t="str">
        <f>IF('Raw Data'!A212&lt;&gt;"",AVERAGE('Raw Data'!BD212,'Raw Data'!BF212,'Raw Data'!BH212,'Raw Data'!BJ212,'Raw Data'!BL212),"")</f>
        <v/>
      </c>
      <c r="V225" s="11" t="str">
        <f>IF('Raw Data'!A212&lt;&gt;"",AVERAGE('Raw Data'!BE212,'Raw Data'!BG212,'Raw Data'!BI212,'Raw Data'!BK212,'Raw Data'!BM212),"")</f>
        <v/>
      </c>
      <c r="W225" s="11" t="str">
        <f t="shared" si="41"/>
        <v/>
      </c>
      <c r="X225" s="11" t="str">
        <f t="shared" si="42"/>
        <v/>
      </c>
      <c r="Y225" s="11" t="str">
        <f t="shared" si="43"/>
        <v/>
      </c>
      <c r="Z225" s="11" t="str">
        <f t="shared" si="44"/>
        <v/>
      </c>
      <c r="AA225" s="11" t="str">
        <f t="shared" si="45"/>
        <v/>
      </c>
      <c r="AB225" s="24" t="str">
        <f t="shared" si="46"/>
        <v/>
      </c>
    </row>
    <row r="226" spans="1:28" x14ac:dyDescent="0.25">
      <c r="A226" s="10" t="str">
        <f>IF('Raw Data'!A213&lt;&gt;"",'Raw Data'!A213,"")</f>
        <v/>
      </c>
      <c r="B226" s="10" t="str">
        <f>IF('Raw Data'!B213&lt;&gt;"",'Raw Data'!B213,"")</f>
        <v/>
      </c>
      <c r="C226" s="10" t="str">
        <f>IF('Raw Data'!C213&lt;&gt;"",'Raw Data'!C213,"")</f>
        <v/>
      </c>
      <c r="D226" s="10" t="str">
        <f>IF('Raw Data'!D213&lt;&gt;"",'Raw Data'!D213,"")</f>
        <v/>
      </c>
      <c r="E226" s="10" t="str">
        <f>IF('Raw Data'!E213&lt;&gt;"",'Raw Data'!E213,"")</f>
        <v/>
      </c>
      <c r="F226" s="14" t="str">
        <f>IF('Raw Data'!A213&lt;&gt;"",AVERAGE('Raw Data'!F213,'Raw Data'!H213,'Raw Data'!J213,'Raw Data'!L213,'Raw Data'!N213),"")</f>
        <v/>
      </c>
      <c r="G226" s="14" t="str">
        <f>IF('Raw Data'!A213&lt;&gt;"",AVERAGE('Raw Data'!G213,'Raw Data'!I213,'Raw Data'!K213,'Raw Data'!M213,'Raw Data'!O213),"")</f>
        <v/>
      </c>
      <c r="H226" s="14" t="str">
        <f t="shared" si="36"/>
        <v/>
      </c>
      <c r="I226" s="14" t="str">
        <f>IF('Raw Data'!A213&lt;&gt;"",AVERAGE('Raw Data'!P213,'Raw Data'!R213,'Raw Data'!T213,'Raw Data'!V213,'Raw Data'!X213),"")</f>
        <v/>
      </c>
      <c r="J226" s="14" t="str">
        <f>IF('Raw Data'!A213&lt;&gt;"",AVERAGE('Raw Data'!Q213,'Raw Data'!S213,'Raw Data'!U213,'Raw Data'!W213,'Raw Data'!Y213),"")</f>
        <v/>
      </c>
      <c r="K226" s="14" t="str">
        <f t="shared" si="37"/>
        <v/>
      </c>
      <c r="L226" s="14" t="str">
        <f>IF('Raw Data'!A213&lt;&gt;"",AVERAGE('Raw Data'!Z213,'Raw Data'!AB213,'Raw Data'!AD213,'Raw Data'!AF213,'Raw Data'!AH213),"")</f>
        <v/>
      </c>
      <c r="M226" s="14" t="str">
        <f>IF('Raw Data'!A213&lt;&gt;"",AVERAGE('Raw Data'!AA213,'Raw Data'!AC213,'Raw Data'!AE213,'Raw Data'!AG213,'Raw Data'!AI213),"")</f>
        <v/>
      </c>
      <c r="N226" s="14" t="str">
        <f t="shared" si="38"/>
        <v/>
      </c>
      <c r="O226" s="14" t="str">
        <f>IF('Raw Data'!A213&lt;&gt;"",AVERAGE('Raw Data'!AJ213,'Raw Data'!AL213,'Raw Data'!AN213,'Raw Data'!AP213,'Raw Data'!AR213),"")</f>
        <v/>
      </c>
      <c r="P226" s="14" t="str">
        <f>IF('Raw Data'!A213&lt;&gt;"",AVERAGE('Raw Data'!AK213,'Raw Data'!AM213,'Raw Data'!AO213,'Raw Data'!AQ213,'Raw Data'!AS213),"")</f>
        <v/>
      </c>
      <c r="Q226" s="14" t="str">
        <f t="shared" si="39"/>
        <v/>
      </c>
      <c r="R226" s="14" t="str">
        <f>IF('Raw Data'!A213&lt;&gt;"",AVERAGE('Raw Data'!AT213,'Raw Data'!AV213,'Raw Data'!AX213,'Raw Data'!AZ213,'Raw Data'!BB213),"")</f>
        <v/>
      </c>
      <c r="S226" s="14" t="str">
        <f>IF('Raw Data'!A213&lt;&gt;"",AVERAGE('Raw Data'!AU213,'Raw Data'!AW213,'Raw Data'!AY213,'Raw Data'!BA213,'Raw Data'!BC213),"")</f>
        <v/>
      </c>
      <c r="T226" s="14" t="str">
        <f t="shared" si="40"/>
        <v/>
      </c>
      <c r="U226" s="14" t="str">
        <f>IF('Raw Data'!A213&lt;&gt;"",AVERAGE('Raw Data'!BD213,'Raw Data'!BF213,'Raw Data'!BH213,'Raw Data'!BJ213,'Raw Data'!BL213),"")</f>
        <v/>
      </c>
      <c r="V226" s="14" t="str">
        <f>IF('Raw Data'!A213&lt;&gt;"",AVERAGE('Raw Data'!BE213,'Raw Data'!BG213,'Raw Data'!BI213,'Raw Data'!BK213,'Raw Data'!BM213),"")</f>
        <v/>
      </c>
      <c r="W226" s="14" t="str">
        <f t="shared" si="41"/>
        <v/>
      </c>
      <c r="X226" s="14" t="str">
        <f t="shared" si="42"/>
        <v/>
      </c>
      <c r="Y226" s="14" t="str">
        <f t="shared" si="43"/>
        <v/>
      </c>
      <c r="Z226" s="14" t="str">
        <f t="shared" si="44"/>
        <v/>
      </c>
      <c r="AA226" s="14" t="str">
        <f t="shared" si="45"/>
        <v/>
      </c>
      <c r="AB226" s="25" t="str">
        <f t="shared" si="46"/>
        <v/>
      </c>
    </row>
    <row r="227" spans="1:28" x14ac:dyDescent="0.25">
      <c r="A227" s="2" t="str">
        <f>IF('Raw Data'!A214&lt;&gt;"",'Raw Data'!A214,"")</f>
        <v/>
      </c>
      <c r="B227" s="2" t="str">
        <f>IF('Raw Data'!B214&lt;&gt;"",'Raw Data'!B214,"")</f>
        <v/>
      </c>
      <c r="C227" s="2" t="str">
        <f>IF('Raw Data'!C214&lt;&gt;"",'Raw Data'!C214,"")</f>
        <v/>
      </c>
      <c r="D227" s="2" t="str">
        <f>IF('Raw Data'!D214&lt;&gt;"",'Raw Data'!D214,"")</f>
        <v/>
      </c>
      <c r="E227" s="2" t="str">
        <f>IF('Raw Data'!E214&lt;&gt;"",'Raw Data'!E214,"")</f>
        <v/>
      </c>
      <c r="F227" s="11" t="str">
        <f>IF('Raw Data'!A214&lt;&gt;"",AVERAGE('Raw Data'!F214,'Raw Data'!H214,'Raw Data'!J214,'Raw Data'!L214,'Raw Data'!N214),"")</f>
        <v/>
      </c>
      <c r="G227" s="11" t="str">
        <f>IF('Raw Data'!A214&lt;&gt;"",AVERAGE('Raw Data'!G214,'Raw Data'!I214,'Raw Data'!K214,'Raw Data'!M214,'Raw Data'!O214),"")</f>
        <v/>
      </c>
      <c r="H227" s="11" t="str">
        <f t="shared" si="36"/>
        <v/>
      </c>
      <c r="I227" s="11" t="str">
        <f>IF('Raw Data'!A214&lt;&gt;"",AVERAGE('Raw Data'!P214,'Raw Data'!R214,'Raw Data'!T214,'Raw Data'!V214,'Raw Data'!X214),"")</f>
        <v/>
      </c>
      <c r="J227" s="11" t="str">
        <f>IF('Raw Data'!A214&lt;&gt;"",AVERAGE('Raw Data'!Q214,'Raw Data'!S214,'Raw Data'!U214,'Raw Data'!W214,'Raw Data'!Y214),"")</f>
        <v/>
      </c>
      <c r="K227" s="11" t="str">
        <f t="shared" si="37"/>
        <v/>
      </c>
      <c r="L227" s="11" t="str">
        <f>IF('Raw Data'!A214&lt;&gt;"",AVERAGE('Raw Data'!Z214,'Raw Data'!AB214,'Raw Data'!AD214,'Raw Data'!AF214,'Raw Data'!AH214),"")</f>
        <v/>
      </c>
      <c r="M227" s="11" t="str">
        <f>IF('Raw Data'!A214&lt;&gt;"",AVERAGE('Raw Data'!AA214,'Raw Data'!AC214,'Raw Data'!AE214,'Raw Data'!AG214,'Raw Data'!AI214),"")</f>
        <v/>
      </c>
      <c r="N227" s="11" t="str">
        <f t="shared" si="38"/>
        <v/>
      </c>
      <c r="O227" s="11" t="str">
        <f>IF('Raw Data'!A214&lt;&gt;"",AVERAGE('Raw Data'!AJ214,'Raw Data'!AL214,'Raw Data'!AN214,'Raw Data'!AP214,'Raw Data'!AR214),"")</f>
        <v/>
      </c>
      <c r="P227" s="11" t="str">
        <f>IF('Raw Data'!A214&lt;&gt;"",AVERAGE('Raw Data'!AK214,'Raw Data'!AM214,'Raw Data'!AO214,'Raw Data'!AQ214,'Raw Data'!AS214),"")</f>
        <v/>
      </c>
      <c r="Q227" s="11" t="str">
        <f t="shared" si="39"/>
        <v/>
      </c>
      <c r="R227" s="11" t="str">
        <f>IF('Raw Data'!A214&lt;&gt;"",AVERAGE('Raw Data'!AT214,'Raw Data'!AV214,'Raw Data'!AX214,'Raw Data'!AZ214,'Raw Data'!BB214),"")</f>
        <v/>
      </c>
      <c r="S227" s="11" t="str">
        <f>IF('Raw Data'!A214&lt;&gt;"",AVERAGE('Raw Data'!AU214,'Raw Data'!AW214,'Raw Data'!AY214,'Raw Data'!BA214,'Raw Data'!BC214),"")</f>
        <v/>
      </c>
      <c r="T227" s="11" t="str">
        <f t="shared" si="40"/>
        <v/>
      </c>
      <c r="U227" s="11" t="str">
        <f>IF('Raw Data'!A214&lt;&gt;"",AVERAGE('Raw Data'!BD214,'Raw Data'!BF214,'Raw Data'!BH214,'Raw Data'!BJ214,'Raw Data'!BL214),"")</f>
        <v/>
      </c>
      <c r="V227" s="11" t="str">
        <f>IF('Raw Data'!A214&lt;&gt;"",AVERAGE('Raw Data'!BE214,'Raw Data'!BG214,'Raw Data'!BI214,'Raw Data'!BK214,'Raw Data'!BM214),"")</f>
        <v/>
      </c>
      <c r="W227" s="11" t="str">
        <f t="shared" si="41"/>
        <v/>
      </c>
      <c r="X227" s="11" t="str">
        <f t="shared" si="42"/>
        <v/>
      </c>
      <c r="Y227" s="11" t="str">
        <f t="shared" si="43"/>
        <v/>
      </c>
      <c r="Z227" s="11" t="str">
        <f t="shared" si="44"/>
        <v/>
      </c>
      <c r="AA227" s="11" t="str">
        <f t="shared" si="45"/>
        <v/>
      </c>
      <c r="AB227" s="24" t="str">
        <f t="shared" si="46"/>
        <v/>
      </c>
    </row>
    <row r="228" spans="1:28" x14ac:dyDescent="0.25">
      <c r="A228" s="10" t="str">
        <f>IF('Raw Data'!A215&lt;&gt;"",'Raw Data'!A215,"")</f>
        <v/>
      </c>
      <c r="B228" s="10" t="str">
        <f>IF('Raw Data'!B215&lt;&gt;"",'Raw Data'!B215,"")</f>
        <v/>
      </c>
      <c r="C228" s="10" t="str">
        <f>IF('Raw Data'!C215&lt;&gt;"",'Raw Data'!C215,"")</f>
        <v/>
      </c>
      <c r="D228" s="10" t="str">
        <f>IF('Raw Data'!D215&lt;&gt;"",'Raw Data'!D215,"")</f>
        <v/>
      </c>
      <c r="E228" s="10" t="str">
        <f>IF('Raw Data'!E215&lt;&gt;"",'Raw Data'!E215,"")</f>
        <v/>
      </c>
      <c r="F228" s="14" t="str">
        <f>IF('Raw Data'!A215&lt;&gt;"",AVERAGE('Raw Data'!F215,'Raw Data'!H215,'Raw Data'!J215,'Raw Data'!L215,'Raw Data'!N215),"")</f>
        <v/>
      </c>
      <c r="G228" s="14" t="str">
        <f>IF('Raw Data'!A215&lt;&gt;"",AVERAGE('Raw Data'!G215,'Raw Data'!I215,'Raw Data'!K215,'Raw Data'!M215,'Raw Data'!O215),"")</f>
        <v/>
      </c>
      <c r="H228" s="14" t="str">
        <f t="shared" si="36"/>
        <v/>
      </c>
      <c r="I228" s="14" t="str">
        <f>IF('Raw Data'!A215&lt;&gt;"",AVERAGE('Raw Data'!P215,'Raw Data'!R215,'Raw Data'!T215,'Raw Data'!V215,'Raw Data'!X215),"")</f>
        <v/>
      </c>
      <c r="J228" s="14" t="str">
        <f>IF('Raw Data'!A215&lt;&gt;"",AVERAGE('Raw Data'!Q215,'Raw Data'!S215,'Raw Data'!U215,'Raw Data'!W215,'Raw Data'!Y215),"")</f>
        <v/>
      </c>
      <c r="K228" s="14" t="str">
        <f t="shared" si="37"/>
        <v/>
      </c>
      <c r="L228" s="14" t="str">
        <f>IF('Raw Data'!A215&lt;&gt;"",AVERAGE('Raw Data'!Z215,'Raw Data'!AB215,'Raw Data'!AD215,'Raw Data'!AF215,'Raw Data'!AH215),"")</f>
        <v/>
      </c>
      <c r="M228" s="14" t="str">
        <f>IF('Raw Data'!A215&lt;&gt;"",AVERAGE('Raw Data'!AA215,'Raw Data'!AC215,'Raw Data'!AE215,'Raw Data'!AG215,'Raw Data'!AI215),"")</f>
        <v/>
      </c>
      <c r="N228" s="14" t="str">
        <f t="shared" si="38"/>
        <v/>
      </c>
      <c r="O228" s="14" t="str">
        <f>IF('Raw Data'!A215&lt;&gt;"",AVERAGE('Raw Data'!AJ215,'Raw Data'!AL215,'Raw Data'!AN215,'Raw Data'!AP215,'Raw Data'!AR215),"")</f>
        <v/>
      </c>
      <c r="P228" s="14" t="str">
        <f>IF('Raw Data'!A215&lt;&gt;"",AVERAGE('Raw Data'!AK215,'Raw Data'!AM215,'Raw Data'!AO215,'Raw Data'!AQ215,'Raw Data'!AS215),"")</f>
        <v/>
      </c>
      <c r="Q228" s="14" t="str">
        <f t="shared" si="39"/>
        <v/>
      </c>
      <c r="R228" s="14" t="str">
        <f>IF('Raw Data'!A215&lt;&gt;"",AVERAGE('Raw Data'!AT215,'Raw Data'!AV215,'Raw Data'!AX215,'Raw Data'!AZ215,'Raw Data'!BB215),"")</f>
        <v/>
      </c>
      <c r="S228" s="14" t="str">
        <f>IF('Raw Data'!A215&lt;&gt;"",AVERAGE('Raw Data'!AU215,'Raw Data'!AW215,'Raw Data'!AY215,'Raw Data'!BA215,'Raw Data'!BC215),"")</f>
        <v/>
      </c>
      <c r="T228" s="14" t="str">
        <f t="shared" si="40"/>
        <v/>
      </c>
      <c r="U228" s="14" t="str">
        <f>IF('Raw Data'!A215&lt;&gt;"",AVERAGE('Raw Data'!BD215,'Raw Data'!BF215,'Raw Data'!BH215,'Raw Data'!BJ215,'Raw Data'!BL215),"")</f>
        <v/>
      </c>
      <c r="V228" s="14" t="str">
        <f>IF('Raw Data'!A215&lt;&gt;"",AVERAGE('Raw Data'!BE215,'Raw Data'!BG215,'Raw Data'!BI215,'Raw Data'!BK215,'Raw Data'!BM215),"")</f>
        <v/>
      </c>
      <c r="W228" s="14" t="str">
        <f t="shared" si="41"/>
        <v/>
      </c>
      <c r="X228" s="14" t="str">
        <f t="shared" si="42"/>
        <v/>
      </c>
      <c r="Y228" s="14" t="str">
        <f t="shared" si="43"/>
        <v/>
      </c>
      <c r="Z228" s="14" t="str">
        <f t="shared" si="44"/>
        <v/>
      </c>
      <c r="AA228" s="14" t="str">
        <f t="shared" si="45"/>
        <v/>
      </c>
      <c r="AB228" s="25" t="str">
        <f t="shared" si="46"/>
        <v/>
      </c>
    </row>
    <row r="229" spans="1:28" x14ac:dyDescent="0.25">
      <c r="A229" s="2" t="str">
        <f>IF('Raw Data'!A216&lt;&gt;"",'Raw Data'!A216,"")</f>
        <v/>
      </c>
      <c r="B229" s="2" t="str">
        <f>IF('Raw Data'!B216&lt;&gt;"",'Raw Data'!B216,"")</f>
        <v/>
      </c>
      <c r="C229" s="2" t="str">
        <f>IF('Raw Data'!C216&lt;&gt;"",'Raw Data'!C216,"")</f>
        <v/>
      </c>
      <c r="D229" s="2" t="str">
        <f>IF('Raw Data'!D216&lt;&gt;"",'Raw Data'!D216,"")</f>
        <v/>
      </c>
      <c r="E229" s="2" t="str">
        <f>IF('Raw Data'!E216&lt;&gt;"",'Raw Data'!E216,"")</f>
        <v/>
      </c>
      <c r="F229" s="11" t="str">
        <f>IF('Raw Data'!A216&lt;&gt;"",AVERAGE('Raw Data'!F216,'Raw Data'!H216,'Raw Data'!J216,'Raw Data'!L216,'Raw Data'!N216),"")</f>
        <v/>
      </c>
      <c r="G229" s="11" t="str">
        <f>IF('Raw Data'!A216&lt;&gt;"",AVERAGE('Raw Data'!G216,'Raw Data'!I216,'Raw Data'!K216,'Raw Data'!M216,'Raw Data'!O216),"")</f>
        <v/>
      </c>
      <c r="H229" s="11" t="str">
        <f t="shared" si="36"/>
        <v/>
      </c>
      <c r="I229" s="11" t="str">
        <f>IF('Raw Data'!A216&lt;&gt;"",AVERAGE('Raw Data'!P216,'Raw Data'!R216,'Raw Data'!T216,'Raw Data'!V216,'Raw Data'!X216),"")</f>
        <v/>
      </c>
      <c r="J229" s="11" t="str">
        <f>IF('Raw Data'!A216&lt;&gt;"",AVERAGE('Raw Data'!Q216,'Raw Data'!S216,'Raw Data'!U216,'Raw Data'!W216,'Raw Data'!Y216),"")</f>
        <v/>
      </c>
      <c r="K229" s="11" t="str">
        <f t="shared" si="37"/>
        <v/>
      </c>
      <c r="L229" s="11" t="str">
        <f>IF('Raw Data'!A216&lt;&gt;"",AVERAGE('Raw Data'!Z216,'Raw Data'!AB216,'Raw Data'!AD216,'Raw Data'!AF216,'Raw Data'!AH216),"")</f>
        <v/>
      </c>
      <c r="M229" s="11" t="str">
        <f>IF('Raw Data'!A216&lt;&gt;"",AVERAGE('Raw Data'!AA216,'Raw Data'!AC216,'Raw Data'!AE216,'Raw Data'!AG216,'Raw Data'!AI216),"")</f>
        <v/>
      </c>
      <c r="N229" s="11" t="str">
        <f t="shared" si="38"/>
        <v/>
      </c>
      <c r="O229" s="11" t="str">
        <f>IF('Raw Data'!A216&lt;&gt;"",AVERAGE('Raw Data'!AJ216,'Raw Data'!AL216,'Raw Data'!AN216,'Raw Data'!AP216,'Raw Data'!AR216),"")</f>
        <v/>
      </c>
      <c r="P229" s="11" t="str">
        <f>IF('Raw Data'!A216&lt;&gt;"",AVERAGE('Raw Data'!AK216,'Raw Data'!AM216,'Raw Data'!AO216,'Raw Data'!AQ216,'Raw Data'!AS216),"")</f>
        <v/>
      </c>
      <c r="Q229" s="11" t="str">
        <f t="shared" si="39"/>
        <v/>
      </c>
      <c r="R229" s="11" t="str">
        <f>IF('Raw Data'!A216&lt;&gt;"",AVERAGE('Raw Data'!AT216,'Raw Data'!AV216,'Raw Data'!AX216,'Raw Data'!AZ216,'Raw Data'!BB216),"")</f>
        <v/>
      </c>
      <c r="S229" s="11" t="str">
        <f>IF('Raw Data'!A216&lt;&gt;"",AVERAGE('Raw Data'!AU216,'Raw Data'!AW216,'Raw Data'!AY216,'Raw Data'!BA216,'Raw Data'!BC216),"")</f>
        <v/>
      </c>
      <c r="T229" s="11" t="str">
        <f t="shared" si="40"/>
        <v/>
      </c>
      <c r="U229" s="11" t="str">
        <f>IF('Raw Data'!A216&lt;&gt;"",AVERAGE('Raw Data'!BD216,'Raw Data'!BF216,'Raw Data'!BH216,'Raw Data'!BJ216,'Raw Data'!BL216),"")</f>
        <v/>
      </c>
      <c r="V229" s="11" t="str">
        <f>IF('Raw Data'!A216&lt;&gt;"",AVERAGE('Raw Data'!BE216,'Raw Data'!BG216,'Raw Data'!BI216,'Raw Data'!BK216,'Raw Data'!BM216),"")</f>
        <v/>
      </c>
      <c r="W229" s="11" t="str">
        <f t="shared" si="41"/>
        <v/>
      </c>
      <c r="X229" s="11" t="str">
        <f t="shared" si="42"/>
        <v/>
      </c>
      <c r="Y229" s="11" t="str">
        <f t="shared" si="43"/>
        <v/>
      </c>
      <c r="Z229" s="11" t="str">
        <f t="shared" si="44"/>
        <v/>
      </c>
      <c r="AA229" s="11" t="str">
        <f t="shared" si="45"/>
        <v/>
      </c>
      <c r="AB229" s="24" t="str">
        <f t="shared" si="46"/>
        <v/>
      </c>
    </row>
    <row r="230" spans="1:28" x14ac:dyDescent="0.25">
      <c r="A230" s="10" t="str">
        <f>IF('Raw Data'!A217&lt;&gt;"",'Raw Data'!A217,"")</f>
        <v/>
      </c>
      <c r="B230" s="10" t="str">
        <f>IF('Raw Data'!B217&lt;&gt;"",'Raw Data'!B217,"")</f>
        <v/>
      </c>
      <c r="C230" s="10" t="str">
        <f>IF('Raw Data'!C217&lt;&gt;"",'Raw Data'!C217,"")</f>
        <v/>
      </c>
      <c r="D230" s="10" t="str">
        <f>IF('Raw Data'!D217&lt;&gt;"",'Raw Data'!D217,"")</f>
        <v/>
      </c>
      <c r="E230" s="10" t="str">
        <f>IF('Raw Data'!E217&lt;&gt;"",'Raw Data'!E217,"")</f>
        <v/>
      </c>
      <c r="F230" s="14" t="str">
        <f>IF('Raw Data'!A217&lt;&gt;"",AVERAGE('Raw Data'!F217,'Raw Data'!H217,'Raw Data'!J217,'Raw Data'!L217,'Raw Data'!N217),"")</f>
        <v/>
      </c>
      <c r="G230" s="14" t="str">
        <f>IF('Raw Data'!A217&lt;&gt;"",AVERAGE('Raw Data'!G217,'Raw Data'!I217,'Raw Data'!K217,'Raw Data'!M217,'Raw Data'!O217),"")</f>
        <v/>
      </c>
      <c r="H230" s="14" t="str">
        <f t="shared" si="36"/>
        <v/>
      </c>
      <c r="I230" s="14" t="str">
        <f>IF('Raw Data'!A217&lt;&gt;"",AVERAGE('Raw Data'!P217,'Raw Data'!R217,'Raw Data'!T217,'Raw Data'!V217,'Raw Data'!X217),"")</f>
        <v/>
      </c>
      <c r="J230" s="14" t="str">
        <f>IF('Raw Data'!A217&lt;&gt;"",AVERAGE('Raw Data'!Q217,'Raw Data'!S217,'Raw Data'!U217,'Raw Data'!W217,'Raw Data'!Y217),"")</f>
        <v/>
      </c>
      <c r="K230" s="14" t="str">
        <f t="shared" si="37"/>
        <v/>
      </c>
      <c r="L230" s="14" t="str">
        <f>IF('Raw Data'!A217&lt;&gt;"",AVERAGE('Raw Data'!Z217,'Raw Data'!AB217,'Raw Data'!AD217,'Raw Data'!AF217,'Raw Data'!AH217),"")</f>
        <v/>
      </c>
      <c r="M230" s="14" t="str">
        <f>IF('Raw Data'!A217&lt;&gt;"",AVERAGE('Raw Data'!AA217,'Raw Data'!AC217,'Raw Data'!AE217,'Raw Data'!AG217,'Raw Data'!AI217),"")</f>
        <v/>
      </c>
      <c r="N230" s="14" t="str">
        <f t="shared" si="38"/>
        <v/>
      </c>
      <c r="O230" s="14" t="str">
        <f>IF('Raw Data'!A217&lt;&gt;"",AVERAGE('Raw Data'!AJ217,'Raw Data'!AL217,'Raw Data'!AN217,'Raw Data'!AP217,'Raw Data'!AR217),"")</f>
        <v/>
      </c>
      <c r="P230" s="14" t="str">
        <f>IF('Raw Data'!A217&lt;&gt;"",AVERAGE('Raw Data'!AK217,'Raw Data'!AM217,'Raw Data'!AO217,'Raw Data'!AQ217,'Raw Data'!AS217),"")</f>
        <v/>
      </c>
      <c r="Q230" s="14" t="str">
        <f t="shared" si="39"/>
        <v/>
      </c>
      <c r="R230" s="14" t="str">
        <f>IF('Raw Data'!A217&lt;&gt;"",AVERAGE('Raw Data'!AT217,'Raw Data'!AV217,'Raw Data'!AX217,'Raw Data'!AZ217,'Raw Data'!BB217),"")</f>
        <v/>
      </c>
      <c r="S230" s="14" t="str">
        <f>IF('Raw Data'!A217&lt;&gt;"",AVERAGE('Raw Data'!AU217,'Raw Data'!AW217,'Raw Data'!AY217,'Raw Data'!BA217,'Raw Data'!BC217),"")</f>
        <v/>
      </c>
      <c r="T230" s="14" t="str">
        <f t="shared" si="40"/>
        <v/>
      </c>
      <c r="U230" s="14" t="str">
        <f>IF('Raw Data'!A217&lt;&gt;"",AVERAGE('Raw Data'!BD217,'Raw Data'!BF217,'Raw Data'!BH217,'Raw Data'!BJ217,'Raw Data'!BL217),"")</f>
        <v/>
      </c>
      <c r="V230" s="14" t="str">
        <f>IF('Raw Data'!A217&lt;&gt;"",AVERAGE('Raw Data'!BE217,'Raw Data'!BG217,'Raw Data'!BI217,'Raw Data'!BK217,'Raw Data'!BM217),"")</f>
        <v/>
      </c>
      <c r="W230" s="14" t="str">
        <f t="shared" si="41"/>
        <v/>
      </c>
      <c r="X230" s="14" t="str">
        <f t="shared" si="42"/>
        <v/>
      </c>
      <c r="Y230" s="14" t="str">
        <f t="shared" si="43"/>
        <v/>
      </c>
      <c r="Z230" s="14" t="str">
        <f t="shared" si="44"/>
        <v/>
      </c>
      <c r="AA230" s="14" t="str">
        <f t="shared" si="45"/>
        <v/>
      </c>
      <c r="AB230" s="25" t="str">
        <f t="shared" si="46"/>
        <v/>
      </c>
    </row>
    <row r="231" spans="1:28" x14ac:dyDescent="0.25">
      <c r="A231" s="2" t="str">
        <f>IF('Raw Data'!A218&lt;&gt;"",'Raw Data'!A218,"")</f>
        <v/>
      </c>
      <c r="B231" s="2" t="str">
        <f>IF('Raw Data'!B218&lt;&gt;"",'Raw Data'!B218,"")</f>
        <v/>
      </c>
      <c r="C231" s="2" t="str">
        <f>IF('Raw Data'!C218&lt;&gt;"",'Raw Data'!C218,"")</f>
        <v/>
      </c>
      <c r="D231" s="2" t="str">
        <f>IF('Raw Data'!D218&lt;&gt;"",'Raw Data'!D218,"")</f>
        <v/>
      </c>
      <c r="E231" s="2" t="str">
        <f>IF('Raw Data'!E218&lt;&gt;"",'Raw Data'!E218,"")</f>
        <v/>
      </c>
      <c r="F231" s="11" t="str">
        <f>IF('Raw Data'!A218&lt;&gt;"",AVERAGE('Raw Data'!F218,'Raw Data'!H218,'Raw Data'!J218,'Raw Data'!L218,'Raw Data'!N218),"")</f>
        <v/>
      </c>
      <c r="G231" s="11" t="str">
        <f>IF('Raw Data'!A218&lt;&gt;"",AVERAGE('Raw Data'!G218,'Raw Data'!I218,'Raw Data'!K218,'Raw Data'!M218,'Raw Data'!O218),"")</f>
        <v/>
      </c>
      <c r="H231" s="11" t="str">
        <f t="shared" si="36"/>
        <v/>
      </c>
      <c r="I231" s="11" t="str">
        <f>IF('Raw Data'!A218&lt;&gt;"",AVERAGE('Raw Data'!P218,'Raw Data'!R218,'Raw Data'!T218,'Raw Data'!V218,'Raw Data'!X218),"")</f>
        <v/>
      </c>
      <c r="J231" s="11" t="str">
        <f>IF('Raw Data'!A218&lt;&gt;"",AVERAGE('Raw Data'!Q218,'Raw Data'!S218,'Raw Data'!U218,'Raw Data'!W218,'Raw Data'!Y218),"")</f>
        <v/>
      </c>
      <c r="K231" s="11" t="str">
        <f t="shared" si="37"/>
        <v/>
      </c>
      <c r="L231" s="11" t="str">
        <f>IF('Raw Data'!A218&lt;&gt;"",AVERAGE('Raw Data'!Z218,'Raw Data'!AB218,'Raw Data'!AD218,'Raw Data'!AF218,'Raw Data'!AH218),"")</f>
        <v/>
      </c>
      <c r="M231" s="11" t="str">
        <f>IF('Raw Data'!A218&lt;&gt;"",AVERAGE('Raw Data'!AA218,'Raw Data'!AC218,'Raw Data'!AE218,'Raw Data'!AG218,'Raw Data'!AI218),"")</f>
        <v/>
      </c>
      <c r="N231" s="11" t="str">
        <f t="shared" si="38"/>
        <v/>
      </c>
      <c r="O231" s="11" t="str">
        <f>IF('Raw Data'!A218&lt;&gt;"",AVERAGE('Raw Data'!AJ218,'Raw Data'!AL218,'Raw Data'!AN218,'Raw Data'!AP218,'Raw Data'!AR218),"")</f>
        <v/>
      </c>
      <c r="P231" s="11" t="str">
        <f>IF('Raw Data'!A218&lt;&gt;"",AVERAGE('Raw Data'!AK218,'Raw Data'!AM218,'Raw Data'!AO218,'Raw Data'!AQ218,'Raw Data'!AS218),"")</f>
        <v/>
      </c>
      <c r="Q231" s="11" t="str">
        <f t="shared" si="39"/>
        <v/>
      </c>
      <c r="R231" s="11" t="str">
        <f>IF('Raw Data'!A218&lt;&gt;"",AVERAGE('Raw Data'!AT218,'Raw Data'!AV218,'Raw Data'!AX218,'Raw Data'!AZ218,'Raw Data'!BB218),"")</f>
        <v/>
      </c>
      <c r="S231" s="11" t="str">
        <f>IF('Raw Data'!A218&lt;&gt;"",AVERAGE('Raw Data'!AU218,'Raw Data'!AW218,'Raw Data'!AY218,'Raw Data'!BA218,'Raw Data'!BC218),"")</f>
        <v/>
      </c>
      <c r="T231" s="11" t="str">
        <f t="shared" si="40"/>
        <v/>
      </c>
      <c r="U231" s="11" t="str">
        <f>IF('Raw Data'!A218&lt;&gt;"",AVERAGE('Raw Data'!BD218,'Raw Data'!BF218,'Raw Data'!BH218,'Raw Data'!BJ218,'Raw Data'!BL218),"")</f>
        <v/>
      </c>
      <c r="V231" s="11" t="str">
        <f>IF('Raw Data'!A218&lt;&gt;"",AVERAGE('Raw Data'!BE218,'Raw Data'!BG218,'Raw Data'!BI218,'Raw Data'!BK218,'Raw Data'!BM218),"")</f>
        <v/>
      </c>
      <c r="W231" s="11" t="str">
        <f t="shared" si="41"/>
        <v/>
      </c>
      <c r="X231" s="11" t="str">
        <f t="shared" si="42"/>
        <v/>
      </c>
      <c r="Y231" s="11" t="str">
        <f t="shared" si="43"/>
        <v/>
      </c>
      <c r="Z231" s="11" t="str">
        <f t="shared" si="44"/>
        <v/>
      </c>
      <c r="AA231" s="11" t="str">
        <f t="shared" si="45"/>
        <v/>
      </c>
      <c r="AB231" s="24" t="str">
        <f t="shared" si="46"/>
        <v/>
      </c>
    </row>
    <row r="232" spans="1:28" x14ac:dyDescent="0.25">
      <c r="A232" s="10" t="str">
        <f>IF('Raw Data'!A219&lt;&gt;"",'Raw Data'!A219,"")</f>
        <v/>
      </c>
      <c r="B232" s="10" t="str">
        <f>IF('Raw Data'!B219&lt;&gt;"",'Raw Data'!B219,"")</f>
        <v/>
      </c>
      <c r="C232" s="10" t="str">
        <f>IF('Raw Data'!C219&lt;&gt;"",'Raw Data'!C219,"")</f>
        <v/>
      </c>
      <c r="D232" s="10" t="str">
        <f>IF('Raw Data'!D219&lt;&gt;"",'Raw Data'!D219,"")</f>
        <v/>
      </c>
      <c r="E232" s="10" t="str">
        <f>IF('Raw Data'!E219&lt;&gt;"",'Raw Data'!E219,"")</f>
        <v/>
      </c>
      <c r="F232" s="14" t="str">
        <f>IF('Raw Data'!A219&lt;&gt;"",AVERAGE('Raw Data'!F219,'Raw Data'!H219,'Raw Data'!J219,'Raw Data'!L219,'Raw Data'!N219),"")</f>
        <v/>
      </c>
      <c r="G232" s="14" t="str">
        <f>IF('Raw Data'!A219&lt;&gt;"",AVERAGE('Raw Data'!G219,'Raw Data'!I219,'Raw Data'!K219,'Raw Data'!M219,'Raw Data'!O219),"")</f>
        <v/>
      </c>
      <c r="H232" s="14" t="str">
        <f t="shared" si="36"/>
        <v/>
      </c>
      <c r="I232" s="14" t="str">
        <f>IF('Raw Data'!A219&lt;&gt;"",AVERAGE('Raw Data'!P219,'Raw Data'!R219,'Raw Data'!T219,'Raw Data'!V219,'Raw Data'!X219),"")</f>
        <v/>
      </c>
      <c r="J232" s="14" t="str">
        <f>IF('Raw Data'!A219&lt;&gt;"",AVERAGE('Raw Data'!Q219,'Raw Data'!S219,'Raw Data'!U219,'Raw Data'!W219,'Raw Data'!Y219),"")</f>
        <v/>
      </c>
      <c r="K232" s="14" t="str">
        <f t="shared" si="37"/>
        <v/>
      </c>
      <c r="L232" s="14" t="str">
        <f>IF('Raw Data'!A219&lt;&gt;"",AVERAGE('Raw Data'!Z219,'Raw Data'!AB219,'Raw Data'!AD219,'Raw Data'!AF219,'Raw Data'!AH219),"")</f>
        <v/>
      </c>
      <c r="M232" s="14" t="str">
        <f>IF('Raw Data'!A219&lt;&gt;"",AVERAGE('Raw Data'!AA219,'Raw Data'!AC219,'Raw Data'!AE219,'Raw Data'!AG219,'Raw Data'!AI219),"")</f>
        <v/>
      </c>
      <c r="N232" s="14" t="str">
        <f t="shared" si="38"/>
        <v/>
      </c>
      <c r="O232" s="14" t="str">
        <f>IF('Raw Data'!A219&lt;&gt;"",AVERAGE('Raw Data'!AJ219,'Raw Data'!AL219,'Raw Data'!AN219,'Raw Data'!AP219,'Raw Data'!AR219),"")</f>
        <v/>
      </c>
      <c r="P232" s="14" t="str">
        <f>IF('Raw Data'!A219&lt;&gt;"",AVERAGE('Raw Data'!AK219,'Raw Data'!AM219,'Raw Data'!AO219,'Raw Data'!AQ219,'Raw Data'!AS219),"")</f>
        <v/>
      </c>
      <c r="Q232" s="14" t="str">
        <f t="shared" si="39"/>
        <v/>
      </c>
      <c r="R232" s="14" t="str">
        <f>IF('Raw Data'!A219&lt;&gt;"",AVERAGE('Raw Data'!AT219,'Raw Data'!AV219,'Raw Data'!AX219,'Raw Data'!AZ219,'Raw Data'!BB219),"")</f>
        <v/>
      </c>
      <c r="S232" s="14" t="str">
        <f>IF('Raw Data'!A219&lt;&gt;"",AVERAGE('Raw Data'!AU219,'Raw Data'!AW219,'Raw Data'!AY219,'Raw Data'!BA219,'Raw Data'!BC219),"")</f>
        <v/>
      </c>
      <c r="T232" s="14" t="str">
        <f t="shared" si="40"/>
        <v/>
      </c>
      <c r="U232" s="14" t="str">
        <f>IF('Raw Data'!A219&lt;&gt;"",AVERAGE('Raw Data'!BD219,'Raw Data'!BF219,'Raw Data'!BH219,'Raw Data'!BJ219,'Raw Data'!BL219),"")</f>
        <v/>
      </c>
      <c r="V232" s="14" t="str">
        <f>IF('Raw Data'!A219&lt;&gt;"",AVERAGE('Raw Data'!BE219,'Raw Data'!BG219,'Raw Data'!BI219,'Raw Data'!BK219,'Raw Data'!BM219),"")</f>
        <v/>
      </c>
      <c r="W232" s="14" t="str">
        <f t="shared" si="41"/>
        <v/>
      </c>
      <c r="X232" s="14" t="str">
        <f t="shared" si="42"/>
        <v/>
      </c>
      <c r="Y232" s="14" t="str">
        <f t="shared" si="43"/>
        <v/>
      </c>
      <c r="Z232" s="14" t="str">
        <f t="shared" si="44"/>
        <v/>
      </c>
      <c r="AA232" s="14" t="str">
        <f t="shared" si="45"/>
        <v/>
      </c>
      <c r="AB232" s="25" t="str">
        <f t="shared" si="46"/>
        <v/>
      </c>
    </row>
    <row r="233" spans="1:28" x14ac:dyDescent="0.25">
      <c r="A233" s="2" t="str">
        <f>IF('Raw Data'!A220&lt;&gt;"",'Raw Data'!A220,"")</f>
        <v/>
      </c>
      <c r="B233" s="2" t="str">
        <f>IF('Raw Data'!B220&lt;&gt;"",'Raw Data'!B220,"")</f>
        <v/>
      </c>
      <c r="C233" s="2" t="str">
        <f>IF('Raw Data'!C220&lt;&gt;"",'Raw Data'!C220,"")</f>
        <v/>
      </c>
      <c r="D233" s="2" t="str">
        <f>IF('Raw Data'!D220&lt;&gt;"",'Raw Data'!D220,"")</f>
        <v/>
      </c>
      <c r="E233" s="2" t="str">
        <f>IF('Raw Data'!E220&lt;&gt;"",'Raw Data'!E220,"")</f>
        <v/>
      </c>
      <c r="F233" s="11" t="str">
        <f>IF('Raw Data'!A220&lt;&gt;"",AVERAGE('Raw Data'!F220,'Raw Data'!H220,'Raw Data'!J220,'Raw Data'!L220,'Raw Data'!N220),"")</f>
        <v/>
      </c>
      <c r="G233" s="11" t="str">
        <f>IF('Raw Data'!A220&lt;&gt;"",AVERAGE('Raw Data'!G220,'Raw Data'!I220,'Raw Data'!K220,'Raw Data'!M220,'Raw Data'!O220),"")</f>
        <v/>
      </c>
      <c r="H233" s="11" t="str">
        <f t="shared" si="36"/>
        <v/>
      </c>
      <c r="I233" s="11" t="str">
        <f>IF('Raw Data'!A220&lt;&gt;"",AVERAGE('Raw Data'!P220,'Raw Data'!R220,'Raw Data'!T220,'Raw Data'!V220,'Raw Data'!X220),"")</f>
        <v/>
      </c>
      <c r="J233" s="11" t="str">
        <f>IF('Raw Data'!A220&lt;&gt;"",AVERAGE('Raw Data'!Q220,'Raw Data'!S220,'Raw Data'!U220,'Raw Data'!W220,'Raw Data'!Y220),"")</f>
        <v/>
      </c>
      <c r="K233" s="11" t="str">
        <f t="shared" si="37"/>
        <v/>
      </c>
      <c r="L233" s="11" t="str">
        <f>IF('Raw Data'!A220&lt;&gt;"",AVERAGE('Raw Data'!Z220,'Raw Data'!AB220,'Raw Data'!AD220,'Raw Data'!AF220,'Raw Data'!AH220),"")</f>
        <v/>
      </c>
      <c r="M233" s="11" t="str">
        <f>IF('Raw Data'!A220&lt;&gt;"",AVERAGE('Raw Data'!AA220,'Raw Data'!AC220,'Raw Data'!AE220,'Raw Data'!AG220,'Raw Data'!AI220),"")</f>
        <v/>
      </c>
      <c r="N233" s="11" t="str">
        <f t="shared" si="38"/>
        <v/>
      </c>
      <c r="O233" s="11" t="str">
        <f>IF('Raw Data'!A220&lt;&gt;"",AVERAGE('Raw Data'!AJ220,'Raw Data'!AL220,'Raw Data'!AN220,'Raw Data'!AP220,'Raw Data'!AR220),"")</f>
        <v/>
      </c>
      <c r="P233" s="11" t="str">
        <f>IF('Raw Data'!A220&lt;&gt;"",AVERAGE('Raw Data'!AK220,'Raw Data'!AM220,'Raw Data'!AO220,'Raw Data'!AQ220,'Raw Data'!AS220),"")</f>
        <v/>
      </c>
      <c r="Q233" s="11" t="str">
        <f t="shared" si="39"/>
        <v/>
      </c>
      <c r="R233" s="11" t="str">
        <f>IF('Raw Data'!A220&lt;&gt;"",AVERAGE('Raw Data'!AT220,'Raw Data'!AV220,'Raw Data'!AX220,'Raw Data'!AZ220,'Raw Data'!BB220),"")</f>
        <v/>
      </c>
      <c r="S233" s="11" t="str">
        <f>IF('Raw Data'!A220&lt;&gt;"",AVERAGE('Raw Data'!AU220,'Raw Data'!AW220,'Raw Data'!AY220,'Raw Data'!BA220,'Raw Data'!BC220),"")</f>
        <v/>
      </c>
      <c r="T233" s="11" t="str">
        <f t="shared" si="40"/>
        <v/>
      </c>
      <c r="U233" s="11" t="str">
        <f>IF('Raw Data'!A220&lt;&gt;"",AVERAGE('Raw Data'!BD220,'Raw Data'!BF220,'Raw Data'!BH220,'Raw Data'!BJ220,'Raw Data'!BL220),"")</f>
        <v/>
      </c>
      <c r="V233" s="11" t="str">
        <f>IF('Raw Data'!A220&lt;&gt;"",AVERAGE('Raw Data'!BE220,'Raw Data'!BG220,'Raw Data'!BI220,'Raw Data'!BK220,'Raw Data'!BM220),"")</f>
        <v/>
      </c>
      <c r="W233" s="11" t="str">
        <f t="shared" si="41"/>
        <v/>
      </c>
      <c r="X233" s="11" t="str">
        <f t="shared" si="42"/>
        <v/>
      </c>
      <c r="Y233" s="11" t="str">
        <f t="shared" si="43"/>
        <v/>
      </c>
      <c r="Z233" s="11" t="str">
        <f t="shared" si="44"/>
        <v/>
      </c>
      <c r="AA233" s="11" t="str">
        <f t="shared" si="45"/>
        <v/>
      </c>
      <c r="AB233" s="24" t="str">
        <f t="shared" si="46"/>
        <v/>
      </c>
    </row>
    <row r="234" spans="1:28" x14ac:dyDescent="0.25">
      <c r="A234" s="10" t="str">
        <f>IF('Raw Data'!A221&lt;&gt;"",'Raw Data'!A221,"")</f>
        <v/>
      </c>
      <c r="B234" s="10" t="str">
        <f>IF('Raw Data'!B221&lt;&gt;"",'Raw Data'!B221,"")</f>
        <v/>
      </c>
      <c r="C234" s="10" t="str">
        <f>IF('Raw Data'!C221&lt;&gt;"",'Raw Data'!C221,"")</f>
        <v/>
      </c>
      <c r="D234" s="10" t="str">
        <f>IF('Raw Data'!D221&lt;&gt;"",'Raw Data'!D221,"")</f>
        <v/>
      </c>
      <c r="E234" s="10" t="str">
        <f>IF('Raw Data'!E221&lt;&gt;"",'Raw Data'!E221,"")</f>
        <v/>
      </c>
      <c r="F234" s="14" t="str">
        <f>IF('Raw Data'!A221&lt;&gt;"",AVERAGE('Raw Data'!F221,'Raw Data'!H221,'Raw Data'!J221,'Raw Data'!L221,'Raw Data'!N221),"")</f>
        <v/>
      </c>
      <c r="G234" s="14" t="str">
        <f>IF('Raw Data'!A221&lt;&gt;"",AVERAGE('Raw Data'!G221,'Raw Data'!I221,'Raw Data'!K221,'Raw Data'!M221,'Raw Data'!O221),"")</f>
        <v/>
      </c>
      <c r="H234" s="14" t="str">
        <f t="shared" si="36"/>
        <v/>
      </c>
      <c r="I234" s="14" t="str">
        <f>IF('Raw Data'!A221&lt;&gt;"",AVERAGE('Raw Data'!P221,'Raw Data'!R221,'Raw Data'!T221,'Raw Data'!V221,'Raw Data'!X221),"")</f>
        <v/>
      </c>
      <c r="J234" s="14" t="str">
        <f>IF('Raw Data'!A221&lt;&gt;"",AVERAGE('Raw Data'!Q221,'Raw Data'!S221,'Raw Data'!U221,'Raw Data'!W221,'Raw Data'!Y221),"")</f>
        <v/>
      </c>
      <c r="K234" s="14" t="str">
        <f t="shared" si="37"/>
        <v/>
      </c>
      <c r="L234" s="14" t="str">
        <f>IF('Raw Data'!A221&lt;&gt;"",AVERAGE('Raw Data'!Z221,'Raw Data'!AB221,'Raw Data'!AD221,'Raw Data'!AF221,'Raw Data'!AH221),"")</f>
        <v/>
      </c>
      <c r="M234" s="14" t="str">
        <f>IF('Raw Data'!A221&lt;&gt;"",AVERAGE('Raw Data'!AA221,'Raw Data'!AC221,'Raw Data'!AE221,'Raw Data'!AG221,'Raw Data'!AI221),"")</f>
        <v/>
      </c>
      <c r="N234" s="14" t="str">
        <f t="shared" si="38"/>
        <v/>
      </c>
      <c r="O234" s="14" t="str">
        <f>IF('Raw Data'!A221&lt;&gt;"",AVERAGE('Raw Data'!AJ221,'Raw Data'!AL221,'Raw Data'!AN221,'Raw Data'!AP221,'Raw Data'!AR221),"")</f>
        <v/>
      </c>
      <c r="P234" s="14" t="str">
        <f>IF('Raw Data'!A221&lt;&gt;"",AVERAGE('Raw Data'!AK221,'Raw Data'!AM221,'Raw Data'!AO221,'Raw Data'!AQ221,'Raw Data'!AS221),"")</f>
        <v/>
      </c>
      <c r="Q234" s="14" t="str">
        <f t="shared" si="39"/>
        <v/>
      </c>
      <c r="R234" s="14" t="str">
        <f>IF('Raw Data'!A221&lt;&gt;"",AVERAGE('Raw Data'!AT221,'Raw Data'!AV221,'Raw Data'!AX221,'Raw Data'!AZ221,'Raw Data'!BB221),"")</f>
        <v/>
      </c>
      <c r="S234" s="14" t="str">
        <f>IF('Raw Data'!A221&lt;&gt;"",AVERAGE('Raw Data'!AU221,'Raw Data'!AW221,'Raw Data'!AY221,'Raw Data'!BA221,'Raw Data'!BC221),"")</f>
        <v/>
      </c>
      <c r="T234" s="14" t="str">
        <f t="shared" si="40"/>
        <v/>
      </c>
      <c r="U234" s="14" t="str">
        <f>IF('Raw Data'!A221&lt;&gt;"",AVERAGE('Raw Data'!BD221,'Raw Data'!BF221,'Raw Data'!BH221,'Raw Data'!BJ221,'Raw Data'!BL221),"")</f>
        <v/>
      </c>
      <c r="V234" s="14" t="str">
        <f>IF('Raw Data'!A221&lt;&gt;"",AVERAGE('Raw Data'!BE221,'Raw Data'!BG221,'Raw Data'!BI221,'Raw Data'!BK221,'Raw Data'!BM221),"")</f>
        <v/>
      </c>
      <c r="W234" s="14" t="str">
        <f t="shared" si="41"/>
        <v/>
      </c>
      <c r="X234" s="14" t="str">
        <f t="shared" si="42"/>
        <v/>
      </c>
      <c r="Y234" s="14" t="str">
        <f t="shared" si="43"/>
        <v/>
      </c>
      <c r="Z234" s="14" t="str">
        <f t="shared" si="44"/>
        <v/>
      </c>
      <c r="AA234" s="14" t="str">
        <f t="shared" si="45"/>
        <v/>
      </c>
      <c r="AB234" s="25" t="str">
        <f t="shared" si="46"/>
        <v/>
      </c>
    </row>
    <row r="235" spans="1:28" x14ac:dyDescent="0.25">
      <c r="A235" s="2" t="str">
        <f>IF('Raw Data'!A222&lt;&gt;"",'Raw Data'!A222,"")</f>
        <v/>
      </c>
      <c r="B235" s="2" t="str">
        <f>IF('Raw Data'!B222&lt;&gt;"",'Raw Data'!B222,"")</f>
        <v/>
      </c>
      <c r="C235" s="2" t="str">
        <f>IF('Raw Data'!C222&lt;&gt;"",'Raw Data'!C222,"")</f>
        <v/>
      </c>
      <c r="D235" s="2" t="str">
        <f>IF('Raw Data'!D222&lt;&gt;"",'Raw Data'!D222,"")</f>
        <v/>
      </c>
      <c r="E235" s="2" t="str">
        <f>IF('Raw Data'!E222&lt;&gt;"",'Raw Data'!E222,"")</f>
        <v/>
      </c>
      <c r="F235" s="11" t="str">
        <f>IF('Raw Data'!A222&lt;&gt;"",AVERAGE('Raw Data'!F222,'Raw Data'!H222,'Raw Data'!J222,'Raw Data'!L222,'Raw Data'!N222),"")</f>
        <v/>
      </c>
      <c r="G235" s="11" t="str">
        <f>IF('Raw Data'!A222&lt;&gt;"",AVERAGE('Raw Data'!G222,'Raw Data'!I222,'Raw Data'!K222,'Raw Data'!M222,'Raw Data'!O222),"")</f>
        <v/>
      </c>
      <c r="H235" s="11" t="str">
        <f t="shared" si="36"/>
        <v/>
      </c>
      <c r="I235" s="11" t="str">
        <f>IF('Raw Data'!A222&lt;&gt;"",AVERAGE('Raw Data'!P222,'Raw Data'!R222,'Raw Data'!T222,'Raw Data'!V222,'Raw Data'!X222),"")</f>
        <v/>
      </c>
      <c r="J235" s="11" t="str">
        <f>IF('Raw Data'!A222&lt;&gt;"",AVERAGE('Raw Data'!Q222,'Raw Data'!S222,'Raw Data'!U222,'Raw Data'!W222,'Raw Data'!Y222),"")</f>
        <v/>
      </c>
      <c r="K235" s="11" t="str">
        <f t="shared" si="37"/>
        <v/>
      </c>
      <c r="L235" s="11" t="str">
        <f>IF('Raw Data'!A222&lt;&gt;"",AVERAGE('Raw Data'!Z222,'Raw Data'!AB222,'Raw Data'!AD222,'Raw Data'!AF222,'Raw Data'!AH222),"")</f>
        <v/>
      </c>
      <c r="M235" s="11" t="str">
        <f>IF('Raw Data'!A222&lt;&gt;"",AVERAGE('Raw Data'!AA222,'Raw Data'!AC222,'Raw Data'!AE222,'Raw Data'!AG222,'Raw Data'!AI222),"")</f>
        <v/>
      </c>
      <c r="N235" s="11" t="str">
        <f t="shared" si="38"/>
        <v/>
      </c>
      <c r="O235" s="11" t="str">
        <f>IF('Raw Data'!A222&lt;&gt;"",AVERAGE('Raw Data'!AJ222,'Raw Data'!AL222,'Raw Data'!AN222,'Raw Data'!AP222,'Raw Data'!AR222),"")</f>
        <v/>
      </c>
      <c r="P235" s="11" t="str">
        <f>IF('Raw Data'!A222&lt;&gt;"",AVERAGE('Raw Data'!AK222,'Raw Data'!AM222,'Raw Data'!AO222,'Raw Data'!AQ222,'Raw Data'!AS222),"")</f>
        <v/>
      </c>
      <c r="Q235" s="11" t="str">
        <f t="shared" si="39"/>
        <v/>
      </c>
      <c r="R235" s="11" t="str">
        <f>IF('Raw Data'!A222&lt;&gt;"",AVERAGE('Raw Data'!AT222,'Raw Data'!AV222,'Raw Data'!AX222,'Raw Data'!AZ222,'Raw Data'!BB222),"")</f>
        <v/>
      </c>
      <c r="S235" s="11" t="str">
        <f>IF('Raw Data'!A222&lt;&gt;"",AVERAGE('Raw Data'!AU222,'Raw Data'!AW222,'Raw Data'!AY222,'Raw Data'!BA222,'Raw Data'!BC222),"")</f>
        <v/>
      </c>
      <c r="T235" s="11" t="str">
        <f t="shared" si="40"/>
        <v/>
      </c>
      <c r="U235" s="11" t="str">
        <f>IF('Raw Data'!A222&lt;&gt;"",AVERAGE('Raw Data'!BD222,'Raw Data'!BF222,'Raw Data'!BH222,'Raw Data'!BJ222,'Raw Data'!BL222),"")</f>
        <v/>
      </c>
      <c r="V235" s="11" t="str">
        <f>IF('Raw Data'!A222&lt;&gt;"",AVERAGE('Raw Data'!BE222,'Raw Data'!BG222,'Raw Data'!BI222,'Raw Data'!BK222,'Raw Data'!BM222),"")</f>
        <v/>
      </c>
      <c r="W235" s="11" t="str">
        <f t="shared" si="41"/>
        <v/>
      </c>
      <c r="X235" s="11" t="str">
        <f t="shared" si="42"/>
        <v/>
      </c>
      <c r="Y235" s="11" t="str">
        <f t="shared" si="43"/>
        <v/>
      </c>
      <c r="Z235" s="11" t="str">
        <f t="shared" si="44"/>
        <v/>
      </c>
      <c r="AA235" s="11" t="str">
        <f t="shared" si="45"/>
        <v/>
      </c>
      <c r="AB235" s="24" t="str">
        <f t="shared" si="46"/>
        <v/>
      </c>
    </row>
    <row r="236" spans="1:28" x14ac:dyDescent="0.25">
      <c r="A236" s="10" t="str">
        <f>IF('Raw Data'!A223&lt;&gt;"",'Raw Data'!A223,"")</f>
        <v/>
      </c>
      <c r="B236" s="10" t="str">
        <f>IF('Raw Data'!B223&lt;&gt;"",'Raw Data'!B223,"")</f>
        <v/>
      </c>
      <c r="C236" s="10" t="str">
        <f>IF('Raw Data'!C223&lt;&gt;"",'Raw Data'!C223,"")</f>
        <v/>
      </c>
      <c r="D236" s="10" t="str">
        <f>IF('Raw Data'!D223&lt;&gt;"",'Raw Data'!D223,"")</f>
        <v/>
      </c>
      <c r="E236" s="10" t="str">
        <f>IF('Raw Data'!E223&lt;&gt;"",'Raw Data'!E223,"")</f>
        <v/>
      </c>
      <c r="F236" s="14" t="str">
        <f>IF('Raw Data'!A223&lt;&gt;"",AVERAGE('Raw Data'!F223,'Raw Data'!H223,'Raw Data'!J223,'Raw Data'!L223,'Raw Data'!N223),"")</f>
        <v/>
      </c>
      <c r="G236" s="14" t="str">
        <f>IF('Raw Data'!A223&lt;&gt;"",AVERAGE('Raw Data'!G223,'Raw Data'!I223,'Raw Data'!K223,'Raw Data'!M223,'Raw Data'!O223),"")</f>
        <v/>
      </c>
      <c r="H236" s="14" t="str">
        <f t="shared" si="36"/>
        <v/>
      </c>
      <c r="I236" s="14" t="str">
        <f>IF('Raw Data'!A223&lt;&gt;"",AVERAGE('Raw Data'!P223,'Raw Data'!R223,'Raw Data'!T223,'Raw Data'!V223,'Raw Data'!X223),"")</f>
        <v/>
      </c>
      <c r="J236" s="14" t="str">
        <f>IF('Raw Data'!A223&lt;&gt;"",AVERAGE('Raw Data'!Q223,'Raw Data'!S223,'Raw Data'!U223,'Raw Data'!W223,'Raw Data'!Y223),"")</f>
        <v/>
      </c>
      <c r="K236" s="14" t="str">
        <f t="shared" si="37"/>
        <v/>
      </c>
      <c r="L236" s="14" t="str">
        <f>IF('Raw Data'!A223&lt;&gt;"",AVERAGE('Raw Data'!Z223,'Raw Data'!AB223,'Raw Data'!AD223,'Raw Data'!AF223,'Raw Data'!AH223),"")</f>
        <v/>
      </c>
      <c r="M236" s="14" t="str">
        <f>IF('Raw Data'!A223&lt;&gt;"",AVERAGE('Raw Data'!AA223,'Raw Data'!AC223,'Raw Data'!AE223,'Raw Data'!AG223,'Raw Data'!AI223),"")</f>
        <v/>
      </c>
      <c r="N236" s="14" t="str">
        <f t="shared" si="38"/>
        <v/>
      </c>
      <c r="O236" s="14" t="str">
        <f>IF('Raw Data'!A223&lt;&gt;"",AVERAGE('Raw Data'!AJ223,'Raw Data'!AL223,'Raw Data'!AN223,'Raw Data'!AP223,'Raw Data'!AR223),"")</f>
        <v/>
      </c>
      <c r="P236" s="14" t="str">
        <f>IF('Raw Data'!A223&lt;&gt;"",AVERAGE('Raw Data'!AK223,'Raw Data'!AM223,'Raw Data'!AO223,'Raw Data'!AQ223,'Raw Data'!AS223),"")</f>
        <v/>
      </c>
      <c r="Q236" s="14" t="str">
        <f t="shared" si="39"/>
        <v/>
      </c>
      <c r="R236" s="14" t="str">
        <f>IF('Raw Data'!A223&lt;&gt;"",AVERAGE('Raw Data'!AT223,'Raw Data'!AV223,'Raw Data'!AX223,'Raw Data'!AZ223,'Raw Data'!BB223),"")</f>
        <v/>
      </c>
      <c r="S236" s="14" t="str">
        <f>IF('Raw Data'!A223&lt;&gt;"",AVERAGE('Raw Data'!AU223,'Raw Data'!AW223,'Raw Data'!AY223,'Raw Data'!BA223,'Raw Data'!BC223),"")</f>
        <v/>
      </c>
      <c r="T236" s="14" t="str">
        <f t="shared" si="40"/>
        <v/>
      </c>
      <c r="U236" s="14" t="str">
        <f>IF('Raw Data'!A223&lt;&gt;"",AVERAGE('Raw Data'!BD223,'Raw Data'!BF223,'Raw Data'!BH223,'Raw Data'!BJ223,'Raw Data'!BL223),"")</f>
        <v/>
      </c>
      <c r="V236" s="14" t="str">
        <f>IF('Raw Data'!A223&lt;&gt;"",AVERAGE('Raw Data'!BE223,'Raw Data'!BG223,'Raw Data'!BI223,'Raw Data'!BK223,'Raw Data'!BM223),"")</f>
        <v/>
      </c>
      <c r="W236" s="14" t="str">
        <f t="shared" si="41"/>
        <v/>
      </c>
      <c r="X236" s="14" t="str">
        <f t="shared" si="42"/>
        <v/>
      </c>
      <c r="Y236" s="14" t="str">
        <f t="shared" si="43"/>
        <v/>
      </c>
      <c r="Z236" s="14" t="str">
        <f t="shared" si="44"/>
        <v/>
      </c>
      <c r="AA236" s="14" t="str">
        <f t="shared" si="45"/>
        <v/>
      </c>
      <c r="AB236" s="25" t="str">
        <f t="shared" si="46"/>
        <v/>
      </c>
    </row>
    <row r="237" spans="1:28" x14ac:dyDescent="0.25">
      <c r="A237" s="2" t="str">
        <f>IF('Raw Data'!A224&lt;&gt;"",'Raw Data'!A224,"")</f>
        <v/>
      </c>
      <c r="B237" s="2" t="str">
        <f>IF('Raw Data'!B224&lt;&gt;"",'Raw Data'!B224,"")</f>
        <v/>
      </c>
      <c r="C237" s="2" t="str">
        <f>IF('Raw Data'!C224&lt;&gt;"",'Raw Data'!C224,"")</f>
        <v/>
      </c>
      <c r="D237" s="2" t="str">
        <f>IF('Raw Data'!D224&lt;&gt;"",'Raw Data'!D224,"")</f>
        <v/>
      </c>
      <c r="E237" s="2" t="str">
        <f>IF('Raw Data'!E224&lt;&gt;"",'Raw Data'!E224,"")</f>
        <v/>
      </c>
      <c r="F237" s="11" t="str">
        <f>IF('Raw Data'!A224&lt;&gt;"",AVERAGE('Raw Data'!F224,'Raw Data'!H224,'Raw Data'!J224,'Raw Data'!L224,'Raw Data'!N224),"")</f>
        <v/>
      </c>
      <c r="G237" s="11" t="str">
        <f>IF('Raw Data'!A224&lt;&gt;"",AVERAGE('Raw Data'!G224,'Raw Data'!I224,'Raw Data'!K224,'Raw Data'!M224,'Raw Data'!O224),"")</f>
        <v/>
      </c>
      <c r="H237" s="11" t="str">
        <f t="shared" si="36"/>
        <v/>
      </c>
      <c r="I237" s="11" t="str">
        <f>IF('Raw Data'!A224&lt;&gt;"",AVERAGE('Raw Data'!P224,'Raw Data'!R224,'Raw Data'!T224,'Raw Data'!V224,'Raw Data'!X224),"")</f>
        <v/>
      </c>
      <c r="J237" s="11" t="str">
        <f>IF('Raw Data'!A224&lt;&gt;"",AVERAGE('Raw Data'!Q224,'Raw Data'!S224,'Raw Data'!U224,'Raw Data'!W224,'Raw Data'!Y224),"")</f>
        <v/>
      </c>
      <c r="K237" s="11" t="str">
        <f t="shared" si="37"/>
        <v/>
      </c>
      <c r="L237" s="11" t="str">
        <f>IF('Raw Data'!A224&lt;&gt;"",AVERAGE('Raw Data'!Z224,'Raw Data'!AB224,'Raw Data'!AD224,'Raw Data'!AF224,'Raw Data'!AH224),"")</f>
        <v/>
      </c>
      <c r="M237" s="11" t="str">
        <f>IF('Raw Data'!A224&lt;&gt;"",AVERAGE('Raw Data'!AA224,'Raw Data'!AC224,'Raw Data'!AE224,'Raw Data'!AG224,'Raw Data'!AI224),"")</f>
        <v/>
      </c>
      <c r="N237" s="11" t="str">
        <f t="shared" si="38"/>
        <v/>
      </c>
      <c r="O237" s="11" t="str">
        <f>IF('Raw Data'!A224&lt;&gt;"",AVERAGE('Raw Data'!AJ224,'Raw Data'!AL224,'Raw Data'!AN224,'Raw Data'!AP224,'Raw Data'!AR224),"")</f>
        <v/>
      </c>
      <c r="P237" s="11" t="str">
        <f>IF('Raw Data'!A224&lt;&gt;"",AVERAGE('Raw Data'!AK224,'Raw Data'!AM224,'Raw Data'!AO224,'Raw Data'!AQ224,'Raw Data'!AS224),"")</f>
        <v/>
      </c>
      <c r="Q237" s="11" t="str">
        <f t="shared" si="39"/>
        <v/>
      </c>
      <c r="R237" s="11" t="str">
        <f>IF('Raw Data'!A224&lt;&gt;"",AVERAGE('Raw Data'!AT224,'Raw Data'!AV224,'Raw Data'!AX224,'Raw Data'!AZ224,'Raw Data'!BB224),"")</f>
        <v/>
      </c>
      <c r="S237" s="11" t="str">
        <f>IF('Raw Data'!A224&lt;&gt;"",AVERAGE('Raw Data'!AU224,'Raw Data'!AW224,'Raw Data'!AY224,'Raw Data'!BA224,'Raw Data'!BC224),"")</f>
        <v/>
      </c>
      <c r="T237" s="11" t="str">
        <f t="shared" si="40"/>
        <v/>
      </c>
      <c r="U237" s="11" t="str">
        <f>IF('Raw Data'!A224&lt;&gt;"",AVERAGE('Raw Data'!BD224,'Raw Data'!BF224,'Raw Data'!BH224,'Raw Data'!BJ224,'Raw Data'!BL224),"")</f>
        <v/>
      </c>
      <c r="V237" s="11" t="str">
        <f>IF('Raw Data'!A224&lt;&gt;"",AVERAGE('Raw Data'!BE224,'Raw Data'!BG224,'Raw Data'!BI224,'Raw Data'!BK224,'Raw Data'!BM224),"")</f>
        <v/>
      </c>
      <c r="W237" s="11" t="str">
        <f t="shared" si="41"/>
        <v/>
      </c>
      <c r="X237" s="11" t="str">
        <f t="shared" si="42"/>
        <v/>
      </c>
      <c r="Y237" s="11" t="str">
        <f t="shared" si="43"/>
        <v/>
      </c>
      <c r="Z237" s="11" t="str">
        <f t="shared" si="44"/>
        <v/>
      </c>
      <c r="AA237" s="11" t="str">
        <f t="shared" si="45"/>
        <v/>
      </c>
      <c r="AB237" s="24" t="str">
        <f t="shared" si="46"/>
        <v/>
      </c>
    </row>
    <row r="238" spans="1:28" x14ac:dyDescent="0.25">
      <c r="A238" s="10" t="str">
        <f>IF('Raw Data'!A225&lt;&gt;"",'Raw Data'!A225,"")</f>
        <v/>
      </c>
      <c r="B238" s="10" t="str">
        <f>IF('Raw Data'!B225&lt;&gt;"",'Raw Data'!B225,"")</f>
        <v/>
      </c>
      <c r="C238" s="10" t="str">
        <f>IF('Raw Data'!C225&lt;&gt;"",'Raw Data'!C225,"")</f>
        <v/>
      </c>
      <c r="D238" s="10" t="str">
        <f>IF('Raw Data'!D225&lt;&gt;"",'Raw Data'!D225,"")</f>
        <v/>
      </c>
      <c r="E238" s="10" t="str">
        <f>IF('Raw Data'!E225&lt;&gt;"",'Raw Data'!E225,"")</f>
        <v/>
      </c>
      <c r="F238" s="14" t="str">
        <f>IF('Raw Data'!A225&lt;&gt;"",AVERAGE('Raw Data'!F225,'Raw Data'!H225,'Raw Data'!J225,'Raw Data'!L225,'Raw Data'!N225),"")</f>
        <v/>
      </c>
      <c r="G238" s="14" t="str">
        <f>IF('Raw Data'!A225&lt;&gt;"",AVERAGE('Raw Data'!G225,'Raw Data'!I225,'Raw Data'!K225,'Raw Data'!M225,'Raw Data'!O225),"")</f>
        <v/>
      </c>
      <c r="H238" s="14" t="str">
        <f t="shared" si="36"/>
        <v/>
      </c>
      <c r="I238" s="14" t="str">
        <f>IF('Raw Data'!A225&lt;&gt;"",AVERAGE('Raw Data'!P225,'Raw Data'!R225,'Raw Data'!T225,'Raw Data'!V225,'Raw Data'!X225),"")</f>
        <v/>
      </c>
      <c r="J238" s="14" t="str">
        <f>IF('Raw Data'!A225&lt;&gt;"",AVERAGE('Raw Data'!Q225,'Raw Data'!S225,'Raw Data'!U225,'Raw Data'!W225,'Raw Data'!Y225),"")</f>
        <v/>
      </c>
      <c r="K238" s="14" t="str">
        <f t="shared" si="37"/>
        <v/>
      </c>
      <c r="L238" s="14" t="str">
        <f>IF('Raw Data'!A225&lt;&gt;"",AVERAGE('Raw Data'!Z225,'Raw Data'!AB225,'Raw Data'!AD225,'Raw Data'!AF225,'Raw Data'!AH225),"")</f>
        <v/>
      </c>
      <c r="M238" s="14" t="str">
        <f>IF('Raw Data'!A225&lt;&gt;"",AVERAGE('Raw Data'!AA225,'Raw Data'!AC225,'Raw Data'!AE225,'Raw Data'!AG225,'Raw Data'!AI225),"")</f>
        <v/>
      </c>
      <c r="N238" s="14" t="str">
        <f t="shared" si="38"/>
        <v/>
      </c>
      <c r="O238" s="14" t="str">
        <f>IF('Raw Data'!A225&lt;&gt;"",AVERAGE('Raw Data'!AJ225,'Raw Data'!AL225,'Raw Data'!AN225,'Raw Data'!AP225,'Raw Data'!AR225),"")</f>
        <v/>
      </c>
      <c r="P238" s="14" t="str">
        <f>IF('Raw Data'!A225&lt;&gt;"",AVERAGE('Raw Data'!AK225,'Raw Data'!AM225,'Raw Data'!AO225,'Raw Data'!AQ225,'Raw Data'!AS225),"")</f>
        <v/>
      </c>
      <c r="Q238" s="14" t="str">
        <f t="shared" si="39"/>
        <v/>
      </c>
      <c r="R238" s="14" t="str">
        <f>IF('Raw Data'!A225&lt;&gt;"",AVERAGE('Raw Data'!AT225,'Raw Data'!AV225,'Raw Data'!AX225,'Raw Data'!AZ225,'Raw Data'!BB225),"")</f>
        <v/>
      </c>
      <c r="S238" s="14" t="str">
        <f>IF('Raw Data'!A225&lt;&gt;"",AVERAGE('Raw Data'!AU225,'Raw Data'!AW225,'Raw Data'!AY225,'Raw Data'!BA225,'Raw Data'!BC225),"")</f>
        <v/>
      </c>
      <c r="T238" s="14" t="str">
        <f t="shared" si="40"/>
        <v/>
      </c>
      <c r="U238" s="14" t="str">
        <f>IF('Raw Data'!A225&lt;&gt;"",AVERAGE('Raw Data'!BD225,'Raw Data'!BF225,'Raw Data'!BH225,'Raw Data'!BJ225,'Raw Data'!BL225),"")</f>
        <v/>
      </c>
      <c r="V238" s="14" t="str">
        <f>IF('Raw Data'!A225&lt;&gt;"",AVERAGE('Raw Data'!BE225,'Raw Data'!BG225,'Raw Data'!BI225,'Raw Data'!BK225,'Raw Data'!BM225),"")</f>
        <v/>
      </c>
      <c r="W238" s="14" t="str">
        <f t="shared" si="41"/>
        <v/>
      </c>
      <c r="X238" s="14" t="str">
        <f t="shared" si="42"/>
        <v/>
      </c>
      <c r="Y238" s="14" t="str">
        <f t="shared" si="43"/>
        <v/>
      </c>
      <c r="Z238" s="14" t="str">
        <f t="shared" si="44"/>
        <v/>
      </c>
      <c r="AA238" s="14" t="str">
        <f t="shared" si="45"/>
        <v/>
      </c>
      <c r="AB238" s="25" t="str">
        <f t="shared" si="46"/>
        <v/>
      </c>
    </row>
    <row r="239" spans="1:28" x14ac:dyDescent="0.25">
      <c r="A239" s="2" t="str">
        <f>IF('Raw Data'!A226&lt;&gt;"",'Raw Data'!A226,"")</f>
        <v/>
      </c>
      <c r="B239" s="2" t="str">
        <f>IF('Raw Data'!B226&lt;&gt;"",'Raw Data'!B226,"")</f>
        <v/>
      </c>
      <c r="C239" s="2" t="str">
        <f>IF('Raw Data'!C226&lt;&gt;"",'Raw Data'!C226,"")</f>
        <v/>
      </c>
      <c r="D239" s="2" t="str">
        <f>IF('Raw Data'!D226&lt;&gt;"",'Raw Data'!D226,"")</f>
        <v/>
      </c>
      <c r="E239" s="2" t="str">
        <f>IF('Raw Data'!E226&lt;&gt;"",'Raw Data'!E226,"")</f>
        <v/>
      </c>
      <c r="F239" s="11" t="str">
        <f>IF('Raw Data'!A226&lt;&gt;"",AVERAGE('Raw Data'!F226,'Raw Data'!H226,'Raw Data'!J226,'Raw Data'!L226,'Raw Data'!N226),"")</f>
        <v/>
      </c>
      <c r="G239" s="11" t="str">
        <f>IF('Raw Data'!A226&lt;&gt;"",AVERAGE('Raw Data'!G226,'Raw Data'!I226,'Raw Data'!K226,'Raw Data'!M226,'Raw Data'!O226),"")</f>
        <v/>
      </c>
      <c r="H239" s="11" t="str">
        <f t="shared" si="36"/>
        <v/>
      </c>
      <c r="I239" s="11" t="str">
        <f>IF('Raw Data'!A226&lt;&gt;"",AVERAGE('Raw Data'!P226,'Raw Data'!R226,'Raw Data'!T226,'Raw Data'!V226,'Raw Data'!X226),"")</f>
        <v/>
      </c>
      <c r="J239" s="11" t="str">
        <f>IF('Raw Data'!A226&lt;&gt;"",AVERAGE('Raw Data'!Q226,'Raw Data'!S226,'Raw Data'!U226,'Raw Data'!W226,'Raw Data'!Y226),"")</f>
        <v/>
      </c>
      <c r="K239" s="11" t="str">
        <f t="shared" si="37"/>
        <v/>
      </c>
      <c r="L239" s="11" t="str">
        <f>IF('Raw Data'!A226&lt;&gt;"",AVERAGE('Raw Data'!Z226,'Raw Data'!AB226,'Raw Data'!AD226,'Raw Data'!AF226,'Raw Data'!AH226),"")</f>
        <v/>
      </c>
      <c r="M239" s="11" t="str">
        <f>IF('Raw Data'!A226&lt;&gt;"",AVERAGE('Raw Data'!AA226,'Raw Data'!AC226,'Raw Data'!AE226,'Raw Data'!AG226,'Raw Data'!AI226),"")</f>
        <v/>
      </c>
      <c r="N239" s="11" t="str">
        <f t="shared" si="38"/>
        <v/>
      </c>
      <c r="O239" s="11" t="str">
        <f>IF('Raw Data'!A226&lt;&gt;"",AVERAGE('Raw Data'!AJ226,'Raw Data'!AL226,'Raw Data'!AN226,'Raw Data'!AP226,'Raw Data'!AR226),"")</f>
        <v/>
      </c>
      <c r="P239" s="11" t="str">
        <f>IF('Raw Data'!A226&lt;&gt;"",AVERAGE('Raw Data'!AK226,'Raw Data'!AM226,'Raw Data'!AO226,'Raw Data'!AQ226,'Raw Data'!AS226),"")</f>
        <v/>
      </c>
      <c r="Q239" s="11" t="str">
        <f t="shared" si="39"/>
        <v/>
      </c>
      <c r="R239" s="11" t="str">
        <f>IF('Raw Data'!A226&lt;&gt;"",AVERAGE('Raw Data'!AT226,'Raw Data'!AV226,'Raw Data'!AX226,'Raw Data'!AZ226,'Raw Data'!BB226),"")</f>
        <v/>
      </c>
      <c r="S239" s="11" t="str">
        <f>IF('Raw Data'!A226&lt;&gt;"",AVERAGE('Raw Data'!AU226,'Raw Data'!AW226,'Raw Data'!AY226,'Raw Data'!BA226,'Raw Data'!BC226),"")</f>
        <v/>
      </c>
      <c r="T239" s="11" t="str">
        <f t="shared" si="40"/>
        <v/>
      </c>
      <c r="U239" s="11" t="str">
        <f>IF('Raw Data'!A226&lt;&gt;"",AVERAGE('Raw Data'!BD226,'Raw Data'!BF226,'Raw Data'!BH226,'Raw Data'!BJ226,'Raw Data'!BL226),"")</f>
        <v/>
      </c>
      <c r="V239" s="11" t="str">
        <f>IF('Raw Data'!A226&lt;&gt;"",AVERAGE('Raw Data'!BE226,'Raw Data'!BG226,'Raw Data'!BI226,'Raw Data'!BK226,'Raw Data'!BM226),"")</f>
        <v/>
      </c>
      <c r="W239" s="11" t="str">
        <f t="shared" si="41"/>
        <v/>
      </c>
      <c r="X239" s="11" t="str">
        <f t="shared" si="42"/>
        <v/>
      </c>
      <c r="Y239" s="11" t="str">
        <f t="shared" si="43"/>
        <v/>
      </c>
      <c r="Z239" s="11" t="str">
        <f t="shared" si="44"/>
        <v/>
      </c>
      <c r="AA239" s="11" t="str">
        <f t="shared" si="45"/>
        <v/>
      </c>
      <c r="AB239" s="24" t="str">
        <f t="shared" si="46"/>
        <v/>
      </c>
    </row>
    <row r="240" spans="1:28" x14ac:dyDescent="0.25">
      <c r="A240" s="10" t="str">
        <f>IF('Raw Data'!A227&lt;&gt;"",'Raw Data'!A227,"")</f>
        <v/>
      </c>
      <c r="B240" s="10" t="str">
        <f>IF('Raw Data'!B227&lt;&gt;"",'Raw Data'!B227,"")</f>
        <v/>
      </c>
      <c r="C240" s="10" t="str">
        <f>IF('Raw Data'!C227&lt;&gt;"",'Raw Data'!C227,"")</f>
        <v/>
      </c>
      <c r="D240" s="10" t="str">
        <f>IF('Raw Data'!D227&lt;&gt;"",'Raw Data'!D227,"")</f>
        <v/>
      </c>
      <c r="E240" s="10" t="str">
        <f>IF('Raw Data'!E227&lt;&gt;"",'Raw Data'!E227,"")</f>
        <v/>
      </c>
      <c r="F240" s="14" t="str">
        <f>IF('Raw Data'!A227&lt;&gt;"",AVERAGE('Raw Data'!F227,'Raw Data'!H227,'Raw Data'!J227,'Raw Data'!L227,'Raw Data'!N227),"")</f>
        <v/>
      </c>
      <c r="G240" s="14" t="str">
        <f>IF('Raw Data'!A227&lt;&gt;"",AVERAGE('Raw Data'!G227,'Raw Data'!I227,'Raw Data'!K227,'Raw Data'!M227,'Raw Data'!O227),"")</f>
        <v/>
      </c>
      <c r="H240" s="14" t="str">
        <f t="shared" si="36"/>
        <v/>
      </c>
      <c r="I240" s="14" t="str">
        <f>IF('Raw Data'!A227&lt;&gt;"",AVERAGE('Raw Data'!P227,'Raw Data'!R227,'Raw Data'!T227,'Raw Data'!V227,'Raw Data'!X227),"")</f>
        <v/>
      </c>
      <c r="J240" s="14" t="str">
        <f>IF('Raw Data'!A227&lt;&gt;"",AVERAGE('Raw Data'!Q227,'Raw Data'!S227,'Raw Data'!U227,'Raw Data'!W227,'Raw Data'!Y227),"")</f>
        <v/>
      </c>
      <c r="K240" s="14" t="str">
        <f t="shared" si="37"/>
        <v/>
      </c>
      <c r="L240" s="14" t="str">
        <f>IF('Raw Data'!A227&lt;&gt;"",AVERAGE('Raw Data'!Z227,'Raw Data'!AB227,'Raw Data'!AD227,'Raw Data'!AF227,'Raw Data'!AH227),"")</f>
        <v/>
      </c>
      <c r="M240" s="14" t="str">
        <f>IF('Raw Data'!A227&lt;&gt;"",AVERAGE('Raw Data'!AA227,'Raw Data'!AC227,'Raw Data'!AE227,'Raw Data'!AG227,'Raw Data'!AI227),"")</f>
        <v/>
      </c>
      <c r="N240" s="14" t="str">
        <f t="shared" si="38"/>
        <v/>
      </c>
      <c r="O240" s="14" t="str">
        <f>IF('Raw Data'!A227&lt;&gt;"",AVERAGE('Raw Data'!AJ227,'Raw Data'!AL227,'Raw Data'!AN227,'Raw Data'!AP227,'Raw Data'!AR227),"")</f>
        <v/>
      </c>
      <c r="P240" s="14" t="str">
        <f>IF('Raw Data'!A227&lt;&gt;"",AVERAGE('Raw Data'!AK227,'Raw Data'!AM227,'Raw Data'!AO227,'Raw Data'!AQ227,'Raw Data'!AS227),"")</f>
        <v/>
      </c>
      <c r="Q240" s="14" t="str">
        <f t="shared" si="39"/>
        <v/>
      </c>
      <c r="R240" s="14" t="str">
        <f>IF('Raw Data'!A227&lt;&gt;"",AVERAGE('Raw Data'!AT227,'Raw Data'!AV227,'Raw Data'!AX227,'Raw Data'!AZ227,'Raw Data'!BB227),"")</f>
        <v/>
      </c>
      <c r="S240" s="14" t="str">
        <f>IF('Raw Data'!A227&lt;&gt;"",AVERAGE('Raw Data'!AU227,'Raw Data'!AW227,'Raw Data'!AY227,'Raw Data'!BA227,'Raw Data'!BC227),"")</f>
        <v/>
      </c>
      <c r="T240" s="14" t="str">
        <f t="shared" si="40"/>
        <v/>
      </c>
      <c r="U240" s="14" t="str">
        <f>IF('Raw Data'!A227&lt;&gt;"",AVERAGE('Raw Data'!BD227,'Raw Data'!BF227,'Raw Data'!BH227,'Raw Data'!BJ227,'Raw Data'!BL227),"")</f>
        <v/>
      </c>
      <c r="V240" s="14" t="str">
        <f>IF('Raw Data'!A227&lt;&gt;"",AVERAGE('Raw Data'!BE227,'Raw Data'!BG227,'Raw Data'!BI227,'Raw Data'!BK227,'Raw Data'!BM227),"")</f>
        <v/>
      </c>
      <c r="W240" s="14" t="str">
        <f t="shared" si="41"/>
        <v/>
      </c>
      <c r="X240" s="14" t="str">
        <f t="shared" si="42"/>
        <v/>
      </c>
      <c r="Y240" s="14" t="str">
        <f t="shared" si="43"/>
        <v/>
      </c>
      <c r="Z240" s="14" t="str">
        <f t="shared" si="44"/>
        <v/>
      </c>
      <c r="AA240" s="14" t="str">
        <f t="shared" si="45"/>
        <v/>
      </c>
      <c r="AB240" s="25" t="str">
        <f t="shared" si="46"/>
        <v/>
      </c>
    </row>
    <row r="241" spans="1:28" x14ac:dyDescent="0.25">
      <c r="A241" s="2" t="str">
        <f>IF('Raw Data'!A228&lt;&gt;"",'Raw Data'!A228,"")</f>
        <v/>
      </c>
      <c r="B241" s="2" t="str">
        <f>IF('Raw Data'!B228&lt;&gt;"",'Raw Data'!B228,"")</f>
        <v/>
      </c>
      <c r="C241" s="2" t="str">
        <f>IF('Raw Data'!C228&lt;&gt;"",'Raw Data'!C228,"")</f>
        <v/>
      </c>
      <c r="D241" s="2" t="str">
        <f>IF('Raw Data'!D228&lt;&gt;"",'Raw Data'!D228,"")</f>
        <v/>
      </c>
      <c r="E241" s="2" t="str">
        <f>IF('Raw Data'!E228&lt;&gt;"",'Raw Data'!E228,"")</f>
        <v/>
      </c>
      <c r="F241" s="11" t="str">
        <f>IF('Raw Data'!A228&lt;&gt;"",AVERAGE('Raw Data'!F228,'Raw Data'!H228,'Raw Data'!J228,'Raw Data'!L228,'Raw Data'!N228),"")</f>
        <v/>
      </c>
      <c r="G241" s="11" t="str">
        <f>IF('Raw Data'!A228&lt;&gt;"",AVERAGE('Raw Data'!G228,'Raw Data'!I228,'Raw Data'!K228,'Raw Data'!M228,'Raw Data'!O228),"")</f>
        <v/>
      </c>
      <c r="H241" s="11" t="str">
        <f t="shared" si="36"/>
        <v/>
      </c>
      <c r="I241" s="11" t="str">
        <f>IF('Raw Data'!A228&lt;&gt;"",AVERAGE('Raw Data'!P228,'Raw Data'!R228,'Raw Data'!T228,'Raw Data'!V228,'Raw Data'!X228),"")</f>
        <v/>
      </c>
      <c r="J241" s="11" t="str">
        <f>IF('Raw Data'!A228&lt;&gt;"",AVERAGE('Raw Data'!Q228,'Raw Data'!S228,'Raw Data'!U228,'Raw Data'!W228,'Raw Data'!Y228),"")</f>
        <v/>
      </c>
      <c r="K241" s="11" t="str">
        <f t="shared" si="37"/>
        <v/>
      </c>
      <c r="L241" s="11" t="str">
        <f>IF('Raw Data'!A228&lt;&gt;"",AVERAGE('Raw Data'!Z228,'Raw Data'!AB228,'Raw Data'!AD228,'Raw Data'!AF228,'Raw Data'!AH228),"")</f>
        <v/>
      </c>
      <c r="M241" s="11" t="str">
        <f>IF('Raw Data'!A228&lt;&gt;"",AVERAGE('Raw Data'!AA228,'Raw Data'!AC228,'Raw Data'!AE228,'Raw Data'!AG228,'Raw Data'!AI228),"")</f>
        <v/>
      </c>
      <c r="N241" s="11" t="str">
        <f t="shared" si="38"/>
        <v/>
      </c>
      <c r="O241" s="11" t="str">
        <f>IF('Raw Data'!A228&lt;&gt;"",AVERAGE('Raw Data'!AJ228,'Raw Data'!AL228,'Raw Data'!AN228,'Raw Data'!AP228,'Raw Data'!AR228),"")</f>
        <v/>
      </c>
      <c r="P241" s="11" t="str">
        <f>IF('Raw Data'!A228&lt;&gt;"",AVERAGE('Raw Data'!AK228,'Raw Data'!AM228,'Raw Data'!AO228,'Raw Data'!AQ228,'Raw Data'!AS228),"")</f>
        <v/>
      </c>
      <c r="Q241" s="11" t="str">
        <f t="shared" si="39"/>
        <v/>
      </c>
      <c r="R241" s="11" t="str">
        <f>IF('Raw Data'!A228&lt;&gt;"",AVERAGE('Raw Data'!AT228,'Raw Data'!AV228,'Raw Data'!AX228,'Raw Data'!AZ228,'Raw Data'!BB228),"")</f>
        <v/>
      </c>
      <c r="S241" s="11" t="str">
        <f>IF('Raw Data'!A228&lt;&gt;"",AVERAGE('Raw Data'!AU228,'Raw Data'!AW228,'Raw Data'!AY228,'Raw Data'!BA228,'Raw Data'!BC228),"")</f>
        <v/>
      </c>
      <c r="T241" s="11" t="str">
        <f t="shared" si="40"/>
        <v/>
      </c>
      <c r="U241" s="11" t="str">
        <f>IF('Raw Data'!A228&lt;&gt;"",AVERAGE('Raw Data'!BD228,'Raw Data'!BF228,'Raw Data'!BH228,'Raw Data'!BJ228,'Raw Data'!BL228),"")</f>
        <v/>
      </c>
      <c r="V241" s="11" t="str">
        <f>IF('Raw Data'!A228&lt;&gt;"",AVERAGE('Raw Data'!BE228,'Raw Data'!BG228,'Raw Data'!BI228,'Raw Data'!BK228,'Raw Data'!BM228),"")</f>
        <v/>
      </c>
      <c r="W241" s="11" t="str">
        <f t="shared" si="41"/>
        <v/>
      </c>
      <c r="X241" s="11" t="str">
        <f t="shared" si="42"/>
        <v/>
      </c>
      <c r="Y241" s="11" t="str">
        <f t="shared" si="43"/>
        <v/>
      </c>
      <c r="Z241" s="11" t="str">
        <f t="shared" si="44"/>
        <v/>
      </c>
      <c r="AA241" s="11" t="str">
        <f t="shared" si="45"/>
        <v/>
      </c>
      <c r="AB241" s="24" t="str">
        <f t="shared" si="46"/>
        <v/>
      </c>
    </row>
    <row r="242" spans="1:28" x14ac:dyDescent="0.25">
      <c r="A242" s="10" t="str">
        <f>IF('Raw Data'!A229&lt;&gt;"",'Raw Data'!A229,"")</f>
        <v/>
      </c>
      <c r="B242" s="10" t="str">
        <f>IF('Raw Data'!B229&lt;&gt;"",'Raw Data'!B229,"")</f>
        <v/>
      </c>
      <c r="C242" s="10" t="str">
        <f>IF('Raw Data'!C229&lt;&gt;"",'Raw Data'!C229,"")</f>
        <v/>
      </c>
      <c r="D242" s="10" t="str">
        <f>IF('Raw Data'!D229&lt;&gt;"",'Raw Data'!D229,"")</f>
        <v/>
      </c>
      <c r="E242" s="10" t="str">
        <f>IF('Raw Data'!E229&lt;&gt;"",'Raw Data'!E229,"")</f>
        <v/>
      </c>
      <c r="F242" s="14" t="str">
        <f>IF('Raw Data'!A229&lt;&gt;"",AVERAGE('Raw Data'!F229,'Raw Data'!H229,'Raw Data'!J229,'Raw Data'!L229,'Raw Data'!N229),"")</f>
        <v/>
      </c>
      <c r="G242" s="14" t="str">
        <f>IF('Raw Data'!A229&lt;&gt;"",AVERAGE('Raw Data'!G229,'Raw Data'!I229,'Raw Data'!K229,'Raw Data'!M229,'Raw Data'!O229),"")</f>
        <v/>
      </c>
      <c r="H242" s="14" t="str">
        <f t="shared" si="36"/>
        <v/>
      </c>
      <c r="I242" s="14" t="str">
        <f>IF('Raw Data'!A229&lt;&gt;"",AVERAGE('Raw Data'!P229,'Raw Data'!R229,'Raw Data'!T229,'Raw Data'!V229,'Raw Data'!X229),"")</f>
        <v/>
      </c>
      <c r="J242" s="14" t="str">
        <f>IF('Raw Data'!A229&lt;&gt;"",AVERAGE('Raw Data'!Q229,'Raw Data'!S229,'Raw Data'!U229,'Raw Data'!W229,'Raw Data'!Y229),"")</f>
        <v/>
      </c>
      <c r="K242" s="14" t="str">
        <f t="shared" si="37"/>
        <v/>
      </c>
      <c r="L242" s="14" t="str">
        <f>IF('Raw Data'!A229&lt;&gt;"",AVERAGE('Raw Data'!Z229,'Raw Data'!AB229,'Raw Data'!AD229,'Raw Data'!AF229,'Raw Data'!AH229),"")</f>
        <v/>
      </c>
      <c r="M242" s="14" t="str">
        <f>IF('Raw Data'!A229&lt;&gt;"",AVERAGE('Raw Data'!AA229,'Raw Data'!AC229,'Raw Data'!AE229,'Raw Data'!AG229,'Raw Data'!AI229),"")</f>
        <v/>
      </c>
      <c r="N242" s="14" t="str">
        <f t="shared" si="38"/>
        <v/>
      </c>
      <c r="O242" s="14" t="str">
        <f>IF('Raw Data'!A229&lt;&gt;"",AVERAGE('Raw Data'!AJ229,'Raw Data'!AL229,'Raw Data'!AN229,'Raw Data'!AP229,'Raw Data'!AR229),"")</f>
        <v/>
      </c>
      <c r="P242" s="14" t="str">
        <f>IF('Raw Data'!A229&lt;&gt;"",AVERAGE('Raw Data'!AK229,'Raw Data'!AM229,'Raw Data'!AO229,'Raw Data'!AQ229,'Raw Data'!AS229),"")</f>
        <v/>
      </c>
      <c r="Q242" s="14" t="str">
        <f t="shared" si="39"/>
        <v/>
      </c>
      <c r="R242" s="14" t="str">
        <f>IF('Raw Data'!A229&lt;&gt;"",AVERAGE('Raw Data'!AT229,'Raw Data'!AV229,'Raw Data'!AX229,'Raw Data'!AZ229,'Raw Data'!BB229),"")</f>
        <v/>
      </c>
      <c r="S242" s="14" t="str">
        <f>IF('Raw Data'!A229&lt;&gt;"",AVERAGE('Raw Data'!AU229,'Raw Data'!AW229,'Raw Data'!AY229,'Raw Data'!BA229,'Raw Data'!BC229),"")</f>
        <v/>
      </c>
      <c r="T242" s="14" t="str">
        <f t="shared" si="40"/>
        <v/>
      </c>
      <c r="U242" s="14" t="str">
        <f>IF('Raw Data'!A229&lt;&gt;"",AVERAGE('Raw Data'!BD229,'Raw Data'!BF229,'Raw Data'!BH229,'Raw Data'!BJ229,'Raw Data'!BL229),"")</f>
        <v/>
      </c>
      <c r="V242" s="14" t="str">
        <f>IF('Raw Data'!A229&lt;&gt;"",AVERAGE('Raw Data'!BE229,'Raw Data'!BG229,'Raw Data'!BI229,'Raw Data'!BK229,'Raw Data'!BM229),"")</f>
        <v/>
      </c>
      <c r="W242" s="14" t="str">
        <f t="shared" si="41"/>
        <v/>
      </c>
      <c r="X242" s="14" t="str">
        <f t="shared" si="42"/>
        <v/>
      </c>
      <c r="Y242" s="14" t="str">
        <f t="shared" si="43"/>
        <v/>
      </c>
      <c r="Z242" s="14" t="str">
        <f t="shared" si="44"/>
        <v/>
      </c>
      <c r="AA242" s="14" t="str">
        <f t="shared" si="45"/>
        <v/>
      </c>
      <c r="AB242" s="25" t="str">
        <f t="shared" si="46"/>
        <v/>
      </c>
    </row>
    <row r="243" spans="1:28" x14ac:dyDescent="0.25">
      <c r="A243" s="2" t="str">
        <f>IF('Raw Data'!A230&lt;&gt;"",'Raw Data'!A230,"")</f>
        <v/>
      </c>
      <c r="B243" s="2" t="str">
        <f>IF('Raw Data'!B230&lt;&gt;"",'Raw Data'!B230,"")</f>
        <v/>
      </c>
      <c r="C243" s="2" t="str">
        <f>IF('Raw Data'!C230&lt;&gt;"",'Raw Data'!C230,"")</f>
        <v/>
      </c>
      <c r="D243" s="2" t="str">
        <f>IF('Raw Data'!D230&lt;&gt;"",'Raw Data'!D230,"")</f>
        <v/>
      </c>
      <c r="E243" s="2" t="str">
        <f>IF('Raw Data'!E230&lt;&gt;"",'Raw Data'!E230,"")</f>
        <v/>
      </c>
      <c r="F243" s="11" t="str">
        <f>IF('Raw Data'!A230&lt;&gt;"",AVERAGE('Raw Data'!F230,'Raw Data'!H230,'Raw Data'!J230,'Raw Data'!L230,'Raw Data'!N230),"")</f>
        <v/>
      </c>
      <c r="G243" s="11" t="str">
        <f>IF('Raw Data'!A230&lt;&gt;"",AVERAGE('Raw Data'!G230,'Raw Data'!I230,'Raw Data'!K230,'Raw Data'!M230,'Raw Data'!O230),"")</f>
        <v/>
      </c>
      <c r="H243" s="11" t="str">
        <f t="shared" si="36"/>
        <v/>
      </c>
      <c r="I243" s="11" t="str">
        <f>IF('Raw Data'!A230&lt;&gt;"",AVERAGE('Raw Data'!P230,'Raw Data'!R230,'Raw Data'!T230,'Raw Data'!V230,'Raw Data'!X230),"")</f>
        <v/>
      </c>
      <c r="J243" s="11" t="str">
        <f>IF('Raw Data'!A230&lt;&gt;"",AVERAGE('Raw Data'!Q230,'Raw Data'!S230,'Raw Data'!U230,'Raw Data'!W230,'Raw Data'!Y230),"")</f>
        <v/>
      </c>
      <c r="K243" s="11" t="str">
        <f t="shared" si="37"/>
        <v/>
      </c>
      <c r="L243" s="11" t="str">
        <f>IF('Raw Data'!A230&lt;&gt;"",AVERAGE('Raw Data'!Z230,'Raw Data'!AB230,'Raw Data'!AD230,'Raw Data'!AF230,'Raw Data'!AH230),"")</f>
        <v/>
      </c>
      <c r="M243" s="11" t="str">
        <f>IF('Raw Data'!A230&lt;&gt;"",AVERAGE('Raw Data'!AA230,'Raw Data'!AC230,'Raw Data'!AE230,'Raw Data'!AG230,'Raw Data'!AI230),"")</f>
        <v/>
      </c>
      <c r="N243" s="11" t="str">
        <f t="shared" si="38"/>
        <v/>
      </c>
      <c r="O243" s="11" t="str">
        <f>IF('Raw Data'!A230&lt;&gt;"",AVERAGE('Raw Data'!AJ230,'Raw Data'!AL230,'Raw Data'!AN230,'Raw Data'!AP230,'Raw Data'!AR230),"")</f>
        <v/>
      </c>
      <c r="P243" s="11" t="str">
        <f>IF('Raw Data'!A230&lt;&gt;"",AVERAGE('Raw Data'!AK230,'Raw Data'!AM230,'Raw Data'!AO230,'Raw Data'!AQ230,'Raw Data'!AS230),"")</f>
        <v/>
      </c>
      <c r="Q243" s="11" t="str">
        <f t="shared" si="39"/>
        <v/>
      </c>
      <c r="R243" s="11" t="str">
        <f>IF('Raw Data'!A230&lt;&gt;"",AVERAGE('Raw Data'!AT230,'Raw Data'!AV230,'Raw Data'!AX230,'Raw Data'!AZ230,'Raw Data'!BB230),"")</f>
        <v/>
      </c>
      <c r="S243" s="11" t="str">
        <f>IF('Raw Data'!A230&lt;&gt;"",AVERAGE('Raw Data'!AU230,'Raw Data'!AW230,'Raw Data'!AY230,'Raw Data'!BA230,'Raw Data'!BC230),"")</f>
        <v/>
      </c>
      <c r="T243" s="11" t="str">
        <f t="shared" si="40"/>
        <v/>
      </c>
      <c r="U243" s="11" t="str">
        <f>IF('Raw Data'!A230&lt;&gt;"",AVERAGE('Raw Data'!BD230,'Raw Data'!BF230,'Raw Data'!BH230,'Raw Data'!BJ230,'Raw Data'!BL230),"")</f>
        <v/>
      </c>
      <c r="V243" s="11" t="str">
        <f>IF('Raw Data'!A230&lt;&gt;"",AVERAGE('Raw Data'!BE230,'Raw Data'!BG230,'Raw Data'!BI230,'Raw Data'!BK230,'Raw Data'!BM230),"")</f>
        <v/>
      </c>
      <c r="W243" s="11" t="str">
        <f t="shared" si="41"/>
        <v/>
      </c>
      <c r="X243" s="11" t="str">
        <f t="shared" si="42"/>
        <v/>
      </c>
      <c r="Y243" s="11" t="str">
        <f t="shared" si="43"/>
        <v/>
      </c>
      <c r="Z243" s="11" t="str">
        <f t="shared" si="44"/>
        <v/>
      </c>
      <c r="AA243" s="11" t="str">
        <f t="shared" si="45"/>
        <v/>
      </c>
      <c r="AB243" s="24" t="str">
        <f t="shared" si="46"/>
        <v/>
      </c>
    </row>
    <row r="244" spans="1:28" x14ac:dyDescent="0.25">
      <c r="A244" s="10" t="str">
        <f>IF('Raw Data'!A231&lt;&gt;"",'Raw Data'!A231,"")</f>
        <v/>
      </c>
      <c r="B244" s="10" t="str">
        <f>IF('Raw Data'!B231&lt;&gt;"",'Raw Data'!B231,"")</f>
        <v/>
      </c>
      <c r="C244" s="10" t="str">
        <f>IF('Raw Data'!C231&lt;&gt;"",'Raw Data'!C231,"")</f>
        <v/>
      </c>
      <c r="D244" s="10" t="str">
        <f>IF('Raw Data'!D231&lt;&gt;"",'Raw Data'!D231,"")</f>
        <v/>
      </c>
      <c r="E244" s="10" t="str">
        <f>IF('Raw Data'!E231&lt;&gt;"",'Raw Data'!E231,"")</f>
        <v/>
      </c>
      <c r="F244" s="14" t="str">
        <f>IF('Raw Data'!A231&lt;&gt;"",AVERAGE('Raw Data'!F231,'Raw Data'!H231,'Raw Data'!J231,'Raw Data'!L231,'Raw Data'!N231),"")</f>
        <v/>
      </c>
      <c r="G244" s="14" t="str">
        <f>IF('Raw Data'!A231&lt;&gt;"",AVERAGE('Raw Data'!G231,'Raw Data'!I231,'Raw Data'!K231,'Raw Data'!M231,'Raw Data'!O231),"")</f>
        <v/>
      </c>
      <c r="H244" s="14" t="str">
        <f t="shared" si="36"/>
        <v/>
      </c>
      <c r="I244" s="14" t="str">
        <f>IF('Raw Data'!A231&lt;&gt;"",AVERAGE('Raw Data'!P231,'Raw Data'!R231,'Raw Data'!T231,'Raw Data'!V231,'Raw Data'!X231),"")</f>
        <v/>
      </c>
      <c r="J244" s="14" t="str">
        <f>IF('Raw Data'!A231&lt;&gt;"",AVERAGE('Raw Data'!Q231,'Raw Data'!S231,'Raw Data'!U231,'Raw Data'!W231,'Raw Data'!Y231),"")</f>
        <v/>
      </c>
      <c r="K244" s="14" t="str">
        <f t="shared" si="37"/>
        <v/>
      </c>
      <c r="L244" s="14" t="str">
        <f>IF('Raw Data'!A231&lt;&gt;"",AVERAGE('Raw Data'!Z231,'Raw Data'!AB231,'Raw Data'!AD231,'Raw Data'!AF231,'Raw Data'!AH231),"")</f>
        <v/>
      </c>
      <c r="M244" s="14" t="str">
        <f>IF('Raw Data'!A231&lt;&gt;"",AVERAGE('Raw Data'!AA231,'Raw Data'!AC231,'Raw Data'!AE231,'Raw Data'!AG231,'Raw Data'!AI231),"")</f>
        <v/>
      </c>
      <c r="N244" s="14" t="str">
        <f t="shared" si="38"/>
        <v/>
      </c>
      <c r="O244" s="14" t="str">
        <f>IF('Raw Data'!A231&lt;&gt;"",AVERAGE('Raw Data'!AJ231,'Raw Data'!AL231,'Raw Data'!AN231,'Raw Data'!AP231,'Raw Data'!AR231),"")</f>
        <v/>
      </c>
      <c r="P244" s="14" t="str">
        <f>IF('Raw Data'!A231&lt;&gt;"",AVERAGE('Raw Data'!AK231,'Raw Data'!AM231,'Raw Data'!AO231,'Raw Data'!AQ231,'Raw Data'!AS231),"")</f>
        <v/>
      </c>
      <c r="Q244" s="14" t="str">
        <f t="shared" si="39"/>
        <v/>
      </c>
      <c r="R244" s="14" t="str">
        <f>IF('Raw Data'!A231&lt;&gt;"",AVERAGE('Raw Data'!AT231,'Raw Data'!AV231,'Raw Data'!AX231,'Raw Data'!AZ231,'Raw Data'!BB231),"")</f>
        <v/>
      </c>
      <c r="S244" s="14" t="str">
        <f>IF('Raw Data'!A231&lt;&gt;"",AVERAGE('Raw Data'!AU231,'Raw Data'!AW231,'Raw Data'!AY231,'Raw Data'!BA231,'Raw Data'!BC231),"")</f>
        <v/>
      </c>
      <c r="T244" s="14" t="str">
        <f t="shared" si="40"/>
        <v/>
      </c>
      <c r="U244" s="14" t="str">
        <f>IF('Raw Data'!A231&lt;&gt;"",AVERAGE('Raw Data'!BD231,'Raw Data'!BF231,'Raw Data'!BH231,'Raw Data'!BJ231,'Raw Data'!BL231),"")</f>
        <v/>
      </c>
      <c r="V244" s="14" t="str">
        <f>IF('Raw Data'!A231&lt;&gt;"",AVERAGE('Raw Data'!BE231,'Raw Data'!BG231,'Raw Data'!BI231,'Raw Data'!BK231,'Raw Data'!BM231),"")</f>
        <v/>
      </c>
      <c r="W244" s="14" t="str">
        <f t="shared" si="41"/>
        <v/>
      </c>
      <c r="X244" s="14" t="str">
        <f t="shared" si="42"/>
        <v/>
      </c>
      <c r="Y244" s="14" t="str">
        <f t="shared" si="43"/>
        <v/>
      </c>
      <c r="Z244" s="14" t="str">
        <f t="shared" si="44"/>
        <v/>
      </c>
      <c r="AA244" s="14" t="str">
        <f t="shared" si="45"/>
        <v/>
      </c>
      <c r="AB244" s="25" t="str">
        <f t="shared" si="46"/>
        <v/>
      </c>
    </row>
    <row r="245" spans="1:28" x14ac:dyDescent="0.25">
      <c r="A245" s="2" t="str">
        <f>IF('Raw Data'!A232&lt;&gt;"",'Raw Data'!A232,"")</f>
        <v/>
      </c>
      <c r="B245" s="2" t="str">
        <f>IF('Raw Data'!B232&lt;&gt;"",'Raw Data'!B232,"")</f>
        <v/>
      </c>
      <c r="C245" s="2" t="str">
        <f>IF('Raw Data'!C232&lt;&gt;"",'Raw Data'!C232,"")</f>
        <v/>
      </c>
      <c r="D245" s="2" t="str">
        <f>IF('Raw Data'!D232&lt;&gt;"",'Raw Data'!D232,"")</f>
        <v/>
      </c>
      <c r="E245" s="2" t="str">
        <f>IF('Raw Data'!E232&lt;&gt;"",'Raw Data'!E232,"")</f>
        <v/>
      </c>
      <c r="F245" s="11" t="str">
        <f>IF('Raw Data'!A232&lt;&gt;"",AVERAGE('Raw Data'!F232,'Raw Data'!H232,'Raw Data'!J232,'Raw Data'!L232,'Raw Data'!N232),"")</f>
        <v/>
      </c>
      <c r="G245" s="11" t="str">
        <f>IF('Raw Data'!A232&lt;&gt;"",AVERAGE('Raw Data'!G232,'Raw Data'!I232,'Raw Data'!K232,'Raw Data'!M232,'Raw Data'!O232),"")</f>
        <v/>
      </c>
      <c r="H245" s="11" t="str">
        <f t="shared" si="36"/>
        <v/>
      </c>
      <c r="I245" s="11" t="str">
        <f>IF('Raw Data'!A232&lt;&gt;"",AVERAGE('Raw Data'!P232,'Raw Data'!R232,'Raw Data'!T232,'Raw Data'!V232,'Raw Data'!X232),"")</f>
        <v/>
      </c>
      <c r="J245" s="11" t="str">
        <f>IF('Raw Data'!A232&lt;&gt;"",AVERAGE('Raw Data'!Q232,'Raw Data'!S232,'Raw Data'!U232,'Raw Data'!W232,'Raw Data'!Y232),"")</f>
        <v/>
      </c>
      <c r="K245" s="11" t="str">
        <f t="shared" si="37"/>
        <v/>
      </c>
      <c r="L245" s="11" t="str">
        <f>IF('Raw Data'!A232&lt;&gt;"",AVERAGE('Raw Data'!Z232,'Raw Data'!AB232,'Raw Data'!AD232,'Raw Data'!AF232,'Raw Data'!AH232),"")</f>
        <v/>
      </c>
      <c r="M245" s="11" t="str">
        <f>IF('Raw Data'!A232&lt;&gt;"",AVERAGE('Raw Data'!AA232,'Raw Data'!AC232,'Raw Data'!AE232,'Raw Data'!AG232,'Raw Data'!AI232),"")</f>
        <v/>
      </c>
      <c r="N245" s="11" t="str">
        <f t="shared" si="38"/>
        <v/>
      </c>
      <c r="O245" s="11" t="str">
        <f>IF('Raw Data'!A232&lt;&gt;"",AVERAGE('Raw Data'!AJ232,'Raw Data'!AL232,'Raw Data'!AN232,'Raw Data'!AP232,'Raw Data'!AR232),"")</f>
        <v/>
      </c>
      <c r="P245" s="11" t="str">
        <f>IF('Raw Data'!A232&lt;&gt;"",AVERAGE('Raw Data'!AK232,'Raw Data'!AM232,'Raw Data'!AO232,'Raw Data'!AQ232,'Raw Data'!AS232),"")</f>
        <v/>
      </c>
      <c r="Q245" s="11" t="str">
        <f t="shared" si="39"/>
        <v/>
      </c>
      <c r="R245" s="11" t="str">
        <f>IF('Raw Data'!A232&lt;&gt;"",AVERAGE('Raw Data'!AT232,'Raw Data'!AV232,'Raw Data'!AX232,'Raw Data'!AZ232,'Raw Data'!BB232),"")</f>
        <v/>
      </c>
      <c r="S245" s="11" t="str">
        <f>IF('Raw Data'!A232&lt;&gt;"",AVERAGE('Raw Data'!AU232,'Raw Data'!AW232,'Raw Data'!AY232,'Raw Data'!BA232,'Raw Data'!BC232),"")</f>
        <v/>
      </c>
      <c r="T245" s="11" t="str">
        <f t="shared" si="40"/>
        <v/>
      </c>
      <c r="U245" s="11" t="str">
        <f>IF('Raw Data'!A232&lt;&gt;"",AVERAGE('Raw Data'!BD232,'Raw Data'!BF232,'Raw Data'!BH232,'Raw Data'!BJ232,'Raw Data'!BL232),"")</f>
        <v/>
      </c>
      <c r="V245" s="11" t="str">
        <f>IF('Raw Data'!A232&lt;&gt;"",AVERAGE('Raw Data'!BE232,'Raw Data'!BG232,'Raw Data'!BI232,'Raw Data'!BK232,'Raw Data'!BM232),"")</f>
        <v/>
      </c>
      <c r="W245" s="11" t="str">
        <f t="shared" si="41"/>
        <v/>
      </c>
      <c r="X245" s="11" t="str">
        <f t="shared" si="42"/>
        <v/>
      </c>
      <c r="Y245" s="11" t="str">
        <f t="shared" si="43"/>
        <v/>
      </c>
      <c r="Z245" s="11" t="str">
        <f t="shared" si="44"/>
        <v/>
      </c>
      <c r="AA245" s="11" t="str">
        <f t="shared" si="45"/>
        <v/>
      </c>
      <c r="AB245" s="24" t="str">
        <f t="shared" si="46"/>
        <v/>
      </c>
    </row>
    <row r="246" spans="1:28" x14ac:dyDescent="0.25">
      <c r="A246" s="10" t="str">
        <f>IF('Raw Data'!A233&lt;&gt;"",'Raw Data'!A233,"")</f>
        <v/>
      </c>
      <c r="B246" s="10" t="str">
        <f>IF('Raw Data'!B233&lt;&gt;"",'Raw Data'!B233,"")</f>
        <v/>
      </c>
      <c r="C246" s="10" t="str">
        <f>IF('Raw Data'!C233&lt;&gt;"",'Raw Data'!C233,"")</f>
        <v/>
      </c>
      <c r="D246" s="10" t="str">
        <f>IF('Raw Data'!D233&lt;&gt;"",'Raw Data'!D233,"")</f>
        <v/>
      </c>
      <c r="E246" s="10" t="str">
        <f>IF('Raw Data'!E233&lt;&gt;"",'Raw Data'!E233,"")</f>
        <v/>
      </c>
      <c r="F246" s="14" t="str">
        <f>IF('Raw Data'!A233&lt;&gt;"",AVERAGE('Raw Data'!F233,'Raw Data'!H233,'Raw Data'!J233,'Raw Data'!L233,'Raw Data'!N233),"")</f>
        <v/>
      </c>
      <c r="G246" s="14" t="str">
        <f>IF('Raw Data'!A233&lt;&gt;"",AVERAGE('Raw Data'!G233,'Raw Data'!I233,'Raw Data'!K233,'Raw Data'!M233,'Raw Data'!O233),"")</f>
        <v/>
      </c>
      <c r="H246" s="14" t="str">
        <f t="shared" si="36"/>
        <v/>
      </c>
      <c r="I246" s="14" t="str">
        <f>IF('Raw Data'!A233&lt;&gt;"",AVERAGE('Raw Data'!P233,'Raw Data'!R233,'Raw Data'!T233,'Raw Data'!V233,'Raw Data'!X233),"")</f>
        <v/>
      </c>
      <c r="J246" s="14" t="str">
        <f>IF('Raw Data'!A233&lt;&gt;"",AVERAGE('Raw Data'!Q233,'Raw Data'!S233,'Raw Data'!U233,'Raw Data'!W233,'Raw Data'!Y233),"")</f>
        <v/>
      </c>
      <c r="K246" s="14" t="str">
        <f t="shared" si="37"/>
        <v/>
      </c>
      <c r="L246" s="14" t="str">
        <f>IF('Raw Data'!A233&lt;&gt;"",AVERAGE('Raw Data'!Z233,'Raw Data'!AB233,'Raw Data'!AD233,'Raw Data'!AF233,'Raw Data'!AH233),"")</f>
        <v/>
      </c>
      <c r="M246" s="14" t="str">
        <f>IF('Raw Data'!A233&lt;&gt;"",AVERAGE('Raw Data'!AA233,'Raw Data'!AC233,'Raw Data'!AE233,'Raw Data'!AG233,'Raw Data'!AI233),"")</f>
        <v/>
      </c>
      <c r="N246" s="14" t="str">
        <f t="shared" si="38"/>
        <v/>
      </c>
      <c r="O246" s="14" t="str">
        <f>IF('Raw Data'!A233&lt;&gt;"",AVERAGE('Raw Data'!AJ233,'Raw Data'!AL233,'Raw Data'!AN233,'Raw Data'!AP233,'Raw Data'!AR233),"")</f>
        <v/>
      </c>
      <c r="P246" s="14" t="str">
        <f>IF('Raw Data'!A233&lt;&gt;"",AVERAGE('Raw Data'!AK233,'Raw Data'!AM233,'Raw Data'!AO233,'Raw Data'!AQ233,'Raw Data'!AS233),"")</f>
        <v/>
      </c>
      <c r="Q246" s="14" t="str">
        <f t="shared" si="39"/>
        <v/>
      </c>
      <c r="R246" s="14" t="str">
        <f>IF('Raw Data'!A233&lt;&gt;"",AVERAGE('Raw Data'!AT233,'Raw Data'!AV233,'Raw Data'!AX233,'Raw Data'!AZ233,'Raw Data'!BB233),"")</f>
        <v/>
      </c>
      <c r="S246" s="14" t="str">
        <f>IF('Raw Data'!A233&lt;&gt;"",AVERAGE('Raw Data'!AU233,'Raw Data'!AW233,'Raw Data'!AY233,'Raw Data'!BA233,'Raw Data'!BC233),"")</f>
        <v/>
      </c>
      <c r="T246" s="14" t="str">
        <f t="shared" si="40"/>
        <v/>
      </c>
      <c r="U246" s="14" t="str">
        <f>IF('Raw Data'!A233&lt;&gt;"",AVERAGE('Raw Data'!BD233,'Raw Data'!BF233,'Raw Data'!BH233,'Raw Data'!BJ233,'Raw Data'!BL233),"")</f>
        <v/>
      </c>
      <c r="V246" s="14" t="str">
        <f>IF('Raw Data'!A233&lt;&gt;"",AVERAGE('Raw Data'!BE233,'Raw Data'!BG233,'Raw Data'!BI233,'Raw Data'!BK233,'Raw Data'!BM233),"")</f>
        <v/>
      </c>
      <c r="W246" s="14" t="str">
        <f t="shared" si="41"/>
        <v/>
      </c>
      <c r="X246" s="14" t="str">
        <f t="shared" si="42"/>
        <v/>
      </c>
      <c r="Y246" s="14" t="str">
        <f t="shared" si="43"/>
        <v/>
      </c>
      <c r="Z246" s="14" t="str">
        <f t="shared" si="44"/>
        <v/>
      </c>
      <c r="AA246" s="14" t="str">
        <f t="shared" si="45"/>
        <v/>
      </c>
      <c r="AB246" s="25" t="str">
        <f t="shared" si="46"/>
        <v/>
      </c>
    </row>
    <row r="247" spans="1:28" x14ac:dyDescent="0.25">
      <c r="A247" s="2" t="str">
        <f>IF('Raw Data'!A234&lt;&gt;"",'Raw Data'!A234,"")</f>
        <v/>
      </c>
      <c r="B247" s="2" t="str">
        <f>IF('Raw Data'!B234&lt;&gt;"",'Raw Data'!B234,"")</f>
        <v/>
      </c>
      <c r="C247" s="2" t="str">
        <f>IF('Raw Data'!C234&lt;&gt;"",'Raw Data'!C234,"")</f>
        <v/>
      </c>
      <c r="D247" s="2" t="str">
        <f>IF('Raw Data'!D234&lt;&gt;"",'Raw Data'!D234,"")</f>
        <v/>
      </c>
      <c r="E247" s="2" t="str">
        <f>IF('Raw Data'!E234&lt;&gt;"",'Raw Data'!E234,"")</f>
        <v/>
      </c>
      <c r="F247" s="11" t="str">
        <f>IF('Raw Data'!A234&lt;&gt;"",AVERAGE('Raw Data'!F234,'Raw Data'!H234,'Raw Data'!J234,'Raw Data'!L234,'Raw Data'!N234),"")</f>
        <v/>
      </c>
      <c r="G247" s="11" t="str">
        <f>IF('Raw Data'!A234&lt;&gt;"",AVERAGE('Raw Data'!G234,'Raw Data'!I234,'Raw Data'!K234,'Raw Data'!M234,'Raw Data'!O234),"")</f>
        <v/>
      </c>
      <c r="H247" s="11" t="str">
        <f t="shared" si="36"/>
        <v/>
      </c>
      <c r="I247" s="11" t="str">
        <f>IF('Raw Data'!A234&lt;&gt;"",AVERAGE('Raw Data'!P234,'Raw Data'!R234,'Raw Data'!T234,'Raw Data'!V234,'Raw Data'!X234),"")</f>
        <v/>
      </c>
      <c r="J247" s="11" t="str">
        <f>IF('Raw Data'!A234&lt;&gt;"",AVERAGE('Raw Data'!Q234,'Raw Data'!S234,'Raw Data'!U234,'Raw Data'!W234,'Raw Data'!Y234),"")</f>
        <v/>
      </c>
      <c r="K247" s="11" t="str">
        <f t="shared" si="37"/>
        <v/>
      </c>
      <c r="L247" s="11" t="str">
        <f>IF('Raw Data'!A234&lt;&gt;"",AVERAGE('Raw Data'!Z234,'Raw Data'!AB234,'Raw Data'!AD234,'Raw Data'!AF234,'Raw Data'!AH234),"")</f>
        <v/>
      </c>
      <c r="M247" s="11" t="str">
        <f>IF('Raw Data'!A234&lt;&gt;"",AVERAGE('Raw Data'!AA234,'Raw Data'!AC234,'Raw Data'!AE234,'Raw Data'!AG234,'Raw Data'!AI234),"")</f>
        <v/>
      </c>
      <c r="N247" s="11" t="str">
        <f t="shared" si="38"/>
        <v/>
      </c>
      <c r="O247" s="11" t="str">
        <f>IF('Raw Data'!A234&lt;&gt;"",AVERAGE('Raw Data'!AJ234,'Raw Data'!AL234,'Raw Data'!AN234,'Raw Data'!AP234,'Raw Data'!AR234),"")</f>
        <v/>
      </c>
      <c r="P247" s="11" t="str">
        <f>IF('Raw Data'!A234&lt;&gt;"",AVERAGE('Raw Data'!AK234,'Raw Data'!AM234,'Raw Data'!AO234,'Raw Data'!AQ234,'Raw Data'!AS234),"")</f>
        <v/>
      </c>
      <c r="Q247" s="11" t="str">
        <f t="shared" si="39"/>
        <v/>
      </c>
      <c r="R247" s="11" t="str">
        <f>IF('Raw Data'!A234&lt;&gt;"",AVERAGE('Raw Data'!AT234,'Raw Data'!AV234,'Raw Data'!AX234,'Raw Data'!AZ234,'Raw Data'!BB234),"")</f>
        <v/>
      </c>
      <c r="S247" s="11" t="str">
        <f>IF('Raw Data'!A234&lt;&gt;"",AVERAGE('Raw Data'!AU234,'Raw Data'!AW234,'Raw Data'!AY234,'Raw Data'!BA234,'Raw Data'!BC234),"")</f>
        <v/>
      </c>
      <c r="T247" s="11" t="str">
        <f t="shared" si="40"/>
        <v/>
      </c>
      <c r="U247" s="11" t="str">
        <f>IF('Raw Data'!A234&lt;&gt;"",AVERAGE('Raw Data'!BD234,'Raw Data'!BF234,'Raw Data'!BH234,'Raw Data'!BJ234,'Raw Data'!BL234),"")</f>
        <v/>
      </c>
      <c r="V247" s="11" t="str">
        <f>IF('Raw Data'!A234&lt;&gt;"",AVERAGE('Raw Data'!BE234,'Raw Data'!BG234,'Raw Data'!BI234,'Raw Data'!BK234,'Raw Data'!BM234),"")</f>
        <v/>
      </c>
      <c r="W247" s="11" t="str">
        <f t="shared" si="41"/>
        <v/>
      </c>
      <c r="X247" s="11" t="str">
        <f t="shared" si="42"/>
        <v/>
      </c>
      <c r="Y247" s="11" t="str">
        <f t="shared" si="43"/>
        <v/>
      </c>
      <c r="Z247" s="11" t="str">
        <f t="shared" si="44"/>
        <v/>
      </c>
      <c r="AA247" s="11" t="str">
        <f t="shared" si="45"/>
        <v/>
      </c>
      <c r="AB247" s="24" t="str">
        <f t="shared" si="46"/>
        <v/>
      </c>
    </row>
    <row r="248" spans="1:28" x14ac:dyDescent="0.25">
      <c r="A248" s="10" t="str">
        <f>IF('Raw Data'!A235&lt;&gt;"",'Raw Data'!A235,"")</f>
        <v/>
      </c>
      <c r="B248" s="10" t="str">
        <f>IF('Raw Data'!B235&lt;&gt;"",'Raw Data'!B235,"")</f>
        <v/>
      </c>
      <c r="C248" s="10" t="str">
        <f>IF('Raw Data'!C235&lt;&gt;"",'Raw Data'!C235,"")</f>
        <v/>
      </c>
      <c r="D248" s="10" t="str">
        <f>IF('Raw Data'!D235&lt;&gt;"",'Raw Data'!D235,"")</f>
        <v/>
      </c>
      <c r="E248" s="10" t="str">
        <f>IF('Raw Data'!E235&lt;&gt;"",'Raw Data'!E235,"")</f>
        <v/>
      </c>
      <c r="F248" s="14" t="str">
        <f>IF('Raw Data'!A235&lt;&gt;"",AVERAGE('Raw Data'!F235,'Raw Data'!H235,'Raw Data'!J235,'Raw Data'!L235,'Raw Data'!N235),"")</f>
        <v/>
      </c>
      <c r="G248" s="14" t="str">
        <f>IF('Raw Data'!A235&lt;&gt;"",AVERAGE('Raw Data'!G235,'Raw Data'!I235,'Raw Data'!K235,'Raw Data'!M235,'Raw Data'!O235),"")</f>
        <v/>
      </c>
      <c r="H248" s="14" t="str">
        <f t="shared" si="36"/>
        <v/>
      </c>
      <c r="I248" s="14" t="str">
        <f>IF('Raw Data'!A235&lt;&gt;"",AVERAGE('Raw Data'!P235,'Raw Data'!R235,'Raw Data'!T235,'Raw Data'!V235,'Raw Data'!X235),"")</f>
        <v/>
      </c>
      <c r="J248" s="14" t="str">
        <f>IF('Raw Data'!A235&lt;&gt;"",AVERAGE('Raw Data'!Q235,'Raw Data'!S235,'Raw Data'!U235,'Raw Data'!W235,'Raw Data'!Y235),"")</f>
        <v/>
      </c>
      <c r="K248" s="14" t="str">
        <f t="shared" si="37"/>
        <v/>
      </c>
      <c r="L248" s="14" t="str">
        <f>IF('Raw Data'!A235&lt;&gt;"",AVERAGE('Raw Data'!Z235,'Raw Data'!AB235,'Raw Data'!AD235,'Raw Data'!AF235,'Raw Data'!AH235),"")</f>
        <v/>
      </c>
      <c r="M248" s="14" t="str">
        <f>IF('Raw Data'!A235&lt;&gt;"",AVERAGE('Raw Data'!AA235,'Raw Data'!AC235,'Raw Data'!AE235,'Raw Data'!AG235,'Raw Data'!AI235),"")</f>
        <v/>
      </c>
      <c r="N248" s="14" t="str">
        <f t="shared" si="38"/>
        <v/>
      </c>
      <c r="O248" s="14" t="str">
        <f>IF('Raw Data'!A235&lt;&gt;"",AVERAGE('Raw Data'!AJ235,'Raw Data'!AL235,'Raw Data'!AN235,'Raw Data'!AP235,'Raw Data'!AR235),"")</f>
        <v/>
      </c>
      <c r="P248" s="14" t="str">
        <f>IF('Raw Data'!A235&lt;&gt;"",AVERAGE('Raw Data'!AK235,'Raw Data'!AM235,'Raw Data'!AO235,'Raw Data'!AQ235,'Raw Data'!AS235),"")</f>
        <v/>
      </c>
      <c r="Q248" s="14" t="str">
        <f t="shared" si="39"/>
        <v/>
      </c>
      <c r="R248" s="14" t="str">
        <f>IF('Raw Data'!A235&lt;&gt;"",AVERAGE('Raw Data'!AT235,'Raw Data'!AV235,'Raw Data'!AX235,'Raw Data'!AZ235,'Raw Data'!BB235),"")</f>
        <v/>
      </c>
      <c r="S248" s="14" t="str">
        <f>IF('Raw Data'!A235&lt;&gt;"",AVERAGE('Raw Data'!AU235,'Raw Data'!AW235,'Raw Data'!AY235,'Raw Data'!BA235,'Raw Data'!BC235),"")</f>
        <v/>
      </c>
      <c r="T248" s="14" t="str">
        <f t="shared" si="40"/>
        <v/>
      </c>
      <c r="U248" s="14" t="str">
        <f>IF('Raw Data'!A235&lt;&gt;"",AVERAGE('Raw Data'!BD235,'Raw Data'!BF235,'Raw Data'!BH235,'Raw Data'!BJ235,'Raw Data'!BL235),"")</f>
        <v/>
      </c>
      <c r="V248" s="14" t="str">
        <f>IF('Raw Data'!A235&lt;&gt;"",AVERAGE('Raw Data'!BE235,'Raw Data'!BG235,'Raw Data'!BI235,'Raw Data'!BK235,'Raw Data'!BM235),"")</f>
        <v/>
      </c>
      <c r="W248" s="14" t="str">
        <f t="shared" si="41"/>
        <v/>
      </c>
      <c r="X248" s="14" t="str">
        <f t="shared" si="42"/>
        <v/>
      </c>
      <c r="Y248" s="14" t="str">
        <f t="shared" si="43"/>
        <v/>
      </c>
      <c r="Z248" s="14" t="str">
        <f t="shared" si="44"/>
        <v/>
      </c>
      <c r="AA248" s="14" t="str">
        <f t="shared" si="45"/>
        <v/>
      </c>
      <c r="AB248" s="25" t="str">
        <f t="shared" si="46"/>
        <v/>
      </c>
    </row>
    <row r="249" spans="1:28" x14ac:dyDescent="0.25">
      <c r="A249" s="2" t="str">
        <f>IF('Raw Data'!A236&lt;&gt;"",'Raw Data'!A236,"")</f>
        <v/>
      </c>
      <c r="B249" s="2" t="str">
        <f>IF('Raw Data'!B236&lt;&gt;"",'Raw Data'!B236,"")</f>
        <v/>
      </c>
      <c r="C249" s="2" t="str">
        <f>IF('Raw Data'!C236&lt;&gt;"",'Raw Data'!C236,"")</f>
        <v/>
      </c>
      <c r="D249" s="2" t="str">
        <f>IF('Raw Data'!D236&lt;&gt;"",'Raw Data'!D236,"")</f>
        <v/>
      </c>
      <c r="E249" s="2" t="str">
        <f>IF('Raw Data'!E236&lt;&gt;"",'Raw Data'!E236,"")</f>
        <v/>
      </c>
      <c r="F249" s="11" t="str">
        <f>IF('Raw Data'!A236&lt;&gt;"",AVERAGE('Raw Data'!F236,'Raw Data'!H236,'Raw Data'!J236,'Raw Data'!L236,'Raw Data'!N236),"")</f>
        <v/>
      </c>
      <c r="G249" s="11" t="str">
        <f>IF('Raw Data'!A236&lt;&gt;"",AVERAGE('Raw Data'!G236,'Raw Data'!I236,'Raw Data'!K236,'Raw Data'!M236,'Raw Data'!O236),"")</f>
        <v/>
      </c>
      <c r="H249" s="11" t="str">
        <f t="shared" si="36"/>
        <v/>
      </c>
      <c r="I249" s="11" t="str">
        <f>IF('Raw Data'!A236&lt;&gt;"",AVERAGE('Raw Data'!P236,'Raw Data'!R236,'Raw Data'!T236,'Raw Data'!V236,'Raw Data'!X236),"")</f>
        <v/>
      </c>
      <c r="J249" s="11" t="str">
        <f>IF('Raw Data'!A236&lt;&gt;"",AVERAGE('Raw Data'!Q236,'Raw Data'!S236,'Raw Data'!U236,'Raw Data'!W236,'Raw Data'!Y236),"")</f>
        <v/>
      </c>
      <c r="K249" s="11" t="str">
        <f t="shared" si="37"/>
        <v/>
      </c>
      <c r="L249" s="11" t="str">
        <f>IF('Raw Data'!A236&lt;&gt;"",AVERAGE('Raw Data'!Z236,'Raw Data'!AB236,'Raw Data'!AD236,'Raw Data'!AF236,'Raw Data'!AH236),"")</f>
        <v/>
      </c>
      <c r="M249" s="11" t="str">
        <f>IF('Raw Data'!A236&lt;&gt;"",AVERAGE('Raw Data'!AA236,'Raw Data'!AC236,'Raw Data'!AE236,'Raw Data'!AG236,'Raw Data'!AI236),"")</f>
        <v/>
      </c>
      <c r="N249" s="11" t="str">
        <f t="shared" si="38"/>
        <v/>
      </c>
      <c r="O249" s="11" t="str">
        <f>IF('Raw Data'!A236&lt;&gt;"",AVERAGE('Raw Data'!AJ236,'Raw Data'!AL236,'Raw Data'!AN236,'Raw Data'!AP236,'Raw Data'!AR236),"")</f>
        <v/>
      </c>
      <c r="P249" s="11" t="str">
        <f>IF('Raw Data'!A236&lt;&gt;"",AVERAGE('Raw Data'!AK236,'Raw Data'!AM236,'Raw Data'!AO236,'Raw Data'!AQ236,'Raw Data'!AS236),"")</f>
        <v/>
      </c>
      <c r="Q249" s="11" t="str">
        <f t="shared" si="39"/>
        <v/>
      </c>
      <c r="R249" s="11" t="str">
        <f>IF('Raw Data'!A236&lt;&gt;"",AVERAGE('Raw Data'!AT236,'Raw Data'!AV236,'Raw Data'!AX236,'Raw Data'!AZ236,'Raw Data'!BB236),"")</f>
        <v/>
      </c>
      <c r="S249" s="11" t="str">
        <f>IF('Raw Data'!A236&lt;&gt;"",AVERAGE('Raw Data'!AU236,'Raw Data'!AW236,'Raw Data'!AY236,'Raw Data'!BA236,'Raw Data'!BC236),"")</f>
        <v/>
      </c>
      <c r="T249" s="11" t="str">
        <f t="shared" si="40"/>
        <v/>
      </c>
      <c r="U249" s="11" t="str">
        <f>IF('Raw Data'!A236&lt;&gt;"",AVERAGE('Raw Data'!BD236,'Raw Data'!BF236,'Raw Data'!BH236,'Raw Data'!BJ236,'Raw Data'!BL236),"")</f>
        <v/>
      </c>
      <c r="V249" s="11" t="str">
        <f>IF('Raw Data'!A236&lt;&gt;"",AVERAGE('Raw Data'!BE236,'Raw Data'!BG236,'Raw Data'!BI236,'Raw Data'!BK236,'Raw Data'!BM236),"")</f>
        <v/>
      </c>
      <c r="W249" s="11" t="str">
        <f t="shared" si="41"/>
        <v/>
      </c>
      <c r="X249" s="11" t="str">
        <f t="shared" si="42"/>
        <v/>
      </c>
      <c r="Y249" s="11" t="str">
        <f t="shared" si="43"/>
        <v/>
      </c>
      <c r="Z249" s="11" t="str">
        <f t="shared" si="44"/>
        <v/>
      </c>
      <c r="AA249" s="11" t="str">
        <f t="shared" si="45"/>
        <v/>
      </c>
      <c r="AB249" s="24" t="str">
        <f t="shared" si="46"/>
        <v/>
      </c>
    </row>
    <row r="250" spans="1:28" x14ac:dyDescent="0.25">
      <c r="A250" s="10" t="str">
        <f>IF('Raw Data'!A237&lt;&gt;"",'Raw Data'!A237,"")</f>
        <v/>
      </c>
      <c r="B250" s="10" t="str">
        <f>IF('Raw Data'!B237&lt;&gt;"",'Raw Data'!B237,"")</f>
        <v/>
      </c>
      <c r="C250" s="10" t="str">
        <f>IF('Raw Data'!C237&lt;&gt;"",'Raw Data'!C237,"")</f>
        <v/>
      </c>
      <c r="D250" s="10" t="str">
        <f>IF('Raw Data'!D237&lt;&gt;"",'Raw Data'!D237,"")</f>
        <v/>
      </c>
      <c r="E250" s="10" t="str">
        <f>IF('Raw Data'!E237&lt;&gt;"",'Raw Data'!E237,"")</f>
        <v/>
      </c>
      <c r="F250" s="14" t="str">
        <f>IF('Raw Data'!A237&lt;&gt;"",AVERAGE('Raw Data'!F237,'Raw Data'!H237,'Raw Data'!J237,'Raw Data'!L237,'Raw Data'!N237),"")</f>
        <v/>
      </c>
      <c r="G250" s="14" t="str">
        <f>IF('Raw Data'!A237&lt;&gt;"",AVERAGE('Raw Data'!G237,'Raw Data'!I237,'Raw Data'!K237,'Raw Data'!M237,'Raw Data'!O237),"")</f>
        <v/>
      </c>
      <c r="H250" s="14" t="str">
        <f t="shared" si="36"/>
        <v/>
      </c>
      <c r="I250" s="14" t="str">
        <f>IF('Raw Data'!A237&lt;&gt;"",AVERAGE('Raw Data'!P237,'Raw Data'!R237,'Raw Data'!T237,'Raw Data'!V237,'Raw Data'!X237),"")</f>
        <v/>
      </c>
      <c r="J250" s="14" t="str">
        <f>IF('Raw Data'!A237&lt;&gt;"",AVERAGE('Raw Data'!Q237,'Raw Data'!S237,'Raw Data'!U237,'Raw Data'!W237,'Raw Data'!Y237),"")</f>
        <v/>
      </c>
      <c r="K250" s="14" t="str">
        <f t="shared" si="37"/>
        <v/>
      </c>
      <c r="L250" s="14" t="str">
        <f>IF('Raw Data'!A237&lt;&gt;"",AVERAGE('Raw Data'!Z237,'Raw Data'!AB237,'Raw Data'!AD237,'Raw Data'!AF237,'Raw Data'!AH237),"")</f>
        <v/>
      </c>
      <c r="M250" s="14" t="str">
        <f>IF('Raw Data'!A237&lt;&gt;"",AVERAGE('Raw Data'!AA237,'Raw Data'!AC237,'Raw Data'!AE237,'Raw Data'!AG237,'Raw Data'!AI237),"")</f>
        <v/>
      </c>
      <c r="N250" s="14" t="str">
        <f t="shared" si="38"/>
        <v/>
      </c>
      <c r="O250" s="14" t="str">
        <f>IF('Raw Data'!A237&lt;&gt;"",AVERAGE('Raw Data'!AJ237,'Raw Data'!AL237,'Raw Data'!AN237,'Raw Data'!AP237,'Raw Data'!AR237),"")</f>
        <v/>
      </c>
      <c r="P250" s="14" t="str">
        <f>IF('Raw Data'!A237&lt;&gt;"",AVERAGE('Raw Data'!AK237,'Raw Data'!AM237,'Raw Data'!AO237,'Raw Data'!AQ237,'Raw Data'!AS237),"")</f>
        <v/>
      </c>
      <c r="Q250" s="14" t="str">
        <f t="shared" si="39"/>
        <v/>
      </c>
      <c r="R250" s="14" t="str">
        <f>IF('Raw Data'!A237&lt;&gt;"",AVERAGE('Raw Data'!AT237,'Raw Data'!AV237,'Raw Data'!AX237,'Raw Data'!AZ237,'Raw Data'!BB237),"")</f>
        <v/>
      </c>
      <c r="S250" s="14" t="str">
        <f>IF('Raw Data'!A237&lt;&gt;"",AVERAGE('Raw Data'!AU237,'Raw Data'!AW237,'Raw Data'!AY237,'Raw Data'!BA237,'Raw Data'!BC237),"")</f>
        <v/>
      </c>
      <c r="T250" s="14" t="str">
        <f t="shared" si="40"/>
        <v/>
      </c>
      <c r="U250" s="14" t="str">
        <f>IF('Raw Data'!A237&lt;&gt;"",AVERAGE('Raw Data'!BD237,'Raw Data'!BF237,'Raw Data'!BH237,'Raw Data'!BJ237,'Raw Data'!BL237),"")</f>
        <v/>
      </c>
      <c r="V250" s="14" t="str">
        <f>IF('Raw Data'!A237&lt;&gt;"",AVERAGE('Raw Data'!BE237,'Raw Data'!BG237,'Raw Data'!BI237,'Raw Data'!BK237,'Raw Data'!BM237),"")</f>
        <v/>
      </c>
      <c r="W250" s="14" t="str">
        <f t="shared" si="41"/>
        <v/>
      </c>
      <c r="X250" s="14" t="str">
        <f t="shared" si="42"/>
        <v/>
      </c>
      <c r="Y250" s="14" t="str">
        <f t="shared" si="43"/>
        <v/>
      </c>
      <c r="Z250" s="14" t="str">
        <f t="shared" si="44"/>
        <v/>
      </c>
      <c r="AA250" s="14" t="str">
        <f t="shared" si="45"/>
        <v/>
      </c>
      <c r="AB250" s="25" t="str">
        <f t="shared" si="46"/>
        <v/>
      </c>
    </row>
    <row r="251" spans="1:28" x14ac:dyDescent="0.25">
      <c r="A251" s="2" t="str">
        <f>IF('Raw Data'!A238&lt;&gt;"",'Raw Data'!A238,"")</f>
        <v/>
      </c>
      <c r="B251" s="2" t="str">
        <f>IF('Raw Data'!B238&lt;&gt;"",'Raw Data'!B238,"")</f>
        <v/>
      </c>
      <c r="C251" s="2" t="str">
        <f>IF('Raw Data'!C238&lt;&gt;"",'Raw Data'!C238,"")</f>
        <v/>
      </c>
      <c r="D251" s="2" t="str">
        <f>IF('Raw Data'!D238&lt;&gt;"",'Raw Data'!D238,"")</f>
        <v/>
      </c>
      <c r="E251" s="2" t="str">
        <f>IF('Raw Data'!E238&lt;&gt;"",'Raw Data'!E238,"")</f>
        <v/>
      </c>
      <c r="F251" s="11" t="str">
        <f>IF('Raw Data'!A238&lt;&gt;"",AVERAGE('Raw Data'!F238,'Raw Data'!H238,'Raw Data'!J238,'Raw Data'!L238,'Raw Data'!N238),"")</f>
        <v/>
      </c>
      <c r="G251" s="11" t="str">
        <f>IF('Raw Data'!A238&lt;&gt;"",AVERAGE('Raw Data'!G238,'Raw Data'!I238,'Raw Data'!K238,'Raw Data'!M238,'Raw Data'!O238),"")</f>
        <v/>
      </c>
      <c r="H251" s="11" t="str">
        <f t="shared" si="36"/>
        <v/>
      </c>
      <c r="I251" s="11" t="str">
        <f>IF('Raw Data'!A238&lt;&gt;"",AVERAGE('Raw Data'!P238,'Raw Data'!R238,'Raw Data'!T238,'Raw Data'!V238,'Raw Data'!X238),"")</f>
        <v/>
      </c>
      <c r="J251" s="11" t="str">
        <f>IF('Raw Data'!A238&lt;&gt;"",AVERAGE('Raw Data'!Q238,'Raw Data'!S238,'Raw Data'!U238,'Raw Data'!W238,'Raw Data'!Y238),"")</f>
        <v/>
      </c>
      <c r="K251" s="11" t="str">
        <f t="shared" si="37"/>
        <v/>
      </c>
      <c r="L251" s="11" t="str">
        <f>IF('Raw Data'!A238&lt;&gt;"",AVERAGE('Raw Data'!Z238,'Raw Data'!AB238,'Raw Data'!AD238,'Raw Data'!AF238,'Raw Data'!AH238),"")</f>
        <v/>
      </c>
      <c r="M251" s="11" t="str">
        <f>IF('Raw Data'!A238&lt;&gt;"",AVERAGE('Raw Data'!AA238,'Raw Data'!AC238,'Raw Data'!AE238,'Raw Data'!AG238,'Raw Data'!AI238),"")</f>
        <v/>
      </c>
      <c r="N251" s="11" t="str">
        <f t="shared" si="38"/>
        <v/>
      </c>
      <c r="O251" s="11" t="str">
        <f>IF('Raw Data'!A238&lt;&gt;"",AVERAGE('Raw Data'!AJ238,'Raw Data'!AL238,'Raw Data'!AN238,'Raw Data'!AP238,'Raw Data'!AR238),"")</f>
        <v/>
      </c>
      <c r="P251" s="11" t="str">
        <f>IF('Raw Data'!A238&lt;&gt;"",AVERAGE('Raw Data'!AK238,'Raw Data'!AM238,'Raw Data'!AO238,'Raw Data'!AQ238,'Raw Data'!AS238),"")</f>
        <v/>
      </c>
      <c r="Q251" s="11" t="str">
        <f t="shared" si="39"/>
        <v/>
      </c>
      <c r="R251" s="11" t="str">
        <f>IF('Raw Data'!A238&lt;&gt;"",AVERAGE('Raw Data'!AT238,'Raw Data'!AV238,'Raw Data'!AX238,'Raw Data'!AZ238,'Raw Data'!BB238),"")</f>
        <v/>
      </c>
      <c r="S251" s="11" t="str">
        <f>IF('Raw Data'!A238&lt;&gt;"",AVERAGE('Raw Data'!AU238,'Raw Data'!AW238,'Raw Data'!AY238,'Raw Data'!BA238,'Raw Data'!BC238),"")</f>
        <v/>
      </c>
      <c r="T251" s="11" t="str">
        <f t="shared" si="40"/>
        <v/>
      </c>
      <c r="U251" s="11" t="str">
        <f>IF('Raw Data'!A238&lt;&gt;"",AVERAGE('Raw Data'!BD238,'Raw Data'!BF238,'Raw Data'!BH238,'Raw Data'!BJ238,'Raw Data'!BL238),"")</f>
        <v/>
      </c>
      <c r="V251" s="11" t="str">
        <f>IF('Raw Data'!A238&lt;&gt;"",AVERAGE('Raw Data'!BE238,'Raw Data'!BG238,'Raw Data'!BI238,'Raw Data'!BK238,'Raw Data'!BM238),"")</f>
        <v/>
      </c>
      <c r="W251" s="11" t="str">
        <f t="shared" si="41"/>
        <v/>
      </c>
      <c r="X251" s="11" t="str">
        <f t="shared" si="42"/>
        <v/>
      </c>
      <c r="Y251" s="11" t="str">
        <f t="shared" si="43"/>
        <v/>
      </c>
      <c r="Z251" s="11" t="str">
        <f t="shared" si="44"/>
        <v/>
      </c>
      <c r="AA251" s="11" t="str">
        <f t="shared" si="45"/>
        <v/>
      </c>
      <c r="AB251" s="24" t="str">
        <f t="shared" si="46"/>
        <v/>
      </c>
    </row>
    <row r="252" spans="1:28" x14ac:dyDescent="0.25">
      <c r="A252" s="10" t="str">
        <f>IF('Raw Data'!A239&lt;&gt;"",'Raw Data'!A239,"")</f>
        <v/>
      </c>
      <c r="B252" s="10" t="str">
        <f>IF('Raw Data'!B239&lt;&gt;"",'Raw Data'!B239,"")</f>
        <v/>
      </c>
      <c r="C252" s="10" t="str">
        <f>IF('Raw Data'!C239&lt;&gt;"",'Raw Data'!C239,"")</f>
        <v/>
      </c>
      <c r="D252" s="10" t="str">
        <f>IF('Raw Data'!D239&lt;&gt;"",'Raw Data'!D239,"")</f>
        <v/>
      </c>
      <c r="E252" s="10" t="str">
        <f>IF('Raw Data'!E239&lt;&gt;"",'Raw Data'!E239,"")</f>
        <v/>
      </c>
      <c r="F252" s="14" t="str">
        <f>IF('Raw Data'!A239&lt;&gt;"",AVERAGE('Raw Data'!F239,'Raw Data'!H239,'Raw Data'!J239,'Raw Data'!L239,'Raw Data'!N239),"")</f>
        <v/>
      </c>
      <c r="G252" s="14" t="str">
        <f>IF('Raw Data'!A239&lt;&gt;"",AVERAGE('Raw Data'!G239,'Raw Data'!I239,'Raw Data'!K239,'Raw Data'!M239,'Raw Data'!O239),"")</f>
        <v/>
      </c>
      <c r="H252" s="14" t="str">
        <f t="shared" si="36"/>
        <v/>
      </c>
      <c r="I252" s="14" t="str">
        <f>IF('Raw Data'!A239&lt;&gt;"",AVERAGE('Raw Data'!P239,'Raw Data'!R239,'Raw Data'!T239,'Raw Data'!V239,'Raw Data'!X239),"")</f>
        <v/>
      </c>
      <c r="J252" s="14" t="str">
        <f>IF('Raw Data'!A239&lt;&gt;"",AVERAGE('Raw Data'!Q239,'Raw Data'!S239,'Raw Data'!U239,'Raw Data'!W239,'Raw Data'!Y239),"")</f>
        <v/>
      </c>
      <c r="K252" s="14" t="str">
        <f t="shared" si="37"/>
        <v/>
      </c>
      <c r="L252" s="14" t="str">
        <f>IF('Raw Data'!A239&lt;&gt;"",AVERAGE('Raw Data'!Z239,'Raw Data'!AB239,'Raw Data'!AD239,'Raw Data'!AF239,'Raw Data'!AH239),"")</f>
        <v/>
      </c>
      <c r="M252" s="14" t="str">
        <f>IF('Raw Data'!A239&lt;&gt;"",AVERAGE('Raw Data'!AA239,'Raw Data'!AC239,'Raw Data'!AE239,'Raw Data'!AG239,'Raw Data'!AI239),"")</f>
        <v/>
      </c>
      <c r="N252" s="14" t="str">
        <f t="shared" si="38"/>
        <v/>
      </c>
      <c r="O252" s="14" t="str">
        <f>IF('Raw Data'!A239&lt;&gt;"",AVERAGE('Raw Data'!AJ239,'Raw Data'!AL239,'Raw Data'!AN239,'Raw Data'!AP239,'Raw Data'!AR239),"")</f>
        <v/>
      </c>
      <c r="P252" s="14" t="str">
        <f>IF('Raw Data'!A239&lt;&gt;"",AVERAGE('Raw Data'!AK239,'Raw Data'!AM239,'Raw Data'!AO239,'Raw Data'!AQ239,'Raw Data'!AS239),"")</f>
        <v/>
      </c>
      <c r="Q252" s="14" t="str">
        <f t="shared" si="39"/>
        <v/>
      </c>
      <c r="R252" s="14" t="str">
        <f>IF('Raw Data'!A239&lt;&gt;"",AVERAGE('Raw Data'!AT239,'Raw Data'!AV239,'Raw Data'!AX239,'Raw Data'!AZ239,'Raw Data'!BB239),"")</f>
        <v/>
      </c>
      <c r="S252" s="14" t="str">
        <f>IF('Raw Data'!A239&lt;&gt;"",AVERAGE('Raw Data'!AU239,'Raw Data'!AW239,'Raw Data'!AY239,'Raw Data'!BA239,'Raw Data'!BC239),"")</f>
        <v/>
      </c>
      <c r="T252" s="14" t="str">
        <f t="shared" si="40"/>
        <v/>
      </c>
      <c r="U252" s="14" t="str">
        <f>IF('Raw Data'!A239&lt;&gt;"",AVERAGE('Raw Data'!BD239,'Raw Data'!BF239,'Raw Data'!BH239,'Raw Data'!BJ239,'Raw Data'!BL239),"")</f>
        <v/>
      </c>
      <c r="V252" s="14" t="str">
        <f>IF('Raw Data'!A239&lt;&gt;"",AVERAGE('Raw Data'!BE239,'Raw Data'!BG239,'Raw Data'!BI239,'Raw Data'!BK239,'Raw Data'!BM239),"")</f>
        <v/>
      </c>
      <c r="W252" s="14" t="str">
        <f t="shared" si="41"/>
        <v/>
      </c>
      <c r="X252" s="14" t="str">
        <f t="shared" si="42"/>
        <v/>
      </c>
      <c r="Y252" s="14" t="str">
        <f t="shared" si="43"/>
        <v/>
      </c>
      <c r="Z252" s="14" t="str">
        <f t="shared" si="44"/>
        <v/>
      </c>
      <c r="AA252" s="14" t="str">
        <f t="shared" si="45"/>
        <v/>
      </c>
      <c r="AB252" s="25" t="str">
        <f t="shared" si="46"/>
        <v/>
      </c>
    </row>
    <row r="253" spans="1:28" x14ac:dyDescent="0.25">
      <c r="A253" s="2" t="str">
        <f>IF('Raw Data'!A240&lt;&gt;"",'Raw Data'!A240,"")</f>
        <v/>
      </c>
      <c r="B253" s="2" t="str">
        <f>IF('Raw Data'!B240&lt;&gt;"",'Raw Data'!B240,"")</f>
        <v/>
      </c>
      <c r="C253" s="2" t="str">
        <f>IF('Raw Data'!C240&lt;&gt;"",'Raw Data'!C240,"")</f>
        <v/>
      </c>
      <c r="D253" s="2" t="str">
        <f>IF('Raw Data'!D240&lt;&gt;"",'Raw Data'!D240,"")</f>
        <v/>
      </c>
      <c r="E253" s="2" t="str">
        <f>IF('Raw Data'!E240&lt;&gt;"",'Raw Data'!E240,"")</f>
        <v/>
      </c>
      <c r="F253" s="11" t="str">
        <f>IF('Raw Data'!A240&lt;&gt;"",AVERAGE('Raw Data'!F240,'Raw Data'!H240,'Raw Data'!J240,'Raw Data'!L240,'Raw Data'!N240),"")</f>
        <v/>
      </c>
      <c r="G253" s="11" t="str">
        <f>IF('Raw Data'!A240&lt;&gt;"",AVERAGE('Raw Data'!G240,'Raw Data'!I240,'Raw Data'!K240,'Raw Data'!M240,'Raw Data'!O240),"")</f>
        <v/>
      </c>
      <c r="H253" s="11" t="str">
        <f t="shared" si="36"/>
        <v/>
      </c>
      <c r="I253" s="11" t="str">
        <f>IF('Raw Data'!A240&lt;&gt;"",AVERAGE('Raw Data'!P240,'Raw Data'!R240,'Raw Data'!T240,'Raw Data'!V240,'Raw Data'!X240),"")</f>
        <v/>
      </c>
      <c r="J253" s="11" t="str">
        <f>IF('Raw Data'!A240&lt;&gt;"",AVERAGE('Raw Data'!Q240,'Raw Data'!S240,'Raw Data'!U240,'Raw Data'!W240,'Raw Data'!Y240),"")</f>
        <v/>
      </c>
      <c r="K253" s="11" t="str">
        <f t="shared" si="37"/>
        <v/>
      </c>
      <c r="L253" s="11" t="str">
        <f>IF('Raw Data'!A240&lt;&gt;"",AVERAGE('Raw Data'!Z240,'Raw Data'!AB240,'Raw Data'!AD240,'Raw Data'!AF240,'Raw Data'!AH240),"")</f>
        <v/>
      </c>
      <c r="M253" s="11" t="str">
        <f>IF('Raw Data'!A240&lt;&gt;"",AVERAGE('Raw Data'!AA240,'Raw Data'!AC240,'Raw Data'!AE240,'Raw Data'!AG240,'Raw Data'!AI240),"")</f>
        <v/>
      </c>
      <c r="N253" s="11" t="str">
        <f t="shared" si="38"/>
        <v/>
      </c>
      <c r="O253" s="11" t="str">
        <f>IF('Raw Data'!A240&lt;&gt;"",AVERAGE('Raw Data'!AJ240,'Raw Data'!AL240,'Raw Data'!AN240,'Raw Data'!AP240,'Raw Data'!AR240),"")</f>
        <v/>
      </c>
      <c r="P253" s="11" t="str">
        <f>IF('Raw Data'!A240&lt;&gt;"",AVERAGE('Raw Data'!AK240,'Raw Data'!AM240,'Raw Data'!AO240,'Raw Data'!AQ240,'Raw Data'!AS240),"")</f>
        <v/>
      </c>
      <c r="Q253" s="11" t="str">
        <f t="shared" si="39"/>
        <v/>
      </c>
      <c r="R253" s="11" t="str">
        <f>IF('Raw Data'!A240&lt;&gt;"",AVERAGE('Raw Data'!AT240,'Raw Data'!AV240,'Raw Data'!AX240,'Raw Data'!AZ240,'Raw Data'!BB240),"")</f>
        <v/>
      </c>
      <c r="S253" s="11" t="str">
        <f>IF('Raw Data'!A240&lt;&gt;"",AVERAGE('Raw Data'!AU240,'Raw Data'!AW240,'Raw Data'!AY240,'Raw Data'!BA240,'Raw Data'!BC240),"")</f>
        <v/>
      </c>
      <c r="T253" s="11" t="str">
        <f t="shared" si="40"/>
        <v/>
      </c>
      <c r="U253" s="11" t="str">
        <f>IF('Raw Data'!A240&lt;&gt;"",AVERAGE('Raw Data'!BD240,'Raw Data'!BF240,'Raw Data'!BH240,'Raw Data'!BJ240,'Raw Data'!BL240),"")</f>
        <v/>
      </c>
      <c r="V253" s="11" t="str">
        <f>IF('Raw Data'!A240&lt;&gt;"",AVERAGE('Raw Data'!BE240,'Raw Data'!BG240,'Raw Data'!BI240,'Raw Data'!BK240,'Raw Data'!BM240),"")</f>
        <v/>
      </c>
      <c r="W253" s="11" t="str">
        <f t="shared" si="41"/>
        <v/>
      </c>
      <c r="X253" s="11" t="str">
        <f t="shared" si="42"/>
        <v/>
      </c>
      <c r="Y253" s="11" t="str">
        <f t="shared" si="43"/>
        <v/>
      </c>
      <c r="Z253" s="11" t="str">
        <f t="shared" si="44"/>
        <v/>
      </c>
      <c r="AA253" s="11" t="str">
        <f t="shared" si="45"/>
        <v/>
      </c>
      <c r="AB253" s="24" t="str">
        <f t="shared" si="46"/>
        <v/>
      </c>
    </row>
    <row r="254" spans="1:28" x14ac:dyDescent="0.25">
      <c r="A254" s="10" t="str">
        <f>IF('Raw Data'!A241&lt;&gt;"",'Raw Data'!A241,"")</f>
        <v/>
      </c>
      <c r="B254" s="10" t="str">
        <f>IF('Raw Data'!B241&lt;&gt;"",'Raw Data'!B241,"")</f>
        <v/>
      </c>
      <c r="C254" s="10" t="str">
        <f>IF('Raw Data'!C241&lt;&gt;"",'Raw Data'!C241,"")</f>
        <v/>
      </c>
      <c r="D254" s="10" t="str">
        <f>IF('Raw Data'!D241&lt;&gt;"",'Raw Data'!D241,"")</f>
        <v/>
      </c>
      <c r="E254" s="10" t="str">
        <f>IF('Raw Data'!E241&lt;&gt;"",'Raw Data'!E241,"")</f>
        <v/>
      </c>
      <c r="F254" s="14" t="str">
        <f>IF('Raw Data'!A241&lt;&gt;"",AVERAGE('Raw Data'!F241,'Raw Data'!H241,'Raw Data'!J241,'Raw Data'!L241,'Raw Data'!N241),"")</f>
        <v/>
      </c>
      <c r="G254" s="14" t="str">
        <f>IF('Raw Data'!A241&lt;&gt;"",AVERAGE('Raw Data'!G241,'Raw Data'!I241,'Raw Data'!K241,'Raw Data'!M241,'Raw Data'!O241),"")</f>
        <v/>
      </c>
      <c r="H254" s="14" t="str">
        <f t="shared" si="36"/>
        <v/>
      </c>
      <c r="I254" s="14" t="str">
        <f>IF('Raw Data'!A241&lt;&gt;"",AVERAGE('Raw Data'!P241,'Raw Data'!R241,'Raw Data'!T241,'Raw Data'!V241,'Raw Data'!X241),"")</f>
        <v/>
      </c>
      <c r="J254" s="14" t="str">
        <f>IF('Raw Data'!A241&lt;&gt;"",AVERAGE('Raw Data'!Q241,'Raw Data'!S241,'Raw Data'!U241,'Raw Data'!W241,'Raw Data'!Y241),"")</f>
        <v/>
      </c>
      <c r="K254" s="14" t="str">
        <f t="shared" si="37"/>
        <v/>
      </c>
      <c r="L254" s="14" t="str">
        <f>IF('Raw Data'!A241&lt;&gt;"",AVERAGE('Raw Data'!Z241,'Raw Data'!AB241,'Raw Data'!AD241,'Raw Data'!AF241,'Raw Data'!AH241),"")</f>
        <v/>
      </c>
      <c r="M254" s="14" t="str">
        <f>IF('Raw Data'!A241&lt;&gt;"",AVERAGE('Raw Data'!AA241,'Raw Data'!AC241,'Raw Data'!AE241,'Raw Data'!AG241,'Raw Data'!AI241),"")</f>
        <v/>
      </c>
      <c r="N254" s="14" t="str">
        <f t="shared" si="38"/>
        <v/>
      </c>
      <c r="O254" s="14" t="str">
        <f>IF('Raw Data'!A241&lt;&gt;"",AVERAGE('Raw Data'!AJ241,'Raw Data'!AL241,'Raw Data'!AN241,'Raw Data'!AP241,'Raw Data'!AR241),"")</f>
        <v/>
      </c>
      <c r="P254" s="14" t="str">
        <f>IF('Raw Data'!A241&lt;&gt;"",AVERAGE('Raw Data'!AK241,'Raw Data'!AM241,'Raw Data'!AO241,'Raw Data'!AQ241,'Raw Data'!AS241),"")</f>
        <v/>
      </c>
      <c r="Q254" s="14" t="str">
        <f t="shared" si="39"/>
        <v/>
      </c>
      <c r="R254" s="14" t="str">
        <f>IF('Raw Data'!A241&lt;&gt;"",AVERAGE('Raw Data'!AT241,'Raw Data'!AV241,'Raw Data'!AX241,'Raw Data'!AZ241,'Raw Data'!BB241),"")</f>
        <v/>
      </c>
      <c r="S254" s="14" t="str">
        <f>IF('Raw Data'!A241&lt;&gt;"",AVERAGE('Raw Data'!AU241,'Raw Data'!AW241,'Raw Data'!AY241,'Raw Data'!BA241,'Raw Data'!BC241),"")</f>
        <v/>
      </c>
      <c r="T254" s="14" t="str">
        <f t="shared" si="40"/>
        <v/>
      </c>
      <c r="U254" s="14" t="str">
        <f>IF('Raw Data'!A241&lt;&gt;"",AVERAGE('Raw Data'!BD241,'Raw Data'!BF241,'Raw Data'!BH241,'Raw Data'!BJ241,'Raw Data'!BL241),"")</f>
        <v/>
      </c>
      <c r="V254" s="14" t="str">
        <f>IF('Raw Data'!A241&lt;&gt;"",AVERAGE('Raw Data'!BE241,'Raw Data'!BG241,'Raw Data'!BI241,'Raw Data'!BK241,'Raw Data'!BM241),"")</f>
        <v/>
      </c>
      <c r="W254" s="14" t="str">
        <f t="shared" si="41"/>
        <v/>
      </c>
      <c r="X254" s="14" t="str">
        <f t="shared" si="42"/>
        <v/>
      </c>
      <c r="Y254" s="14" t="str">
        <f t="shared" si="43"/>
        <v/>
      </c>
      <c r="Z254" s="14" t="str">
        <f t="shared" si="44"/>
        <v/>
      </c>
      <c r="AA254" s="14" t="str">
        <f t="shared" si="45"/>
        <v/>
      </c>
      <c r="AB254" s="25" t="str">
        <f t="shared" si="46"/>
        <v/>
      </c>
    </row>
    <row r="255" spans="1:28" x14ac:dyDescent="0.25">
      <c r="A255" s="2" t="str">
        <f>IF('Raw Data'!A242&lt;&gt;"",'Raw Data'!A242,"")</f>
        <v/>
      </c>
      <c r="B255" s="2" t="str">
        <f>IF('Raw Data'!B242&lt;&gt;"",'Raw Data'!B242,"")</f>
        <v/>
      </c>
      <c r="C255" s="2" t="str">
        <f>IF('Raw Data'!C242&lt;&gt;"",'Raw Data'!C242,"")</f>
        <v/>
      </c>
      <c r="D255" s="2" t="str">
        <f>IF('Raw Data'!D242&lt;&gt;"",'Raw Data'!D242,"")</f>
        <v/>
      </c>
      <c r="E255" s="2" t="str">
        <f>IF('Raw Data'!E242&lt;&gt;"",'Raw Data'!E242,"")</f>
        <v/>
      </c>
      <c r="F255" s="11" t="str">
        <f>IF('Raw Data'!A242&lt;&gt;"",AVERAGE('Raw Data'!F242,'Raw Data'!H242,'Raw Data'!J242,'Raw Data'!L242,'Raw Data'!N242),"")</f>
        <v/>
      </c>
      <c r="G255" s="11" t="str">
        <f>IF('Raw Data'!A242&lt;&gt;"",AVERAGE('Raw Data'!G242,'Raw Data'!I242,'Raw Data'!K242,'Raw Data'!M242,'Raw Data'!O242),"")</f>
        <v/>
      </c>
      <c r="H255" s="11" t="str">
        <f t="shared" si="36"/>
        <v/>
      </c>
      <c r="I255" s="11" t="str">
        <f>IF('Raw Data'!A242&lt;&gt;"",AVERAGE('Raw Data'!P242,'Raw Data'!R242,'Raw Data'!T242,'Raw Data'!V242,'Raw Data'!X242),"")</f>
        <v/>
      </c>
      <c r="J255" s="11" t="str">
        <f>IF('Raw Data'!A242&lt;&gt;"",AVERAGE('Raw Data'!Q242,'Raw Data'!S242,'Raw Data'!U242,'Raw Data'!W242,'Raw Data'!Y242),"")</f>
        <v/>
      </c>
      <c r="K255" s="11" t="str">
        <f t="shared" si="37"/>
        <v/>
      </c>
      <c r="L255" s="11" t="str">
        <f>IF('Raw Data'!A242&lt;&gt;"",AVERAGE('Raw Data'!Z242,'Raw Data'!AB242,'Raw Data'!AD242,'Raw Data'!AF242,'Raw Data'!AH242),"")</f>
        <v/>
      </c>
      <c r="M255" s="11" t="str">
        <f>IF('Raw Data'!A242&lt;&gt;"",AVERAGE('Raw Data'!AA242,'Raw Data'!AC242,'Raw Data'!AE242,'Raw Data'!AG242,'Raw Data'!AI242),"")</f>
        <v/>
      </c>
      <c r="N255" s="11" t="str">
        <f t="shared" si="38"/>
        <v/>
      </c>
      <c r="O255" s="11" t="str">
        <f>IF('Raw Data'!A242&lt;&gt;"",AVERAGE('Raw Data'!AJ242,'Raw Data'!AL242,'Raw Data'!AN242,'Raw Data'!AP242,'Raw Data'!AR242),"")</f>
        <v/>
      </c>
      <c r="P255" s="11" t="str">
        <f>IF('Raw Data'!A242&lt;&gt;"",AVERAGE('Raw Data'!AK242,'Raw Data'!AM242,'Raw Data'!AO242,'Raw Data'!AQ242,'Raw Data'!AS242),"")</f>
        <v/>
      </c>
      <c r="Q255" s="11" t="str">
        <f t="shared" si="39"/>
        <v/>
      </c>
      <c r="R255" s="11" t="str">
        <f>IF('Raw Data'!A242&lt;&gt;"",AVERAGE('Raw Data'!AT242,'Raw Data'!AV242,'Raw Data'!AX242,'Raw Data'!AZ242,'Raw Data'!BB242),"")</f>
        <v/>
      </c>
      <c r="S255" s="11" t="str">
        <f>IF('Raw Data'!A242&lt;&gt;"",AVERAGE('Raw Data'!AU242,'Raw Data'!AW242,'Raw Data'!AY242,'Raw Data'!BA242,'Raw Data'!BC242),"")</f>
        <v/>
      </c>
      <c r="T255" s="11" t="str">
        <f t="shared" si="40"/>
        <v/>
      </c>
      <c r="U255" s="11" t="str">
        <f>IF('Raw Data'!A242&lt;&gt;"",AVERAGE('Raw Data'!BD242,'Raw Data'!BF242,'Raw Data'!BH242,'Raw Data'!BJ242,'Raw Data'!BL242),"")</f>
        <v/>
      </c>
      <c r="V255" s="11" t="str">
        <f>IF('Raw Data'!A242&lt;&gt;"",AVERAGE('Raw Data'!BE242,'Raw Data'!BG242,'Raw Data'!BI242,'Raw Data'!BK242,'Raw Data'!BM242),"")</f>
        <v/>
      </c>
      <c r="W255" s="11" t="str">
        <f t="shared" si="41"/>
        <v/>
      </c>
      <c r="X255" s="11" t="str">
        <f t="shared" si="42"/>
        <v/>
      </c>
      <c r="Y255" s="11" t="str">
        <f t="shared" si="43"/>
        <v/>
      </c>
      <c r="Z255" s="11" t="str">
        <f t="shared" si="44"/>
        <v/>
      </c>
      <c r="AA255" s="11" t="str">
        <f t="shared" si="45"/>
        <v/>
      </c>
      <c r="AB255" s="24" t="str">
        <f t="shared" si="46"/>
        <v/>
      </c>
    </row>
    <row r="256" spans="1:28" x14ac:dyDescent="0.25">
      <c r="A256" s="10" t="str">
        <f>IF('Raw Data'!A243&lt;&gt;"",'Raw Data'!A243,"")</f>
        <v/>
      </c>
      <c r="B256" s="10" t="str">
        <f>IF('Raw Data'!B243&lt;&gt;"",'Raw Data'!B243,"")</f>
        <v/>
      </c>
      <c r="C256" s="10" t="str">
        <f>IF('Raw Data'!C243&lt;&gt;"",'Raw Data'!C243,"")</f>
        <v/>
      </c>
      <c r="D256" s="10" t="str">
        <f>IF('Raw Data'!D243&lt;&gt;"",'Raw Data'!D243,"")</f>
        <v/>
      </c>
      <c r="E256" s="10" t="str">
        <f>IF('Raw Data'!E243&lt;&gt;"",'Raw Data'!E243,"")</f>
        <v/>
      </c>
      <c r="F256" s="14" t="str">
        <f>IF('Raw Data'!A243&lt;&gt;"",AVERAGE('Raw Data'!F243,'Raw Data'!H243,'Raw Data'!J243,'Raw Data'!L243,'Raw Data'!N243),"")</f>
        <v/>
      </c>
      <c r="G256" s="14" t="str">
        <f>IF('Raw Data'!A243&lt;&gt;"",AVERAGE('Raw Data'!G243,'Raw Data'!I243,'Raw Data'!K243,'Raw Data'!M243,'Raw Data'!O243),"")</f>
        <v/>
      </c>
      <c r="H256" s="14" t="str">
        <f t="shared" si="36"/>
        <v/>
      </c>
      <c r="I256" s="14" t="str">
        <f>IF('Raw Data'!A243&lt;&gt;"",AVERAGE('Raw Data'!P243,'Raw Data'!R243,'Raw Data'!T243,'Raw Data'!V243,'Raw Data'!X243),"")</f>
        <v/>
      </c>
      <c r="J256" s="14" t="str">
        <f>IF('Raw Data'!A243&lt;&gt;"",AVERAGE('Raw Data'!Q243,'Raw Data'!S243,'Raw Data'!U243,'Raw Data'!W243,'Raw Data'!Y243),"")</f>
        <v/>
      </c>
      <c r="K256" s="14" t="str">
        <f t="shared" si="37"/>
        <v/>
      </c>
      <c r="L256" s="14" t="str">
        <f>IF('Raw Data'!A243&lt;&gt;"",AVERAGE('Raw Data'!Z243,'Raw Data'!AB243,'Raw Data'!AD243,'Raw Data'!AF243,'Raw Data'!AH243),"")</f>
        <v/>
      </c>
      <c r="M256" s="14" t="str">
        <f>IF('Raw Data'!A243&lt;&gt;"",AVERAGE('Raw Data'!AA243,'Raw Data'!AC243,'Raw Data'!AE243,'Raw Data'!AG243,'Raw Data'!AI243),"")</f>
        <v/>
      </c>
      <c r="N256" s="14" t="str">
        <f t="shared" si="38"/>
        <v/>
      </c>
      <c r="O256" s="14" t="str">
        <f>IF('Raw Data'!A243&lt;&gt;"",AVERAGE('Raw Data'!AJ243,'Raw Data'!AL243,'Raw Data'!AN243,'Raw Data'!AP243,'Raw Data'!AR243),"")</f>
        <v/>
      </c>
      <c r="P256" s="14" t="str">
        <f>IF('Raw Data'!A243&lt;&gt;"",AVERAGE('Raw Data'!AK243,'Raw Data'!AM243,'Raw Data'!AO243,'Raw Data'!AQ243,'Raw Data'!AS243),"")</f>
        <v/>
      </c>
      <c r="Q256" s="14" t="str">
        <f t="shared" si="39"/>
        <v/>
      </c>
      <c r="R256" s="14" t="str">
        <f>IF('Raw Data'!A243&lt;&gt;"",AVERAGE('Raw Data'!AT243,'Raw Data'!AV243,'Raw Data'!AX243,'Raw Data'!AZ243,'Raw Data'!BB243),"")</f>
        <v/>
      </c>
      <c r="S256" s="14" t="str">
        <f>IF('Raw Data'!A243&lt;&gt;"",AVERAGE('Raw Data'!AU243,'Raw Data'!AW243,'Raw Data'!AY243,'Raw Data'!BA243,'Raw Data'!BC243),"")</f>
        <v/>
      </c>
      <c r="T256" s="14" t="str">
        <f t="shared" si="40"/>
        <v/>
      </c>
      <c r="U256" s="14" t="str">
        <f>IF('Raw Data'!A243&lt;&gt;"",AVERAGE('Raw Data'!BD243,'Raw Data'!BF243,'Raw Data'!BH243,'Raw Data'!BJ243,'Raw Data'!BL243),"")</f>
        <v/>
      </c>
      <c r="V256" s="14" t="str">
        <f>IF('Raw Data'!A243&lt;&gt;"",AVERAGE('Raw Data'!BE243,'Raw Data'!BG243,'Raw Data'!BI243,'Raw Data'!BK243,'Raw Data'!BM243),"")</f>
        <v/>
      </c>
      <c r="W256" s="14" t="str">
        <f t="shared" si="41"/>
        <v/>
      </c>
      <c r="X256" s="14" t="str">
        <f t="shared" si="42"/>
        <v/>
      </c>
      <c r="Y256" s="14" t="str">
        <f t="shared" si="43"/>
        <v/>
      </c>
      <c r="Z256" s="14" t="str">
        <f t="shared" si="44"/>
        <v/>
      </c>
      <c r="AA256" s="14" t="str">
        <f t="shared" si="45"/>
        <v/>
      </c>
      <c r="AB256" s="25" t="str">
        <f t="shared" si="46"/>
        <v/>
      </c>
    </row>
    <row r="257" spans="1:28" x14ac:dyDescent="0.25">
      <c r="A257" s="2" t="str">
        <f>IF('Raw Data'!A244&lt;&gt;"",'Raw Data'!A244,"")</f>
        <v/>
      </c>
      <c r="B257" s="2" t="str">
        <f>IF('Raw Data'!B244&lt;&gt;"",'Raw Data'!B244,"")</f>
        <v/>
      </c>
      <c r="C257" s="2" t="str">
        <f>IF('Raw Data'!C244&lt;&gt;"",'Raw Data'!C244,"")</f>
        <v/>
      </c>
      <c r="D257" s="2" t="str">
        <f>IF('Raw Data'!D244&lt;&gt;"",'Raw Data'!D244,"")</f>
        <v/>
      </c>
      <c r="E257" s="2" t="str">
        <f>IF('Raw Data'!E244&lt;&gt;"",'Raw Data'!E244,"")</f>
        <v/>
      </c>
      <c r="F257" s="11" t="str">
        <f>IF('Raw Data'!A244&lt;&gt;"",AVERAGE('Raw Data'!F244,'Raw Data'!H244,'Raw Data'!J244,'Raw Data'!L244,'Raw Data'!N244),"")</f>
        <v/>
      </c>
      <c r="G257" s="11" t="str">
        <f>IF('Raw Data'!A244&lt;&gt;"",AVERAGE('Raw Data'!G244,'Raw Data'!I244,'Raw Data'!K244,'Raw Data'!M244,'Raw Data'!O244),"")</f>
        <v/>
      </c>
      <c r="H257" s="11" t="str">
        <f t="shared" si="36"/>
        <v/>
      </c>
      <c r="I257" s="11" t="str">
        <f>IF('Raw Data'!A244&lt;&gt;"",AVERAGE('Raw Data'!P244,'Raw Data'!R244,'Raw Data'!T244,'Raw Data'!V244,'Raw Data'!X244),"")</f>
        <v/>
      </c>
      <c r="J257" s="11" t="str">
        <f>IF('Raw Data'!A244&lt;&gt;"",AVERAGE('Raw Data'!Q244,'Raw Data'!S244,'Raw Data'!U244,'Raw Data'!W244,'Raw Data'!Y244),"")</f>
        <v/>
      </c>
      <c r="K257" s="11" t="str">
        <f t="shared" si="37"/>
        <v/>
      </c>
      <c r="L257" s="11" t="str">
        <f>IF('Raw Data'!A244&lt;&gt;"",AVERAGE('Raw Data'!Z244,'Raw Data'!AB244,'Raw Data'!AD244,'Raw Data'!AF244,'Raw Data'!AH244),"")</f>
        <v/>
      </c>
      <c r="M257" s="11" t="str">
        <f>IF('Raw Data'!A244&lt;&gt;"",AVERAGE('Raw Data'!AA244,'Raw Data'!AC244,'Raw Data'!AE244,'Raw Data'!AG244,'Raw Data'!AI244),"")</f>
        <v/>
      </c>
      <c r="N257" s="11" t="str">
        <f t="shared" si="38"/>
        <v/>
      </c>
      <c r="O257" s="11" t="str">
        <f>IF('Raw Data'!A244&lt;&gt;"",AVERAGE('Raw Data'!AJ244,'Raw Data'!AL244,'Raw Data'!AN244,'Raw Data'!AP244,'Raw Data'!AR244),"")</f>
        <v/>
      </c>
      <c r="P257" s="11" t="str">
        <f>IF('Raw Data'!A244&lt;&gt;"",AVERAGE('Raw Data'!AK244,'Raw Data'!AM244,'Raw Data'!AO244,'Raw Data'!AQ244,'Raw Data'!AS244),"")</f>
        <v/>
      </c>
      <c r="Q257" s="11" t="str">
        <f t="shared" si="39"/>
        <v/>
      </c>
      <c r="R257" s="11" t="str">
        <f>IF('Raw Data'!A244&lt;&gt;"",AVERAGE('Raw Data'!AT244,'Raw Data'!AV244,'Raw Data'!AX244,'Raw Data'!AZ244,'Raw Data'!BB244),"")</f>
        <v/>
      </c>
      <c r="S257" s="11" t="str">
        <f>IF('Raw Data'!A244&lt;&gt;"",AVERAGE('Raw Data'!AU244,'Raw Data'!AW244,'Raw Data'!AY244,'Raw Data'!BA244,'Raw Data'!BC244),"")</f>
        <v/>
      </c>
      <c r="T257" s="11" t="str">
        <f t="shared" si="40"/>
        <v/>
      </c>
      <c r="U257" s="11" t="str">
        <f>IF('Raw Data'!A244&lt;&gt;"",AVERAGE('Raw Data'!BD244,'Raw Data'!BF244,'Raw Data'!BH244,'Raw Data'!BJ244,'Raw Data'!BL244),"")</f>
        <v/>
      </c>
      <c r="V257" s="11" t="str">
        <f>IF('Raw Data'!A244&lt;&gt;"",AVERAGE('Raw Data'!BE244,'Raw Data'!BG244,'Raw Data'!BI244,'Raw Data'!BK244,'Raw Data'!BM244),"")</f>
        <v/>
      </c>
      <c r="W257" s="11" t="str">
        <f t="shared" si="41"/>
        <v/>
      </c>
      <c r="X257" s="11" t="str">
        <f t="shared" si="42"/>
        <v/>
      </c>
      <c r="Y257" s="11" t="str">
        <f t="shared" si="43"/>
        <v/>
      </c>
      <c r="Z257" s="11" t="str">
        <f t="shared" si="44"/>
        <v/>
      </c>
      <c r="AA257" s="11" t="str">
        <f t="shared" si="45"/>
        <v/>
      </c>
      <c r="AB257" s="24" t="str">
        <f t="shared" si="46"/>
        <v/>
      </c>
    </row>
    <row r="258" spans="1:28" x14ac:dyDescent="0.25">
      <c r="A258" s="10" t="str">
        <f>IF('Raw Data'!A245&lt;&gt;"",'Raw Data'!A245,"")</f>
        <v/>
      </c>
      <c r="B258" s="10" t="str">
        <f>IF('Raw Data'!B245&lt;&gt;"",'Raw Data'!B245,"")</f>
        <v/>
      </c>
      <c r="C258" s="10" t="str">
        <f>IF('Raw Data'!C245&lt;&gt;"",'Raw Data'!C245,"")</f>
        <v/>
      </c>
      <c r="D258" s="10" t="str">
        <f>IF('Raw Data'!D245&lt;&gt;"",'Raw Data'!D245,"")</f>
        <v/>
      </c>
      <c r="E258" s="10" t="str">
        <f>IF('Raw Data'!E245&lt;&gt;"",'Raw Data'!E245,"")</f>
        <v/>
      </c>
      <c r="F258" s="14" t="str">
        <f>IF('Raw Data'!A245&lt;&gt;"",AVERAGE('Raw Data'!F245,'Raw Data'!H245,'Raw Data'!J245,'Raw Data'!L245,'Raw Data'!N245),"")</f>
        <v/>
      </c>
      <c r="G258" s="14" t="str">
        <f>IF('Raw Data'!A245&lt;&gt;"",AVERAGE('Raw Data'!G245,'Raw Data'!I245,'Raw Data'!K245,'Raw Data'!M245,'Raw Data'!O245),"")</f>
        <v/>
      </c>
      <c r="H258" s="14" t="str">
        <f t="shared" si="36"/>
        <v/>
      </c>
      <c r="I258" s="14" t="str">
        <f>IF('Raw Data'!A245&lt;&gt;"",AVERAGE('Raw Data'!P245,'Raw Data'!R245,'Raw Data'!T245,'Raw Data'!V245,'Raw Data'!X245),"")</f>
        <v/>
      </c>
      <c r="J258" s="14" t="str">
        <f>IF('Raw Data'!A245&lt;&gt;"",AVERAGE('Raw Data'!Q245,'Raw Data'!S245,'Raw Data'!U245,'Raw Data'!W245,'Raw Data'!Y245),"")</f>
        <v/>
      </c>
      <c r="K258" s="14" t="str">
        <f t="shared" si="37"/>
        <v/>
      </c>
      <c r="L258" s="14" t="str">
        <f>IF('Raw Data'!A245&lt;&gt;"",AVERAGE('Raw Data'!Z245,'Raw Data'!AB245,'Raw Data'!AD245,'Raw Data'!AF245,'Raw Data'!AH245),"")</f>
        <v/>
      </c>
      <c r="M258" s="14" t="str">
        <f>IF('Raw Data'!A245&lt;&gt;"",AVERAGE('Raw Data'!AA245,'Raw Data'!AC245,'Raw Data'!AE245,'Raw Data'!AG245,'Raw Data'!AI245),"")</f>
        <v/>
      </c>
      <c r="N258" s="14" t="str">
        <f t="shared" si="38"/>
        <v/>
      </c>
      <c r="O258" s="14" t="str">
        <f>IF('Raw Data'!A245&lt;&gt;"",AVERAGE('Raw Data'!AJ245,'Raw Data'!AL245,'Raw Data'!AN245,'Raw Data'!AP245,'Raw Data'!AR245),"")</f>
        <v/>
      </c>
      <c r="P258" s="14" t="str">
        <f>IF('Raw Data'!A245&lt;&gt;"",AVERAGE('Raw Data'!AK245,'Raw Data'!AM245,'Raw Data'!AO245,'Raw Data'!AQ245,'Raw Data'!AS245),"")</f>
        <v/>
      </c>
      <c r="Q258" s="14" t="str">
        <f t="shared" si="39"/>
        <v/>
      </c>
      <c r="R258" s="14" t="str">
        <f>IF('Raw Data'!A245&lt;&gt;"",AVERAGE('Raw Data'!AT245,'Raw Data'!AV245,'Raw Data'!AX245,'Raw Data'!AZ245,'Raw Data'!BB245),"")</f>
        <v/>
      </c>
      <c r="S258" s="14" t="str">
        <f>IF('Raw Data'!A245&lt;&gt;"",AVERAGE('Raw Data'!AU245,'Raw Data'!AW245,'Raw Data'!AY245,'Raw Data'!BA245,'Raw Data'!BC245),"")</f>
        <v/>
      </c>
      <c r="T258" s="14" t="str">
        <f t="shared" si="40"/>
        <v/>
      </c>
      <c r="U258" s="14" t="str">
        <f>IF('Raw Data'!A245&lt;&gt;"",AVERAGE('Raw Data'!BD245,'Raw Data'!BF245,'Raw Data'!BH245,'Raw Data'!BJ245,'Raw Data'!BL245),"")</f>
        <v/>
      </c>
      <c r="V258" s="14" t="str">
        <f>IF('Raw Data'!A245&lt;&gt;"",AVERAGE('Raw Data'!BE245,'Raw Data'!BG245,'Raw Data'!BI245,'Raw Data'!BK245,'Raw Data'!BM245),"")</f>
        <v/>
      </c>
      <c r="W258" s="14" t="str">
        <f t="shared" si="41"/>
        <v/>
      </c>
      <c r="X258" s="14" t="str">
        <f t="shared" si="42"/>
        <v/>
      </c>
      <c r="Y258" s="14" t="str">
        <f t="shared" si="43"/>
        <v/>
      </c>
      <c r="Z258" s="14" t="str">
        <f t="shared" si="44"/>
        <v/>
      </c>
      <c r="AA258" s="14" t="str">
        <f t="shared" si="45"/>
        <v/>
      </c>
      <c r="AB258" s="25" t="str">
        <f t="shared" si="46"/>
        <v/>
      </c>
    </row>
    <row r="259" spans="1:28" x14ac:dyDescent="0.25">
      <c r="A259" s="2" t="str">
        <f>IF('Raw Data'!A246&lt;&gt;"",'Raw Data'!A246,"")</f>
        <v/>
      </c>
      <c r="B259" s="2" t="str">
        <f>IF('Raw Data'!B246&lt;&gt;"",'Raw Data'!B246,"")</f>
        <v/>
      </c>
      <c r="C259" s="2" t="str">
        <f>IF('Raw Data'!C246&lt;&gt;"",'Raw Data'!C246,"")</f>
        <v/>
      </c>
      <c r="D259" s="2" t="str">
        <f>IF('Raw Data'!D246&lt;&gt;"",'Raw Data'!D246,"")</f>
        <v/>
      </c>
      <c r="E259" s="2" t="str">
        <f>IF('Raw Data'!E246&lt;&gt;"",'Raw Data'!E246,"")</f>
        <v/>
      </c>
      <c r="F259" s="11" t="str">
        <f>IF('Raw Data'!A246&lt;&gt;"",AVERAGE('Raw Data'!F246,'Raw Data'!H246,'Raw Data'!J246,'Raw Data'!L246,'Raw Data'!N246),"")</f>
        <v/>
      </c>
      <c r="G259" s="11" t="str">
        <f>IF('Raw Data'!A246&lt;&gt;"",AVERAGE('Raw Data'!G246,'Raw Data'!I246,'Raw Data'!K246,'Raw Data'!M246,'Raw Data'!O246),"")</f>
        <v/>
      </c>
      <c r="H259" s="11" t="str">
        <f t="shared" si="36"/>
        <v/>
      </c>
      <c r="I259" s="11" t="str">
        <f>IF('Raw Data'!A246&lt;&gt;"",AVERAGE('Raw Data'!P246,'Raw Data'!R246,'Raw Data'!T246,'Raw Data'!V246,'Raw Data'!X246),"")</f>
        <v/>
      </c>
      <c r="J259" s="11" t="str">
        <f>IF('Raw Data'!A246&lt;&gt;"",AVERAGE('Raw Data'!Q246,'Raw Data'!S246,'Raw Data'!U246,'Raw Data'!W246,'Raw Data'!Y246),"")</f>
        <v/>
      </c>
      <c r="K259" s="11" t="str">
        <f t="shared" si="37"/>
        <v/>
      </c>
      <c r="L259" s="11" t="str">
        <f>IF('Raw Data'!A246&lt;&gt;"",AVERAGE('Raw Data'!Z246,'Raw Data'!AB246,'Raw Data'!AD246,'Raw Data'!AF246,'Raw Data'!AH246),"")</f>
        <v/>
      </c>
      <c r="M259" s="11" t="str">
        <f>IF('Raw Data'!A246&lt;&gt;"",AVERAGE('Raw Data'!AA246,'Raw Data'!AC246,'Raw Data'!AE246,'Raw Data'!AG246,'Raw Data'!AI246),"")</f>
        <v/>
      </c>
      <c r="N259" s="11" t="str">
        <f t="shared" si="38"/>
        <v/>
      </c>
      <c r="O259" s="11" t="str">
        <f>IF('Raw Data'!A246&lt;&gt;"",AVERAGE('Raw Data'!AJ246,'Raw Data'!AL246,'Raw Data'!AN246,'Raw Data'!AP246,'Raw Data'!AR246),"")</f>
        <v/>
      </c>
      <c r="P259" s="11" t="str">
        <f>IF('Raw Data'!A246&lt;&gt;"",AVERAGE('Raw Data'!AK246,'Raw Data'!AM246,'Raw Data'!AO246,'Raw Data'!AQ246,'Raw Data'!AS246),"")</f>
        <v/>
      </c>
      <c r="Q259" s="11" t="str">
        <f t="shared" si="39"/>
        <v/>
      </c>
      <c r="R259" s="11" t="str">
        <f>IF('Raw Data'!A246&lt;&gt;"",AVERAGE('Raw Data'!AT246,'Raw Data'!AV246,'Raw Data'!AX246,'Raw Data'!AZ246,'Raw Data'!BB246),"")</f>
        <v/>
      </c>
      <c r="S259" s="11" t="str">
        <f>IF('Raw Data'!A246&lt;&gt;"",AVERAGE('Raw Data'!AU246,'Raw Data'!AW246,'Raw Data'!AY246,'Raw Data'!BA246,'Raw Data'!BC246),"")</f>
        <v/>
      </c>
      <c r="T259" s="11" t="str">
        <f t="shared" si="40"/>
        <v/>
      </c>
      <c r="U259" s="11" t="str">
        <f>IF('Raw Data'!A246&lt;&gt;"",AVERAGE('Raw Data'!BD246,'Raw Data'!BF246,'Raw Data'!BH246,'Raw Data'!BJ246,'Raw Data'!BL246),"")</f>
        <v/>
      </c>
      <c r="V259" s="11" t="str">
        <f>IF('Raw Data'!A246&lt;&gt;"",AVERAGE('Raw Data'!BE246,'Raw Data'!BG246,'Raw Data'!BI246,'Raw Data'!BK246,'Raw Data'!BM246),"")</f>
        <v/>
      </c>
      <c r="W259" s="11" t="str">
        <f t="shared" si="41"/>
        <v/>
      </c>
      <c r="X259" s="11" t="str">
        <f t="shared" si="42"/>
        <v/>
      </c>
      <c r="Y259" s="11" t="str">
        <f t="shared" si="43"/>
        <v/>
      </c>
      <c r="Z259" s="11" t="str">
        <f t="shared" si="44"/>
        <v/>
      </c>
      <c r="AA259" s="11" t="str">
        <f t="shared" si="45"/>
        <v/>
      </c>
      <c r="AB259" s="24" t="str">
        <f t="shared" si="46"/>
        <v/>
      </c>
    </row>
    <row r="260" spans="1:28" x14ac:dyDescent="0.25">
      <c r="A260" s="10" t="str">
        <f>IF('Raw Data'!A247&lt;&gt;"",'Raw Data'!A247,"")</f>
        <v/>
      </c>
      <c r="B260" s="10" t="str">
        <f>IF('Raw Data'!B247&lt;&gt;"",'Raw Data'!B247,"")</f>
        <v/>
      </c>
      <c r="C260" s="10" t="str">
        <f>IF('Raw Data'!C247&lt;&gt;"",'Raw Data'!C247,"")</f>
        <v/>
      </c>
      <c r="D260" s="10" t="str">
        <f>IF('Raw Data'!D247&lt;&gt;"",'Raw Data'!D247,"")</f>
        <v/>
      </c>
      <c r="E260" s="10" t="str">
        <f>IF('Raw Data'!E247&lt;&gt;"",'Raw Data'!E247,"")</f>
        <v/>
      </c>
      <c r="F260" s="14" t="str">
        <f>IF('Raw Data'!A247&lt;&gt;"",AVERAGE('Raw Data'!F247,'Raw Data'!H247,'Raw Data'!J247,'Raw Data'!L247,'Raw Data'!N247),"")</f>
        <v/>
      </c>
      <c r="G260" s="14" t="str">
        <f>IF('Raw Data'!A247&lt;&gt;"",AVERAGE('Raw Data'!G247,'Raw Data'!I247,'Raw Data'!K247,'Raw Data'!M247,'Raw Data'!O247),"")</f>
        <v/>
      </c>
      <c r="H260" s="14" t="str">
        <f t="shared" si="36"/>
        <v/>
      </c>
      <c r="I260" s="14" t="str">
        <f>IF('Raw Data'!A247&lt;&gt;"",AVERAGE('Raw Data'!P247,'Raw Data'!R247,'Raw Data'!T247,'Raw Data'!V247,'Raw Data'!X247),"")</f>
        <v/>
      </c>
      <c r="J260" s="14" t="str">
        <f>IF('Raw Data'!A247&lt;&gt;"",AVERAGE('Raw Data'!Q247,'Raw Data'!S247,'Raw Data'!U247,'Raw Data'!W247,'Raw Data'!Y247),"")</f>
        <v/>
      </c>
      <c r="K260" s="14" t="str">
        <f t="shared" si="37"/>
        <v/>
      </c>
      <c r="L260" s="14" t="str">
        <f>IF('Raw Data'!A247&lt;&gt;"",AVERAGE('Raw Data'!Z247,'Raw Data'!AB247,'Raw Data'!AD247,'Raw Data'!AF247,'Raw Data'!AH247),"")</f>
        <v/>
      </c>
      <c r="M260" s="14" t="str">
        <f>IF('Raw Data'!A247&lt;&gt;"",AVERAGE('Raw Data'!AA247,'Raw Data'!AC247,'Raw Data'!AE247,'Raw Data'!AG247,'Raw Data'!AI247),"")</f>
        <v/>
      </c>
      <c r="N260" s="14" t="str">
        <f t="shared" si="38"/>
        <v/>
      </c>
      <c r="O260" s="14" t="str">
        <f>IF('Raw Data'!A247&lt;&gt;"",AVERAGE('Raw Data'!AJ247,'Raw Data'!AL247,'Raw Data'!AN247,'Raw Data'!AP247,'Raw Data'!AR247),"")</f>
        <v/>
      </c>
      <c r="P260" s="14" t="str">
        <f>IF('Raw Data'!A247&lt;&gt;"",AVERAGE('Raw Data'!AK247,'Raw Data'!AM247,'Raw Data'!AO247,'Raw Data'!AQ247,'Raw Data'!AS247),"")</f>
        <v/>
      </c>
      <c r="Q260" s="14" t="str">
        <f t="shared" si="39"/>
        <v/>
      </c>
      <c r="R260" s="14" t="str">
        <f>IF('Raw Data'!A247&lt;&gt;"",AVERAGE('Raw Data'!AT247,'Raw Data'!AV247,'Raw Data'!AX247,'Raw Data'!AZ247,'Raw Data'!BB247),"")</f>
        <v/>
      </c>
      <c r="S260" s="14" t="str">
        <f>IF('Raw Data'!A247&lt;&gt;"",AVERAGE('Raw Data'!AU247,'Raw Data'!AW247,'Raw Data'!AY247,'Raw Data'!BA247,'Raw Data'!BC247),"")</f>
        <v/>
      </c>
      <c r="T260" s="14" t="str">
        <f t="shared" si="40"/>
        <v/>
      </c>
      <c r="U260" s="14" t="str">
        <f>IF('Raw Data'!A247&lt;&gt;"",AVERAGE('Raw Data'!BD247,'Raw Data'!BF247,'Raw Data'!BH247,'Raw Data'!BJ247,'Raw Data'!BL247),"")</f>
        <v/>
      </c>
      <c r="V260" s="14" t="str">
        <f>IF('Raw Data'!A247&lt;&gt;"",AVERAGE('Raw Data'!BE247,'Raw Data'!BG247,'Raw Data'!BI247,'Raw Data'!BK247,'Raw Data'!BM247),"")</f>
        <v/>
      </c>
      <c r="W260" s="14" t="str">
        <f t="shared" si="41"/>
        <v/>
      </c>
      <c r="X260" s="14" t="str">
        <f t="shared" si="42"/>
        <v/>
      </c>
      <c r="Y260" s="14" t="str">
        <f t="shared" si="43"/>
        <v/>
      </c>
      <c r="Z260" s="14" t="str">
        <f t="shared" si="44"/>
        <v/>
      </c>
      <c r="AA260" s="14" t="str">
        <f t="shared" si="45"/>
        <v/>
      </c>
      <c r="AB260" s="25" t="str">
        <f t="shared" si="46"/>
        <v/>
      </c>
    </row>
    <row r="261" spans="1:28" x14ac:dyDescent="0.25">
      <c r="A261" s="2" t="str">
        <f>IF('Raw Data'!A248&lt;&gt;"",'Raw Data'!A248,"")</f>
        <v/>
      </c>
      <c r="B261" s="2" t="str">
        <f>IF('Raw Data'!B248&lt;&gt;"",'Raw Data'!B248,"")</f>
        <v/>
      </c>
      <c r="C261" s="2" t="str">
        <f>IF('Raw Data'!C248&lt;&gt;"",'Raw Data'!C248,"")</f>
        <v/>
      </c>
      <c r="D261" s="2" t="str">
        <f>IF('Raw Data'!D248&lt;&gt;"",'Raw Data'!D248,"")</f>
        <v/>
      </c>
      <c r="E261" s="2" t="str">
        <f>IF('Raw Data'!E248&lt;&gt;"",'Raw Data'!E248,"")</f>
        <v/>
      </c>
      <c r="F261" s="11" t="str">
        <f>IF('Raw Data'!A248&lt;&gt;"",AVERAGE('Raw Data'!F248,'Raw Data'!H248,'Raw Data'!J248,'Raw Data'!L248,'Raw Data'!N248),"")</f>
        <v/>
      </c>
      <c r="G261" s="11" t="str">
        <f>IF('Raw Data'!A248&lt;&gt;"",AVERAGE('Raw Data'!G248,'Raw Data'!I248,'Raw Data'!K248,'Raw Data'!M248,'Raw Data'!O248),"")</f>
        <v/>
      </c>
      <c r="H261" s="11" t="str">
        <f t="shared" si="36"/>
        <v/>
      </c>
      <c r="I261" s="11" t="str">
        <f>IF('Raw Data'!A248&lt;&gt;"",AVERAGE('Raw Data'!P248,'Raw Data'!R248,'Raw Data'!T248,'Raw Data'!V248,'Raw Data'!X248),"")</f>
        <v/>
      </c>
      <c r="J261" s="11" t="str">
        <f>IF('Raw Data'!A248&lt;&gt;"",AVERAGE('Raw Data'!Q248,'Raw Data'!S248,'Raw Data'!U248,'Raw Data'!W248,'Raw Data'!Y248),"")</f>
        <v/>
      </c>
      <c r="K261" s="11" t="str">
        <f t="shared" si="37"/>
        <v/>
      </c>
      <c r="L261" s="11" t="str">
        <f>IF('Raw Data'!A248&lt;&gt;"",AVERAGE('Raw Data'!Z248,'Raw Data'!AB248,'Raw Data'!AD248,'Raw Data'!AF248,'Raw Data'!AH248),"")</f>
        <v/>
      </c>
      <c r="M261" s="11" t="str">
        <f>IF('Raw Data'!A248&lt;&gt;"",AVERAGE('Raw Data'!AA248,'Raw Data'!AC248,'Raw Data'!AE248,'Raw Data'!AG248,'Raw Data'!AI248),"")</f>
        <v/>
      </c>
      <c r="N261" s="11" t="str">
        <f t="shared" si="38"/>
        <v/>
      </c>
      <c r="O261" s="11" t="str">
        <f>IF('Raw Data'!A248&lt;&gt;"",AVERAGE('Raw Data'!AJ248,'Raw Data'!AL248,'Raw Data'!AN248,'Raw Data'!AP248,'Raw Data'!AR248),"")</f>
        <v/>
      </c>
      <c r="P261" s="11" t="str">
        <f>IF('Raw Data'!A248&lt;&gt;"",AVERAGE('Raw Data'!AK248,'Raw Data'!AM248,'Raw Data'!AO248,'Raw Data'!AQ248,'Raw Data'!AS248),"")</f>
        <v/>
      </c>
      <c r="Q261" s="11" t="str">
        <f t="shared" si="39"/>
        <v/>
      </c>
      <c r="R261" s="11" t="str">
        <f>IF('Raw Data'!A248&lt;&gt;"",AVERAGE('Raw Data'!AT248,'Raw Data'!AV248,'Raw Data'!AX248,'Raw Data'!AZ248,'Raw Data'!BB248),"")</f>
        <v/>
      </c>
      <c r="S261" s="11" t="str">
        <f>IF('Raw Data'!A248&lt;&gt;"",AVERAGE('Raw Data'!AU248,'Raw Data'!AW248,'Raw Data'!AY248,'Raw Data'!BA248,'Raw Data'!BC248),"")</f>
        <v/>
      </c>
      <c r="T261" s="11" t="str">
        <f t="shared" si="40"/>
        <v/>
      </c>
      <c r="U261" s="11" t="str">
        <f>IF('Raw Data'!A248&lt;&gt;"",AVERAGE('Raw Data'!BD248,'Raw Data'!BF248,'Raw Data'!BH248,'Raw Data'!BJ248,'Raw Data'!BL248),"")</f>
        <v/>
      </c>
      <c r="V261" s="11" t="str">
        <f>IF('Raw Data'!A248&lt;&gt;"",AVERAGE('Raw Data'!BE248,'Raw Data'!BG248,'Raw Data'!BI248,'Raw Data'!BK248,'Raw Data'!BM248),"")</f>
        <v/>
      </c>
      <c r="W261" s="11" t="str">
        <f t="shared" si="41"/>
        <v/>
      </c>
      <c r="X261" s="11" t="str">
        <f t="shared" si="42"/>
        <v/>
      </c>
      <c r="Y261" s="11" t="str">
        <f t="shared" si="43"/>
        <v/>
      </c>
      <c r="Z261" s="11" t="str">
        <f t="shared" si="44"/>
        <v/>
      </c>
      <c r="AA261" s="11" t="str">
        <f t="shared" si="45"/>
        <v/>
      </c>
      <c r="AB261" s="24" t="str">
        <f t="shared" si="46"/>
        <v/>
      </c>
    </row>
    <row r="262" spans="1:28" x14ac:dyDescent="0.25">
      <c r="A262" s="10" t="str">
        <f>IF('Raw Data'!A249&lt;&gt;"",'Raw Data'!A249,"")</f>
        <v/>
      </c>
      <c r="B262" s="10" t="str">
        <f>IF('Raw Data'!B249&lt;&gt;"",'Raw Data'!B249,"")</f>
        <v/>
      </c>
      <c r="C262" s="10" t="str">
        <f>IF('Raw Data'!C249&lt;&gt;"",'Raw Data'!C249,"")</f>
        <v/>
      </c>
      <c r="D262" s="10" t="str">
        <f>IF('Raw Data'!D249&lt;&gt;"",'Raw Data'!D249,"")</f>
        <v/>
      </c>
      <c r="E262" s="10" t="str">
        <f>IF('Raw Data'!E249&lt;&gt;"",'Raw Data'!E249,"")</f>
        <v/>
      </c>
      <c r="F262" s="14" t="str">
        <f>IF('Raw Data'!A249&lt;&gt;"",AVERAGE('Raw Data'!F249,'Raw Data'!H249,'Raw Data'!J249,'Raw Data'!L249,'Raw Data'!N249),"")</f>
        <v/>
      </c>
      <c r="G262" s="14" t="str">
        <f>IF('Raw Data'!A249&lt;&gt;"",AVERAGE('Raw Data'!G249,'Raw Data'!I249,'Raw Data'!K249,'Raw Data'!M249,'Raw Data'!O249),"")</f>
        <v/>
      </c>
      <c r="H262" s="14" t="str">
        <f t="shared" si="36"/>
        <v/>
      </c>
      <c r="I262" s="14" t="str">
        <f>IF('Raw Data'!A249&lt;&gt;"",AVERAGE('Raw Data'!P249,'Raw Data'!R249,'Raw Data'!T249,'Raw Data'!V249,'Raw Data'!X249),"")</f>
        <v/>
      </c>
      <c r="J262" s="14" t="str">
        <f>IF('Raw Data'!A249&lt;&gt;"",AVERAGE('Raw Data'!Q249,'Raw Data'!S249,'Raw Data'!U249,'Raw Data'!W249,'Raw Data'!Y249),"")</f>
        <v/>
      </c>
      <c r="K262" s="14" t="str">
        <f t="shared" si="37"/>
        <v/>
      </c>
      <c r="L262" s="14" t="str">
        <f>IF('Raw Data'!A249&lt;&gt;"",AVERAGE('Raw Data'!Z249,'Raw Data'!AB249,'Raw Data'!AD249,'Raw Data'!AF249,'Raw Data'!AH249),"")</f>
        <v/>
      </c>
      <c r="M262" s="14" t="str">
        <f>IF('Raw Data'!A249&lt;&gt;"",AVERAGE('Raw Data'!AA249,'Raw Data'!AC249,'Raw Data'!AE249,'Raw Data'!AG249,'Raw Data'!AI249),"")</f>
        <v/>
      </c>
      <c r="N262" s="14" t="str">
        <f t="shared" si="38"/>
        <v/>
      </c>
      <c r="O262" s="14" t="str">
        <f>IF('Raw Data'!A249&lt;&gt;"",AVERAGE('Raw Data'!AJ249,'Raw Data'!AL249,'Raw Data'!AN249,'Raw Data'!AP249,'Raw Data'!AR249),"")</f>
        <v/>
      </c>
      <c r="P262" s="14" t="str">
        <f>IF('Raw Data'!A249&lt;&gt;"",AVERAGE('Raw Data'!AK249,'Raw Data'!AM249,'Raw Data'!AO249,'Raw Data'!AQ249,'Raw Data'!AS249),"")</f>
        <v/>
      </c>
      <c r="Q262" s="14" t="str">
        <f t="shared" si="39"/>
        <v/>
      </c>
      <c r="R262" s="14" t="str">
        <f>IF('Raw Data'!A249&lt;&gt;"",AVERAGE('Raw Data'!AT249,'Raw Data'!AV249,'Raw Data'!AX249,'Raw Data'!AZ249,'Raw Data'!BB249),"")</f>
        <v/>
      </c>
      <c r="S262" s="14" t="str">
        <f>IF('Raw Data'!A249&lt;&gt;"",AVERAGE('Raw Data'!AU249,'Raw Data'!AW249,'Raw Data'!AY249,'Raw Data'!BA249,'Raw Data'!BC249),"")</f>
        <v/>
      </c>
      <c r="T262" s="14" t="str">
        <f t="shared" si="40"/>
        <v/>
      </c>
      <c r="U262" s="14" t="str">
        <f>IF('Raw Data'!A249&lt;&gt;"",AVERAGE('Raw Data'!BD249,'Raw Data'!BF249,'Raw Data'!BH249,'Raw Data'!BJ249,'Raw Data'!BL249),"")</f>
        <v/>
      </c>
      <c r="V262" s="14" t="str">
        <f>IF('Raw Data'!A249&lt;&gt;"",AVERAGE('Raw Data'!BE249,'Raw Data'!BG249,'Raw Data'!BI249,'Raw Data'!BK249,'Raw Data'!BM249),"")</f>
        <v/>
      </c>
      <c r="W262" s="14" t="str">
        <f t="shared" si="41"/>
        <v/>
      </c>
      <c r="X262" s="14" t="str">
        <f t="shared" si="42"/>
        <v/>
      </c>
      <c r="Y262" s="14" t="str">
        <f t="shared" si="43"/>
        <v/>
      </c>
      <c r="Z262" s="14" t="str">
        <f t="shared" si="44"/>
        <v/>
      </c>
      <c r="AA262" s="14" t="str">
        <f t="shared" si="45"/>
        <v/>
      </c>
      <c r="AB262" s="25" t="str">
        <f t="shared" si="46"/>
        <v/>
      </c>
    </row>
    <row r="263" spans="1:28" x14ac:dyDescent="0.25">
      <c r="A263" s="2" t="str">
        <f>IF('Raw Data'!A250&lt;&gt;"",'Raw Data'!A250,"")</f>
        <v/>
      </c>
      <c r="B263" s="2" t="str">
        <f>IF('Raw Data'!B250&lt;&gt;"",'Raw Data'!B250,"")</f>
        <v/>
      </c>
      <c r="C263" s="2" t="str">
        <f>IF('Raw Data'!C250&lt;&gt;"",'Raw Data'!C250,"")</f>
        <v/>
      </c>
      <c r="D263" s="2" t="str">
        <f>IF('Raw Data'!D250&lt;&gt;"",'Raw Data'!D250,"")</f>
        <v/>
      </c>
      <c r="E263" s="2" t="str">
        <f>IF('Raw Data'!E250&lt;&gt;"",'Raw Data'!E250,"")</f>
        <v/>
      </c>
      <c r="F263" s="11" t="str">
        <f>IF('Raw Data'!A250&lt;&gt;"",AVERAGE('Raw Data'!F250,'Raw Data'!H250,'Raw Data'!J250,'Raw Data'!L250,'Raw Data'!N250),"")</f>
        <v/>
      </c>
      <c r="G263" s="11" t="str">
        <f>IF('Raw Data'!A250&lt;&gt;"",AVERAGE('Raw Data'!G250,'Raw Data'!I250,'Raw Data'!K250,'Raw Data'!M250,'Raw Data'!O250),"")</f>
        <v/>
      </c>
      <c r="H263" s="11" t="str">
        <f t="shared" si="36"/>
        <v/>
      </c>
      <c r="I263" s="11" t="str">
        <f>IF('Raw Data'!A250&lt;&gt;"",AVERAGE('Raw Data'!P250,'Raw Data'!R250,'Raw Data'!T250,'Raw Data'!V250,'Raw Data'!X250),"")</f>
        <v/>
      </c>
      <c r="J263" s="11" t="str">
        <f>IF('Raw Data'!A250&lt;&gt;"",AVERAGE('Raw Data'!Q250,'Raw Data'!S250,'Raw Data'!U250,'Raw Data'!W250,'Raw Data'!Y250),"")</f>
        <v/>
      </c>
      <c r="K263" s="11" t="str">
        <f t="shared" si="37"/>
        <v/>
      </c>
      <c r="L263" s="11" t="str">
        <f>IF('Raw Data'!A250&lt;&gt;"",AVERAGE('Raw Data'!Z250,'Raw Data'!AB250,'Raw Data'!AD250,'Raw Data'!AF250,'Raw Data'!AH250),"")</f>
        <v/>
      </c>
      <c r="M263" s="11" t="str">
        <f>IF('Raw Data'!A250&lt;&gt;"",AVERAGE('Raw Data'!AA250,'Raw Data'!AC250,'Raw Data'!AE250,'Raw Data'!AG250,'Raw Data'!AI250),"")</f>
        <v/>
      </c>
      <c r="N263" s="11" t="str">
        <f t="shared" si="38"/>
        <v/>
      </c>
      <c r="O263" s="11" t="str">
        <f>IF('Raw Data'!A250&lt;&gt;"",AVERAGE('Raw Data'!AJ250,'Raw Data'!AL250,'Raw Data'!AN250,'Raw Data'!AP250,'Raw Data'!AR250),"")</f>
        <v/>
      </c>
      <c r="P263" s="11" t="str">
        <f>IF('Raw Data'!A250&lt;&gt;"",AVERAGE('Raw Data'!AK250,'Raw Data'!AM250,'Raw Data'!AO250,'Raw Data'!AQ250,'Raw Data'!AS250),"")</f>
        <v/>
      </c>
      <c r="Q263" s="11" t="str">
        <f t="shared" si="39"/>
        <v/>
      </c>
      <c r="R263" s="11" t="str">
        <f>IF('Raw Data'!A250&lt;&gt;"",AVERAGE('Raw Data'!AT250,'Raw Data'!AV250,'Raw Data'!AX250,'Raw Data'!AZ250,'Raw Data'!BB250),"")</f>
        <v/>
      </c>
      <c r="S263" s="11" t="str">
        <f>IF('Raw Data'!A250&lt;&gt;"",AVERAGE('Raw Data'!AU250,'Raw Data'!AW250,'Raw Data'!AY250,'Raw Data'!BA250,'Raw Data'!BC250),"")</f>
        <v/>
      </c>
      <c r="T263" s="11" t="str">
        <f t="shared" si="40"/>
        <v/>
      </c>
      <c r="U263" s="11" t="str">
        <f>IF('Raw Data'!A250&lt;&gt;"",AVERAGE('Raw Data'!BD250,'Raw Data'!BF250,'Raw Data'!BH250,'Raw Data'!BJ250,'Raw Data'!BL250),"")</f>
        <v/>
      </c>
      <c r="V263" s="11" t="str">
        <f>IF('Raw Data'!A250&lt;&gt;"",AVERAGE('Raw Data'!BE250,'Raw Data'!BG250,'Raw Data'!BI250,'Raw Data'!BK250,'Raw Data'!BM250),"")</f>
        <v/>
      </c>
      <c r="W263" s="11" t="str">
        <f t="shared" si="41"/>
        <v/>
      </c>
      <c r="X263" s="11" t="str">
        <f t="shared" si="42"/>
        <v/>
      </c>
      <c r="Y263" s="11" t="str">
        <f t="shared" si="43"/>
        <v/>
      </c>
      <c r="Z263" s="11" t="str">
        <f t="shared" si="44"/>
        <v/>
      </c>
      <c r="AA263" s="11" t="str">
        <f t="shared" si="45"/>
        <v/>
      </c>
      <c r="AB263" s="24" t="str">
        <f t="shared" si="46"/>
        <v/>
      </c>
    </row>
    <row r="264" spans="1:28" x14ac:dyDescent="0.25">
      <c r="A264" s="10" t="str">
        <f>IF('Raw Data'!A251&lt;&gt;"",'Raw Data'!A251,"")</f>
        <v/>
      </c>
      <c r="B264" s="10" t="str">
        <f>IF('Raw Data'!B251&lt;&gt;"",'Raw Data'!B251,"")</f>
        <v/>
      </c>
      <c r="C264" s="10" t="str">
        <f>IF('Raw Data'!C251&lt;&gt;"",'Raw Data'!C251,"")</f>
        <v/>
      </c>
      <c r="D264" s="10" t="str">
        <f>IF('Raw Data'!D251&lt;&gt;"",'Raw Data'!D251,"")</f>
        <v/>
      </c>
      <c r="E264" s="10" t="str">
        <f>IF('Raw Data'!E251&lt;&gt;"",'Raw Data'!E251,"")</f>
        <v/>
      </c>
      <c r="F264" s="14" t="str">
        <f>IF('Raw Data'!A251&lt;&gt;"",AVERAGE('Raw Data'!F251,'Raw Data'!H251,'Raw Data'!J251,'Raw Data'!L251,'Raw Data'!N251),"")</f>
        <v/>
      </c>
      <c r="G264" s="14" t="str">
        <f>IF('Raw Data'!A251&lt;&gt;"",AVERAGE('Raw Data'!G251,'Raw Data'!I251,'Raw Data'!K251,'Raw Data'!M251,'Raw Data'!O251),"")</f>
        <v/>
      </c>
      <c r="H264" s="14" t="str">
        <f t="shared" si="36"/>
        <v/>
      </c>
      <c r="I264" s="14" t="str">
        <f>IF('Raw Data'!A251&lt;&gt;"",AVERAGE('Raw Data'!P251,'Raw Data'!R251,'Raw Data'!T251,'Raw Data'!V251,'Raw Data'!X251),"")</f>
        <v/>
      </c>
      <c r="J264" s="14" t="str">
        <f>IF('Raw Data'!A251&lt;&gt;"",AVERAGE('Raw Data'!Q251,'Raw Data'!S251,'Raw Data'!U251,'Raw Data'!W251,'Raw Data'!Y251),"")</f>
        <v/>
      </c>
      <c r="K264" s="14" t="str">
        <f t="shared" si="37"/>
        <v/>
      </c>
      <c r="L264" s="14" t="str">
        <f>IF('Raw Data'!A251&lt;&gt;"",AVERAGE('Raw Data'!Z251,'Raw Data'!AB251,'Raw Data'!AD251,'Raw Data'!AF251,'Raw Data'!AH251),"")</f>
        <v/>
      </c>
      <c r="M264" s="14" t="str">
        <f>IF('Raw Data'!A251&lt;&gt;"",AVERAGE('Raw Data'!AA251,'Raw Data'!AC251,'Raw Data'!AE251,'Raw Data'!AG251,'Raw Data'!AI251),"")</f>
        <v/>
      </c>
      <c r="N264" s="14" t="str">
        <f t="shared" si="38"/>
        <v/>
      </c>
      <c r="O264" s="14" t="str">
        <f>IF('Raw Data'!A251&lt;&gt;"",AVERAGE('Raw Data'!AJ251,'Raw Data'!AL251,'Raw Data'!AN251,'Raw Data'!AP251,'Raw Data'!AR251),"")</f>
        <v/>
      </c>
      <c r="P264" s="14" t="str">
        <f>IF('Raw Data'!A251&lt;&gt;"",AVERAGE('Raw Data'!AK251,'Raw Data'!AM251,'Raw Data'!AO251,'Raw Data'!AQ251,'Raw Data'!AS251),"")</f>
        <v/>
      </c>
      <c r="Q264" s="14" t="str">
        <f t="shared" si="39"/>
        <v/>
      </c>
      <c r="R264" s="14" t="str">
        <f>IF('Raw Data'!A251&lt;&gt;"",AVERAGE('Raw Data'!AT251,'Raw Data'!AV251,'Raw Data'!AX251,'Raw Data'!AZ251,'Raw Data'!BB251),"")</f>
        <v/>
      </c>
      <c r="S264" s="14" t="str">
        <f>IF('Raw Data'!A251&lt;&gt;"",AVERAGE('Raw Data'!AU251,'Raw Data'!AW251,'Raw Data'!AY251,'Raw Data'!BA251,'Raw Data'!BC251),"")</f>
        <v/>
      </c>
      <c r="T264" s="14" t="str">
        <f t="shared" si="40"/>
        <v/>
      </c>
      <c r="U264" s="14" t="str">
        <f>IF('Raw Data'!A251&lt;&gt;"",AVERAGE('Raw Data'!BD251,'Raw Data'!BF251,'Raw Data'!BH251,'Raw Data'!BJ251,'Raw Data'!BL251),"")</f>
        <v/>
      </c>
      <c r="V264" s="14" t="str">
        <f>IF('Raw Data'!A251&lt;&gt;"",AVERAGE('Raw Data'!BE251,'Raw Data'!BG251,'Raw Data'!BI251,'Raw Data'!BK251,'Raw Data'!BM251),"")</f>
        <v/>
      </c>
      <c r="W264" s="14" t="str">
        <f t="shared" si="41"/>
        <v/>
      </c>
      <c r="X264" s="14" t="str">
        <f t="shared" si="42"/>
        <v/>
      </c>
      <c r="Y264" s="14" t="str">
        <f t="shared" si="43"/>
        <v/>
      </c>
      <c r="Z264" s="14" t="str">
        <f t="shared" si="44"/>
        <v/>
      </c>
      <c r="AA264" s="14" t="str">
        <f t="shared" si="45"/>
        <v/>
      </c>
      <c r="AB264" s="25" t="str">
        <f t="shared" si="46"/>
        <v/>
      </c>
    </row>
    <row r="265" spans="1:28" x14ac:dyDescent="0.25">
      <c r="A265" s="2" t="str">
        <f>IF('Raw Data'!A252&lt;&gt;"",'Raw Data'!A252,"")</f>
        <v/>
      </c>
      <c r="B265" s="2" t="str">
        <f>IF('Raw Data'!B252&lt;&gt;"",'Raw Data'!B252,"")</f>
        <v/>
      </c>
      <c r="C265" s="2" t="str">
        <f>IF('Raw Data'!C252&lt;&gt;"",'Raw Data'!C252,"")</f>
        <v/>
      </c>
      <c r="D265" s="2" t="str">
        <f>IF('Raw Data'!D252&lt;&gt;"",'Raw Data'!D252,"")</f>
        <v/>
      </c>
      <c r="E265" s="2" t="str">
        <f>IF('Raw Data'!E252&lt;&gt;"",'Raw Data'!E252,"")</f>
        <v/>
      </c>
      <c r="F265" s="11" t="str">
        <f>IF('Raw Data'!A252&lt;&gt;"",AVERAGE('Raw Data'!F252,'Raw Data'!H252,'Raw Data'!J252,'Raw Data'!L252,'Raw Data'!N252),"")</f>
        <v/>
      </c>
      <c r="G265" s="11" t="str">
        <f>IF('Raw Data'!A252&lt;&gt;"",AVERAGE('Raw Data'!G252,'Raw Data'!I252,'Raw Data'!K252,'Raw Data'!M252,'Raw Data'!O252),"")</f>
        <v/>
      </c>
      <c r="H265" s="11" t="str">
        <f t="shared" si="36"/>
        <v/>
      </c>
      <c r="I265" s="11" t="str">
        <f>IF('Raw Data'!A252&lt;&gt;"",AVERAGE('Raw Data'!P252,'Raw Data'!R252,'Raw Data'!T252,'Raw Data'!V252,'Raw Data'!X252),"")</f>
        <v/>
      </c>
      <c r="J265" s="11" t="str">
        <f>IF('Raw Data'!A252&lt;&gt;"",AVERAGE('Raw Data'!Q252,'Raw Data'!S252,'Raw Data'!U252,'Raw Data'!W252,'Raw Data'!Y252),"")</f>
        <v/>
      </c>
      <c r="K265" s="11" t="str">
        <f t="shared" si="37"/>
        <v/>
      </c>
      <c r="L265" s="11" t="str">
        <f>IF('Raw Data'!A252&lt;&gt;"",AVERAGE('Raw Data'!Z252,'Raw Data'!AB252,'Raw Data'!AD252,'Raw Data'!AF252,'Raw Data'!AH252),"")</f>
        <v/>
      </c>
      <c r="M265" s="11" t="str">
        <f>IF('Raw Data'!A252&lt;&gt;"",AVERAGE('Raw Data'!AA252,'Raw Data'!AC252,'Raw Data'!AE252,'Raw Data'!AG252,'Raw Data'!AI252),"")</f>
        <v/>
      </c>
      <c r="N265" s="11" t="str">
        <f t="shared" si="38"/>
        <v/>
      </c>
      <c r="O265" s="11" t="str">
        <f>IF('Raw Data'!A252&lt;&gt;"",AVERAGE('Raw Data'!AJ252,'Raw Data'!AL252,'Raw Data'!AN252,'Raw Data'!AP252,'Raw Data'!AR252),"")</f>
        <v/>
      </c>
      <c r="P265" s="11" t="str">
        <f>IF('Raw Data'!A252&lt;&gt;"",AVERAGE('Raw Data'!AK252,'Raw Data'!AM252,'Raw Data'!AO252,'Raw Data'!AQ252,'Raw Data'!AS252),"")</f>
        <v/>
      </c>
      <c r="Q265" s="11" t="str">
        <f t="shared" si="39"/>
        <v/>
      </c>
      <c r="R265" s="11" t="str">
        <f>IF('Raw Data'!A252&lt;&gt;"",AVERAGE('Raw Data'!AT252,'Raw Data'!AV252,'Raw Data'!AX252,'Raw Data'!AZ252,'Raw Data'!BB252),"")</f>
        <v/>
      </c>
      <c r="S265" s="11" t="str">
        <f>IF('Raw Data'!A252&lt;&gt;"",AVERAGE('Raw Data'!AU252,'Raw Data'!AW252,'Raw Data'!AY252,'Raw Data'!BA252,'Raw Data'!BC252),"")</f>
        <v/>
      </c>
      <c r="T265" s="11" t="str">
        <f t="shared" si="40"/>
        <v/>
      </c>
      <c r="U265" s="11" t="str">
        <f>IF('Raw Data'!A252&lt;&gt;"",AVERAGE('Raw Data'!BD252,'Raw Data'!BF252,'Raw Data'!BH252,'Raw Data'!BJ252,'Raw Data'!BL252),"")</f>
        <v/>
      </c>
      <c r="V265" s="11" t="str">
        <f>IF('Raw Data'!A252&lt;&gt;"",AVERAGE('Raw Data'!BE252,'Raw Data'!BG252,'Raw Data'!BI252,'Raw Data'!BK252,'Raw Data'!BM252),"")</f>
        <v/>
      </c>
      <c r="W265" s="11" t="str">
        <f t="shared" si="41"/>
        <v/>
      </c>
      <c r="X265" s="11" t="str">
        <f t="shared" si="42"/>
        <v/>
      </c>
      <c r="Y265" s="11" t="str">
        <f t="shared" si="43"/>
        <v/>
      </c>
      <c r="Z265" s="11" t="str">
        <f t="shared" si="44"/>
        <v/>
      </c>
      <c r="AA265" s="11" t="str">
        <f t="shared" si="45"/>
        <v/>
      </c>
      <c r="AB265" s="24" t="str">
        <f t="shared" si="46"/>
        <v/>
      </c>
    </row>
    <row r="266" spans="1:28" x14ac:dyDescent="0.25">
      <c r="A266" s="10" t="str">
        <f>IF('Raw Data'!A253&lt;&gt;"",'Raw Data'!A253,"")</f>
        <v/>
      </c>
      <c r="B266" s="10" t="str">
        <f>IF('Raw Data'!B253&lt;&gt;"",'Raw Data'!B253,"")</f>
        <v/>
      </c>
      <c r="C266" s="10" t="str">
        <f>IF('Raw Data'!C253&lt;&gt;"",'Raw Data'!C253,"")</f>
        <v/>
      </c>
      <c r="D266" s="10" t="str">
        <f>IF('Raw Data'!D253&lt;&gt;"",'Raw Data'!D253,"")</f>
        <v/>
      </c>
      <c r="E266" s="10" t="str">
        <f>IF('Raw Data'!E253&lt;&gt;"",'Raw Data'!E253,"")</f>
        <v/>
      </c>
      <c r="F266" s="14" t="str">
        <f>IF('Raw Data'!A253&lt;&gt;"",AVERAGE('Raw Data'!F253,'Raw Data'!H253,'Raw Data'!J253,'Raw Data'!L253,'Raw Data'!N253),"")</f>
        <v/>
      </c>
      <c r="G266" s="14" t="str">
        <f>IF('Raw Data'!A253&lt;&gt;"",AVERAGE('Raw Data'!G253,'Raw Data'!I253,'Raw Data'!K253,'Raw Data'!M253,'Raw Data'!O253),"")</f>
        <v/>
      </c>
      <c r="H266" s="14" t="str">
        <f t="shared" si="36"/>
        <v/>
      </c>
      <c r="I266" s="14" t="str">
        <f>IF('Raw Data'!A253&lt;&gt;"",AVERAGE('Raw Data'!P253,'Raw Data'!R253,'Raw Data'!T253,'Raw Data'!V253,'Raw Data'!X253),"")</f>
        <v/>
      </c>
      <c r="J266" s="14" t="str">
        <f>IF('Raw Data'!A253&lt;&gt;"",AVERAGE('Raw Data'!Q253,'Raw Data'!S253,'Raw Data'!U253,'Raw Data'!W253,'Raw Data'!Y253),"")</f>
        <v/>
      </c>
      <c r="K266" s="14" t="str">
        <f t="shared" si="37"/>
        <v/>
      </c>
      <c r="L266" s="14" t="str">
        <f>IF('Raw Data'!A253&lt;&gt;"",AVERAGE('Raw Data'!Z253,'Raw Data'!AB253,'Raw Data'!AD253,'Raw Data'!AF253,'Raw Data'!AH253),"")</f>
        <v/>
      </c>
      <c r="M266" s="14" t="str">
        <f>IF('Raw Data'!A253&lt;&gt;"",AVERAGE('Raw Data'!AA253,'Raw Data'!AC253,'Raw Data'!AE253,'Raw Data'!AG253,'Raw Data'!AI253),"")</f>
        <v/>
      </c>
      <c r="N266" s="14" t="str">
        <f t="shared" si="38"/>
        <v/>
      </c>
      <c r="O266" s="14" t="str">
        <f>IF('Raw Data'!A253&lt;&gt;"",AVERAGE('Raw Data'!AJ253,'Raw Data'!AL253,'Raw Data'!AN253,'Raw Data'!AP253,'Raw Data'!AR253),"")</f>
        <v/>
      </c>
      <c r="P266" s="14" t="str">
        <f>IF('Raw Data'!A253&lt;&gt;"",AVERAGE('Raw Data'!AK253,'Raw Data'!AM253,'Raw Data'!AO253,'Raw Data'!AQ253,'Raw Data'!AS253),"")</f>
        <v/>
      </c>
      <c r="Q266" s="14" t="str">
        <f t="shared" si="39"/>
        <v/>
      </c>
      <c r="R266" s="14" t="str">
        <f>IF('Raw Data'!A253&lt;&gt;"",AVERAGE('Raw Data'!AT253,'Raw Data'!AV253,'Raw Data'!AX253,'Raw Data'!AZ253,'Raw Data'!BB253),"")</f>
        <v/>
      </c>
      <c r="S266" s="14" t="str">
        <f>IF('Raw Data'!A253&lt;&gt;"",AVERAGE('Raw Data'!AU253,'Raw Data'!AW253,'Raw Data'!AY253,'Raw Data'!BA253,'Raw Data'!BC253),"")</f>
        <v/>
      </c>
      <c r="T266" s="14" t="str">
        <f t="shared" si="40"/>
        <v/>
      </c>
      <c r="U266" s="14" t="str">
        <f>IF('Raw Data'!A253&lt;&gt;"",AVERAGE('Raw Data'!BD253,'Raw Data'!BF253,'Raw Data'!BH253,'Raw Data'!BJ253,'Raw Data'!BL253),"")</f>
        <v/>
      </c>
      <c r="V266" s="14" t="str">
        <f>IF('Raw Data'!A253&lt;&gt;"",AVERAGE('Raw Data'!BE253,'Raw Data'!BG253,'Raw Data'!BI253,'Raw Data'!BK253,'Raw Data'!BM253),"")</f>
        <v/>
      </c>
      <c r="W266" s="14" t="str">
        <f t="shared" si="41"/>
        <v/>
      </c>
      <c r="X266" s="14" t="str">
        <f t="shared" si="42"/>
        <v/>
      </c>
      <c r="Y266" s="14" t="str">
        <f t="shared" si="43"/>
        <v/>
      </c>
      <c r="Z266" s="14" t="str">
        <f t="shared" si="44"/>
        <v/>
      </c>
      <c r="AA266" s="14" t="str">
        <f t="shared" si="45"/>
        <v/>
      </c>
      <c r="AB266" s="25" t="str">
        <f t="shared" si="46"/>
        <v/>
      </c>
    </row>
    <row r="267" spans="1:28" x14ac:dyDescent="0.25">
      <c r="A267" s="2" t="str">
        <f>IF('Raw Data'!A254&lt;&gt;"",'Raw Data'!A254,"")</f>
        <v/>
      </c>
      <c r="B267" s="2" t="str">
        <f>IF('Raw Data'!B254&lt;&gt;"",'Raw Data'!B254,"")</f>
        <v/>
      </c>
      <c r="C267" s="2" t="str">
        <f>IF('Raw Data'!C254&lt;&gt;"",'Raw Data'!C254,"")</f>
        <v/>
      </c>
      <c r="D267" s="2" t="str">
        <f>IF('Raw Data'!D254&lt;&gt;"",'Raw Data'!D254,"")</f>
        <v/>
      </c>
      <c r="E267" s="2" t="str">
        <f>IF('Raw Data'!E254&lt;&gt;"",'Raw Data'!E254,"")</f>
        <v/>
      </c>
      <c r="F267" s="11" t="str">
        <f>IF('Raw Data'!A254&lt;&gt;"",AVERAGE('Raw Data'!F254,'Raw Data'!H254,'Raw Data'!J254,'Raw Data'!L254,'Raw Data'!N254),"")</f>
        <v/>
      </c>
      <c r="G267" s="11" t="str">
        <f>IF('Raw Data'!A254&lt;&gt;"",AVERAGE('Raw Data'!G254,'Raw Data'!I254,'Raw Data'!K254,'Raw Data'!M254,'Raw Data'!O254),"")</f>
        <v/>
      </c>
      <c r="H267" s="11" t="str">
        <f t="shared" si="36"/>
        <v/>
      </c>
      <c r="I267" s="11" t="str">
        <f>IF('Raw Data'!A254&lt;&gt;"",AVERAGE('Raw Data'!P254,'Raw Data'!R254,'Raw Data'!T254,'Raw Data'!V254,'Raw Data'!X254),"")</f>
        <v/>
      </c>
      <c r="J267" s="11" t="str">
        <f>IF('Raw Data'!A254&lt;&gt;"",AVERAGE('Raw Data'!Q254,'Raw Data'!S254,'Raw Data'!U254,'Raw Data'!W254,'Raw Data'!Y254),"")</f>
        <v/>
      </c>
      <c r="K267" s="11" t="str">
        <f t="shared" si="37"/>
        <v/>
      </c>
      <c r="L267" s="11" t="str">
        <f>IF('Raw Data'!A254&lt;&gt;"",AVERAGE('Raw Data'!Z254,'Raw Data'!AB254,'Raw Data'!AD254,'Raw Data'!AF254,'Raw Data'!AH254),"")</f>
        <v/>
      </c>
      <c r="M267" s="11" t="str">
        <f>IF('Raw Data'!A254&lt;&gt;"",AVERAGE('Raw Data'!AA254,'Raw Data'!AC254,'Raw Data'!AE254,'Raw Data'!AG254,'Raw Data'!AI254),"")</f>
        <v/>
      </c>
      <c r="N267" s="11" t="str">
        <f t="shared" si="38"/>
        <v/>
      </c>
      <c r="O267" s="11" t="str">
        <f>IF('Raw Data'!A254&lt;&gt;"",AVERAGE('Raw Data'!AJ254,'Raw Data'!AL254,'Raw Data'!AN254,'Raw Data'!AP254,'Raw Data'!AR254),"")</f>
        <v/>
      </c>
      <c r="P267" s="11" t="str">
        <f>IF('Raw Data'!A254&lt;&gt;"",AVERAGE('Raw Data'!AK254,'Raw Data'!AM254,'Raw Data'!AO254,'Raw Data'!AQ254,'Raw Data'!AS254),"")</f>
        <v/>
      </c>
      <c r="Q267" s="11" t="str">
        <f t="shared" si="39"/>
        <v/>
      </c>
      <c r="R267" s="11" t="str">
        <f>IF('Raw Data'!A254&lt;&gt;"",AVERAGE('Raw Data'!AT254,'Raw Data'!AV254,'Raw Data'!AX254,'Raw Data'!AZ254,'Raw Data'!BB254),"")</f>
        <v/>
      </c>
      <c r="S267" s="11" t="str">
        <f>IF('Raw Data'!A254&lt;&gt;"",AVERAGE('Raw Data'!AU254,'Raw Data'!AW254,'Raw Data'!AY254,'Raw Data'!BA254,'Raw Data'!BC254),"")</f>
        <v/>
      </c>
      <c r="T267" s="11" t="str">
        <f t="shared" si="40"/>
        <v/>
      </c>
      <c r="U267" s="11" t="str">
        <f>IF('Raw Data'!A254&lt;&gt;"",AVERAGE('Raw Data'!BD254,'Raw Data'!BF254,'Raw Data'!BH254,'Raw Data'!BJ254,'Raw Data'!BL254),"")</f>
        <v/>
      </c>
      <c r="V267" s="11" t="str">
        <f>IF('Raw Data'!A254&lt;&gt;"",AVERAGE('Raw Data'!BE254,'Raw Data'!BG254,'Raw Data'!BI254,'Raw Data'!BK254,'Raw Data'!BM254),"")</f>
        <v/>
      </c>
      <c r="W267" s="11" t="str">
        <f t="shared" si="41"/>
        <v/>
      </c>
      <c r="X267" s="11" t="str">
        <f t="shared" si="42"/>
        <v/>
      </c>
      <c r="Y267" s="11" t="str">
        <f t="shared" si="43"/>
        <v/>
      </c>
      <c r="Z267" s="11" t="str">
        <f t="shared" si="44"/>
        <v/>
      </c>
      <c r="AA267" s="11" t="str">
        <f t="shared" si="45"/>
        <v/>
      </c>
      <c r="AB267" s="24" t="str">
        <f t="shared" si="46"/>
        <v/>
      </c>
    </row>
    <row r="268" spans="1:28" x14ac:dyDescent="0.25">
      <c r="A268" s="10" t="str">
        <f>IF('Raw Data'!A255&lt;&gt;"",'Raw Data'!A255,"")</f>
        <v/>
      </c>
      <c r="B268" s="10" t="str">
        <f>IF('Raw Data'!B255&lt;&gt;"",'Raw Data'!B255,"")</f>
        <v/>
      </c>
      <c r="C268" s="10" t="str">
        <f>IF('Raw Data'!C255&lt;&gt;"",'Raw Data'!C255,"")</f>
        <v/>
      </c>
      <c r="D268" s="10" t="str">
        <f>IF('Raw Data'!D255&lt;&gt;"",'Raw Data'!D255,"")</f>
        <v/>
      </c>
      <c r="E268" s="10" t="str">
        <f>IF('Raw Data'!E255&lt;&gt;"",'Raw Data'!E255,"")</f>
        <v/>
      </c>
      <c r="F268" s="14" t="str">
        <f>IF('Raw Data'!A255&lt;&gt;"",AVERAGE('Raw Data'!F255,'Raw Data'!H255,'Raw Data'!J255,'Raw Data'!L255,'Raw Data'!N255),"")</f>
        <v/>
      </c>
      <c r="G268" s="14" t="str">
        <f>IF('Raw Data'!A255&lt;&gt;"",AVERAGE('Raw Data'!G255,'Raw Data'!I255,'Raw Data'!K255,'Raw Data'!M255,'Raw Data'!O255),"")</f>
        <v/>
      </c>
      <c r="H268" s="14" t="str">
        <f t="shared" si="36"/>
        <v/>
      </c>
      <c r="I268" s="14" t="str">
        <f>IF('Raw Data'!A255&lt;&gt;"",AVERAGE('Raw Data'!P255,'Raw Data'!R255,'Raw Data'!T255,'Raw Data'!V255,'Raw Data'!X255),"")</f>
        <v/>
      </c>
      <c r="J268" s="14" t="str">
        <f>IF('Raw Data'!A255&lt;&gt;"",AVERAGE('Raw Data'!Q255,'Raw Data'!S255,'Raw Data'!U255,'Raw Data'!W255,'Raw Data'!Y255),"")</f>
        <v/>
      </c>
      <c r="K268" s="14" t="str">
        <f t="shared" si="37"/>
        <v/>
      </c>
      <c r="L268" s="14" t="str">
        <f>IF('Raw Data'!A255&lt;&gt;"",AVERAGE('Raw Data'!Z255,'Raw Data'!AB255,'Raw Data'!AD255,'Raw Data'!AF255,'Raw Data'!AH255),"")</f>
        <v/>
      </c>
      <c r="M268" s="14" t="str">
        <f>IF('Raw Data'!A255&lt;&gt;"",AVERAGE('Raw Data'!AA255,'Raw Data'!AC255,'Raw Data'!AE255,'Raw Data'!AG255,'Raw Data'!AI255),"")</f>
        <v/>
      </c>
      <c r="N268" s="14" t="str">
        <f t="shared" si="38"/>
        <v/>
      </c>
      <c r="O268" s="14" t="str">
        <f>IF('Raw Data'!A255&lt;&gt;"",AVERAGE('Raw Data'!AJ255,'Raw Data'!AL255,'Raw Data'!AN255,'Raw Data'!AP255,'Raw Data'!AR255),"")</f>
        <v/>
      </c>
      <c r="P268" s="14" t="str">
        <f>IF('Raw Data'!A255&lt;&gt;"",AVERAGE('Raw Data'!AK255,'Raw Data'!AM255,'Raw Data'!AO255,'Raw Data'!AQ255,'Raw Data'!AS255),"")</f>
        <v/>
      </c>
      <c r="Q268" s="14" t="str">
        <f t="shared" si="39"/>
        <v/>
      </c>
      <c r="R268" s="14" t="str">
        <f>IF('Raw Data'!A255&lt;&gt;"",AVERAGE('Raw Data'!AT255,'Raw Data'!AV255,'Raw Data'!AX255,'Raw Data'!AZ255,'Raw Data'!BB255),"")</f>
        <v/>
      </c>
      <c r="S268" s="14" t="str">
        <f>IF('Raw Data'!A255&lt;&gt;"",AVERAGE('Raw Data'!AU255,'Raw Data'!AW255,'Raw Data'!AY255,'Raw Data'!BA255,'Raw Data'!BC255),"")</f>
        <v/>
      </c>
      <c r="T268" s="14" t="str">
        <f t="shared" si="40"/>
        <v/>
      </c>
      <c r="U268" s="14" t="str">
        <f>IF('Raw Data'!A255&lt;&gt;"",AVERAGE('Raw Data'!BD255,'Raw Data'!BF255,'Raw Data'!BH255,'Raw Data'!BJ255,'Raw Data'!BL255),"")</f>
        <v/>
      </c>
      <c r="V268" s="14" t="str">
        <f>IF('Raw Data'!A255&lt;&gt;"",AVERAGE('Raw Data'!BE255,'Raw Data'!BG255,'Raw Data'!BI255,'Raw Data'!BK255,'Raw Data'!BM255),"")</f>
        <v/>
      </c>
      <c r="W268" s="14" t="str">
        <f t="shared" si="41"/>
        <v/>
      </c>
      <c r="X268" s="14" t="str">
        <f t="shared" si="42"/>
        <v/>
      </c>
      <c r="Y268" s="14" t="str">
        <f t="shared" si="43"/>
        <v/>
      </c>
      <c r="Z268" s="14" t="str">
        <f t="shared" si="44"/>
        <v/>
      </c>
      <c r="AA268" s="14" t="str">
        <f t="shared" si="45"/>
        <v/>
      </c>
      <c r="AB268" s="25" t="str">
        <f t="shared" si="46"/>
        <v/>
      </c>
    </row>
    <row r="269" spans="1:28" x14ac:dyDescent="0.25">
      <c r="A269" s="2" t="str">
        <f>IF('Raw Data'!A256&lt;&gt;"",'Raw Data'!A256,"")</f>
        <v/>
      </c>
      <c r="B269" s="2" t="str">
        <f>IF('Raw Data'!B256&lt;&gt;"",'Raw Data'!B256,"")</f>
        <v/>
      </c>
      <c r="C269" s="2" t="str">
        <f>IF('Raw Data'!C256&lt;&gt;"",'Raw Data'!C256,"")</f>
        <v/>
      </c>
      <c r="D269" s="2" t="str">
        <f>IF('Raw Data'!D256&lt;&gt;"",'Raw Data'!D256,"")</f>
        <v/>
      </c>
      <c r="E269" s="2" t="str">
        <f>IF('Raw Data'!E256&lt;&gt;"",'Raw Data'!E256,"")</f>
        <v/>
      </c>
      <c r="F269" s="11" t="str">
        <f>IF('Raw Data'!A256&lt;&gt;"",AVERAGE('Raw Data'!F256,'Raw Data'!H256,'Raw Data'!J256,'Raw Data'!L256,'Raw Data'!N256),"")</f>
        <v/>
      </c>
      <c r="G269" s="11" t="str">
        <f>IF('Raw Data'!A256&lt;&gt;"",AVERAGE('Raw Data'!G256,'Raw Data'!I256,'Raw Data'!K256,'Raw Data'!M256,'Raw Data'!O256),"")</f>
        <v/>
      </c>
      <c r="H269" s="11" t="str">
        <f t="shared" si="36"/>
        <v/>
      </c>
      <c r="I269" s="11" t="str">
        <f>IF('Raw Data'!A256&lt;&gt;"",AVERAGE('Raw Data'!P256,'Raw Data'!R256,'Raw Data'!T256,'Raw Data'!V256,'Raw Data'!X256),"")</f>
        <v/>
      </c>
      <c r="J269" s="11" t="str">
        <f>IF('Raw Data'!A256&lt;&gt;"",AVERAGE('Raw Data'!Q256,'Raw Data'!S256,'Raw Data'!U256,'Raw Data'!W256,'Raw Data'!Y256),"")</f>
        <v/>
      </c>
      <c r="K269" s="11" t="str">
        <f t="shared" si="37"/>
        <v/>
      </c>
      <c r="L269" s="11" t="str">
        <f>IF('Raw Data'!A256&lt;&gt;"",AVERAGE('Raw Data'!Z256,'Raw Data'!AB256,'Raw Data'!AD256,'Raw Data'!AF256,'Raw Data'!AH256),"")</f>
        <v/>
      </c>
      <c r="M269" s="11" t="str">
        <f>IF('Raw Data'!A256&lt;&gt;"",AVERAGE('Raw Data'!AA256,'Raw Data'!AC256,'Raw Data'!AE256,'Raw Data'!AG256,'Raw Data'!AI256),"")</f>
        <v/>
      </c>
      <c r="N269" s="11" t="str">
        <f t="shared" si="38"/>
        <v/>
      </c>
      <c r="O269" s="11" t="str">
        <f>IF('Raw Data'!A256&lt;&gt;"",AVERAGE('Raw Data'!AJ256,'Raw Data'!AL256,'Raw Data'!AN256,'Raw Data'!AP256,'Raw Data'!AR256),"")</f>
        <v/>
      </c>
      <c r="P269" s="11" t="str">
        <f>IF('Raw Data'!A256&lt;&gt;"",AVERAGE('Raw Data'!AK256,'Raw Data'!AM256,'Raw Data'!AO256,'Raw Data'!AQ256,'Raw Data'!AS256),"")</f>
        <v/>
      </c>
      <c r="Q269" s="11" t="str">
        <f t="shared" si="39"/>
        <v/>
      </c>
      <c r="R269" s="11" t="str">
        <f>IF('Raw Data'!A256&lt;&gt;"",AVERAGE('Raw Data'!AT256,'Raw Data'!AV256,'Raw Data'!AX256,'Raw Data'!AZ256,'Raw Data'!BB256),"")</f>
        <v/>
      </c>
      <c r="S269" s="11" t="str">
        <f>IF('Raw Data'!A256&lt;&gt;"",AVERAGE('Raw Data'!AU256,'Raw Data'!AW256,'Raw Data'!AY256,'Raw Data'!BA256,'Raw Data'!BC256),"")</f>
        <v/>
      </c>
      <c r="T269" s="11" t="str">
        <f t="shared" si="40"/>
        <v/>
      </c>
      <c r="U269" s="11" t="str">
        <f>IF('Raw Data'!A256&lt;&gt;"",AVERAGE('Raw Data'!BD256,'Raw Data'!BF256,'Raw Data'!BH256,'Raw Data'!BJ256,'Raw Data'!BL256),"")</f>
        <v/>
      </c>
      <c r="V269" s="11" t="str">
        <f>IF('Raw Data'!A256&lt;&gt;"",AVERAGE('Raw Data'!BE256,'Raw Data'!BG256,'Raw Data'!BI256,'Raw Data'!BK256,'Raw Data'!BM256),"")</f>
        <v/>
      </c>
      <c r="W269" s="11" t="str">
        <f t="shared" si="41"/>
        <v/>
      </c>
      <c r="X269" s="11" t="str">
        <f t="shared" si="42"/>
        <v/>
      </c>
      <c r="Y269" s="11" t="str">
        <f t="shared" si="43"/>
        <v/>
      </c>
      <c r="Z269" s="11" t="str">
        <f t="shared" si="44"/>
        <v/>
      </c>
      <c r="AA269" s="11" t="str">
        <f t="shared" si="45"/>
        <v/>
      </c>
      <c r="AB269" s="24" t="str">
        <f t="shared" si="46"/>
        <v/>
      </c>
    </row>
    <row r="270" spans="1:28" x14ac:dyDescent="0.25">
      <c r="A270" s="10" t="str">
        <f>IF('Raw Data'!A257&lt;&gt;"",'Raw Data'!A257,"")</f>
        <v/>
      </c>
      <c r="B270" s="10" t="str">
        <f>IF('Raw Data'!B257&lt;&gt;"",'Raw Data'!B257,"")</f>
        <v/>
      </c>
      <c r="C270" s="10" t="str">
        <f>IF('Raw Data'!C257&lt;&gt;"",'Raw Data'!C257,"")</f>
        <v/>
      </c>
      <c r="D270" s="10" t="str">
        <f>IF('Raw Data'!D257&lt;&gt;"",'Raw Data'!D257,"")</f>
        <v/>
      </c>
      <c r="E270" s="10" t="str">
        <f>IF('Raw Data'!E257&lt;&gt;"",'Raw Data'!E257,"")</f>
        <v/>
      </c>
      <c r="F270" s="14" t="str">
        <f>IF('Raw Data'!A257&lt;&gt;"",AVERAGE('Raw Data'!F257,'Raw Data'!H257,'Raw Data'!J257,'Raw Data'!L257,'Raw Data'!N257),"")</f>
        <v/>
      </c>
      <c r="G270" s="14" t="str">
        <f>IF('Raw Data'!A257&lt;&gt;"",AVERAGE('Raw Data'!G257,'Raw Data'!I257,'Raw Data'!K257,'Raw Data'!M257,'Raw Data'!O257),"")</f>
        <v/>
      </c>
      <c r="H270" s="14" t="str">
        <f t="shared" si="36"/>
        <v/>
      </c>
      <c r="I270" s="14" t="str">
        <f>IF('Raw Data'!A257&lt;&gt;"",AVERAGE('Raw Data'!P257,'Raw Data'!R257,'Raw Data'!T257,'Raw Data'!V257,'Raw Data'!X257),"")</f>
        <v/>
      </c>
      <c r="J270" s="14" t="str">
        <f>IF('Raw Data'!A257&lt;&gt;"",AVERAGE('Raw Data'!Q257,'Raw Data'!S257,'Raw Data'!U257,'Raw Data'!W257,'Raw Data'!Y257),"")</f>
        <v/>
      </c>
      <c r="K270" s="14" t="str">
        <f t="shared" si="37"/>
        <v/>
      </c>
      <c r="L270" s="14" t="str">
        <f>IF('Raw Data'!A257&lt;&gt;"",AVERAGE('Raw Data'!Z257,'Raw Data'!AB257,'Raw Data'!AD257,'Raw Data'!AF257,'Raw Data'!AH257),"")</f>
        <v/>
      </c>
      <c r="M270" s="14" t="str">
        <f>IF('Raw Data'!A257&lt;&gt;"",AVERAGE('Raw Data'!AA257,'Raw Data'!AC257,'Raw Data'!AE257,'Raw Data'!AG257,'Raw Data'!AI257),"")</f>
        <v/>
      </c>
      <c r="N270" s="14" t="str">
        <f t="shared" si="38"/>
        <v/>
      </c>
      <c r="O270" s="14" t="str">
        <f>IF('Raw Data'!A257&lt;&gt;"",AVERAGE('Raw Data'!AJ257,'Raw Data'!AL257,'Raw Data'!AN257,'Raw Data'!AP257,'Raw Data'!AR257),"")</f>
        <v/>
      </c>
      <c r="P270" s="14" t="str">
        <f>IF('Raw Data'!A257&lt;&gt;"",AVERAGE('Raw Data'!AK257,'Raw Data'!AM257,'Raw Data'!AO257,'Raw Data'!AQ257,'Raw Data'!AS257),"")</f>
        <v/>
      </c>
      <c r="Q270" s="14" t="str">
        <f t="shared" si="39"/>
        <v/>
      </c>
      <c r="R270" s="14" t="str">
        <f>IF('Raw Data'!A257&lt;&gt;"",AVERAGE('Raw Data'!AT257,'Raw Data'!AV257,'Raw Data'!AX257,'Raw Data'!AZ257,'Raw Data'!BB257),"")</f>
        <v/>
      </c>
      <c r="S270" s="14" t="str">
        <f>IF('Raw Data'!A257&lt;&gt;"",AVERAGE('Raw Data'!AU257,'Raw Data'!AW257,'Raw Data'!AY257,'Raw Data'!BA257,'Raw Data'!BC257),"")</f>
        <v/>
      </c>
      <c r="T270" s="14" t="str">
        <f t="shared" si="40"/>
        <v/>
      </c>
      <c r="U270" s="14" t="str">
        <f>IF('Raw Data'!A257&lt;&gt;"",AVERAGE('Raw Data'!BD257,'Raw Data'!BF257,'Raw Data'!BH257,'Raw Data'!BJ257,'Raw Data'!BL257),"")</f>
        <v/>
      </c>
      <c r="V270" s="14" t="str">
        <f>IF('Raw Data'!A257&lt;&gt;"",AVERAGE('Raw Data'!BE257,'Raw Data'!BG257,'Raw Data'!BI257,'Raw Data'!BK257,'Raw Data'!BM257),"")</f>
        <v/>
      </c>
      <c r="W270" s="14" t="str">
        <f t="shared" si="41"/>
        <v/>
      </c>
      <c r="X270" s="14" t="str">
        <f t="shared" si="42"/>
        <v/>
      </c>
      <c r="Y270" s="14" t="str">
        <f t="shared" si="43"/>
        <v/>
      </c>
      <c r="Z270" s="14" t="str">
        <f t="shared" si="44"/>
        <v/>
      </c>
      <c r="AA270" s="14" t="str">
        <f t="shared" si="45"/>
        <v/>
      </c>
      <c r="AB270" s="25" t="str">
        <f t="shared" si="46"/>
        <v/>
      </c>
    </row>
    <row r="271" spans="1:28" x14ac:dyDescent="0.25">
      <c r="A271" s="2" t="str">
        <f>IF('Raw Data'!A258&lt;&gt;"",'Raw Data'!A258,"")</f>
        <v/>
      </c>
      <c r="B271" s="2" t="str">
        <f>IF('Raw Data'!B258&lt;&gt;"",'Raw Data'!B258,"")</f>
        <v/>
      </c>
      <c r="C271" s="2" t="str">
        <f>IF('Raw Data'!C258&lt;&gt;"",'Raw Data'!C258,"")</f>
        <v/>
      </c>
      <c r="D271" s="2" t="str">
        <f>IF('Raw Data'!D258&lt;&gt;"",'Raw Data'!D258,"")</f>
        <v/>
      </c>
      <c r="E271" s="2" t="str">
        <f>IF('Raw Data'!E258&lt;&gt;"",'Raw Data'!E258,"")</f>
        <v/>
      </c>
      <c r="F271" s="11" t="str">
        <f>IF('Raw Data'!A258&lt;&gt;"",AVERAGE('Raw Data'!F258,'Raw Data'!H258,'Raw Data'!J258,'Raw Data'!L258,'Raw Data'!N258),"")</f>
        <v/>
      </c>
      <c r="G271" s="11" t="str">
        <f>IF('Raw Data'!A258&lt;&gt;"",AVERAGE('Raw Data'!G258,'Raw Data'!I258,'Raw Data'!K258,'Raw Data'!M258,'Raw Data'!O258),"")</f>
        <v/>
      </c>
      <c r="H271" s="11" t="str">
        <f t="shared" si="36"/>
        <v/>
      </c>
      <c r="I271" s="11" t="str">
        <f>IF('Raw Data'!A258&lt;&gt;"",AVERAGE('Raw Data'!P258,'Raw Data'!R258,'Raw Data'!T258,'Raw Data'!V258,'Raw Data'!X258),"")</f>
        <v/>
      </c>
      <c r="J271" s="11" t="str">
        <f>IF('Raw Data'!A258&lt;&gt;"",AVERAGE('Raw Data'!Q258,'Raw Data'!S258,'Raw Data'!U258,'Raw Data'!W258,'Raw Data'!Y258),"")</f>
        <v/>
      </c>
      <c r="K271" s="11" t="str">
        <f t="shared" si="37"/>
        <v/>
      </c>
      <c r="L271" s="11" t="str">
        <f>IF('Raw Data'!A258&lt;&gt;"",AVERAGE('Raw Data'!Z258,'Raw Data'!AB258,'Raw Data'!AD258,'Raw Data'!AF258,'Raw Data'!AH258),"")</f>
        <v/>
      </c>
      <c r="M271" s="11" t="str">
        <f>IF('Raw Data'!A258&lt;&gt;"",AVERAGE('Raw Data'!AA258,'Raw Data'!AC258,'Raw Data'!AE258,'Raw Data'!AG258,'Raw Data'!AI258),"")</f>
        <v/>
      </c>
      <c r="N271" s="11" t="str">
        <f t="shared" si="38"/>
        <v/>
      </c>
      <c r="O271" s="11" t="str">
        <f>IF('Raw Data'!A258&lt;&gt;"",AVERAGE('Raw Data'!AJ258,'Raw Data'!AL258,'Raw Data'!AN258,'Raw Data'!AP258,'Raw Data'!AR258),"")</f>
        <v/>
      </c>
      <c r="P271" s="11" t="str">
        <f>IF('Raw Data'!A258&lt;&gt;"",AVERAGE('Raw Data'!AK258,'Raw Data'!AM258,'Raw Data'!AO258,'Raw Data'!AQ258,'Raw Data'!AS258),"")</f>
        <v/>
      </c>
      <c r="Q271" s="11" t="str">
        <f t="shared" si="39"/>
        <v/>
      </c>
      <c r="R271" s="11" t="str">
        <f>IF('Raw Data'!A258&lt;&gt;"",AVERAGE('Raw Data'!AT258,'Raw Data'!AV258,'Raw Data'!AX258,'Raw Data'!AZ258,'Raw Data'!BB258),"")</f>
        <v/>
      </c>
      <c r="S271" s="11" t="str">
        <f>IF('Raw Data'!A258&lt;&gt;"",AVERAGE('Raw Data'!AU258,'Raw Data'!AW258,'Raw Data'!AY258,'Raw Data'!BA258,'Raw Data'!BC258),"")</f>
        <v/>
      </c>
      <c r="T271" s="11" t="str">
        <f t="shared" si="40"/>
        <v/>
      </c>
      <c r="U271" s="11" t="str">
        <f>IF('Raw Data'!A258&lt;&gt;"",AVERAGE('Raw Data'!BD258,'Raw Data'!BF258,'Raw Data'!BH258,'Raw Data'!BJ258,'Raw Data'!BL258),"")</f>
        <v/>
      </c>
      <c r="V271" s="11" t="str">
        <f>IF('Raw Data'!A258&lt;&gt;"",AVERAGE('Raw Data'!BE258,'Raw Data'!BG258,'Raw Data'!BI258,'Raw Data'!BK258,'Raw Data'!BM258),"")</f>
        <v/>
      </c>
      <c r="W271" s="11" t="str">
        <f t="shared" si="41"/>
        <v/>
      </c>
      <c r="X271" s="11" t="str">
        <f t="shared" si="42"/>
        <v/>
      </c>
      <c r="Y271" s="11" t="str">
        <f t="shared" si="43"/>
        <v/>
      </c>
      <c r="Z271" s="11" t="str">
        <f t="shared" si="44"/>
        <v/>
      </c>
      <c r="AA271" s="11" t="str">
        <f t="shared" si="45"/>
        <v/>
      </c>
      <c r="AB271" s="24" t="str">
        <f t="shared" si="46"/>
        <v/>
      </c>
    </row>
    <row r="272" spans="1:28" x14ac:dyDescent="0.25">
      <c r="A272" s="10" t="str">
        <f>IF('Raw Data'!A259&lt;&gt;"",'Raw Data'!A259,"")</f>
        <v/>
      </c>
      <c r="B272" s="10" t="str">
        <f>IF('Raw Data'!B259&lt;&gt;"",'Raw Data'!B259,"")</f>
        <v/>
      </c>
      <c r="C272" s="10" t="str">
        <f>IF('Raw Data'!C259&lt;&gt;"",'Raw Data'!C259,"")</f>
        <v/>
      </c>
      <c r="D272" s="10" t="str">
        <f>IF('Raw Data'!D259&lt;&gt;"",'Raw Data'!D259,"")</f>
        <v/>
      </c>
      <c r="E272" s="10" t="str">
        <f>IF('Raw Data'!E259&lt;&gt;"",'Raw Data'!E259,"")</f>
        <v/>
      </c>
      <c r="F272" s="14" t="str">
        <f>IF('Raw Data'!A259&lt;&gt;"",AVERAGE('Raw Data'!F259,'Raw Data'!H259,'Raw Data'!J259,'Raw Data'!L259,'Raw Data'!N259),"")</f>
        <v/>
      </c>
      <c r="G272" s="14" t="str">
        <f>IF('Raw Data'!A259&lt;&gt;"",AVERAGE('Raw Data'!G259,'Raw Data'!I259,'Raw Data'!K259,'Raw Data'!M259,'Raw Data'!O259),"")</f>
        <v/>
      </c>
      <c r="H272" s="14" t="str">
        <f t="shared" si="36"/>
        <v/>
      </c>
      <c r="I272" s="14" t="str">
        <f>IF('Raw Data'!A259&lt;&gt;"",AVERAGE('Raw Data'!P259,'Raw Data'!R259,'Raw Data'!T259,'Raw Data'!V259,'Raw Data'!X259),"")</f>
        <v/>
      </c>
      <c r="J272" s="14" t="str">
        <f>IF('Raw Data'!A259&lt;&gt;"",AVERAGE('Raw Data'!Q259,'Raw Data'!S259,'Raw Data'!U259,'Raw Data'!W259,'Raw Data'!Y259),"")</f>
        <v/>
      </c>
      <c r="K272" s="14" t="str">
        <f t="shared" si="37"/>
        <v/>
      </c>
      <c r="L272" s="14" t="str">
        <f>IF('Raw Data'!A259&lt;&gt;"",AVERAGE('Raw Data'!Z259,'Raw Data'!AB259,'Raw Data'!AD259,'Raw Data'!AF259,'Raw Data'!AH259),"")</f>
        <v/>
      </c>
      <c r="M272" s="14" t="str">
        <f>IF('Raw Data'!A259&lt;&gt;"",AVERAGE('Raw Data'!AA259,'Raw Data'!AC259,'Raw Data'!AE259,'Raw Data'!AG259,'Raw Data'!AI259),"")</f>
        <v/>
      </c>
      <c r="N272" s="14" t="str">
        <f t="shared" si="38"/>
        <v/>
      </c>
      <c r="O272" s="14" t="str">
        <f>IF('Raw Data'!A259&lt;&gt;"",AVERAGE('Raw Data'!AJ259,'Raw Data'!AL259,'Raw Data'!AN259,'Raw Data'!AP259,'Raw Data'!AR259),"")</f>
        <v/>
      </c>
      <c r="P272" s="14" t="str">
        <f>IF('Raw Data'!A259&lt;&gt;"",AVERAGE('Raw Data'!AK259,'Raw Data'!AM259,'Raw Data'!AO259,'Raw Data'!AQ259,'Raw Data'!AS259),"")</f>
        <v/>
      </c>
      <c r="Q272" s="14" t="str">
        <f t="shared" si="39"/>
        <v/>
      </c>
      <c r="R272" s="14" t="str">
        <f>IF('Raw Data'!A259&lt;&gt;"",AVERAGE('Raw Data'!AT259,'Raw Data'!AV259,'Raw Data'!AX259,'Raw Data'!AZ259,'Raw Data'!BB259),"")</f>
        <v/>
      </c>
      <c r="S272" s="14" t="str">
        <f>IF('Raw Data'!A259&lt;&gt;"",AVERAGE('Raw Data'!AU259,'Raw Data'!AW259,'Raw Data'!AY259,'Raw Data'!BA259,'Raw Data'!BC259),"")</f>
        <v/>
      </c>
      <c r="T272" s="14" t="str">
        <f t="shared" si="40"/>
        <v/>
      </c>
      <c r="U272" s="14" t="str">
        <f>IF('Raw Data'!A259&lt;&gt;"",AVERAGE('Raw Data'!BD259,'Raw Data'!BF259,'Raw Data'!BH259,'Raw Data'!BJ259,'Raw Data'!BL259),"")</f>
        <v/>
      </c>
      <c r="V272" s="14" t="str">
        <f>IF('Raw Data'!A259&lt;&gt;"",AVERAGE('Raw Data'!BE259,'Raw Data'!BG259,'Raw Data'!BI259,'Raw Data'!BK259,'Raw Data'!BM259),"")</f>
        <v/>
      </c>
      <c r="W272" s="14" t="str">
        <f t="shared" si="41"/>
        <v/>
      </c>
      <c r="X272" s="14" t="str">
        <f t="shared" si="42"/>
        <v/>
      </c>
      <c r="Y272" s="14" t="str">
        <f t="shared" si="43"/>
        <v/>
      </c>
      <c r="Z272" s="14" t="str">
        <f t="shared" si="44"/>
        <v/>
      </c>
      <c r="AA272" s="14" t="str">
        <f t="shared" si="45"/>
        <v/>
      </c>
      <c r="AB272" s="25" t="str">
        <f t="shared" si="46"/>
        <v/>
      </c>
    </row>
    <row r="273" spans="1:28" x14ac:dyDescent="0.25">
      <c r="A273" s="2" t="str">
        <f>IF('Raw Data'!A260&lt;&gt;"",'Raw Data'!A260,"")</f>
        <v/>
      </c>
      <c r="B273" s="2" t="str">
        <f>IF('Raw Data'!B260&lt;&gt;"",'Raw Data'!B260,"")</f>
        <v/>
      </c>
      <c r="C273" s="2" t="str">
        <f>IF('Raw Data'!C260&lt;&gt;"",'Raw Data'!C260,"")</f>
        <v/>
      </c>
      <c r="D273" s="2" t="str">
        <f>IF('Raw Data'!D260&lt;&gt;"",'Raw Data'!D260,"")</f>
        <v/>
      </c>
      <c r="E273" s="2" t="str">
        <f>IF('Raw Data'!E260&lt;&gt;"",'Raw Data'!E260,"")</f>
        <v/>
      </c>
      <c r="F273" s="11" t="str">
        <f>IF('Raw Data'!A260&lt;&gt;"",AVERAGE('Raw Data'!F260,'Raw Data'!H260,'Raw Data'!J260,'Raw Data'!L260,'Raw Data'!N260),"")</f>
        <v/>
      </c>
      <c r="G273" s="11" t="str">
        <f>IF('Raw Data'!A260&lt;&gt;"",AVERAGE('Raw Data'!G260,'Raw Data'!I260,'Raw Data'!K260,'Raw Data'!M260,'Raw Data'!O260),"")</f>
        <v/>
      </c>
      <c r="H273" s="11" t="str">
        <f t="shared" ref="H273:H336" si="47">IF(F273&lt;&gt;"",F273-G273,"")</f>
        <v/>
      </c>
      <c r="I273" s="11" t="str">
        <f>IF('Raw Data'!A260&lt;&gt;"",AVERAGE('Raw Data'!P260,'Raw Data'!R260,'Raw Data'!T260,'Raw Data'!V260,'Raw Data'!X260),"")</f>
        <v/>
      </c>
      <c r="J273" s="11" t="str">
        <f>IF('Raw Data'!A260&lt;&gt;"",AVERAGE('Raw Data'!Q260,'Raw Data'!S260,'Raw Data'!U260,'Raw Data'!W260,'Raw Data'!Y260),"")</f>
        <v/>
      </c>
      <c r="K273" s="11" t="str">
        <f t="shared" ref="K273:K336" si="48">IF(I273&lt;&gt;"",I273-J273,"")</f>
        <v/>
      </c>
      <c r="L273" s="11" t="str">
        <f>IF('Raw Data'!A260&lt;&gt;"",AVERAGE('Raw Data'!Z260,'Raw Data'!AB260,'Raw Data'!AD260,'Raw Data'!AF260,'Raw Data'!AH260),"")</f>
        <v/>
      </c>
      <c r="M273" s="11" t="str">
        <f>IF('Raw Data'!A260&lt;&gt;"",AVERAGE('Raw Data'!AA260,'Raw Data'!AC260,'Raw Data'!AE260,'Raw Data'!AG260,'Raw Data'!AI260),"")</f>
        <v/>
      </c>
      <c r="N273" s="11" t="str">
        <f t="shared" ref="N273:N336" si="49">IF(L273&lt;&gt;"",L273-M273,"")</f>
        <v/>
      </c>
      <c r="O273" s="11" t="str">
        <f>IF('Raw Data'!A260&lt;&gt;"",AVERAGE('Raw Data'!AJ260,'Raw Data'!AL260,'Raw Data'!AN260,'Raw Data'!AP260,'Raw Data'!AR260),"")</f>
        <v/>
      </c>
      <c r="P273" s="11" t="str">
        <f>IF('Raw Data'!A260&lt;&gt;"",AVERAGE('Raw Data'!AK260,'Raw Data'!AM260,'Raw Data'!AO260,'Raw Data'!AQ260,'Raw Data'!AS260),"")</f>
        <v/>
      </c>
      <c r="Q273" s="11" t="str">
        <f t="shared" ref="Q273:Q336" si="50">IF(O273&lt;&gt;"",O273-P273,"")</f>
        <v/>
      </c>
      <c r="R273" s="11" t="str">
        <f>IF('Raw Data'!A260&lt;&gt;"",AVERAGE('Raw Data'!AT260,'Raw Data'!AV260,'Raw Data'!AX260,'Raw Data'!AZ260,'Raw Data'!BB260),"")</f>
        <v/>
      </c>
      <c r="S273" s="11" t="str">
        <f>IF('Raw Data'!A260&lt;&gt;"",AVERAGE('Raw Data'!AU260,'Raw Data'!AW260,'Raw Data'!AY260,'Raw Data'!BA260,'Raw Data'!BC260),"")</f>
        <v/>
      </c>
      <c r="T273" s="11" t="str">
        <f t="shared" ref="T273:T336" si="51">IF(R273&lt;&gt;"",R273-S273,"")</f>
        <v/>
      </c>
      <c r="U273" s="11" t="str">
        <f>IF('Raw Data'!A260&lt;&gt;"",AVERAGE('Raw Data'!BD260,'Raw Data'!BF260,'Raw Data'!BH260,'Raw Data'!BJ260,'Raw Data'!BL260),"")</f>
        <v/>
      </c>
      <c r="V273" s="11" t="str">
        <f>IF('Raw Data'!A260&lt;&gt;"",AVERAGE('Raw Data'!BE260,'Raw Data'!BG260,'Raw Data'!BI260,'Raw Data'!BK260,'Raw Data'!BM260),"")</f>
        <v/>
      </c>
      <c r="W273" s="11" t="str">
        <f t="shared" ref="W273:W336" si="52">IF(U273&lt;&gt;"",U273-V273,"")</f>
        <v/>
      </c>
      <c r="X273" s="11" t="str">
        <f t="shared" ref="X273:X336" si="53">IF(A273&lt;&gt;"",AVERAGE(F273,I273,L273,O273,R273,U273),"")</f>
        <v/>
      </c>
      <c r="Y273" s="11" t="str">
        <f t="shared" ref="Y273:Y336" si="54">IF(A273&lt;&gt;"",AVERAGE(G273,J273,M273,P273,S273,V273),"")</f>
        <v/>
      </c>
      <c r="Z273" s="11" t="str">
        <f t="shared" ref="Z273:Z336" si="55">IF(A273&lt;&gt;"",X273-Y273,"")</f>
        <v/>
      </c>
      <c r="AA273" s="11" t="str">
        <f t="shared" ref="AA273:AA336" si="56">IF(A273&lt;&gt;"",(K273*0.25)+(Q273*0.2)+(W273*0.2)+(H273*0.15)+(N273*0.1)+(T273*0.1),"")</f>
        <v/>
      </c>
      <c r="AB273" s="24" t="str">
        <f t="shared" ref="AB273:AB336" si="57">IF(A273&lt;&gt;"",(AA273*0.5)+(0.3*K273)+(0.2*Q273),"")</f>
        <v/>
      </c>
    </row>
    <row r="274" spans="1:28" x14ac:dyDescent="0.25">
      <c r="A274" s="10" t="str">
        <f>IF('Raw Data'!A261&lt;&gt;"",'Raw Data'!A261,"")</f>
        <v/>
      </c>
      <c r="B274" s="10" t="str">
        <f>IF('Raw Data'!B261&lt;&gt;"",'Raw Data'!B261,"")</f>
        <v/>
      </c>
      <c r="C274" s="10" t="str">
        <f>IF('Raw Data'!C261&lt;&gt;"",'Raw Data'!C261,"")</f>
        <v/>
      </c>
      <c r="D274" s="10" t="str">
        <f>IF('Raw Data'!D261&lt;&gt;"",'Raw Data'!D261,"")</f>
        <v/>
      </c>
      <c r="E274" s="10" t="str">
        <f>IF('Raw Data'!E261&lt;&gt;"",'Raw Data'!E261,"")</f>
        <v/>
      </c>
      <c r="F274" s="14" t="str">
        <f>IF('Raw Data'!A261&lt;&gt;"",AVERAGE('Raw Data'!F261,'Raw Data'!H261,'Raw Data'!J261,'Raw Data'!L261,'Raw Data'!N261),"")</f>
        <v/>
      </c>
      <c r="G274" s="14" t="str">
        <f>IF('Raw Data'!A261&lt;&gt;"",AVERAGE('Raw Data'!G261,'Raw Data'!I261,'Raw Data'!K261,'Raw Data'!M261,'Raw Data'!O261),"")</f>
        <v/>
      </c>
      <c r="H274" s="14" t="str">
        <f t="shared" si="47"/>
        <v/>
      </c>
      <c r="I274" s="14" t="str">
        <f>IF('Raw Data'!A261&lt;&gt;"",AVERAGE('Raw Data'!P261,'Raw Data'!R261,'Raw Data'!T261,'Raw Data'!V261,'Raw Data'!X261),"")</f>
        <v/>
      </c>
      <c r="J274" s="14" t="str">
        <f>IF('Raw Data'!A261&lt;&gt;"",AVERAGE('Raw Data'!Q261,'Raw Data'!S261,'Raw Data'!U261,'Raw Data'!W261,'Raw Data'!Y261),"")</f>
        <v/>
      </c>
      <c r="K274" s="14" t="str">
        <f t="shared" si="48"/>
        <v/>
      </c>
      <c r="L274" s="14" t="str">
        <f>IF('Raw Data'!A261&lt;&gt;"",AVERAGE('Raw Data'!Z261,'Raw Data'!AB261,'Raw Data'!AD261,'Raw Data'!AF261,'Raw Data'!AH261),"")</f>
        <v/>
      </c>
      <c r="M274" s="14" t="str">
        <f>IF('Raw Data'!A261&lt;&gt;"",AVERAGE('Raw Data'!AA261,'Raw Data'!AC261,'Raw Data'!AE261,'Raw Data'!AG261,'Raw Data'!AI261),"")</f>
        <v/>
      </c>
      <c r="N274" s="14" t="str">
        <f t="shared" si="49"/>
        <v/>
      </c>
      <c r="O274" s="14" t="str">
        <f>IF('Raw Data'!A261&lt;&gt;"",AVERAGE('Raw Data'!AJ261,'Raw Data'!AL261,'Raw Data'!AN261,'Raw Data'!AP261,'Raw Data'!AR261),"")</f>
        <v/>
      </c>
      <c r="P274" s="14" t="str">
        <f>IF('Raw Data'!A261&lt;&gt;"",AVERAGE('Raw Data'!AK261,'Raw Data'!AM261,'Raw Data'!AO261,'Raw Data'!AQ261,'Raw Data'!AS261),"")</f>
        <v/>
      </c>
      <c r="Q274" s="14" t="str">
        <f t="shared" si="50"/>
        <v/>
      </c>
      <c r="R274" s="14" t="str">
        <f>IF('Raw Data'!A261&lt;&gt;"",AVERAGE('Raw Data'!AT261,'Raw Data'!AV261,'Raw Data'!AX261,'Raw Data'!AZ261,'Raw Data'!BB261),"")</f>
        <v/>
      </c>
      <c r="S274" s="14" t="str">
        <f>IF('Raw Data'!A261&lt;&gt;"",AVERAGE('Raw Data'!AU261,'Raw Data'!AW261,'Raw Data'!AY261,'Raw Data'!BA261,'Raw Data'!BC261),"")</f>
        <v/>
      </c>
      <c r="T274" s="14" t="str">
        <f t="shared" si="51"/>
        <v/>
      </c>
      <c r="U274" s="14" t="str">
        <f>IF('Raw Data'!A261&lt;&gt;"",AVERAGE('Raw Data'!BD261,'Raw Data'!BF261,'Raw Data'!BH261,'Raw Data'!BJ261,'Raw Data'!BL261),"")</f>
        <v/>
      </c>
      <c r="V274" s="14" t="str">
        <f>IF('Raw Data'!A261&lt;&gt;"",AVERAGE('Raw Data'!BE261,'Raw Data'!BG261,'Raw Data'!BI261,'Raw Data'!BK261,'Raw Data'!BM261),"")</f>
        <v/>
      </c>
      <c r="W274" s="14" t="str">
        <f t="shared" si="52"/>
        <v/>
      </c>
      <c r="X274" s="14" t="str">
        <f t="shared" si="53"/>
        <v/>
      </c>
      <c r="Y274" s="14" t="str">
        <f t="shared" si="54"/>
        <v/>
      </c>
      <c r="Z274" s="14" t="str">
        <f t="shared" si="55"/>
        <v/>
      </c>
      <c r="AA274" s="14" t="str">
        <f t="shared" si="56"/>
        <v/>
      </c>
      <c r="AB274" s="25" t="str">
        <f t="shared" si="57"/>
        <v/>
      </c>
    </row>
    <row r="275" spans="1:28" x14ac:dyDescent="0.25">
      <c r="A275" s="2" t="str">
        <f>IF('Raw Data'!A262&lt;&gt;"",'Raw Data'!A262,"")</f>
        <v/>
      </c>
      <c r="B275" s="2" t="str">
        <f>IF('Raw Data'!B262&lt;&gt;"",'Raw Data'!B262,"")</f>
        <v/>
      </c>
      <c r="C275" s="2" t="str">
        <f>IF('Raw Data'!C262&lt;&gt;"",'Raw Data'!C262,"")</f>
        <v/>
      </c>
      <c r="D275" s="2" t="str">
        <f>IF('Raw Data'!D262&lt;&gt;"",'Raw Data'!D262,"")</f>
        <v/>
      </c>
      <c r="E275" s="2" t="str">
        <f>IF('Raw Data'!E262&lt;&gt;"",'Raw Data'!E262,"")</f>
        <v/>
      </c>
      <c r="F275" s="11" t="str">
        <f>IF('Raw Data'!A262&lt;&gt;"",AVERAGE('Raw Data'!F262,'Raw Data'!H262,'Raw Data'!J262,'Raw Data'!L262,'Raw Data'!N262),"")</f>
        <v/>
      </c>
      <c r="G275" s="11" t="str">
        <f>IF('Raw Data'!A262&lt;&gt;"",AVERAGE('Raw Data'!G262,'Raw Data'!I262,'Raw Data'!K262,'Raw Data'!M262,'Raw Data'!O262),"")</f>
        <v/>
      </c>
      <c r="H275" s="11" t="str">
        <f t="shared" si="47"/>
        <v/>
      </c>
      <c r="I275" s="11" t="str">
        <f>IF('Raw Data'!A262&lt;&gt;"",AVERAGE('Raw Data'!P262,'Raw Data'!R262,'Raw Data'!T262,'Raw Data'!V262,'Raw Data'!X262),"")</f>
        <v/>
      </c>
      <c r="J275" s="11" t="str">
        <f>IF('Raw Data'!A262&lt;&gt;"",AVERAGE('Raw Data'!Q262,'Raw Data'!S262,'Raw Data'!U262,'Raw Data'!W262,'Raw Data'!Y262),"")</f>
        <v/>
      </c>
      <c r="K275" s="11" t="str">
        <f t="shared" si="48"/>
        <v/>
      </c>
      <c r="L275" s="11" t="str">
        <f>IF('Raw Data'!A262&lt;&gt;"",AVERAGE('Raw Data'!Z262,'Raw Data'!AB262,'Raw Data'!AD262,'Raw Data'!AF262,'Raw Data'!AH262),"")</f>
        <v/>
      </c>
      <c r="M275" s="11" t="str">
        <f>IF('Raw Data'!A262&lt;&gt;"",AVERAGE('Raw Data'!AA262,'Raw Data'!AC262,'Raw Data'!AE262,'Raw Data'!AG262,'Raw Data'!AI262),"")</f>
        <v/>
      </c>
      <c r="N275" s="11" t="str">
        <f t="shared" si="49"/>
        <v/>
      </c>
      <c r="O275" s="11" t="str">
        <f>IF('Raw Data'!A262&lt;&gt;"",AVERAGE('Raw Data'!AJ262,'Raw Data'!AL262,'Raw Data'!AN262,'Raw Data'!AP262,'Raw Data'!AR262),"")</f>
        <v/>
      </c>
      <c r="P275" s="11" t="str">
        <f>IF('Raw Data'!A262&lt;&gt;"",AVERAGE('Raw Data'!AK262,'Raw Data'!AM262,'Raw Data'!AO262,'Raw Data'!AQ262,'Raw Data'!AS262),"")</f>
        <v/>
      </c>
      <c r="Q275" s="11" t="str">
        <f t="shared" si="50"/>
        <v/>
      </c>
      <c r="R275" s="11" t="str">
        <f>IF('Raw Data'!A262&lt;&gt;"",AVERAGE('Raw Data'!AT262,'Raw Data'!AV262,'Raw Data'!AX262,'Raw Data'!AZ262,'Raw Data'!BB262),"")</f>
        <v/>
      </c>
      <c r="S275" s="11" t="str">
        <f>IF('Raw Data'!A262&lt;&gt;"",AVERAGE('Raw Data'!AU262,'Raw Data'!AW262,'Raw Data'!AY262,'Raw Data'!BA262,'Raw Data'!BC262),"")</f>
        <v/>
      </c>
      <c r="T275" s="11" t="str">
        <f t="shared" si="51"/>
        <v/>
      </c>
      <c r="U275" s="11" t="str">
        <f>IF('Raw Data'!A262&lt;&gt;"",AVERAGE('Raw Data'!BD262,'Raw Data'!BF262,'Raw Data'!BH262,'Raw Data'!BJ262,'Raw Data'!BL262),"")</f>
        <v/>
      </c>
      <c r="V275" s="11" t="str">
        <f>IF('Raw Data'!A262&lt;&gt;"",AVERAGE('Raw Data'!BE262,'Raw Data'!BG262,'Raw Data'!BI262,'Raw Data'!BK262,'Raw Data'!BM262),"")</f>
        <v/>
      </c>
      <c r="W275" s="11" t="str">
        <f t="shared" si="52"/>
        <v/>
      </c>
      <c r="X275" s="11" t="str">
        <f t="shared" si="53"/>
        <v/>
      </c>
      <c r="Y275" s="11" t="str">
        <f t="shared" si="54"/>
        <v/>
      </c>
      <c r="Z275" s="11" t="str">
        <f t="shared" si="55"/>
        <v/>
      </c>
      <c r="AA275" s="11" t="str">
        <f t="shared" si="56"/>
        <v/>
      </c>
      <c r="AB275" s="24" t="str">
        <f t="shared" si="57"/>
        <v/>
      </c>
    </row>
    <row r="276" spans="1:28" x14ac:dyDescent="0.25">
      <c r="A276" s="10" t="str">
        <f>IF('Raw Data'!A263&lt;&gt;"",'Raw Data'!A263,"")</f>
        <v/>
      </c>
      <c r="B276" s="10" t="str">
        <f>IF('Raw Data'!B263&lt;&gt;"",'Raw Data'!B263,"")</f>
        <v/>
      </c>
      <c r="C276" s="10" t="str">
        <f>IF('Raw Data'!C263&lt;&gt;"",'Raw Data'!C263,"")</f>
        <v/>
      </c>
      <c r="D276" s="10" t="str">
        <f>IF('Raw Data'!D263&lt;&gt;"",'Raw Data'!D263,"")</f>
        <v/>
      </c>
      <c r="E276" s="10" t="str">
        <f>IF('Raw Data'!E263&lt;&gt;"",'Raw Data'!E263,"")</f>
        <v/>
      </c>
      <c r="F276" s="14" t="str">
        <f>IF('Raw Data'!A263&lt;&gt;"",AVERAGE('Raw Data'!F263,'Raw Data'!H263,'Raw Data'!J263,'Raw Data'!L263,'Raw Data'!N263),"")</f>
        <v/>
      </c>
      <c r="G276" s="14" t="str">
        <f>IF('Raw Data'!A263&lt;&gt;"",AVERAGE('Raw Data'!G263,'Raw Data'!I263,'Raw Data'!K263,'Raw Data'!M263,'Raw Data'!O263),"")</f>
        <v/>
      </c>
      <c r="H276" s="14" t="str">
        <f t="shared" si="47"/>
        <v/>
      </c>
      <c r="I276" s="14" t="str">
        <f>IF('Raw Data'!A263&lt;&gt;"",AVERAGE('Raw Data'!P263,'Raw Data'!R263,'Raw Data'!T263,'Raw Data'!V263,'Raw Data'!X263),"")</f>
        <v/>
      </c>
      <c r="J276" s="14" t="str">
        <f>IF('Raw Data'!A263&lt;&gt;"",AVERAGE('Raw Data'!Q263,'Raw Data'!S263,'Raw Data'!U263,'Raw Data'!W263,'Raw Data'!Y263),"")</f>
        <v/>
      </c>
      <c r="K276" s="14" t="str">
        <f t="shared" si="48"/>
        <v/>
      </c>
      <c r="L276" s="14" t="str">
        <f>IF('Raw Data'!A263&lt;&gt;"",AVERAGE('Raw Data'!Z263,'Raw Data'!AB263,'Raw Data'!AD263,'Raw Data'!AF263,'Raw Data'!AH263),"")</f>
        <v/>
      </c>
      <c r="M276" s="14" t="str">
        <f>IF('Raw Data'!A263&lt;&gt;"",AVERAGE('Raw Data'!AA263,'Raw Data'!AC263,'Raw Data'!AE263,'Raw Data'!AG263,'Raw Data'!AI263),"")</f>
        <v/>
      </c>
      <c r="N276" s="14" t="str">
        <f t="shared" si="49"/>
        <v/>
      </c>
      <c r="O276" s="14" t="str">
        <f>IF('Raw Data'!A263&lt;&gt;"",AVERAGE('Raw Data'!AJ263,'Raw Data'!AL263,'Raw Data'!AN263,'Raw Data'!AP263,'Raw Data'!AR263),"")</f>
        <v/>
      </c>
      <c r="P276" s="14" t="str">
        <f>IF('Raw Data'!A263&lt;&gt;"",AVERAGE('Raw Data'!AK263,'Raw Data'!AM263,'Raw Data'!AO263,'Raw Data'!AQ263,'Raw Data'!AS263),"")</f>
        <v/>
      </c>
      <c r="Q276" s="14" t="str">
        <f t="shared" si="50"/>
        <v/>
      </c>
      <c r="R276" s="14" t="str">
        <f>IF('Raw Data'!A263&lt;&gt;"",AVERAGE('Raw Data'!AT263,'Raw Data'!AV263,'Raw Data'!AX263,'Raw Data'!AZ263,'Raw Data'!BB263),"")</f>
        <v/>
      </c>
      <c r="S276" s="14" t="str">
        <f>IF('Raw Data'!A263&lt;&gt;"",AVERAGE('Raw Data'!AU263,'Raw Data'!AW263,'Raw Data'!AY263,'Raw Data'!BA263,'Raw Data'!BC263),"")</f>
        <v/>
      </c>
      <c r="T276" s="14" t="str">
        <f t="shared" si="51"/>
        <v/>
      </c>
      <c r="U276" s="14" t="str">
        <f>IF('Raw Data'!A263&lt;&gt;"",AVERAGE('Raw Data'!BD263,'Raw Data'!BF263,'Raw Data'!BH263,'Raw Data'!BJ263,'Raw Data'!BL263),"")</f>
        <v/>
      </c>
      <c r="V276" s="14" t="str">
        <f>IF('Raw Data'!A263&lt;&gt;"",AVERAGE('Raw Data'!BE263,'Raw Data'!BG263,'Raw Data'!BI263,'Raw Data'!BK263,'Raw Data'!BM263),"")</f>
        <v/>
      </c>
      <c r="W276" s="14" t="str">
        <f t="shared" si="52"/>
        <v/>
      </c>
      <c r="X276" s="14" t="str">
        <f t="shared" si="53"/>
        <v/>
      </c>
      <c r="Y276" s="14" t="str">
        <f t="shared" si="54"/>
        <v/>
      </c>
      <c r="Z276" s="14" t="str">
        <f t="shared" si="55"/>
        <v/>
      </c>
      <c r="AA276" s="14" t="str">
        <f t="shared" si="56"/>
        <v/>
      </c>
      <c r="AB276" s="25" t="str">
        <f t="shared" si="57"/>
        <v/>
      </c>
    </row>
    <row r="277" spans="1:28" x14ac:dyDescent="0.25">
      <c r="A277" s="2" t="str">
        <f>IF('Raw Data'!A264&lt;&gt;"",'Raw Data'!A264,"")</f>
        <v/>
      </c>
      <c r="B277" s="2" t="str">
        <f>IF('Raw Data'!B264&lt;&gt;"",'Raw Data'!B264,"")</f>
        <v/>
      </c>
      <c r="C277" s="2" t="str">
        <f>IF('Raw Data'!C264&lt;&gt;"",'Raw Data'!C264,"")</f>
        <v/>
      </c>
      <c r="D277" s="2" t="str">
        <f>IF('Raw Data'!D264&lt;&gt;"",'Raw Data'!D264,"")</f>
        <v/>
      </c>
      <c r="E277" s="2" t="str">
        <f>IF('Raw Data'!E264&lt;&gt;"",'Raw Data'!E264,"")</f>
        <v/>
      </c>
      <c r="F277" s="11" t="str">
        <f>IF('Raw Data'!A264&lt;&gt;"",AVERAGE('Raw Data'!F264,'Raw Data'!H264,'Raw Data'!J264,'Raw Data'!L264,'Raw Data'!N264),"")</f>
        <v/>
      </c>
      <c r="G277" s="11" t="str">
        <f>IF('Raw Data'!A264&lt;&gt;"",AVERAGE('Raw Data'!G264,'Raw Data'!I264,'Raw Data'!K264,'Raw Data'!M264,'Raw Data'!O264),"")</f>
        <v/>
      </c>
      <c r="H277" s="11" t="str">
        <f t="shared" si="47"/>
        <v/>
      </c>
      <c r="I277" s="11" t="str">
        <f>IF('Raw Data'!A264&lt;&gt;"",AVERAGE('Raw Data'!P264,'Raw Data'!R264,'Raw Data'!T264,'Raw Data'!V264,'Raw Data'!X264),"")</f>
        <v/>
      </c>
      <c r="J277" s="11" t="str">
        <f>IF('Raw Data'!A264&lt;&gt;"",AVERAGE('Raw Data'!Q264,'Raw Data'!S264,'Raw Data'!U264,'Raw Data'!W264,'Raw Data'!Y264),"")</f>
        <v/>
      </c>
      <c r="K277" s="11" t="str">
        <f t="shared" si="48"/>
        <v/>
      </c>
      <c r="L277" s="11" t="str">
        <f>IF('Raw Data'!A264&lt;&gt;"",AVERAGE('Raw Data'!Z264,'Raw Data'!AB264,'Raw Data'!AD264,'Raw Data'!AF264,'Raw Data'!AH264),"")</f>
        <v/>
      </c>
      <c r="M277" s="11" t="str">
        <f>IF('Raw Data'!A264&lt;&gt;"",AVERAGE('Raw Data'!AA264,'Raw Data'!AC264,'Raw Data'!AE264,'Raw Data'!AG264,'Raw Data'!AI264),"")</f>
        <v/>
      </c>
      <c r="N277" s="11" t="str">
        <f t="shared" si="49"/>
        <v/>
      </c>
      <c r="O277" s="11" t="str">
        <f>IF('Raw Data'!A264&lt;&gt;"",AVERAGE('Raw Data'!AJ264,'Raw Data'!AL264,'Raw Data'!AN264,'Raw Data'!AP264,'Raw Data'!AR264),"")</f>
        <v/>
      </c>
      <c r="P277" s="11" t="str">
        <f>IF('Raw Data'!A264&lt;&gt;"",AVERAGE('Raw Data'!AK264,'Raw Data'!AM264,'Raw Data'!AO264,'Raw Data'!AQ264,'Raw Data'!AS264),"")</f>
        <v/>
      </c>
      <c r="Q277" s="11" t="str">
        <f t="shared" si="50"/>
        <v/>
      </c>
      <c r="R277" s="11" t="str">
        <f>IF('Raw Data'!A264&lt;&gt;"",AVERAGE('Raw Data'!AT264,'Raw Data'!AV264,'Raw Data'!AX264,'Raw Data'!AZ264,'Raw Data'!BB264),"")</f>
        <v/>
      </c>
      <c r="S277" s="11" t="str">
        <f>IF('Raw Data'!A264&lt;&gt;"",AVERAGE('Raw Data'!AU264,'Raw Data'!AW264,'Raw Data'!AY264,'Raw Data'!BA264,'Raw Data'!BC264),"")</f>
        <v/>
      </c>
      <c r="T277" s="11" t="str">
        <f t="shared" si="51"/>
        <v/>
      </c>
      <c r="U277" s="11" t="str">
        <f>IF('Raw Data'!A264&lt;&gt;"",AVERAGE('Raw Data'!BD264,'Raw Data'!BF264,'Raw Data'!BH264,'Raw Data'!BJ264,'Raw Data'!BL264),"")</f>
        <v/>
      </c>
      <c r="V277" s="11" t="str">
        <f>IF('Raw Data'!A264&lt;&gt;"",AVERAGE('Raw Data'!BE264,'Raw Data'!BG264,'Raw Data'!BI264,'Raw Data'!BK264,'Raw Data'!BM264),"")</f>
        <v/>
      </c>
      <c r="W277" s="11" t="str">
        <f t="shared" si="52"/>
        <v/>
      </c>
      <c r="X277" s="11" t="str">
        <f t="shared" si="53"/>
        <v/>
      </c>
      <c r="Y277" s="11" t="str">
        <f t="shared" si="54"/>
        <v/>
      </c>
      <c r="Z277" s="11" t="str">
        <f t="shared" si="55"/>
        <v/>
      </c>
      <c r="AA277" s="11" t="str">
        <f t="shared" si="56"/>
        <v/>
      </c>
      <c r="AB277" s="24" t="str">
        <f t="shared" si="57"/>
        <v/>
      </c>
    </row>
    <row r="278" spans="1:28" x14ac:dyDescent="0.25">
      <c r="A278" s="10" t="str">
        <f>IF('Raw Data'!A265&lt;&gt;"",'Raw Data'!A265,"")</f>
        <v/>
      </c>
      <c r="B278" s="10" t="str">
        <f>IF('Raw Data'!B265&lt;&gt;"",'Raw Data'!B265,"")</f>
        <v/>
      </c>
      <c r="C278" s="10" t="str">
        <f>IF('Raw Data'!C265&lt;&gt;"",'Raw Data'!C265,"")</f>
        <v/>
      </c>
      <c r="D278" s="10" t="str">
        <f>IF('Raw Data'!D265&lt;&gt;"",'Raw Data'!D265,"")</f>
        <v/>
      </c>
      <c r="E278" s="10" t="str">
        <f>IF('Raw Data'!E265&lt;&gt;"",'Raw Data'!E265,"")</f>
        <v/>
      </c>
      <c r="F278" s="14" t="str">
        <f>IF('Raw Data'!A265&lt;&gt;"",AVERAGE('Raw Data'!F265,'Raw Data'!H265,'Raw Data'!J265,'Raw Data'!L265,'Raw Data'!N265),"")</f>
        <v/>
      </c>
      <c r="G278" s="14" t="str">
        <f>IF('Raw Data'!A265&lt;&gt;"",AVERAGE('Raw Data'!G265,'Raw Data'!I265,'Raw Data'!K265,'Raw Data'!M265,'Raw Data'!O265),"")</f>
        <v/>
      </c>
      <c r="H278" s="14" t="str">
        <f t="shared" si="47"/>
        <v/>
      </c>
      <c r="I278" s="14" t="str">
        <f>IF('Raw Data'!A265&lt;&gt;"",AVERAGE('Raw Data'!P265,'Raw Data'!R265,'Raw Data'!T265,'Raw Data'!V265,'Raw Data'!X265),"")</f>
        <v/>
      </c>
      <c r="J278" s="14" t="str">
        <f>IF('Raw Data'!A265&lt;&gt;"",AVERAGE('Raw Data'!Q265,'Raw Data'!S265,'Raw Data'!U265,'Raw Data'!W265,'Raw Data'!Y265),"")</f>
        <v/>
      </c>
      <c r="K278" s="14" t="str">
        <f t="shared" si="48"/>
        <v/>
      </c>
      <c r="L278" s="14" t="str">
        <f>IF('Raw Data'!A265&lt;&gt;"",AVERAGE('Raw Data'!Z265,'Raw Data'!AB265,'Raw Data'!AD265,'Raw Data'!AF265,'Raw Data'!AH265),"")</f>
        <v/>
      </c>
      <c r="M278" s="14" t="str">
        <f>IF('Raw Data'!A265&lt;&gt;"",AVERAGE('Raw Data'!AA265,'Raw Data'!AC265,'Raw Data'!AE265,'Raw Data'!AG265,'Raw Data'!AI265),"")</f>
        <v/>
      </c>
      <c r="N278" s="14" t="str">
        <f t="shared" si="49"/>
        <v/>
      </c>
      <c r="O278" s="14" t="str">
        <f>IF('Raw Data'!A265&lt;&gt;"",AVERAGE('Raw Data'!AJ265,'Raw Data'!AL265,'Raw Data'!AN265,'Raw Data'!AP265,'Raw Data'!AR265),"")</f>
        <v/>
      </c>
      <c r="P278" s="14" t="str">
        <f>IF('Raw Data'!A265&lt;&gt;"",AVERAGE('Raw Data'!AK265,'Raw Data'!AM265,'Raw Data'!AO265,'Raw Data'!AQ265,'Raw Data'!AS265),"")</f>
        <v/>
      </c>
      <c r="Q278" s="14" t="str">
        <f t="shared" si="50"/>
        <v/>
      </c>
      <c r="R278" s="14" t="str">
        <f>IF('Raw Data'!A265&lt;&gt;"",AVERAGE('Raw Data'!AT265,'Raw Data'!AV265,'Raw Data'!AX265,'Raw Data'!AZ265,'Raw Data'!BB265),"")</f>
        <v/>
      </c>
      <c r="S278" s="14" t="str">
        <f>IF('Raw Data'!A265&lt;&gt;"",AVERAGE('Raw Data'!AU265,'Raw Data'!AW265,'Raw Data'!AY265,'Raw Data'!BA265,'Raw Data'!BC265),"")</f>
        <v/>
      </c>
      <c r="T278" s="14" t="str">
        <f t="shared" si="51"/>
        <v/>
      </c>
      <c r="U278" s="14" t="str">
        <f>IF('Raw Data'!A265&lt;&gt;"",AVERAGE('Raw Data'!BD265,'Raw Data'!BF265,'Raw Data'!BH265,'Raw Data'!BJ265,'Raw Data'!BL265),"")</f>
        <v/>
      </c>
      <c r="V278" s="14" t="str">
        <f>IF('Raw Data'!A265&lt;&gt;"",AVERAGE('Raw Data'!BE265,'Raw Data'!BG265,'Raw Data'!BI265,'Raw Data'!BK265,'Raw Data'!BM265),"")</f>
        <v/>
      </c>
      <c r="W278" s="14" t="str">
        <f t="shared" si="52"/>
        <v/>
      </c>
      <c r="X278" s="14" t="str">
        <f t="shared" si="53"/>
        <v/>
      </c>
      <c r="Y278" s="14" t="str">
        <f t="shared" si="54"/>
        <v/>
      </c>
      <c r="Z278" s="14" t="str">
        <f t="shared" si="55"/>
        <v/>
      </c>
      <c r="AA278" s="14" t="str">
        <f t="shared" si="56"/>
        <v/>
      </c>
      <c r="AB278" s="25" t="str">
        <f t="shared" si="57"/>
        <v/>
      </c>
    </row>
    <row r="279" spans="1:28" x14ac:dyDescent="0.25">
      <c r="A279" s="2" t="str">
        <f>IF('Raw Data'!A266&lt;&gt;"",'Raw Data'!A266,"")</f>
        <v/>
      </c>
      <c r="B279" s="2" t="str">
        <f>IF('Raw Data'!B266&lt;&gt;"",'Raw Data'!B266,"")</f>
        <v/>
      </c>
      <c r="C279" s="2" t="str">
        <f>IF('Raw Data'!C266&lt;&gt;"",'Raw Data'!C266,"")</f>
        <v/>
      </c>
      <c r="D279" s="2" t="str">
        <f>IF('Raw Data'!D266&lt;&gt;"",'Raw Data'!D266,"")</f>
        <v/>
      </c>
      <c r="E279" s="2" t="str">
        <f>IF('Raw Data'!E266&lt;&gt;"",'Raw Data'!E266,"")</f>
        <v/>
      </c>
      <c r="F279" s="11" t="str">
        <f>IF('Raw Data'!A266&lt;&gt;"",AVERAGE('Raw Data'!F266,'Raw Data'!H266,'Raw Data'!J266,'Raw Data'!L266,'Raw Data'!N266),"")</f>
        <v/>
      </c>
      <c r="G279" s="11" t="str">
        <f>IF('Raw Data'!A266&lt;&gt;"",AVERAGE('Raw Data'!G266,'Raw Data'!I266,'Raw Data'!K266,'Raw Data'!M266,'Raw Data'!O266),"")</f>
        <v/>
      </c>
      <c r="H279" s="11" t="str">
        <f t="shared" si="47"/>
        <v/>
      </c>
      <c r="I279" s="11" t="str">
        <f>IF('Raw Data'!A266&lt;&gt;"",AVERAGE('Raw Data'!P266,'Raw Data'!R266,'Raw Data'!T266,'Raw Data'!V266,'Raw Data'!X266),"")</f>
        <v/>
      </c>
      <c r="J279" s="11" t="str">
        <f>IF('Raw Data'!A266&lt;&gt;"",AVERAGE('Raw Data'!Q266,'Raw Data'!S266,'Raw Data'!U266,'Raw Data'!W266,'Raw Data'!Y266),"")</f>
        <v/>
      </c>
      <c r="K279" s="11" t="str">
        <f t="shared" si="48"/>
        <v/>
      </c>
      <c r="L279" s="11" t="str">
        <f>IF('Raw Data'!A266&lt;&gt;"",AVERAGE('Raw Data'!Z266,'Raw Data'!AB266,'Raw Data'!AD266,'Raw Data'!AF266,'Raw Data'!AH266),"")</f>
        <v/>
      </c>
      <c r="M279" s="11" t="str">
        <f>IF('Raw Data'!A266&lt;&gt;"",AVERAGE('Raw Data'!AA266,'Raw Data'!AC266,'Raw Data'!AE266,'Raw Data'!AG266,'Raw Data'!AI266),"")</f>
        <v/>
      </c>
      <c r="N279" s="11" t="str">
        <f t="shared" si="49"/>
        <v/>
      </c>
      <c r="O279" s="11" t="str">
        <f>IF('Raw Data'!A266&lt;&gt;"",AVERAGE('Raw Data'!AJ266,'Raw Data'!AL266,'Raw Data'!AN266,'Raw Data'!AP266,'Raw Data'!AR266),"")</f>
        <v/>
      </c>
      <c r="P279" s="11" t="str">
        <f>IF('Raw Data'!A266&lt;&gt;"",AVERAGE('Raw Data'!AK266,'Raw Data'!AM266,'Raw Data'!AO266,'Raw Data'!AQ266,'Raw Data'!AS266),"")</f>
        <v/>
      </c>
      <c r="Q279" s="11" t="str">
        <f t="shared" si="50"/>
        <v/>
      </c>
      <c r="R279" s="11" t="str">
        <f>IF('Raw Data'!A266&lt;&gt;"",AVERAGE('Raw Data'!AT266,'Raw Data'!AV266,'Raw Data'!AX266,'Raw Data'!AZ266,'Raw Data'!BB266),"")</f>
        <v/>
      </c>
      <c r="S279" s="11" t="str">
        <f>IF('Raw Data'!A266&lt;&gt;"",AVERAGE('Raw Data'!AU266,'Raw Data'!AW266,'Raw Data'!AY266,'Raw Data'!BA266,'Raw Data'!BC266),"")</f>
        <v/>
      </c>
      <c r="T279" s="11" t="str">
        <f t="shared" si="51"/>
        <v/>
      </c>
      <c r="U279" s="11" t="str">
        <f>IF('Raw Data'!A266&lt;&gt;"",AVERAGE('Raw Data'!BD266,'Raw Data'!BF266,'Raw Data'!BH266,'Raw Data'!BJ266,'Raw Data'!BL266),"")</f>
        <v/>
      </c>
      <c r="V279" s="11" t="str">
        <f>IF('Raw Data'!A266&lt;&gt;"",AVERAGE('Raw Data'!BE266,'Raw Data'!BG266,'Raw Data'!BI266,'Raw Data'!BK266,'Raw Data'!BM266),"")</f>
        <v/>
      </c>
      <c r="W279" s="11" t="str">
        <f t="shared" si="52"/>
        <v/>
      </c>
      <c r="X279" s="11" t="str">
        <f t="shared" si="53"/>
        <v/>
      </c>
      <c r="Y279" s="11" t="str">
        <f t="shared" si="54"/>
        <v/>
      </c>
      <c r="Z279" s="11" t="str">
        <f t="shared" si="55"/>
        <v/>
      </c>
      <c r="AA279" s="11" t="str">
        <f t="shared" si="56"/>
        <v/>
      </c>
      <c r="AB279" s="24" t="str">
        <f t="shared" si="57"/>
        <v/>
      </c>
    </row>
    <row r="280" spans="1:28" x14ac:dyDescent="0.25">
      <c r="A280" s="10" t="str">
        <f>IF('Raw Data'!A267&lt;&gt;"",'Raw Data'!A267,"")</f>
        <v/>
      </c>
      <c r="B280" s="10" t="str">
        <f>IF('Raw Data'!B267&lt;&gt;"",'Raw Data'!B267,"")</f>
        <v/>
      </c>
      <c r="C280" s="10" t="str">
        <f>IF('Raw Data'!C267&lt;&gt;"",'Raw Data'!C267,"")</f>
        <v/>
      </c>
      <c r="D280" s="10" t="str">
        <f>IF('Raw Data'!D267&lt;&gt;"",'Raw Data'!D267,"")</f>
        <v/>
      </c>
      <c r="E280" s="10" t="str">
        <f>IF('Raw Data'!E267&lt;&gt;"",'Raw Data'!E267,"")</f>
        <v/>
      </c>
      <c r="F280" s="14" t="str">
        <f>IF('Raw Data'!A267&lt;&gt;"",AVERAGE('Raw Data'!F267,'Raw Data'!H267,'Raw Data'!J267,'Raw Data'!L267,'Raw Data'!N267),"")</f>
        <v/>
      </c>
      <c r="G280" s="14" t="str">
        <f>IF('Raw Data'!A267&lt;&gt;"",AVERAGE('Raw Data'!G267,'Raw Data'!I267,'Raw Data'!K267,'Raw Data'!M267,'Raw Data'!O267),"")</f>
        <v/>
      </c>
      <c r="H280" s="14" t="str">
        <f t="shared" si="47"/>
        <v/>
      </c>
      <c r="I280" s="14" t="str">
        <f>IF('Raw Data'!A267&lt;&gt;"",AVERAGE('Raw Data'!P267,'Raw Data'!R267,'Raw Data'!T267,'Raw Data'!V267,'Raw Data'!X267),"")</f>
        <v/>
      </c>
      <c r="J280" s="14" t="str">
        <f>IF('Raw Data'!A267&lt;&gt;"",AVERAGE('Raw Data'!Q267,'Raw Data'!S267,'Raw Data'!U267,'Raw Data'!W267,'Raw Data'!Y267),"")</f>
        <v/>
      </c>
      <c r="K280" s="14" t="str">
        <f t="shared" si="48"/>
        <v/>
      </c>
      <c r="L280" s="14" t="str">
        <f>IF('Raw Data'!A267&lt;&gt;"",AVERAGE('Raw Data'!Z267,'Raw Data'!AB267,'Raw Data'!AD267,'Raw Data'!AF267,'Raw Data'!AH267),"")</f>
        <v/>
      </c>
      <c r="M280" s="14" t="str">
        <f>IF('Raw Data'!A267&lt;&gt;"",AVERAGE('Raw Data'!AA267,'Raw Data'!AC267,'Raw Data'!AE267,'Raw Data'!AG267,'Raw Data'!AI267),"")</f>
        <v/>
      </c>
      <c r="N280" s="14" t="str">
        <f t="shared" si="49"/>
        <v/>
      </c>
      <c r="O280" s="14" t="str">
        <f>IF('Raw Data'!A267&lt;&gt;"",AVERAGE('Raw Data'!AJ267,'Raw Data'!AL267,'Raw Data'!AN267,'Raw Data'!AP267,'Raw Data'!AR267),"")</f>
        <v/>
      </c>
      <c r="P280" s="14" t="str">
        <f>IF('Raw Data'!A267&lt;&gt;"",AVERAGE('Raw Data'!AK267,'Raw Data'!AM267,'Raw Data'!AO267,'Raw Data'!AQ267,'Raw Data'!AS267),"")</f>
        <v/>
      </c>
      <c r="Q280" s="14" t="str">
        <f t="shared" si="50"/>
        <v/>
      </c>
      <c r="R280" s="14" t="str">
        <f>IF('Raw Data'!A267&lt;&gt;"",AVERAGE('Raw Data'!AT267,'Raw Data'!AV267,'Raw Data'!AX267,'Raw Data'!AZ267,'Raw Data'!BB267),"")</f>
        <v/>
      </c>
      <c r="S280" s="14" t="str">
        <f>IF('Raw Data'!A267&lt;&gt;"",AVERAGE('Raw Data'!AU267,'Raw Data'!AW267,'Raw Data'!AY267,'Raw Data'!BA267,'Raw Data'!BC267),"")</f>
        <v/>
      </c>
      <c r="T280" s="14" t="str">
        <f t="shared" si="51"/>
        <v/>
      </c>
      <c r="U280" s="14" t="str">
        <f>IF('Raw Data'!A267&lt;&gt;"",AVERAGE('Raw Data'!BD267,'Raw Data'!BF267,'Raw Data'!BH267,'Raw Data'!BJ267,'Raw Data'!BL267),"")</f>
        <v/>
      </c>
      <c r="V280" s="14" t="str">
        <f>IF('Raw Data'!A267&lt;&gt;"",AVERAGE('Raw Data'!BE267,'Raw Data'!BG267,'Raw Data'!BI267,'Raw Data'!BK267,'Raw Data'!BM267),"")</f>
        <v/>
      </c>
      <c r="W280" s="14" t="str">
        <f t="shared" si="52"/>
        <v/>
      </c>
      <c r="X280" s="14" t="str">
        <f t="shared" si="53"/>
        <v/>
      </c>
      <c r="Y280" s="14" t="str">
        <f t="shared" si="54"/>
        <v/>
      </c>
      <c r="Z280" s="14" t="str">
        <f t="shared" si="55"/>
        <v/>
      </c>
      <c r="AA280" s="14" t="str">
        <f t="shared" si="56"/>
        <v/>
      </c>
      <c r="AB280" s="25" t="str">
        <f t="shared" si="57"/>
        <v/>
      </c>
    </row>
    <row r="281" spans="1:28" x14ac:dyDescent="0.25">
      <c r="A281" s="2" t="str">
        <f>IF('Raw Data'!A268&lt;&gt;"",'Raw Data'!A268,"")</f>
        <v/>
      </c>
      <c r="B281" s="2" t="str">
        <f>IF('Raw Data'!B268&lt;&gt;"",'Raw Data'!B268,"")</f>
        <v/>
      </c>
      <c r="C281" s="2" t="str">
        <f>IF('Raw Data'!C268&lt;&gt;"",'Raw Data'!C268,"")</f>
        <v/>
      </c>
      <c r="D281" s="2" t="str">
        <f>IF('Raw Data'!D268&lt;&gt;"",'Raw Data'!D268,"")</f>
        <v/>
      </c>
      <c r="E281" s="2" t="str">
        <f>IF('Raw Data'!E268&lt;&gt;"",'Raw Data'!E268,"")</f>
        <v/>
      </c>
      <c r="F281" s="11" t="str">
        <f>IF('Raw Data'!A268&lt;&gt;"",AVERAGE('Raw Data'!F268,'Raw Data'!H268,'Raw Data'!J268,'Raw Data'!L268,'Raw Data'!N268),"")</f>
        <v/>
      </c>
      <c r="G281" s="11" t="str">
        <f>IF('Raw Data'!A268&lt;&gt;"",AVERAGE('Raw Data'!G268,'Raw Data'!I268,'Raw Data'!K268,'Raw Data'!M268,'Raw Data'!O268),"")</f>
        <v/>
      </c>
      <c r="H281" s="11" t="str">
        <f t="shared" si="47"/>
        <v/>
      </c>
      <c r="I281" s="11" t="str">
        <f>IF('Raw Data'!A268&lt;&gt;"",AVERAGE('Raw Data'!P268,'Raw Data'!R268,'Raw Data'!T268,'Raw Data'!V268,'Raw Data'!X268),"")</f>
        <v/>
      </c>
      <c r="J281" s="11" t="str">
        <f>IF('Raw Data'!A268&lt;&gt;"",AVERAGE('Raw Data'!Q268,'Raw Data'!S268,'Raw Data'!U268,'Raw Data'!W268,'Raw Data'!Y268),"")</f>
        <v/>
      </c>
      <c r="K281" s="11" t="str">
        <f t="shared" si="48"/>
        <v/>
      </c>
      <c r="L281" s="11" t="str">
        <f>IF('Raw Data'!A268&lt;&gt;"",AVERAGE('Raw Data'!Z268,'Raw Data'!AB268,'Raw Data'!AD268,'Raw Data'!AF268,'Raw Data'!AH268),"")</f>
        <v/>
      </c>
      <c r="M281" s="11" t="str">
        <f>IF('Raw Data'!A268&lt;&gt;"",AVERAGE('Raw Data'!AA268,'Raw Data'!AC268,'Raw Data'!AE268,'Raw Data'!AG268,'Raw Data'!AI268),"")</f>
        <v/>
      </c>
      <c r="N281" s="11" t="str">
        <f t="shared" si="49"/>
        <v/>
      </c>
      <c r="O281" s="11" t="str">
        <f>IF('Raw Data'!A268&lt;&gt;"",AVERAGE('Raw Data'!AJ268,'Raw Data'!AL268,'Raw Data'!AN268,'Raw Data'!AP268,'Raw Data'!AR268),"")</f>
        <v/>
      </c>
      <c r="P281" s="11" t="str">
        <f>IF('Raw Data'!A268&lt;&gt;"",AVERAGE('Raw Data'!AK268,'Raw Data'!AM268,'Raw Data'!AO268,'Raw Data'!AQ268,'Raw Data'!AS268),"")</f>
        <v/>
      </c>
      <c r="Q281" s="11" t="str">
        <f t="shared" si="50"/>
        <v/>
      </c>
      <c r="R281" s="11" t="str">
        <f>IF('Raw Data'!A268&lt;&gt;"",AVERAGE('Raw Data'!AT268,'Raw Data'!AV268,'Raw Data'!AX268,'Raw Data'!AZ268,'Raw Data'!BB268),"")</f>
        <v/>
      </c>
      <c r="S281" s="11" t="str">
        <f>IF('Raw Data'!A268&lt;&gt;"",AVERAGE('Raw Data'!AU268,'Raw Data'!AW268,'Raw Data'!AY268,'Raw Data'!BA268,'Raw Data'!BC268),"")</f>
        <v/>
      </c>
      <c r="T281" s="11" t="str">
        <f t="shared" si="51"/>
        <v/>
      </c>
      <c r="U281" s="11" t="str">
        <f>IF('Raw Data'!A268&lt;&gt;"",AVERAGE('Raw Data'!BD268,'Raw Data'!BF268,'Raw Data'!BH268,'Raw Data'!BJ268,'Raw Data'!BL268),"")</f>
        <v/>
      </c>
      <c r="V281" s="11" t="str">
        <f>IF('Raw Data'!A268&lt;&gt;"",AVERAGE('Raw Data'!BE268,'Raw Data'!BG268,'Raw Data'!BI268,'Raw Data'!BK268,'Raw Data'!BM268),"")</f>
        <v/>
      </c>
      <c r="W281" s="11" t="str">
        <f t="shared" si="52"/>
        <v/>
      </c>
      <c r="X281" s="11" t="str">
        <f t="shared" si="53"/>
        <v/>
      </c>
      <c r="Y281" s="11" t="str">
        <f t="shared" si="54"/>
        <v/>
      </c>
      <c r="Z281" s="11" t="str">
        <f t="shared" si="55"/>
        <v/>
      </c>
      <c r="AA281" s="11" t="str">
        <f t="shared" si="56"/>
        <v/>
      </c>
      <c r="AB281" s="24" t="str">
        <f t="shared" si="57"/>
        <v/>
      </c>
    </row>
    <row r="282" spans="1:28" x14ac:dyDescent="0.25">
      <c r="A282" s="10" t="str">
        <f>IF('Raw Data'!A269&lt;&gt;"",'Raw Data'!A269,"")</f>
        <v/>
      </c>
      <c r="B282" s="10" t="str">
        <f>IF('Raw Data'!B269&lt;&gt;"",'Raw Data'!B269,"")</f>
        <v/>
      </c>
      <c r="C282" s="10" t="str">
        <f>IF('Raw Data'!C269&lt;&gt;"",'Raw Data'!C269,"")</f>
        <v/>
      </c>
      <c r="D282" s="10" t="str">
        <f>IF('Raw Data'!D269&lt;&gt;"",'Raw Data'!D269,"")</f>
        <v/>
      </c>
      <c r="E282" s="10" t="str">
        <f>IF('Raw Data'!E269&lt;&gt;"",'Raw Data'!E269,"")</f>
        <v/>
      </c>
      <c r="F282" s="14" t="str">
        <f>IF('Raw Data'!A269&lt;&gt;"",AVERAGE('Raw Data'!F269,'Raw Data'!H269,'Raw Data'!J269,'Raw Data'!L269,'Raw Data'!N269),"")</f>
        <v/>
      </c>
      <c r="G282" s="14" t="str">
        <f>IF('Raw Data'!A269&lt;&gt;"",AVERAGE('Raw Data'!G269,'Raw Data'!I269,'Raw Data'!K269,'Raw Data'!M269,'Raw Data'!O269),"")</f>
        <v/>
      </c>
      <c r="H282" s="14" t="str">
        <f t="shared" si="47"/>
        <v/>
      </c>
      <c r="I282" s="14" t="str">
        <f>IF('Raw Data'!A269&lt;&gt;"",AVERAGE('Raw Data'!P269,'Raw Data'!R269,'Raw Data'!T269,'Raw Data'!V269,'Raw Data'!X269),"")</f>
        <v/>
      </c>
      <c r="J282" s="14" t="str">
        <f>IF('Raw Data'!A269&lt;&gt;"",AVERAGE('Raw Data'!Q269,'Raw Data'!S269,'Raw Data'!U269,'Raw Data'!W269,'Raw Data'!Y269),"")</f>
        <v/>
      </c>
      <c r="K282" s="14" t="str">
        <f t="shared" si="48"/>
        <v/>
      </c>
      <c r="L282" s="14" t="str">
        <f>IF('Raw Data'!A269&lt;&gt;"",AVERAGE('Raw Data'!Z269,'Raw Data'!AB269,'Raw Data'!AD269,'Raw Data'!AF269,'Raw Data'!AH269),"")</f>
        <v/>
      </c>
      <c r="M282" s="14" t="str">
        <f>IF('Raw Data'!A269&lt;&gt;"",AVERAGE('Raw Data'!AA269,'Raw Data'!AC269,'Raw Data'!AE269,'Raw Data'!AG269,'Raw Data'!AI269),"")</f>
        <v/>
      </c>
      <c r="N282" s="14" t="str">
        <f t="shared" si="49"/>
        <v/>
      </c>
      <c r="O282" s="14" t="str">
        <f>IF('Raw Data'!A269&lt;&gt;"",AVERAGE('Raw Data'!AJ269,'Raw Data'!AL269,'Raw Data'!AN269,'Raw Data'!AP269,'Raw Data'!AR269),"")</f>
        <v/>
      </c>
      <c r="P282" s="14" t="str">
        <f>IF('Raw Data'!A269&lt;&gt;"",AVERAGE('Raw Data'!AK269,'Raw Data'!AM269,'Raw Data'!AO269,'Raw Data'!AQ269,'Raw Data'!AS269),"")</f>
        <v/>
      </c>
      <c r="Q282" s="14" t="str">
        <f t="shared" si="50"/>
        <v/>
      </c>
      <c r="R282" s="14" t="str">
        <f>IF('Raw Data'!A269&lt;&gt;"",AVERAGE('Raw Data'!AT269,'Raw Data'!AV269,'Raw Data'!AX269,'Raw Data'!AZ269,'Raw Data'!BB269),"")</f>
        <v/>
      </c>
      <c r="S282" s="14" t="str">
        <f>IF('Raw Data'!A269&lt;&gt;"",AVERAGE('Raw Data'!AU269,'Raw Data'!AW269,'Raw Data'!AY269,'Raw Data'!BA269,'Raw Data'!BC269),"")</f>
        <v/>
      </c>
      <c r="T282" s="14" t="str">
        <f t="shared" si="51"/>
        <v/>
      </c>
      <c r="U282" s="14" t="str">
        <f>IF('Raw Data'!A269&lt;&gt;"",AVERAGE('Raw Data'!BD269,'Raw Data'!BF269,'Raw Data'!BH269,'Raw Data'!BJ269,'Raw Data'!BL269),"")</f>
        <v/>
      </c>
      <c r="V282" s="14" t="str">
        <f>IF('Raw Data'!A269&lt;&gt;"",AVERAGE('Raw Data'!BE269,'Raw Data'!BG269,'Raw Data'!BI269,'Raw Data'!BK269,'Raw Data'!BM269),"")</f>
        <v/>
      </c>
      <c r="W282" s="14" t="str">
        <f t="shared" si="52"/>
        <v/>
      </c>
      <c r="X282" s="14" t="str">
        <f t="shared" si="53"/>
        <v/>
      </c>
      <c r="Y282" s="14" t="str">
        <f t="shared" si="54"/>
        <v/>
      </c>
      <c r="Z282" s="14" t="str">
        <f t="shared" si="55"/>
        <v/>
      </c>
      <c r="AA282" s="14" t="str">
        <f t="shared" si="56"/>
        <v/>
      </c>
      <c r="AB282" s="25" t="str">
        <f t="shared" si="57"/>
        <v/>
      </c>
    </row>
    <row r="283" spans="1:28" x14ac:dyDescent="0.25">
      <c r="A283" s="2" t="str">
        <f>IF('Raw Data'!A270&lt;&gt;"",'Raw Data'!A270,"")</f>
        <v/>
      </c>
      <c r="B283" s="2" t="str">
        <f>IF('Raw Data'!B270&lt;&gt;"",'Raw Data'!B270,"")</f>
        <v/>
      </c>
      <c r="C283" s="2" t="str">
        <f>IF('Raw Data'!C270&lt;&gt;"",'Raw Data'!C270,"")</f>
        <v/>
      </c>
      <c r="D283" s="2" t="str">
        <f>IF('Raw Data'!D270&lt;&gt;"",'Raw Data'!D270,"")</f>
        <v/>
      </c>
      <c r="E283" s="2" t="str">
        <f>IF('Raw Data'!E270&lt;&gt;"",'Raw Data'!E270,"")</f>
        <v/>
      </c>
      <c r="F283" s="11" t="str">
        <f>IF('Raw Data'!A270&lt;&gt;"",AVERAGE('Raw Data'!F270,'Raw Data'!H270,'Raw Data'!J270,'Raw Data'!L270,'Raw Data'!N270),"")</f>
        <v/>
      </c>
      <c r="G283" s="11" t="str">
        <f>IF('Raw Data'!A270&lt;&gt;"",AVERAGE('Raw Data'!G270,'Raw Data'!I270,'Raw Data'!K270,'Raw Data'!M270,'Raw Data'!O270),"")</f>
        <v/>
      </c>
      <c r="H283" s="11" t="str">
        <f t="shared" si="47"/>
        <v/>
      </c>
      <c r="I283" s="11" t="str">
        <f>IF('Raw Data'!A270&lt;&gt;"",AVERAGE('Raw Data'!P270,'Raw Data'!R270,'Raw Data'!T270,'Raw Data'!V270,'Raw Data'!X270),"")</f>
        <v/>
      </c>
      <c r="J283" s="11" t="str">
        <f>IF('Raw Data'!A270&lt;&gt;"",AVERAGE('Raw Data'!Q270,'Raw Data'!S270,'Raw Data'!U270,'Raw Data'!W270,'Raw Data'!Y270),"")</f>
        <v/>
      </c>
      <c r="K283" s="11" t="str">
        <f t="shared" si="48"/>
        <v/>
      </c>
      <c r="L283" s="11" t="str">
        <f>IF('Raw Data'!A270&lt;&gt;"",AVERAGE('Raw Data'!Z270,'Raw Data'!AB270,'Raw Data'!AD270,'Raw Data'!AF270,'Raw Data'!AH270),"")</f>
        <v/>
      </c>
      <c r="M283" s="11" t="str">
        <f>IF('Raw Data'!A270&lt;&gt;"",AVERAGE('Raw Data'!AA270,'Raw Data'!AC270,'Raw Data'!AE270,'Raw Data'!AG270,'Raw Data'!AI270),"")</f>
        <v/>
      </c>
      <c r="N283" s="11" t="str">
        <f t="shared" si="49"/>
        <v/>
      </c>
      <c r="O283" s="11" t="str">
        <f>IF('Raw Data'!A270&lt;&gt;"",AVERAGE('Raw Data'!AJ270,'Raw Data'!AL270,'Raw Data'!AN270,'Raw Data'!AP270,'Raw Data'!AR270),"")</f>
        <v/>
      </c>
      <c r="P283" s="11" t="str">
        <f>IF('Raw Data'!A270&lt;&gt;"",AVERAGE('Raw Data'!AK270,'Raw Data'!AM270,'Raw Data'!AO270,'Raw Data'!AQ270,'Raw Data'!AS270),"")</f>
        <v/>
      </c>
      <c r="Q283" s="11" t="str">
        <f t="shared" si="50"/>
        <v/>
      </c>
      <c r="R283" s="11" t="str">
        <f>IF('Raw Data'!A270&lt;&gt;"",AVERAGE('Raw Data'!AT270,'Raw Data'!AV270,'Raw Data'!AX270,'Raw Data'!AZ270,'Raw Data'!BB270),"")</f>
        <v/>
      </c>
      <c r="S283" s="11" t="str">
        <f>IF('Raw Data'!A270&lt;&gt;"",AVERAGE('Raw Data'!AU270,'Raw Data'!AW270,'Raw Data'!AY270,'Raw Data'!BA270,'Raw Data'!BC270),"")</f>
        <v/>
      </c>
      <c r="T283" s="11" t="str">
        <f t="shared" si="51"/>
        <v/>
      </c>
      <c r="U283" s="11" t="str">
        <f>IF('Raw Data'!A270&lt;&gt;"",AVERAGE('Raw Data'!BD270,'Raw Data'!BF270,'Raw Data'!BH270,'Raw Data'!BJ270,'Raw Data'!BL270),"")</f>
        <v/>
      </c>
      <c r="V283" s="11" t="str">
        <f>IF('Raw Data'!A270&lt;&gt;"",AVERAGE('Raw Data'!BE270,'Raw Data'!BG270,'Raw Data'!BI270,'Raw Data'!BK270,'Raw Data'!BM270),"")</f>
        <v/>
      </c>
      <c r="W283" s="11" t="str">
        <f t="shared" si="52"/>
        <v/>
      </c>
      <c r="X283" s="11" t="str">
        <f t="shared" si="53"/>
        <v/>
      </c>
      <c r="Y283" s="11" t="str">
        <f t="shared" si="54"/>
        <v/>
      </c>
      <c r="Z283" s="11" t="str">
        <f t="shared" si="55"/>
        <v/>
      </c>
      <c r="AA283" s="11" t="str">
        <f t="shared" si="56"/>
        <v/>
      </c>
      <c r="AB283" s="24" t="str">
        <f t="shared" si="57"/>
        <v/>
      </c>
    </row>
    <row r="284" spans="1:28" x14ac:dyDescent="0.25">
      <c r="A284" s="10" t="str">
        <f>IF('Raw Data'!A271&lt;&gt;"",'Raw Data'!A271,"")</f>
        <v/>
      </c>
      <c r="B284" s="10" t="str">
        <f>IF('Raw Data'!B271&lt;&gt;"",'Raw Data'!B271,"")</f>
        <v/>
      </c>
      <c r="C284" s="10" t="str">
        <f>IF('Raw Data'!C271&lt;&gt;"",'Raw Data'!C271,"")</f>
        <v/>
      </c>
      <c r="D284" s="10" t="str">
        <f>IF('Raw Data'!D271&lt;&gt;"",'Raw Data'!D271,"")</f>
        <v/>
      </c>
      <c r="E284" s="10" t="str">
        <f>IF('Raw Data'!E271&lt;&gt;"",'Raw Data'!E271,"")</f>
        <v/>
      </c>
      <c r="F284" s="14" t="str">
        <f>IF('Raw Data'!A271&lt;&gt;"",AVERAGE('Raw Data'!F271,'Raw Data'!H271,'Raw Data'!J271,'Raw Data'!L271,'Raw Data'!N271),"")</f>
        <v/>
      </c>
      <c r="G284" s="14" t="str">
        <f>IF('Raw Data'!A271&lt;&gt;"",AVERAGE('Raw Data'!G271,'Raw Data'!I271,'Raw Data'!K271,'Raw Data'!M271,'Raw Data'!O271),"")</f>
        <v/>
      </c>
      <c r="H284" s="14" t="str">
        <f t="shared" si="47"/>
        <v/>
      </c>
      <c r="I284" s="14" t="str">
        <f>IF('Raw Data'!A271&lt;&gt;"",AVERAGE('Raw Data'!P271,'Raw Data'!R271,'Raw Data'!T271,'Raw Data'!V271,'Raw Data'!X271),"")</f>
        <v/>
      </c>
      <c r="J284" s="14" t="str">
        <f>IF('Raw Data'!A271&lt;&gt;"",AVERAGE('Raw Data'!Q271,'Raw Data'!S271,'Raw Data'!U271,'Raw Data'!W271,'Raw Data'!Y271),"")</f>
        <v/>
      </c>
      <c r="K284" s="14" t="str">
        <f t="shared" si="48"/>
        <v/>
      </c>
      <c r="L284" s="14" t="str">
        <f>IF('Raw Data'!A271&lt;&gt;"",AVERAGE('Raw Data'!Z271,'Raw Data'!AB271,'Raw Data'!AD271,'Raw Data'!AF271,'Raw Data'!AH271),"")</f>
        <v/>
      </c>
      <c r="M284" s="14" t="str">
        <f>IF('Raw Data'!A271&lt;&gt;"",AVERAGE('Raw Data'!AA271,'Raw Data'!AC271,'Raw Data'!AE271,'Raw Data'!AG271,'Raw Data'!AI271),"")</f>
        <v/>
      </c>
      <c r="N284" s="14" t="str">
        <f t="shared" si="49"/>
        <v/>
      </c>
      <c r="O284" s="14" t="str">
        <f>IF('Raw Data'!A271&lt;&gt;"",AVERAGE('Raw Data'!AJ271,'Raw Data'!AL271,'Raw Data'!AN271,'Raw Data'!AP271,'Raw Data'!AR271),"")</f>
        <v/>
      </c>
      <c r="P284" s="14" t="str">
        <f>IF('Raw Data'!A271&lt;&gt;"",AVERAGE('Raw Data'!AK271,'Raw Data'!AM271,'Raw Data'!AO271,'Raw Data'!AQ271,'Raw Data'!AS271),"")</f>
        <v/>
      </c>
      <c r="Q284" s="14" t="str">
        <f t="shared" si="50"/>
        <v/>
      </c>
      <c r="R284" s="14" t="str">
        <f>IF('Raw Data'!A271&lt;&gt;"",AVERAGE('Raw Data'!AT271,'Raw Data'!AV271,'Raw Data'!AX271,'Raw Data'!AZ271,'Raw Data'!BB271),"")</f>
        <v/>
      </c>
      <c r="S284" s="14" t="str">
        <f>IF('Raw Data'!A271&lt;&gt;"",AVERAGE('Raw Data'!AU271,'Raw Data'!AW271,'Raw Data'!AY271,'Raw Data'!BA271,'Raw Data'!BC271),"")</f>
        <v/>
      </c>
      <c r="T284" s="14" t="str">
        <f t="shared" si="51"/>
        <v/>
      </c>
      <c r="U284" s="14" t="str">
        <f>IF('Raw Data'!A271&lt;&gt;"",AVERAGE('Raw Data'!BD271,'Raw Data'!BF271,'Raw Data'!BH271,'Raw Data'!BJ271,'Raw Data'!BL271),"")</f>
        <v/>
      </c>
      <c r="V284" s="14" t="str">
        <f>IF('Raw Data'!A271&lt;&gt;"",AVERAGE('Raw Data'!BE271,'Raw Data'!BG271,'Raw Data'!BI271,'Raw Data'!BK271,'Raw Data'!BM271),"")</f>
        <v/>
      </c>
      <c r="W284" s="14" t="str">
        <f t="shared" si="52"/>
        <v/>
      </c>
      <c r="X284" s="14" t="str">
        <f t="shared" si="53"/>
        <v/>
      </c>
      <c r="Y284" s="14" t="str">
        <f t="shared" si="54"/>
        <v/>
      </c>
      <c r="Z284" s="14" t="str">
        <f t="shared" si="55"/>
        <v/>
      </c>
      <c r="AA284" s="14" t="str">
        <f t="shared" si="56"/>
        <v/>
      </c>
      <c r="AB284" s="25" t="str">
        <f t="shared" si="57"/>
        <v/>
      </c>
    </row>
    <row r="285" spans="1:28" x14ac:dyDescent="0.25">
      <c r="A285" s="2" t="str">
        <f>IF('Raw Data'!A272&lt;&gt;"",'Raw Data'!A272,"")</f>
        <v/>
      </c>
      <c r="B285" s="2" t="str">
        <f>IF('Raw Data'!B272&lt;&gt;"",'Raw Data'!B272,"")</f>
        <v/>
      </c>
      <c r="C285" s="2" t="str">
        <f>IF('Raw Data'!C272&lt;&gt;"",'Raw Data'!C272,"")</f>
        <v/>
      </c>
      <c r="D285" s="2" t="str">
        <f>IF('Raw Data'!D272&lt;&gt;"",'Raw Data'!D272,"")</f>
        <v/>
      </c>
      <c r="E285" s="2" t="str">
        <f>IF('Raw Data'!E272&lt;&gt;"",'Raw Data'!E272,"")</f>
        <v/>
      </c>
      <c r="F285" s="11" t="str">
        <f>IF('Raw Data'!A272&lt;&gt;"",AVERAGE('Raw Data'!F272,'Raw Data'!H272,'Raw Data'!J272,'Raw Data'!L272,'Raw Data'!N272),"")</f>
        <v/>
      </c>
      <c r="G285" s="11" t="str">
        <f>IF('Raw Data'!A272&lt;&gt;"",AVERAGE('Raw Data'!G272,'Raw Data'!I272,'Raw Data'!K272,'Raw Data'!M272,'Raw Data'!O272),"")</f>
        <v/>
      </c>
      <c r="H285" s="11" t="str">
        <f t="shared" si="47"/>
        <v/>
      </c>
      <c r="I285" s="11" t="str">
        <f>IF('Raw Data'!A272&lt;&gt;"",AVERAGE('Raw Data'!P272,'Raw Data'!R272,'Raw Data'!T272,'Raw Data'!V272,'Raw Data'!X272),"")</f>
        <v/>
      </c>
      <c r="J285" s="11" t="str">
        <f>IF('Raw Data'!A272&lt;&gt;"",AVERAGE('Raw Data'!Q272,'Raw Data'!S272,'Raw Data'!U272,'Raw Data'!W272,'Raw Data'!Y272),"")</f>
        <v/>
      </c>
      <c r="K285" s="11" t="str">
        <f t="shared" si="48"/>
        <v/>
      </c>
      <c r="L285" s="11" t="str">
        <f>IF('Raw Data'!A272&lt;&gt;"",AVERAGE('Raw Data'!Z272,'Raw Data'!AB272,'Raw Data'!AD272,'Raw Data'!AF272,'Raw Data'!AH272),"")</f>
        <v/>
      </c>
      <c r="M285" s="11" t="str">
        <f>IF('Raw Data'!A272&lt;&gt;"",AVERAGE('Raw Data'!AA272,'Raw Data'!AC272,'Raw Data'!AE272,'Raw Data'!AG272,'Raw Data'!AI272),"")</f>
        <v/>
      </c>
      <c r="N285" s="11" t="str">
        <f t="shared" si="49"/>
        <v/>
      </c>
      <c r="O285" s="11" t="str">
        <f>IF('Raw Data'!A272&lt;&gt;"",AVERAGE('Raw Data'!AJ272,'Raw Data'!AL272,'Raw Data'!AN272,'Raw Data'!AP272,'Raw Data'!AR272),"")</f>
        <v/>
      </c>
      <c r="P285" s="11" t="str">
        <f>IF('Raw Data'!A272&lt;&gt;"",AVERAGE('Raw Data'!AK272,'Raw Data'!AM272,'Raw Data'!AO272,'Raw Data'!AQ272,'Raw Data'!AS272),"")</f>
        <v/>
      </c>
      <c r="Q285" s="11" t="str">
        <f t="shared" si="50"/>
        <v/>
      </c>
      <c r="R285" s="11" t="str">
        <f>IF('Raw Data'!A272&lt;&gt;"",AVERAGE('Raw Data'!AT272,'Raw Data'!AV272,'Raw Data'!AX272,'Raw Data'!AZ272,'Raw Data'!BB272),"")</f>
        <v/>
      </c>
      <c r="S285" s="11" t="str">
        <f>IF('Raw Data'!A272&lt;&gt;"",AVERAGE('Raw Data'!AU272,'Raw Data'!AW272,'Raw Data'!AY272,'Raw Data'!BA272,'Raw Data'!BC272),"")</f>
        <v/>
      </c>
      <c r="T285" s="11" t="str">
        <f t="shared" si="51"/>
        <v/>
      </c>
      <c r="U285" s="11" t="str">
        <f>IF('Raw Data'!A272&lt;&gt;"",AVERAGE('Raw Data'!BD272,'Raw Data'!BF272,'Raw Data'!BH272,'Raw Data'!BJ272,'Raw Data'!BL272),"")</f>
        <v/>
      </c>
      <c r="V285" s="11" t="str">
        <f>IF('Raw Data'!A272&lt;&gt;"",AVERAGE('Raw Data'!BE272,'Raw Data'!BG272,'Raw Data'!BI272,'Raw Data'!BK272,'Raw Data'!BM272),"")</f>
        <v/>
      </c>
      <c r="W285" s="11" t="str">
        <f t="shared" si="52"/>
        <v/>
      </c>
      <c r="X285" s="11" t="str">
        <f t="shared" si="53"/>
        <v/>
      </c>
      <c r="Y285" s="11" t="str">
        <f t="shared" si="54"/>
        <v/>
      </c>
      <c r="Z285" s="11" t="str">
        <f t="shared" si="55"/>
        <v/>
      </c>
      <c r="AA285" s="11" t="str">
        <f t="shared" si="56"/>
        <v/>
      </c>
      <c r="AB285" s="24" t="str">
        <f t="shared" si="57"/>
        <v/>
      </c>
    </row>
    <row r="286" spans="1:28" x14ac:dyDescent="0.25">
      <c r="A286" s="10" t="str">
        <f>IF('Raw Data'!A273&lt;&gt;"",'Raw Data'!A273,"")</f>
        <v/>
      </c>
      <c r="B286" s="10" t="str">
        <f>IF('Raw Data'!B273&lt;&gt;"",'Raw Data'!B273,"")</f>
        <v/>
      </c>
      <c r="C286" s="10" t="str">
        <f>IF('Raw Data'!C273&lt;&gt;"",'Raw Data'!C273,"")</f>
        <v/>
      </c>
      <c r="D286" s="10" t="str">
        <f>IF('Raw Data'!D273&lt;&gt;"",'Raw Data'!D273,"")</f>
        <v/>
      </c>
      <c r="E286" s="10" t="str">
        <f>IF('Raw Data'!E273&lt;&gt;"",'Raw Data'!E273,"")</f>
        <v/>
      </c>
      <c r="F286" s="14" t="str">
        <f>IF('Raw Data'!A273&lt;&gt;"",AVERAGE('Raw Data'!F273,'Raw Data'!H273,'Raw Data'!J273,'Raw Data'!L273,'Raw Data'!N273),"")</f>
        <v/>
      </c>
      <c r="G286" s="14" t="str">
        <f>IF('Raw Data'!A273&lt;&gt;"",AVERAGE('Raw Data'!G273,'Raw Data'!I273,'Raw Data'!K273,'Raw Data'!M273,'Raw Data'!O273),"")</f>
        <v/>
      </c>
      <c r="H286" s="14" t="str">
        <f t="shared" si="47"/>
        <v/>
      </c>
      <c r="I286" s="14" t="str">
        <f>IF('Raw Data'!A273&lt;&gt;"",AVERAGE('Raw Data'!P273,'Raw Data'!R273,'Raw Data'!T273,'Raw Data'!V273,'Raw Data'!X273),"")</f>
        <v/>
      </c>
      <c r="J286" s="14" t="str">
        <f>IF('Raw Data'!A273&lt;&gt;"",AVERAGE('Raw Data'!Q273,'Raw Data'!S273,'Raw Data'!U273,'Raw Data'!W273,'Raw Data'!Y273),"")</f>
        <v/>
      </c>
      <c r="K286" s="14" t="str">
        <f t="shared" si="48"/>
        <v/>
      </c>
      <c r="L286" s="14" t="str">
        <f>IF('Raw Data'!A273&lt;&gt;"",AVERAGE('Raw Data'!Z273,'Raw Data'!AB273,'Raw Data'!AD273,'Raw Data'!AF273,'Raw Data'!AH273),"")</f>
        <v/>
      </c>
      <c r="M286" s="14" t="str">
        <f>IF('Raw Data'!A273&lt;&gt;"",AVERAGE('Raw Data'!AA273,'Raw Data'!AC273,'Raw Data'!AE273,'Raw Data'!AG273,'Raw Data'!AI273),"")</f>
        <v/>
      </c>
      <c r="N286" s="14" t="str">
        <f t="shared" si="49"/>
        <v/>
      </c>
      <c r="O286" s="14" t="str">
        <f>IF('Raw Data'!A273&lt;&gt;"",AVERAGE('Raw Data'!AJ273,'Raw Data'!AL273,'Raw Data'!AN273,'Raw Data'!AP273,'Raw Data'!AR273),"")</f>
        <v/>
      </c>
      <c r="P286" s="14" t="str">
        <f>IF('Raw Data'!A273&lt;&gt;"",AVERAGE('Raw Data'!AK273,'Raw Data'!AM273,'Raw Data'!AO273,'Raw Data'!AQ273,'Raw Data'!AS273),"")</f>
        <v/>
      </c>
      <c r="Q286" s="14" t="str">
        <f t="shared" si="50"/>
        <v/>
      </c>
      <c r="R286" s="14" t="str">
        <f>IF('Raw Data'!A273&lt;&gt;"",AVERAGE('Raw Data'!AT273,'Raw Data'!AV273,'Raw Data'!AX273,'Raw Data'!AZ273,'Raw Data'!BB273),"")</f>
        <v/>
      </c>
      <c r="S286" s="14" t="str">
        <f>IF('Raw Data'!A273&lt;&gt;"",AVERAGE('Raw Data'!AU273,'Raw Data'!AW273,'Raw Data'!AY273,'Raw Data'!BA273,'Raw Data'!BC273),"")</f>
        <v/>
      </c>
      <c r="T286" s="14" t="str">
        <f t="shared" si="51"/>
        <v/>
      </c>
      <c r="U286" s="14" t="str">
        <f>IF('Raw Data'!A273&lt;&gt;"",AVERAGE('Raw Data'!BD273,'Raw Data'!BF273,'Raw Data'!BH273,'Raw Data'!BJ273,'Raw Data'!BL273),"")</f>
        <v/>
      </c>
      <c r="V286" s="14" t="str">
        <f>IF('Raw Data'!A273&lt;&gt;"",AVERAGE('Raw Data'!BE273,'Raw Data'!BG273,'Raw Data'!BI273,'Raw Data'!BK273,'Raw Data'!BM273),"")</f>
        <v/>
      </c>
      <c r="W286" s="14" t="str">
        <f t="shared" si="52"/>
        <v/>
      </c>
      <c r="X286" s="14" t="str">
        <f t="shared" si="53"/>
        <v/>
      </c>
      <c r="Y286" s="14" t="str">
        <f t="shared" si="54"/>
        <v/>
      </c>
      <c r="Z286" s="14" t="str">
        <f t="shared" si="55"/>
        <v/>
      </c>
      <c r="AA286" s="14" t="str">
        <f t="shared" si="56"/>
        <v/>
      </c>
      <c r="AB286" s="25" t="str">
        <f t="shared" si="57"/>
        <v/>
      </c>
    </row>
    <row r="287" spans="1:28" x14ac:dyDescent="0.25">
      <c r="A287" s="2" t="str">
        <f>IF('Raw Data'!A274&lt;&gt;"",'Raw Data'!A274,"")</f>
        <v/>
      </c>
      <c r="B287" s="2" t="str">
        <f>IF('Raw Data'!B274&lt;&gt;"",'Raw Data'!B274,"")</f>
        <v/>
      </c>
      <c r="C287" s="2" t="str">
        <f>IF('Raw Data'!C274&lt;&gt;"",'Raw Data'!C274,"")</f>
        <v/>
      </c>
      <c r="D287" s="2" t="str">
        <f>IF('Raw Data'!D274&lt;&gt;"",'Raw Data'!D274,"")</f>
        <v/>
      </c>
      <c r="E287" s="2" t="str">
        <f>IF('Raw Data'!E274&lt;&gt;"",'Raw Data'!E274,"")</f>
        <v/>
      </c>
      <c r="F287" s="11" t="str">
        <f>IF('Raw Data'!A274&lt;&gt;"",AVERAGE('Raw Data'!F274,'Raw Data'!H274,'Raw Data'!J274,'Raw Data'!L274,'Raw Data'!N274),"")</f>
        <v/>
      </c>
      <c r="G287" s="11" t="str">
        <f>IF('Raw Data'!A274&lt;&gt;"",AVERAGE('Raw Data'!G274,'Raw Data'!I274,'Raw Data'!K274,'Raw Data'!M274,'Raw Data'!O274),"")</f>
        <v/>
      </c>
      <c r="H287" s="11" t="str">
        <f t="shared" si="47"/>
        <v/>
      </c>
      <c r="I287" s="11" t="str">
        <f>IF('Raw Data'!A274&lt;&gt;"",AVERAGE('Raw Data'!P274,'Raw Data'!R274,'Raw Data'!T274,'Raw Data'!V274,'Raw Data'!X274),"")</f>
        <v/>
      </c>
      <c r="J287" s="11" t="str">
        <f>IF('Raw Data'!A274&lt;&gt;"",AVERAGE('Raw Data'!Q274,'Raw Data'!S274,'Raw Data'!U274,'Raw Data'!W274,'Raw Data'!Y274),"")</f>
        <v/>
      </c>
      <c r="K287" s="11" t="str">
        <f t="shared" si="48"/>
        <v/>
      </c>
      <c r="L287" s="11" t="str">
        <f>IF('Raw Data'!A274&lt;&gt;"",AVERAGE('Raw Data'!Z274,'Raw Data'!AB274,'Raw Data'!AD274,'Raw Data'!AF274,'Raw Data'!AH274),"")</f>
        <v/>
      </c>
      <c r="M287" s="11" t="str">
        <f>IF('Raw Data'!A274&lt;&gt;"",AVERAGE('Raw Data'!AA274,'Raw Data'!AC274,'Raw Data'!AE274,'Raw Data'!AG274,'Raw Data'!AI274),"")</f>
        <v/>
      </c>
      <c r="N287" s="11" t="str">
        <f t="shared" si="49"/>
        <v/>
      </c>
      <c r="O287" s="11" t="str">
        <f>IF('Raw Data'!A274&lt;&gt;"",AVERAGE('Raw Data'!AJ274,'Raw Data'!AL274,'Raw Data'!AN274,'Raw Data'!AP274,'Raw Data'!AR274),"")</f>
        <v/>
      </c>
      <c r="P287" s="11" t="str">
        <f>IF('Raw Data'!A274&lt;&gt;"",AVERAGE('Raw Data'!AK274,'Raw Data'!AM274,'Raw Data'!AO274,'Raw Data'!AQ274,'Raw Data'!AS274),"")</f>
        <v/>
      </c>
      <c r="Q287" s="11" t="str">
        <f t="shared" si="50"/>
        <v/>
      </c>
      <c r="R287" s="11" t="str">
        <f>IF('Raw Data'!A274&lt;&gt;"",AVERAGE('Raw Data'!AT274,'Raw Data'!AV274,'Raw Data'!AX274,'Raw Data'!AZ274,'Raw Data'!BB274),"")</f>
        <v/>
      </c>
      <c r="S287" s="11" t="str">
        <f>IF('Raw Data'!A274&lt;&gt;"",AVERAGE('Raw Data'!AU274,'Raw Data'!AW274,'Raw Data'!AY274,'Raw Data'!BA274,'Raw Data'!BC274),"")</f>
        <v/>
      </c>
      <c r="T287" s="11" t="str">
        <f t="shared" si="51"/>
        <v/>
      </c>
      <c r="U287" s="11" t="str">
        <f>IF('Raw Data'!A274&lt;&gt;"",AVERAGE('Raw Data'!BD274,'Raw Data'!BF274,'Raw Data'!BH274,'Raw Data'!BJ274,'Raw Data'!BL274),"")</f>
        <v/>
      </c>
      <c r="V287" s="11" t="str">
        <f>IF('Raw Data'!A274&lt;&gt;"",AVERAGE('Raw Data'!BE274,'Raw Data'!BG274,'Raw Data'!BI274,'Raw Data'!BK274,'Raw Data'!BM274),"")</f>
        <v/>
      </c>
      <c r="W287" s="11" t="str">
        <f t="shared" si="52"/>
        <v/>
      </c>
      <c r="X287" s="11" t="str">
        <f t="shared" si="53"/>
        <v/>
      </c>
      <c r="Y287" s="11" t="str">
        <f t="shared" si="54"/>
        <v/>
      </c>
      <c r="Z287" s="11" t="str">
        <f t="shared" si="55"/>
        <v/>
      </c>
      <c r="AA287" s="11" t="str">
        <f t="shared" si="56"/>
        <v/>
      </c>
      <c r="AB287" s="24" t="str">
        <f t="shared" si="57"/>
        <v/>
      </c>
    </row>
    <row r="288" spans="1:28" x14ac:dyDescent="0.25">
      <c r="A288" s="10" t="str">
        <f>IF('Raw Data'!A275&lt;&gt;"",'Raw Data'!A275,"")</f>
        <v/>
      </c>
      <c r="B288" s="10" t="str">
        <f>IF('Raw Data'!B275&lt;&gt;"",'Raw Data'!B275,"")</f>
        <v/>
      </c>
      <c r="C288" s="10" t="str">
        <f>IF('Raw Data'!C275&lt;&gt;"",'Raw Data'!C275,"")</f>
        <v/>
      </c>
      <c r="D288" s="10" t="str">
        <f>IF('Raw Data'!D275&lt;&gt;"",'Raw Data'!D275,"")</f>
        <v/>
      </c>
      <c r="E288" s="10" t="str">
        <f>IF('Raw Data'!E275&lt;&gt;"",'Raw Data'!E275,"")</f>
        <v/>
      </c>
      <c r="F288" s="14" t="str">
        <f>IF('Raw Data'!A275&lt;&gt;"",AVERAGE('Raw Data'!F275,'Raw Data'!H275,'Raw Data'!J275,'Raw Data'!L275,'Raw Data'!N275),"")</f>
        <v/>
      </c>
      <c r="G288" s="14" t="str">
        <f>IF('Raw Data'!A275&lt;&gt;"",AVERAGE('Raw Data'!G275,'Raw Data'!I275,'Raw Data'!K275,'Raw Data'!M275,'Raw Data'!O275),"")</f>
        <v/>
      </c>
      <c r="H288" s="14" t="str">
        <f t="shared" si="47"/>
        <v/>
      </c>
      <c r="I288" s="14" t="str">
        <f>IF('Raw Data'!A275&lt;&gt;"",AVERAGE('Raw Data'!P275,'Raw Data'!R275,'Raw Data'!T275,'Raw Data'!V275,'Raw Data'!X275),"")</f>
        <v/>
      </c>
      <c r="J288" s="14" t="str">
        <f>IF('Raw Data'!A275&lt;&gt;"",AVERAGE('Raw Data'!Q275,'Raw Data'!S275,'Raw Data'!U275,'Raw Data'!W275,'Raw Data'!Y275),"")</f>
        <v/>
      </c>
      <c r="K288" s="14" t="str">
        <f t="shared" si="48"/>
        <v/>
      </c>
      <c r="L288" s="14" t="str">
        <f>IF('Raw Data'!A275&lt;&gt;"",AVERAGE('Raw Data'!Z275,'Raw Data'!AB275,'Raw Data'!AD275,'Raw Data'!AF275,'Raw Data'!AH275),"")</f>
        <v/>
      </c>
      <c r="M288" s="14" t="str">
        <f>IF('Raw Data'!A275&lt;&gt;"",AVERAGE('Raw Data'!AA275,'Raw Data'!AC275,'Raw Data'!AE275,'Raw Data'!AG275,'Raw Data'!AI275),"")</f>
        <v/>
      </c>
      <c r="N288" s="14" t="str">
        <f t="shared" si="49"/>
        <v/>
      </c>
      <c r="O288" s="14" t="str">
        <f>IF('Raw Data'!A275&lt;&gt;"",AVERAGE('Raw Data'!AJ275,'Raw Data'!AL275,'Raw Data'!AN275,'Raw Data'!AP275,'Raw Data'!AR275),"")</f>
        <v/>
      </c>
      <c r="P288" s="14" t="str">
        <f>IF('Raw Data'!A275&lt;&gt;"",AVERAGE('Raw Data'!AK275,'Raw Data'!AM275,'Raw Data'!AO275,'Raw Data'!AQ275,'Raw Data'!AS275),"")</f>
        <v/>
      </c>
      <c r="Q288" s="14" t="str">
        <f t="shared" si="50"/>
        <v/>
      </c>
      <c r="R288" s="14" t="str">
        <f>IF('Raw Data'!A275&lt;&gt;"",AVERAGE('Raw Data'!AT275,'Raw Data'!AV275,'Raw Data'!AX275,'Raw Data'!AZ275,'Raw Data'!BB275),"")</f>
        <v/>
      </c>
      <c r="S288" s="14" t="str">
        <f>IF('Raw Data'!A275&lt;&gt;"",AVERAGE('Raw Data'!AU275,'Raw Data'!AW275,'Raw Data'!AY275,'Raw Data'!BA275,'Raw Data'!BC275),"")</f>
        <v/>
      </c>
      <c r="T288" s="14" t="str">
        <f t="shared" si="51"/>
        <v/>
      </c>
      <c r="U288" s="14" t="str">
        <f>IF('Raw Data'!A275&lt;&gt;"",AVERAGE('Raw Data'!BD275,'Raw Data'!BF275,'Raw Data'!BH275,'Raw Data'!BJ275,'Raw Data'!BL275),"")</f>
        <v/>
      </c>
      <c r="V288" s="14" t="str">
        <f>IF('Raw Data'!A275&lt;&gt;"",AVERAGE('Raw Data'!BE275,'Raw Data'!BG275,'Raw Data'!BI275,'Raw Data'!BK275,'Raw Data'!BM275),"")</f>
        <v/>
      </c>
      <c r="W288" s="14" t="str">
        <f t="shared" si="52"/>
        <v/>
      </c>
      <c r="X288" s="14" t="str">
        <f t="shared" si="53"/>
        <v/>
      </c>
      <c r="Y288" s="14" t="str">
        <f t="shared" si="54"/>
        <v/>
      </c>
      <c r="Z288" s="14" t="str">
        <f t="shared" si="55"/>
        <v/>
      </c>
      <c r="AA288" s="14" t="str">
        <f t="shared" si="56"/>
        <v/>
      </c>
      <c r="AB288" s="25" t="str">
        <f t="shared" si="57"/>
        <v/>
      </c>
    </row>
    <row r="289" spans="1:28" x14ac:dyDescent="0.25">
      <c r="A289" s="2" t="str">
        <f>IF('Raw Data'!A276&lt;&gt;"",'Raw Data'!A276,"")</f>
        <v/>
      </c>
      <c r="B289" s="2" t="str">
        <f>IF('Raw Data'!B276&lt;&gt;"",'Raw Data'!B276,"")</f>
        <v/>
      </c>
      <c r="C289" s="2" t="str">
        <f>IF('Raw Data'!C276&lt;&gt;"",'Raw Data'!C276,"")</f>
        <v/>
      </c>
      <c r="D289" s="2" t="str">
        <f>IF('Raw Data'!D276&lt;&gt;"",'Raw Data'!D276,"")</f>
        <v/>
      </c>
      <c r="E289" s="2" t="str">
        <f>IF('Raw Data'!E276&lt;&gt;"",'Raw Data'!E276,"")</f>
        <v/>
      </c>
      <c r="F289" s="11" t="str">
        <f>IF('Raw Data'!A276&lt;&gt;"",AVERAGE('Raw Data'!F276,'Raw Data'!H276,'Raw Data'!J276,'Raw Data'!L276,'Raw Data'!N276),"")</f>
        <v/>
      </c>
      <c r="G289" s="11" t="str">
        <f>IF('Raw Data'!A276&lt;&gt;"",AVERAGE('Raw Data'!G276,'Raw Data'!I276,'Raw Data'!K276,'Raw Data'!M276,'Raw Data'!O276),"")</f>
        <v/>
      </c>
      <c r="H289" s="11" t="str">
        <f t="shared" si="47"/>
        <v/>
      </c>
      <c r="I289" s="11" t="str">
        <f>IF('Raw Data'!A276&lt;&gt;"",AVERAGE('Raw Data'!P276,'Raw Data'!R276,'Raw Data'!T276,'Raw Data'!V276,'Raw Data'!X276),"")</f>
        <v/>
      </c>
      <c r="J289" s="11" t="str">
        <f>IF('Raw Data'!A276&lt;&gt;"",AVERAGE('Raw Data'!Q276,'Raw Data'!S276,'Raw Data'!U276,'Raw Data'!W276,'Raw Data'!Y276),"")</f>
        <v/>
      </c>
      <c r="K289" s="11" t="str">
        <f t="shared" si="48"/>
        <v/>
      </c>
      <c r="L289" s="11" t="str">
        <f>IF('Raw Data'!A276&lt;&gt;"",AVERAGE('Raw Data'!Z276,'Raw Data'!AB276,'Raw Data'!AD276,'Raw Data'!AF276,'Raw Data'!AH276),"")</f>
        <v/>
      </c>
      <c r="M289" s="11" t="str">
        <f>IF('Raw Data'!A276&lt;&gt;"",AVERAGE('Raw Data'!AA276,'Raw Data'!AC276,'Raw Data'!AE276,'Raw Data'!AG276,'Raw Data'!AI276),"")</f>
        <v/>
      </c>
      <c r="N289" s="11" t="str">
        <f t="shared" si="49"/>
        <v/>
      </c>
      <c r="O289" s="11" t="str">
        <f>IF('Raw Data'!A276&lt;&gt;"",AVERAGE('Raw Data'!AJ276,'Raw Data'!AL276,'Raw Data'!AN276,'Raw Data'!AP276,'Raw Data'!AR276),"")</f>
        <v/>
      </c>
      <c r="P289" s="11" t="str">
        <f>IF('Raw Data'!A276&lt;&gt;"",AVERAGE('Raw Data'!AK276,'Raw Data'!AM276,'Raw Data'!AO276,'Raw Data'!AQ276,'Raw Data'!AS276),"")</f>
        <v/>
      </c>
      <c r="Q289" s="11" t="str">
        <f t="shared" si="50"/>
        <v/>
      </c>
      <c r="R289" s="11" t="str">
        <f>IF('Raw Data'!A276&lt;&gt;"",AVERAGE('Raw Data'!AT276,'Raw Data'!AV276,'Raw Data'!AX276,'Raw Data'!AZ276,'Raw Data'!BB276),"")</f>
        <v/>
      </c>
      <c r="S289" s="11" t="str">
        <f>IF('Raw Data'!A276&lt;&gt;"",AVERAGE('Raw Data'!AU276,'Raw Data'!AW276,'Raw Data'!AY276,'Raw Data'!BA276,'Raw Data'!BC276),"")</f>
        <v/>
      </c>
      <c r="T289" s="11" t="str">
        <f t="shared" si="51"/>
        <v/>
      </c>
      <c r="U289" s="11" t="str">
        <f>IF('Raw Data'!A276&lt;&gt;"",AVERAGE('Raw Data'!BD276,'Raw Data'!BF276,'Raw Data'!BH276,'Raw Data'!BJ276,'Raw Data'!BL276),"")</f>
        <v/>
      </c>
      <c r="V289" s="11" t="str">
        <f>IF('Raw Data'!A276&lt;&gt;"",AVERAGE('Raw Data'!BE276,'Raw Data'!BG276,'Raw Data'!BI276,'Raw Data'!BK276,'Raw Data'!BM276),"")</f>
        <v/>
      </c>
      <c r="W289" s="11" t="str">
        <f t="shared" si="52"/>
        <v/>
      </c>
      <c r="X289" s="11" t="str">
        <f t="shared" si="53"/>
        <v/>
      </c>
      <c r="Y289" s="11" t="str">
        <f t="shared" si="54"/>
        <v/>
      </c>
      <c r="Z289" s="11" t="str">
        <f t="shared" si="55"/>
        <v/>
      </c>
      <c r="AA289" s="11" t="str">
        <f t="shared" si="56"/>
        <v/>
      </c>
      <c r="AB289" s="24" t="str">
        <f t="shared" si="57"/>
        <v/>
      </c>
    </row>
    <row r="290" spans="1:28" x14ac:dyDescent="0.25">
      <c r="A290" s="10" t="str">
        <f>IF('Raw Data'!A277&lt;&gt;"",'Raw Data'!A277,"")</f>
        <v/>
      </c>
      <c r="B290" s="10" t="str">
        <f>IF('Raw Data'!B277&lt;&gt;"",'Raw Data'!B277,"")</f>
        <v/>
      </c>
      <c r="C290" s="10" t="str">
        <f>IF('Raw Data'!C277&lt;&gt;"",'Raw Data'!C277,"")</f>
        <v/>
      </c>
      <c r="D290" s="10" t="str">
        <f>IF('Raw Data'!D277&lt;&gt;"",'Raw Data'!D277,"")</f>
        <v/>
      </c>
      <c r="E290" s="10" t="str">
        <f>IF('Raw Data'!E277&lt;&gt;"",'Raw Data'!E277,"")</f>
        <v/>
      </c>
      <c r="F290" s="14" t="str">
        <f>IF('Raw Data'!A277&lt;&gt;"",AVERAGE('Raw Data'!F277,'Raw Data'!H277,'Raw Data'!J277,'Raw Data'!L277,'Raw Data'!N277),"")</f>
        <v/>
      </c>
      <c r="G290" s="14" t="str">
        <f>IF('Raw Data'!A277&lt;&gt;"",AVERAGE('Raw Data'!G277,'Raw Data'!I277,'Raw Data'!K277,'Raw Data'!M277,'Raw Data'!O277),"")</f>
        <v/>
      </c>
      <c r="H290" s="14" t="str">
        <f t="shared" si="47"/>
        <v/>
      </c>
      <c r="I290" s="14" t="str">
        <f>IF('Raw Data'!A277&lt;&gt;"",AVERAGE('Raw Data'!P277,'Raw Data'!R277,'Raw Data'!T277,'Raw Data'!V277,'Raw Data'!X277),"")</f>
        <v/>
      </c>
      <c r="J290" s="14" t="str">
        <f>IF('Raw Data'!A277&lt;&gt;"",AVERAGE('Raw Data'!Q277,'Raw Data'!S277,'Raw Data'!U277,'Raw Data'!W277,'Raw Data'!Y277),"")</f>
        <v/>
      </c>
      <c r="K290" s="14" t="str">
        <f t="shared" si="48"/>
        <v/>
      </c>
      <c r="L290" s="14" t="str">
        <f>IF('Raw Data'!A277&lt;&gt;"",AVERAGE('Raw Data'!Z277,'Raw Data'!AB277,'Raw Data'!AD277,'Raw Data'!AF277,'Raw Data'!AH277),"")</f>
        <v/>
      </c>
      <c r="M290" s="14" t="str">
        <f>IF('Raw Data'!A277&lt;&gt;"",AVERAGE('Raw Data'!AA277,'Raw Data'!AC277,'Raw Data'!AE277,'Raw Data'!AG277,'Raw Data'!AI277),"")</f>
        <v/>
      </c>
      <c r="N290" s="14" t="str">
        <f t="shared" si="49"/>
        <v/>
      </c>
      <c r="O290" s="14" t="str">
        <f>IF('Raw Data'!A277&lt;&gt;"",AVERAGE('Raw Data'!AJ277,'Raw Data'!AL277,'Raw Data'!AN277,'Raw Data'!AP277,'Raw Data'!AR277),"")</f>
        <v/>
      </c>
      <c r="P290" s="14" t="str">
        <f>IF('Raw Data'!A277&lt;&gt;"",AVERAGE('Raw Data'!AK277,'Raw Data'!AM277,'Raw Data'!AO277,'Raw Data'!AQ277,'Raw Data'!AS277),"")</f>
        <v/>
      </c>
      <c r="Q290" s="14" t="str">
        <f t="shared" si="50"/>
        <v/>
      </c>
      <c r="R290" s="14" t="str">
        <f>IF('Raw Data'!A277&lt;&gt;"",AVERAGE('Raw Data'!AT277,'Raw Data'!AV277,'Raw Data'!AX277,'Raw Data'!AZ277,'Raw Data'!BB277),"")</f>
        <v/>
      </c>
      <c r="S290" s="14" t="str">
        <f>IF('Raw Data'!A277&lt;&gt;"",AVERAGE('Raw Data'!AU277,'Raw Data'!AW277,'Raw Data'!AY277,'Raw Data'!BA277,'Raw Data'!BC277),"")</f>
        <v/>
      </c>
      <c r="T290" s="14" t="str">
        <f t="shared" si="51"/>
        <v/>
      </c>
      <c r="U290" s="14" t="str">
        <f>IF('Raw Data'!A277&lt;&gt;"",AVERAGE('Raw Data'!BD277,'Raw Data'!BF277,'Raw Data'!BH277,'Raw Data'!BJ277,'Raw Data'!BL277),"")</f>
        <v/>
      </c>
      <c r="V290" s="14" t="str">
        <f>IF('Raw Data'!A277&lt;&gt;"",AVERAGE('Raw Data'!BE277,'Raw Data'!BG277,'Raw Data'!BI277,'Raw Data'!BK277,'Raw Data'!BM277),"")</f>
        <v/>
      </c>
      <c r="W290" s="14" t="str">
        <f t="shared" si="52"/>
        <v/>
      </c>
      <c r="X290" s="14" t="str">
        <f t="shared" si="53"/>
        <v/>
      </c>
      <c r="Y290" s="14" t="str">
        <f t="shared" si="54"/>
        <v/>
      </c>
      <c r="Z290" s="14" t="str">
        <f t="shared" si="55"/>
        <v/>
      </c>
      <c r="AA290" s="14" t="str">
        <f t="shared" si="56"/>
        <v/>
      </c>
      <c r="AB290" s="25" t="str">
        <f t="shared" si="57"/>
        <v/>
      </c>
    </row>
    <row r="291" spans="1:28" x14ac:dyDescent="0.25">
      <c r="A291" s="2" t="str">
        <f>IF('Raw Data'!A278&lt;&gt;"",'Raw Data'!A278,"")</f>
        <v/>
      </c>
      <c r="B291" s="2" t="str">
        <f>IF('Raw Data'!B278&lt;&gt;"",'Raw Data'!B278,"")</f>
        <v/>
      </c>
      <c r="C291" s="2" t="str">
        <f>IF('Raw Data'!C278&lt;&gt;"",'Raw Data'!C278,"")</f>
        <v/>
      </c>
      <c r="D291" s="2" t="str">
        <f>IF('Raw Data'!D278&lt;&gt;"",'Raw Data'!D278,"")</f>
        <v/>
      </c>
      <c r="E291" s="2" t="str">
        <f>IF('Raw Data'!E278&lt;&gt;"",'Raw Data'!E278,"")</f>
        <v/>
      </c>
      <c r="F291" s="11" t="str">
        <f>IF('Raw Data'!A278&lt;&gt;"",AVERAGE('Raw Data'!F278,'Raw Data'!H278,'Raw Data'!J278,'Raw Data'!L278,'Raw Data'!N278),"")</f>
        <v/>
      </c>
      <c r="G291" s="11" t="str">
        <f>IF('Raw Data'!A278&lt;&gt;"",AVERAGE('Raw Data'!G278,'Raw Data'!I278,'Raw Data'!K278,'Raw Data'!M278,'Raw Data'!O278),"")</f>
        <v/>
      </c>
      <c r="H291" s="11" t="str">
        <f t="shared" si="47"/>
        <v/>
      </c>
      <c r="I291" s="11" t="str">
        <f>IF('Raw Data'!A278&lt;&gt;"",AVERAGE('Raw Data'!P278,'Raw Data'!R278,'Raw Data'!T278,'Raw Data'!V278,'Raw Data'!X278),"")</f>
        <v/>
      </c>
      <c r="J291" s="11" t="str">
        <f>IF('Raw Data'!A278&lt;&gt;"",AVERAGE('Raw Data'!Q278,'Raw Data'!S278,'Raw Data'!U278,'Raw Data'!W278,'Raw Data'!Y278),"")</f>
        <v/>
      </c>
      <c r="K291" s="11" t="str">
        <f t="shared" si="48"/>
        <v/>
      </c>
      <c r="L291" s="11" t="str">
        <f>IF('Raw Data'!A278&lt;&gt;"",AVERAGE('Raw Data'!Z278,'Raw Data'!AB278,'Raw Data'!AD278,'Raw Data'!AF278,'Raw Data'!AH278),"")</f>
        <v/>
      </c>
      <c r="M291" s="11" t="str">
        <f>IF('Raw Data'!A278&lt;&gt;"",AVERAGE('Raw Data'!AA278,'Raw Data'!AC278,'Raw Data'!AE278,'Raw Data'!AG278,'Raw Data'!AI278),"")</f>
        <v/>
      </c>
      <c r="N291" s="11" t="str">
        <f t="shared" si="49"/>
        <v/>
      </c>
      <c r="O291" s="11" t="str">
        <f>IF('Raw Data'!A278&lt;&gt;"",AVERAGE('Raw Data'!AJ278,'Raw Data'!AL278,'Raw Data'!AN278,'Raw Data'!AP278,'Raw Data'!AR278),"")</f>
        <v/>
      </c>
      <c r="P291" s="11" t="str">
        <f>IF('Raw Data'!A278&lt;&gt;"",AVERAGE('Raw Data'!AK278,'Raw Data'!AM278,'Raw Data'!AO278,'Raw Data'!AQ278,'Raw Data'!AS278),"")</f>
        <v/>
      </c>
      <c r="Q291" s="11" t="str">
        <f t="shared" si="50"/>
        <v/>
      </c>
      <c r="R291" s="11" t="str">
        <f>IF('Raw Data'!A278&lt;&gt;"",AVERAGE('Raw Data'!AT278,'Raw Data'!AV278,'Raw Data'!AX278,'Raw Data'!AZ278,'Raw Data'!BB278),"")</f>
        <v/>
      </c>
      <c r="S291" s="11" t="str">
        <f>IF('Raw Data'!A278&lt;&gt;"",AVERAGE('Raw Data'!AU278,'Raw Data'!AW278,'Raw Data'!AY278,'Raw Data'!BA278,'Raw Data'!BC278),"")</f>
        <v/>
      </c>
      <c r="T291" s="11" t="str">
        <f t="shared" si="51"/>
        <v/>
      </c>
      <c r="U291" s="11" t="str">
        <f>IF('Raw Data'!A278&lt;&gt;"",AVERAGE('Raw Data'!BD278,'Raw Data'!BF278,'Raw Data'!BH278,'Raw Data'!BJ278,'Raw Data'!BL278),"")</f>
        <v/>
      </c>
      <c r="V291" s="11" t="str">
        <f>IF('Raw Data'!A278&lt;&gt;"",AVERAGE('Raw Data'!BE278,'Raw Data'!BG278,'Raw Data'!BI278,'Raw Data'!BK278,'Raw Data'!BM278),"")</f>
        <v/>
      </c>
      <c r="W291" s="11" t="str">
        <f t="shared" si="52"/>
        <v/>
      </c>
      <c r="X291" s="11" t="str">
        <f t="shared" si="53"/>
        <v/>
      </c>
      <c r="Y291" s="11" t="str">
        <f t="shared" si="54"/>
        <v/>
      </c>
      <c r="Z291" s="11" t="str">
        <f t="shared" si="55"/>
        <v/>
      </c>
      <c r="AA291" s="11" t="str">
        <f t="shared" si="56"/>
        <v/>
      </c>
      <c r="AB291" s="24" t="str">
        <f t="shared" si="57"/>
        <v/>
      </c>
    </row>
    <row r="292" spans="1:28" x14ac:dyDescent="0.25">
      <c r="A292" s="10" t="str">
        <f>IF('Raw Data'!A279&lt;&gt;"",'Raw Data'!A279,"")</f>
        <v/>
      </c>
      <c r="B292" s="10" t="str">
        <f>IF('Raw Data'!B279&lt;&gt;"",'Raw Data'!B279,"")</f>
        <v/>
      </c>
      <c r="C292" s="10" t="str">
        <f>IF('Raw Data'!C279&lt;&gt;"",'Raw Data'!C279,"")</f>
        <v/>
      </c>
      <c r="D292" s="10" t="str">
        <f>IF('Raw Data'!D279&lt;&gt;"",'Raw Data'!D279,"")</f>
        <v/>
      </c>
      <c r="E292" s="10" t="str">
        <f>IF('Raw Data'!E279&lt;&gt;"",'Raw Data'!E279,"")</f>
        <v/>
      </c>
      <c r="F292" s="14" t="str">
        <f>IF('Raw Data'!A279&lt;&gt;"",AVERAGE('Raw Data'!F279,'Raw Data'!H279,'Raw Data'!J279,'Raw Data'!L279,'Raw Data'!N279),"")</f>
        <v/>
      </c>
      <c r="G292" s="14" t="str">
        <f>IF('Raw Data'!A279&lt;&gt;"",AVERAGE('Raw Data'!G279,'Raw Data'!I279,'Raw Data'!K279,'Raw Data'!M279,'Raw Data'!O279),"")</f>
        <v/>
      </c>
      <c r="H292" s="14" t="str">
        <f t="shared" si="47"/>
        <v/>
      </c>
      <c r="I292" s="14" t="str">
        <f>IF('Raw Data'!A279&lt;&gt;"",AVERAGE('Raw Data'!P279,'Raw Data'!R279,'Raw Data'!T279,'Raw Data'!V279,'Raw Data'!X279),"")</f>
        <v/>
      </c>
      <c r="J292" s="14" t="str">
        <f>IF('Raw Data'!A279&lt;&gt;"",AVERAGE('Raw Data'!Q279,'Raw Data'!S279,'Raw Data'!U279,'Raw Data'!W279,'Raw Data'!Y279),"")</f>
        <v/>
      </c>
      <c r="K292" s="14" t="str">
        <f t="shared" si="48"/>
        <v/>
      </c>
      <c r="L292" s="14" t="str">
        <f>IF('Raw Data'!A279&lt;&gt;"",AVERAGE('Raw Data'!Z279,'Raw Data'!AB279,'Raw Data'!AD279,'Raw Data'!AF279,'Raw Data'!AH279),"")</f>
        <v/>
      </c>
      <c r="M292" s="14" t="str">
        <f>IF('Raw Data'!A279&lt;&gt;"",AVERAGE('Raw Data'!AA279,'Raw Data'!AC279,'Raw Data'!AE279,'Raw Data'!AG279,'Raw Data'!AI279),"")</f>
        <v/>
      </c>
      <c r="N292" s="14" t="str">
        <f t="shared" si="49"/>
        <v/>
      </c>
      <c r="O292" s="14" t="str">
        <f>IF('Raw Data'!A279&lt;&gt;"",AVERAGE('Raw Data'!AJ279,'Raw Data'!AL279,'Raw Data'!AN279,'Raw Data'!AP279,'Raw Data'!AR279),"")</f>
        <v/>
      </c>
      <c r="P292" s="14" t="str">
        <f>IF('Raw Data'!A279&lt;&gt;"",AVERAGE('Raw Data'!AK279,'Raw Data'!AM279,'Raw Data'!AO279,'Raw Data'!AQ279,'Raw Data'!AS279),"")</f>
        <v/>
      </c>
      <c r="Q292" s="14" t="str">
        <f t="shared" si="50"/>
        <v/>
      </c>
      <c r="R292" s="14" t="str">
        <f>IF('Raw Data'!A279&lt;&gt;"",AVERAGE('Raw Data'!AT279,'Raw Data'!AV279,'Raw Data'!AX279,'Raw Data'!AZ279,'Raw Data'!BB279),"")</f>
        <v/>
      </c>
      <c r="S292" s="14" t="str">
        <f>IF('Raw Data'!A279&lt;&gt;"",AVERAGE('Raw Data'!AU279,'Raw Data'!AW279,'Raw Data'!AY279,'Raw Data'!BA279,'Raw Data'!BC279),"")</f>
        <v/>
      </c>
      <c r="T292" s="14" t="str">
        <f t="shared" si="51"/>
        <v/>
      </c>
      <c r="U292" s="14" t="str">
        <f>IF('Raw Data'!A279&lt;&gt;"",AVERAGE('Raw Data'!BD279,'Raw Data'!BF279,'Raw Data'!BH279,'Raw Data'!BJ279,'Raw Data'!BL279),"")</f>
        <v/>
      </c>
      <c r="V292" s="14" t="str">
        <f>IF('Raw Data'!A279&lt;&gt;"",AVERAGE('Raw Data'!BE279,'Raw Data'!BG279,'Raw Data'!BI279,'Raw Data'!BK279,'Raw Data'!BM279),"")</f>
        <v/>
      </c>
      <c r="W292" s="14" t="str">
        <f t="shared" si="52"/>
        <v/>
      </c>
      <c r="X292" s="14" t="str">
        <f t="shared" si="53"/>
        <v/>
      </c>
      <c r="Y292" s="14" t="str">
        <f t="shared" si="54"/>
        <v/>
      </c>
      <c r="Z292" s="14" t="str">
        <f t="shared" si="55"/>
        <v/>
      </c>
      <c r="AA292" s="14" t="str">
        <f t="shared" si="56"/>
        <v/>
      </c>
      <c r="AB292" s="25" t="str">
        <f t="shared" si="57"/>
        <v/>
      </c>
    </row>
    <row r="293" spans="1:28" x14ac:dyDescent="0.25">
      <c r="A293" s="2" t="str">
        <f>IF('Raw Data'!A280&lt;&gt;"",'Raw Data'!A280,"")</f>
        <v/>
      </c>
      <c r="B293" s="2" t="str">
        <f>IF('Raw Data'!B280&lt;&gt;"",'Raw Data'!B280,"")</f>
        <v/>
      </c>
      <c r="C293" s="2" t="str">
        <f>IF('Raw Data'!C280&lt;&gt;"",'Raw Data'!C280,"")</f>
        <v/>
      </c>
      <c r="D293" s="2" t="str">
        <f>IF('Raw Data'!D280&lt;&gt;"",'Raw Data'!D280,"")</f>
        <v/>
      </c>
      <c r="E293" s="2" t="str">
        <f>IF('Raw Data'!E280&lt;&gt;"",'Raw Data'!E280,"")</f>
        <v/>
      </c>
      <c r="F293" s="11" t="str">
        <f>IF('Raw Data'!A280&lt;&gt;"",AVERAGE('Raw Data'!F280,'Raw Data'!H280,'Raw Data'!J280,'Raw Data'!L280,'Raw Data'!N280),"")</f>
        <v/>
      </c>
      <c r="G293" s="11" t="str">
        <f>IF('Raw Data'!A280&lt;&gt;"",AVERAGE('Raw Data'!G280,'Raw Data'!I280,'Raw Data'!K280,'Raw Data'!M280,'Raw Data'!O280),"")</f>
        <v/>
      </c>
      <c r="H293" s="11" t="str">
        <f t="shared" si="47"/>
        <v/>
      </c>
      <c r="I293" s="11" t="str">
        <f>IF('Raw Data'!A280&lt;&gt;"",AVERAGE('Raw Data'!P280,'Raw Data'!R280,'Raw Data'!T280,'Raw Data'!V280,'Raw Data'!X280),"")</f>
        <v/>
      </c>
      <c r="J293" s="11" t="str">
        <f>IF('Raw Data'!A280&lt;&gt;"",AVERAGE('Raw Data'!Q280,'Raw Data'!S280,'Raw Data'!U280,'Raw Data'!W280,'Raw Data'!Y280),"")</f>
        <v/>
      </c>
      <c r="K293" s="11" t="str">
        <f t="shared" si="48"/>
        <v/>
      </c>
      <c r="L293" s="11" t="str">
        <f>IF('Raw Data'!A280&lt;&gt;"",AVERAGE('Raw Data'!Z280,'Raw Data'!AB280,'Raw Data'!AD280,'Raw Data'!AF280,'Raw Data'!AH280),"")</f>
        <v/>
      </c>
      <c r="M293" s="11" t="str">
        <f>IF('Raw Data'!A280&lt;&gt;"",AVERAGE('Raw Data'!AA280,'Raw Data'!AC280,'Raw Data'!AE280,'Raw Data'!AG280,'Raw Data'!AI280),"")</f>
        <v/>
      </c>
      <c r="N293" s="11" t="str">
        <f t="shared" si="49"/>
        <v/>
      </c>
      <c r="O293" s="11" t="str">
        <f>IF('Raw Data'!A280&lt;&gt;"",AVERAGE('Raw Data'!AJ280,'Raw Data'!AL280,'Raw Data'!AN280,'Raw Data'!AP280,'Raw Data'!AR280),"")</f>
        <v/>
      </c>
      <c r="P293" s="11" t="str">
        <f>IF('Raw Data'!A280&lt;&gt;"",AVERAGE('Raw Data'!AK280,'Raw Data'!AM280,'Raw Data'!AO280,'Raw Data'!AQ280,'Raw Data'!AS280),"")</f>
        <v/>
      </c>
      <c r="Q293" s="11" t="str">
        <f t="shared" si="50"/>
        <v/>
      </c>
      <c r="R293" s="11" t="str">
        <f>IF('Raw Data'!A280&lt;&gt;"",AVERAGE('Raw Data'!AT280,'Raw Data'!AV280,'Raw Data'!AX280,'Raw Data'!AZ280,'Raw Data'!BB280),"")</f>
        <v/>
      </c>
      <c r="S293" s="11" t="str">
        <f>IF('Raw Data'!A280&lt;&gt;"",AVERAGE('Raw Data'!AU280,'Raw Data'!AW280,'Raw Data'!AY280,'Raw Data'!BA280,'Raw Data'!BC280),"")</f>
        <v/>
      </c>
      <c r="T293" s="11" t="str">
        <f t="shared" si="51"/>
        <v/>
      </c>
      <c r="U293" s="11" t="str">
        <f>IF('Raw Data'!A280&lt;&gt;"",AVERAGE('Raw Data'!BD280,'Raw Data'!BF280,'Raw Data'!BH280,'Raw Data'!BJ280,'Raw Data'!BL280),"")</f>
        <v/>
      </c>
      <c r="V293" s="11" t="str">
        <f>IF('Raw Data'!A280&lt;&gt;"",AVERAGE('Raw Data'!BE280,'Raw Data'!BG280,'Raw Data'!BI280,'Raw Data'!BK280,'Raw Data'!BM280),"")</f>
        <v/>
      </c>
      <c r="W293" s="11" t="str">
        <f t="shared" si="52"/>
        <v/>
      </c>
      <c r="X293" s="11" t="str">
        <f t="shared" si="53"/>
        <v/>
      </c>
      <c r="Y293" s="11" t="str">
        <f t="shared" si="54"/>
        <v/>
      </c>
      <c r="Z293" s="11" t="str">
        <f t="shared" si="55"/>
        <v/>
      </c>
      <c r="AA293" s="11" t="str">
        <f t="shared" si="56"/>
        <v/>
      </c>
      <c r="AB293" s="24" t="str">
        <f t="shared" si="57"/>
        <v/>
      </c>
    </row>
    <row r="294" spans="1:28" x14ac:dyDescent="0.25">
      <c r="A294" s="10" t="str">
        <f>IF('Raw Data'!A281&lt;&gt;"",'Raw Data'!A281,"")</f>
        <v/>
      </c>
      <c r="B294" s="10" t="str">
        <f>IF('Raw Data'!B281&lt;&gt;"",'Raw Data'!B281,"")</f>
        <v/>
      </c>
      <c r="C294" s="10" t="str">
        <f>IF('Raw Data'!C281&lt;&gt;"",'Raw Data'!C281,"")</f>
        <v/>
      </c>
      <c r="D294" s="10" t="str">
        <f>IF('Raw Data'!D281&lt;&gt;"",'Raw Data'!D281,"")</f>
        <v/>
      </c>
      <c r="E294" s="10" t="str">
        <f>IF('Raw Data'!E281&lt;&gt;"",'Raw Data'!E281,"")</f>
        <v/>
      </c>
      <c r="F294" s="14" t="str">
        <f>IF('Raw Data'!A281&lt;&gt;"",AVERAGE('Raw Data'!F281,'Raw Data'!H281,'Raw Data'!J281,'Raw Data'!L281,'Raw Data'!N281),"")</f>
        <v/>
      </c>
      <c r="G294" s="14" t="str">
        <f>IF('Raw Data'!A281&lt;&gt;"",AVERAGE('Raw Data'!G281,'Raw Data'!I281,'Raw Data'!K281,'Raw Data'!M281,'Raw Data'!O281),"")</f>
        <v/>
      </c>
      <c r="H294" s="14" t="str">
        <f t="shared" si="47"/>
        <v/>
      </c>
      <c r="I294" s="14" t="str">
        <f>IF('Raw Data'!A281&lt;&gt;"",AVERAGE('Raw Data'!P281,'Raw Data'!R281,'Raw Data'!T281,'Raw Data'!V281,'Raw Data'!X281),"")</f>
        <v/>
      </c>
      <c r="J294" s="14" t="str">
        <f>IF('Raw Data'!A281&lt;&gt;"",AVERAGE('Raw Data'!Q281,'Raw Data'!S281,'Raw Data'!U281,'Raw Data'!W281,'Raw Data'!Y281),"")</f>
        <v/>
      </c>
      <c r="K294" s="14" t="str">
        <f t="shared" si="48"/>
        <v/>
      </c>
      <c r="L294" s="14" t="str">
        <f>IF('Raw Data'!A281&lt;&gt;"",AVERAGE('Raw Data'!Z281,'Raw Data'!AB281,'Raw Data'!AD281,'Raw Data'!AF281,'Raw Data'!AH281),"")</f>
        <v/>
      </c>
      <c r="M294" s="14" t="str">
        <f>IF('Raw Data'!A281&lt;&gt;"",AVERAGE('Raw Data'!AA281,'Raw Data'!AC281,'Raw Data'!AE281,'Raw Data'!AG281,'Raw Data'!AI281),"")</f>
        <v/>
      </c>
      <c r="N294" s="14" t="str">
        <f t="shared" si="49"/>
        <v/>
      </c>
      <c r="O294" s="14" t="str">
        <f>IF('Raw Data'!A281&lt;&gt;"",AVERAGE('Raw Data'!AJ281,'Raw Data'!AL281,'Raw Data'!AN281,'Raw Data'!AP281,'Raw Data'!AR281),"")</f>
        <v/>
      </c>
      <c r="P294" s="14" t="str">
        <f>IF('Raw Data'!A281&lt;&gt;"",AVERAGE('Raw Data'!AK281,'Raw Data'!AM281,'Raw Data'!AO281,'Raw Data'!AQ281,'Raw Data'!AS281),"")</f>
        <v/>
      </c>
      <c r="Q294" s="14" t="str">
        <f t="shared" si="50"/>
        <v/>
      </c>
      <c r="R294" s="14" t="str">
        <f>IF('Raw Data'!A281&lt;&gt;"",AVERAGE('Raw Data'!AT281,'Raw Data'!AV281,'Raw Data'!AX281,'Raw Data'!AZ281,'Raw Data'!BB281),"")</f>
        <v/>
      </c>
      <c r="S294" s="14" t="str">
        <f>IF('Raw Data'!A281&lt;&gt;"",AVERAGE('Raw Data'!AU281,'Raw Data'!AW281,'Raw Data'!AY281,'Raw Data'!BA281,'Raw Data'!BC281),"")</f>
        <v/>
      </c>
      <c r="T294" s="14" t="str">
        <f t="shared" si="51"/>
        <v/>
      </c>
      <c r="U294" s="14" t="str">
        <f>IF('Raw Data'!A281&lt;&gt;"",AVERAGE('Raw Data'!BD281,'Raw Data'!BF281,'Raw Data'!BH281,'Raw Data'!BJ281,'Raw Data'!BL281),"")</f>
        <v/>
      </c>
      <c r="V294" s="14" t="str">
        <f>IF('Raw Data'!A281&lt;&gt;"",AVERAGE('Raw Data'!BE281,'Raw Data'!BG281,'Raw Data'!BI281,'Raw Data'!BK281,'Raw Data'!BM281),"")</f>
        <v/>
      </c>
      <c r="W294" s="14" t="str">
        <f t="shared" si="52"/>
        <v/>
      </c>
      <c r="X294" s="14" t="str">
        <f t="shared" si="53"/>
        <v/>
      </c>
      <c r="Y294" s="14" t="str">
        <f t="shared" si="54"/>
        <v/>
      </c>
      <c r="Z294" s="14" t="str">
        <f t="shared" si="55"/>
        <v/>
      </c>
      <c r="AA294" s="14" t="str">
        <f t="shared" si="56"/>
        <v/>
      </c>
      <c r="AB294" s="25" t="str">
        <f t="shared" si="57"/>
        <v/>
      </c>
    </row>
    <row r="295" spans="1:28" x14ac:dyDescent="0.25">
      <c r="A295" s="2" t="str">
        <f>IF('Raw Data'!A282&lt;&gt;"",'Raw Data'!A282,"")</f>
        <v/>
      </c>
      <c r="B295" s="2" t="str">
        <f>IF('Raw Data'!B282&lt;&gt;"",'Raw Data'!B282,"")</f>
        <v/>
      </c>
      <c r="C295" s="2" t="str">
        <f>IF('Raw Data'!C282&lt;&gt;"",'Raw Data'!C282,"")</f>
        <v/>
      </c>
      <c r="D295" s="2" t="str">
        <f>IF('Raw Data'!D282&lt;&gt;"",'Raw Data'!D282,"")</f>
        <v/>
      </c>
      <c r="E295" s="2" t="str">
        <f>IF('Raw Data'!E282&lt;&gt;"",'Raw Data'!E282,"")</f>
        <v/>
      </c>
      <c r="F295" s="11" t="str">
        <f>IF('Raw Data'!A282&lt;&gt;"",AVERAGE('Raw Data'!F282,'Raw Data'!H282,'Raw Data'!J282,'Raw Data'!L282,'Raw Data'!N282),"")</f>
        <v/>
      </c>
      <c r="G295" s="11" t="str">
        <f>IF('Raw Data'!A282&lt;&gt;"",AVERAGE('Raw Data'!G282,'Raw Data'!I282,'Raw Data'!K282,'Raw Data'!M282,'Raw Data'!O282),"")</f>
        <v/>
      </c>
      <c r="H295" s="11" t="str">
        <f t="shared" si="47"/>
        <v/>
      </c>
      <c r="I295" s="11" t="str">
        <f>IF('Raw Data'!A282&lt;&gt;"",AVERAGE('Raw Data'!P282,'Raw Data'!R282,'Raw Data'!T282,'Raw Data'!V282,'Raw Data'!X282),"")</f>
        <v/>
      </c>
      <c r="J295" s="11" t="str">
        <f>IF('Raw Data'!A282&lt;&gt;"",AVERAGE('Raw Data'!Q282,'Raw Data'!S282,'Raw Data'!U282,'Raw Data'!W282,'Raw Data'!Y282),"")</f>
        <v/>
      </c>
      <c r="K295" s="11" t="str">
        <f t="shared" si="48"/>
        <v/>
      </c>
      <c r="L295" s="11" t="str">
        <f>IF('Raw Data'!A282&lt;&gt;"",AVERAGE('Raw Data'!Z282,'Raw Data'!AB282,'Raw Data'!AD282,'Raw Data'!AF282,'Raw Data'!AH282),"")</f>
        <v/>
      </c>
      <c r="M295" s="11" t="str">
        <f>IF('Raw Data'!A282&lt;&gt;"",AVERAGE('Raw Data'!AA282,'Raw Data'!AC282,'Raw Data'!AE282,'Raw Data'!AG282,'Raw Data'!AI282),"")</f>
        <v/>
      </c>
      <c r="N295" s="11" t="str">
        <f t="shared" si="49"/>
        <v/>
      </c>
      <c r="O295" s="11" t="str">
        <f>IF('Raw Data'!A282&lt;&gt;"",AVERAGE('Raw Data'!AJ282,'Raw Data'!AL282,'Raw Data'!AN282,'Raw Data'!AP282,'Raw Data'!AR282),"")</f>
        <v/>
      </c>
      <c r="P295" s="11" t="str">
        <f>IF('Raw Data'!A282&lt;&gt;"",AVERAGE('Raw Data'!AK282,'Raw Data'!AM282,'Raw Data'!AO282,'Raw Data'!AQ282,'Raw Data'!AS282),"")</f>
        <v/>
      </c>
      <c r="Q295" s="11" t="str">
        <f t="shared" si="50"/>
        <v/>
      </c>
      <c r="R295" s="11" t="str">
        <f>IF('Raw Data'!A282&lt;&gt;"",AVERAGE('Raw Data'!AT282,'Raw Data'!AV282,'Raw Data'!AX282,'Raw Data'!AZ282,'Raw Data'!BB282),"")</f>
        <v/>
      </c>
      <c r="S295" s="11" t="str">
        <f>IF('Raw Data'!A282&lt;&gt;"",AVERAGE('Raw Data'!AU282,'Raw Data'!AW282,'Raw Data'!AY282,'Raw Data'!BA282,'Raw Data'!BC282),"")</f>
        <v/>
      </c>
      <c r="T295" s="11" t="str">
        <f t="shared" si="51"/>
        <v/>
      </c>
      <c r="U295" s="11" t="str">
        <f>IF('Raw Data'!A282&lt;&gt;"",AVERAGE('Raw Data'!BD282,'Raw Data'!BF282,'Raw Data'!BH282,'Raw Data'!BJ282,'Raw Data'!BL282),"")</f>
        <v/>
      </c>
      <c r="V295" s="11" t="str">
        <f>IF('Raw Data'!A282&lt;&gt;"",AVERAGE('Raw Data'!BE282,'Raw Data'!BG282,'Raw Data'!BI282,'Raw Data'!BK282,'Raw Data'!BM282),"")</f>
        <v/>
      </c>
      <c r="W295" s="11" t="str">
        <f t="shared" si="52"/>
        <v/>
      </c>
      <c r="X295" s="11" t="str">
        <f t="shared" si="53"/>
        <v/>
      </c>
      <c r="Y295" s="11" t="str">
        <f t="shared" si="54"/>
        <v/>
      </c>
      <c r="Z295" s="11" t="str">
        <f t="shared" si="55"/>
        <v/>
      </c>
      <c r="AA295" s="11" t="str">
        <f t="shared" si="56"/>
        <v/>
      </c>
      <c r="AB295" s="24" t="str">
        <f t="shared" si="57"/>
        <v/>
      </c>
    </row>
    <row r="296" spans="1:28" x14ac:dyDescent="0.25">
      <c r="A296" s="10" t="str">
        <f>IF('Raw Data'!A283&lt;&gt;"",'Raw Data'!A283,"")</f>
        <v/>
      </c>
      <c r="B296" s="10" t="str">
        <f>IF('Raw Data'!B283&lt;&gt;"",'Raw Data'!B283,"")</f>
        <v/>
      </c>
      <c r="C296" s="10" t="str">
        <f>IF('Raw Data'!C283&lt;&gt;"",'Raw Data'!C283,"")</f>
        <v/>
      </c>
      <c r="D296" s="10" t="str">
        <f>IF('Raw Data'!D283&lt;&gt;"",'Raw Data'!D283,"")</f>
        <v/>
      </c>
      <c r="E296" s="10" t="str">
        <f>IF('Raw Data'!E283&lt;&gt;"",'Raw Data'!E283,"")</f>
        <v/>
      </c>
      <c r="F296" s="14" t="str">
        <f>IF('Raw Data'!A283&lt;&gt;"",AVERAGE('Raw Data'!F283,'Raw Data'!H283,'Raw Data'!J283,'Raw Data'!L283,'Raw Data'!N283),"")</f>
        <v/>
      </c>
      <c r="G296" s="14" t="str">
        <f>IF('Raw Data'!A283&lt;&gt;"",AVERAGE('Raw Data'!G283,'Raw Data'!I283,'Raw Data'!K283,'Raw Data'!M283,'Raw Data'!O283),"")</f>
        <v/>
      </c>
      <c r="H296" s="14" t="str">
        <f t="shared" si="47"/>
        <v/>
      </c>
      <c r="I296" s="14" t="str">
        <f>IF('Raw Data'!A283&lt;&gt;"",AVERAGE('Raw Data'!P283,'Raw Data'!R283,'Raw Data'!T283,'Raw Data'!V283,'Raw Data'!X283),"")</f>
        <v/>
      </c>
      <c r="J296" s="14" t="str">
        <f>IF('Raw Data'!A283&lt;&gt;"",AVERAGE('Raw Data'!Q283,'Raw Data'!S283,'Raw Data'!U283,'Raw Data'!W283,'Raw Data'!Y283),"")</f>
        <v/>
      </c>
      <c r="K296" s="14" t="str">
        <f t="shared" si="48"/>
        <v/>
      </c>
      <c r="L296" s="14" t="str">
        <f>IF('Raw Data'!A283&lt;&gt;"",AVERAGE('Raw Data'!Z283,'Raw Data'!AB283,'Raw Data'!AD283,'Raw Data'!AF283,'Raw Data'!AH283),"")</f>
        <v/>
      </c>
      <c r="M296" s="14" t="str">
        <f>IF('Raw Data'!A283&lt;&gt;"",AVERAGE('Raw Data'!AA283,'Raw Data'!AC283,'Raw Data'!AE283,'Raw Data'!AG283,'Raw Data'!AI283),"")</f>
        <v/>
      </c>
      <c r="N296" s="14" t="str">
        <f t="shared" si="49"/>
        <v/>
      </c>
      <c r="O296" s="14" t="str">
        <f>IF('Raw Data'!A283&lt;&gt;"",AVERAGE('Raw Data'!AJ283,'Raw Data'!AL283,'Raw Data'!AN283,'Raw Data'!AP283,'Raw Data'!AR283),"")</f>
        <v/>
      </c>
      <c r="P296" s="14" t="str">
        <f>IF('Raw Data'!A283&lt;&gt;"",AVERAGE('Raw Data'!AK283,'Raw Data'!AM283,'Raw Data'!AO283,'Raw Data'!AQ283,'Raw Data'!AS283),"")</f>
        <v/>
      </c>
      <c r="Q296" s="14" t="str">
        <f t="shared" si="50"/>
        <v/>
      </c>
      <c r="R296" s="14" t="str">
        <f>IF('Raw Data'!A283&lt;&gt;"",AVERAGE('Raw Data'!AT283,'Raw Data'!AV283,'Raw Data'!AX283,'Raw Data'!AZ283,'Raw Data'!BB283),"")</f>
        <v/>
      </c>
      <c r="S296" s="14" t="str">
        <f>IF('Raw Data'!A283&lt;&gt;"",AVERAGE('Raw Data'!AU283,'Raw Data'!AW283,'Raw Data'!AY283,'Raw Data'!BA283,'Raw Data'!BC283),"")</f>
        <v/>
      </c>
      <c r="T296" s="14" t="str">
        <f t="shared" si="51"/>
        <v/>
      </c>
      <c r="U296" s="14" t="str">
        <f>IF('Raw Data'!A283&lt;&gt;"",AVERAGE('Raw Data'!BD283,'Raw Data'!BF283,'Raw Data'!BH283,'Raw Data'!BJ283,'Raw Data'!BL283),"")</f>
        <v/>
      </c>
      <c r="V296" s="14" t="str">
        <f>IF('Raw Data'!A283&lt;&gt;"",AVERAGE('Raw Data'!BE283,'Raw Data'!BG283,'Raw Data'!BI283,'Raw Data'!BK283,'Raw Data'!BM283),"")</f>
        <v/>
      </c>
      <c r="W296" s="14" t="str">
        <f t="shared" si="52"/>
        <v/>
      </c>
      <c r="X296" s="14" t="str">
        <f t="shared" si="53"/>
        <v/>
      </c>
      <c r="Y296" s="14" t="str">
        <f t="shared" si="54"/>
        <v/>
      </c>
      <c r="Z296" s="14" t="str">
        <f t="shared" si="55"/>
        <v/>
      </c>
      <c r="AA296" s="14" t="str">
        <f t="shared" si="56"/>
        <v/>
      </c>
      <c r="AB296" s="25" t="str">
        <f t="shared" si="57"/>
        <v/>
      </c>
    </row>
    <row r="297" spans="1:28" x14ac:dyDescent="0.25">
      <c r="A297" s="2" t="str">
        <f>IF('Raw Data'!A284&lt;&gt;"",'Raw Data'!A284,"")</f>
        <v/>
      </c>
      <c r="B297" s="2" t="str">
        <f>IF('Raw Data'!B284&lt;&gt;"",'Raw Data'!B284,"")</f>
        <v/>
      </c>
      <c r="C297" s="2" t="str">
        <f>IF('Raw Data'!C284&lt;&gt;"",'Raw Data'!C284,"")</f>
        <v/>
      </c>
      <c r="D297" s="2" t="str">
        <f>IF('Raw Data'!D284&lt;&gt;"",'Raw Data'!D284,"")</f>
        <v/>
      </c>
      <c r="E297" s="2" t="str">
        <f>IF('Raw Data'!E284&lt;&gt;"",'Raw Data'!E284,"")</f>
        <v/>
      </c>
      <c r="F297" s="11" t="str">
        <f>IF('Raw Data'!A284&lt;&gt;"",AVERAGE('Raw Data'!F284,'Raw Data'!H284,'Raw Data'!J284,'Raw Data'!L284,'Raw Data'!N284),"")</f>
        <v/>
      </c>
      <c r="G297" s="11" t="str">
        <f>IF('Raw Data'!A284&lt;&gt;"",AVERAGE('Raw Data'!G284,'Raw Data'!I284,'Raw Data'!K284,'Raw Data'!M284,'Raw Data'!O284),"")</f>
        <v/>
      </c>
      <c r="H297" s="11" t="str">
        <f t="shared" si="47"/>
        <v/>
      </c>
      <c r="I297" s="11" t="str">
        <f>IF('Raw Data'!A284&lt;&gt;"",AVERAGE('Raw Data'!P284,'Raw Data'!R284,'Raw Data'!T284,'Raw Data'!V284,'Raw Data'!X284),"")</f>
        <v/>
      </c>
      <c r="J297" s="11" t="str">
        <f>IF('Raw Data'!A284&lt;&gt;"",AVERAGE('Raw Data'!Q284,'Raw Data'!S284,'Raw Data'!U284,'Raw Data'!W284,'Raw Data'!Y284),"")</f>
        <v/>
      </c>
      <c r="K297" s="11" t="str">
        <f t="shared" si="48"/>
        <v/>
      </c>
      <c r="L297" s="11" t="str">
        <f>IF('Raw Data'!A284&lt;&gt;"",AVERAGE('Raw Data'!Z284,'Raw Data'!AB284,'Raw Data'!AD284,'Raw Data'!AF284,'Raw Data'!AH284),"")</f>
        <v/>
      </c>
      <c r="M297" s="11" t="str">
        <f>IF('Raw Data'!A284&lt;&gt;"",AVERAGE('Raw Data'!AA284,'Raw Data'!AC284,'Raw Data'!AE284,'Raw Data'!AG284,'Raw Data'!AI284),"")</f>
        <v/>
      </c>
      <c r="N297" s="11" t="str">
        <f t="shared" si="49"/>
        <v/>
      </c>
      <c r="O297" s="11" t="str">
        <f>IF('Raw Data'!A284&lt;&gt;"",AVERAGE('Raw Data'!AJ284,'Raw Data'!AL284,'Raw Data'!AN284,'Raw Data'!AP284,'Raw Data'!AR284),"")</f>
        <v/>
      </c>
      <c r="P297" s="11" t="str">
        <f>IF('Raw Data'!A284&lt;&gt;"",AVERAGE('Raw Data'!AK284,'Raw Data'!AM284,'Raw Data'!AO284,'Raw Data'!AQ284,'Raw Data'!AS284),"")</f>
        <v/>
      </c>
      <c r="Q297" s="11" t="str">
        <f t="shared" si="50"/>
        <v/>
      </c>
      <c r="R297" s="11" t="str">
        <f>IF('Raw Data'!A284&lt;&gt;"",AVERAGE('Raw Data'!AT284,'Raw Data'!AV284,'Raw Data'!AX284,'Raw Data'!AZ284,'Raw Data'!BB284),"")</f>
        <v/>
      </c>
      <c r="S297" s="11" t="str">
        <f>IF('Raw Data'!A284&lt;&gt;"",AVERAGE('Raw Data'!AU284,'Raw Data'!AW284,'Raw Data'!AY284,'Raw Data'!BA284,'Raw Data'!BC284),"")</f>
        <v/>
      </c>
      <c r="T297" s="11" t="str">
        <f t="shared" si="51"/>
        <v/>
      </c>
      <c r="U297" s="11" t="str">
        <f>IF('Raw Data'!A284&lt;&gt;"",AVERAGE('Raw Data'!BD284,'Raw Data'!BF284,'Raw Data'!BH284,'Raw Data'!BJ284,'Raw Data'!BL284),"")</f>
        <v/>
      </c>
      <c r="V297" s="11" t="str">
        <f>IF('Raw Data'!A284&lt;&gt;"",AVERAGE('Raw Data'!BE284,'Raw Data'!BG284,'Raw Data'!BI284,'Raw Data'!BK284,'Raw Data'!BM284),"")</f>
        <v/>
      </c>
      <c r="W297" s="11" t="str">
        <f t="shared" si="52"/>
        <v/>
      </c>
      <c r="X297" s="11" t="str">
        <f t="shared" si="53"/>
        <v/>
      </c>
      <c r="Y297" s="11" t="str">
        <f t="shared" si="54"/>
        <v/>
      </c>
      <c r="Z297" s="11" t="str">
        <f t="shared" si="55"/>
        <v/>
      </c>
      <c r="AA297" s="11" t="str">
        <f t="shared" si="56"/>
        <v/>
      </c>
      <c r="AB297" s="24" t="str">
        <f t="shared" si="57"/>
        <v/>
      </c>
    </row>
    <row r="298" spans="1:28" x14ac:dyDescent="0.25">
      <c r="A298" s="10" t="str">
        <f>IF('Raw Data'!A285&lt;&gt;"",'Raw Data'!A285,"")</f>
        <v/>
      </c>
      <c r="B298" s="10" t="str">
        <f>IF('Raw Data'!B285&lt;&gt;"",'Raw Data'!B285,"")</f>
        <v/>
      </c>
      <c r="C298" s="10" t="str">
        <f>IF('Raw Data'!C285&lt;&gt;"",'Raw Data'!C285,"")</f>
        <v/>
      </c>
      <c r="D298" s="10" t="str">
        <f>IF('Raw Data'!D285&lt;&gt;"",'Raw Data'!D285,"")</f>
        <v/>
      </c>
      <c r="E298" s="10" t="str">
        <f>IF('Raw Data'!E285&lt;&gt;"",'Raw Data'!E285,"")</f>
        <v/>
      </c>
      <c r="F298" s="14" t="str">
        <f>IF('Raw Data'!A285&lt;&gt;"",AVERAGE('Raw Data'!F285,'Raw Data'!H285,'Raw Data'!J285,'Raw Data'!L285,'Raw Data'!N285),"")</f>
        <v/>
      </c>
      <c r="G298" s="14" t="str">
        <f>IF('Raw Data'!A285&lt;&gt;"",AVERAGE('Raw Data'!G285,'Raw Data'!I285,'Raw Data'!K285,'Raw Data'!M285,'Raw Data'!O285),"")</f>
        <v/>
      </c>
      <c r="H298" s="14" t="str">
        <f t="shared" si="47"/>
        <v/>
      </c>
      <c r="I298" s="14" t="str">
        <f>IF('Raw Data'!A285&lt;&gt;"",AVERAGE('Raw Data'!P285,'Raw Data'!R285,'Raw Data'!T285,'Raw Data'!V285,'Raw Data'!X285),"")</f>
        <v/>
      </c>
      <c r="J298" s="14" t="str">
        <f>IF('Raw Data'!A285&lt;&gt;"",AVERAGE('Raw Data'!Q285,'Raw Data'!S285,'Raw Data'!U285,'Raw Data'!W285,'Raw Data'!Y285),"")</f>
        <v/>
      </c>
      <c r="K298" s="14" t="str">
        <f t="shared" si="48"/>
        <v/>
      </c>
      <c r="L298" s="14" t="str">
        <f>IF('Raw Data'!A285&lt;&gt;"",AVERAGE('Raw Data'!Z285,'Raw Data'!AB285,'Raw Data'!AD285,'Raw Data'!AF285,'Raw Data'!AH285),"")</f>
        <v/>
      </c>
      <c r="M298" s="14" t="str">
        <f>IF('Raw Data'!A285&lt;&gt;"",AVERAGE('Raw Data'!AA285,'Raw Data'!AC285,'Raw Data'!AE285,'Raw Data'!AG285,'Raw Data'!AI285),"")</f>
        <v/>
      </c>
      <c r="N298" s="14" t="str">
        <f t="shared" si="49"/>
        <v/>
      </c>
      <c r="O298" s="14" t="str">
        <f>IF('Raw Data'!A285&lt;&gt;"",AVERAGE('Raw Data'!AJ285,'Raw Data'!AL285,'Raw Data'!AN285,'Raw Data'!AP285,'Raw Data'!AR285),"")</f>
        <v/>
      </c>
      <c r="P298" s="14" t="str">
        <f>IF('Raw Data'!A285&lt;&gt;"",AVERAGE('Raw Data'!AK285,'Raw Data'!AM285,'Raw Data'!AO285,'Raw Data'!AQ285,'Raw Data'!AS285),"")</f>
        <v/>
      </c>
      <c r="Q298" s="14" t="str">
        <f t="shared" si="50"/>
        <v/>
      </c>
      <c r="R298" s="14" t="str">
        <f>IF('Raw Data'!A285&lt;&gt;"",AVERAGE('Raw Data'!AT285,'Raw Data'!AV285,'Raw Data'!AX285,'Raw Data'!AZ285,'Raw Data'!BB285),"")</f>
        <v/>
      </c>
      <c r="S298" s="14" t="str">
        <f>IF('Raw Data'!A285&lt;&gt;"",AVERAGE('Raw Data'!AU285,'Raw Data'!AW285,'Raw Data'!AY285,'Raw Data'!BA285,'Raw Data'!BC285),"")</f>
        <v/>
      </c>
      <c r="T298" s="14" t="str">
        <f t="shared" si="51"/>
        <v/>
      </c>
      <c r="U298" s="14" t="str">
        <f>IF('Raw Data'!A285&lt;&gt;"",AVERAGE('Raw Data'!BD285,'Raw Data'!BF285,'Raw Data'!BH285,'Raw Data'!BJ285,'Raw Data'!BL285),"")</f>
        <v/>
      </c>
      <c r="V298" s="14" t="str">
        <f>IF('Raw Data'!A285&lt;&gt;"",AVERAGE('Raw Data'!BE285,'Raw Data'!BG285,'Raw Data'!BI285,'Raw Data'!BK285,'Raw Data'!BM285),"")</f>
        <v/>
      </c>
      <c r="W298" s="14" t="str">
        <f t="shared" si="52"/>
        <v/>
      </c>
      <c r="X298" s="14" t="str">
        <f t="shared" si="53"/>
        <v/>
      </c>
      <c r="Y298" s="14" t="str">
        <f t="shared" si="54"/>
        <v/>
      </c>
      <c r="Z298" s="14" t="str">
        <f t="shared" si="55"/>
        <v/>
      </c>
      <c r="AA298" s="14" t="str">
        <f t="shared" si="56"/>
        <v/>
      </c>
      <c r="AB298" s="25" t="str">
        <f t="shared" si="57"/>
        <v/>
      </c>
    </row>
    <row r="299" spans="1:28" x14ac:dyDescent="0.25">
      <c r="A299" s="2" t="str">
        <f>IF('Raw Data'!A286&lt;&gt;"",'Raw Data'!A286,"")</f>
        <v/>
      </c>
      <c r="B299" s="2" t="str">
        <f>IF('Raw Data'!B286&lt;&gt;"",'Raw Data'!B286,"")</f>
        <v/>
      </c>
      <c r="C299" s="2" t="str">
        <f>IF('Raw Data'!C286&lt;&gt;"",'Raw Data'!C286,"")</f>
        <v/>
      </c>
      <c r="D299" s="2" t="str">
        <f>IF('Raw Data'!D286&lt;&gt;"",'Raw Data'!D286,"")</f>
        <v/>
      </c>
      <c r="E299" s="2" t="str">
        <f>IF('Raw Data'!E286&lt;&gt;"",'Raw Data'!E286,"")</f>
        <v/>
      </c>
      <c r="F299" s="11" t="str">
        <f>IF('Raw Data'!A286&lt;&gt;"",AVERAGE('Raw Data'!F286,'Raw Data'!H286,'Raw Data'!J286,'Raw Data'!L286,'Raw Data'!N286),"")</f>
        <v/>
      </c>
      <c r="G299" s="11" t="str">
        <f>IF('Raw Data'!A286&lt;&gt;"",AVERAGE('Raw Data'!G286,'Raw Data'!I286,'Raw Data'!K286,'Raw Data'!M286,'Raw Data'!O286),"")</f>
        <v/>
      </c>
      <c r="H299" s="11" t="str">
        <f t="shared" si="47"/>
        <v/>
      </c>
      <c r="I299" s="11" t="str">
        <f>IF('Raw Data'!A286&lt;&gt;"",AVERAGE('Raw Data'!P286,'Raw Data'!R286,'Raw Data'!T286,'Raw Data'!V286,'Raw Data'!X286),"")</f>
        <v/>
      </c>
      <c r="J299" s="11" t="str">
        <f>IF('Raw Data'!A286&lt;&gt;"",AVERAGE('Raw Data'!Q286,'Raw Data'!S286,'Raw Data'!U286,'Raw Data'!W286,'Raw Data'!Y286),"")</f>
        <v/>
      </c>
      <c r="K299" s="11" t="str">
        <f t="shared" si="48"/>
        <v/>
      </c>
      <c r="L299" s="11" t="str">
        <f>IF('Raw Data'!A286&lt;&gt;"",AVERAGE('Raw Data'!Z286,'Raw Data'!AB286,'Raw Data'!AD286,'Raw Data'!AF286,'Raw Data'!AH286),"")</f>
        <v/>
      </c>
      <c r="M299" s="11" t="str">
        <f>IF('Raw Data'!A286&lt;&gt;"",AVERAGE('Raw Data'!AA286,'Raw Data'!AC286,'Raw Data'!AE286,'Raw Data'!AG286,'Raw Data'!AI286),"")</f>
        <v/>
      </c>
      <c r="N299" s="11" t="str">
        <f t="shared" si="49"/>
        <v/>
      </c>
      <c r="O299" s="11" t="str">
        <f>IF('Raw Data'!A286&lt;&gt;"",AVERAGE('Raw Data'!AJ286,'Raw Data'!AL286,'Raw Data'!AN286,'Raw Data'!AP286,'Raw Data'!AR286),"")</f>
        <v/>
      </c>
      <c r="P299" s="11" t="str">
        <f>IF('Raw Data'!A286&lt;&gt;"",AVERAGE('Raw Data'!AK286,'Raw Data'!AM286,'Raw Data'!AO286,'Raw Data'!AQ286,'Raw Data'!AS286),"")</f>
        <v/>
      </c>
      <c r="Q299" s="11" t="str">
        <f t="shared" si="50"/>
        <v/>
      </c>
      <c r="R299" s="11" t="str">
        <f>IF('Raw Data'!A286&lt;&gt;"",AVERAGE('Raw Data'!AT286,'Raw Data'!AV286,'Raw Data'!AX286,'Raw Data'!AZ286,'Raw Data'!BB286),"")</f>
        <v/>
      </c>
      <c r="S299" s="11" t="str">
        <f>IF('Raw Data'!A286&lt;&gt;"",AVERAGE('Raw Data'!AU286,'Raw Data'!AW286,'Raw Data'!AY286,'Raw Data'!BA286,'Raw Data'!BC286),"")</f>
        <v/>
      </c>
      <c r="T299" s="11" t="str">
        <f t="shared" si="51"/>
        <v/>
      </c>
      <c r="U299" s="11" t="str">
        <f>IF('Raw Data'!A286&lt;&gt;"",AVERAGE('Raw Data'!BD286,'Raw Data'!BF286,'Raw Data'!BH286,'Raw Data'!BJ286,'Raw Data'!BL286),"")</f>
        <v/>
      </c>
      <c r="V299" s="11" t="str">
        <f>IF('Raw Data'!A286&lt;&gt;"",AVERAGE('Raw Data'!BE286,'Raw Data'!BG286,'Raw Data'!BI286,'Raw Data'!BK286,'Raw Data'!BM286),"")</f>
        <v/>
      </c>
      <c r="W299" s="11" t="str">
        <f t="shared" si="52"/>
        <v/>
      </c>
      <c r="X299" s="11" t="str">
        <f t="shared" si="53"/>
        <v/>
      </c>
      <c r="Y299" s="11" t="str">
        <f t="shared" si="54"/>
        <v/>
      </c>
      <c r="Z299" s="11" t="str">
        <f t="shared" si="55"/>
        <v/>
      </c>
      <c r="AA299" s="11" t="str">
        <f t="shared" si="56"/>
        <v/>
      </c>
      <c r="AB299" s="24" t="str">
        <f t="shared" si="57"/>
        <v/>
      </c>
    </row>
    <row r="300" spans="1:28" x14ac:dyDescent="0.25">
      <c r="A300" s="10" t="str">
        <f>IF('Raw Data'!A287&lt;&gt;"",'Raw Data'!A287,"")</f>
        <v/>
      </c>
      <c r="B300" s="10" t="str">
        <f>IF('Raw Data'!B287&lt;&gt;"",'Raw Data'!B287,"")</f>
        <v/>
      </c>
      <c r="C300" s="10" t="str">
        <f>IF('Raw Data'!C287&lt;&gt;"",'Raw Data'!C287,"")</f>
        <v/>
      </c>
      <c r="D300" s="10" t="str">
        <f>IF('Raw Data'!D287&lt;&gt;"",'Raw Data'!D287,"")</f>
        <v/>
      </c>
      <c r="E300" s="10" t="str">
        <f>IF('Raw Data'!E287&lt;&gt;"",'Raw Data'!E287,"")</f>
        <v/>
      </c>
      <c r="F300" s="14" t="str">
        <f>IF('Raw Data'!A287&lt;&gt;"",AVERAGE('Raw Data'!F287,'Raw Data'!H287,'Raw Data'!J287,'Raw Data'!L287,'Raw Data'!N287),"")</f>
        <v/>
      </c>
      <c r="G300" s="14" t="str">
        <f>IF('Raw Data'!A287&lt;&gt;"",AVERAGE('Raw Data'!G287,'Raw Data'!I287,'Raw Data'!K287,'Raw Data'!M287,'Raw Data'!O287),"")</f>
        <v/>
      </c>
      <c r="H300" s="14" t="str">
        <f t="shared" si="47"/>
        <v/>
      </c>
      <c r="I300" s="14" t="str">
        <f>IF('Raw Data'!A287&lt;&gt;"",AVERAGE('Raw Data'!P287,'Raw Data'!R287,'Raw Data'!T287,'Raw Data'!V287,'Raw Data'!X287),"")</f>
        <v/>
      </c>
      <c r="J300" s="14" t="str">
        <f>IF('Raw Data'!A287&lt;&gt;"",AVERAGE('Raw Data'!Q287,'Raw Data'!S287,'Raw Data'!U287,'Raw Data'!W287,'Raw Data'!Y287),"")</f>
        <v/>
      </c>
      <c r="K300" s="14" t="str">
        <f t="shared" si="48"/>
        <v/>
      </c>
      <c r="L300" s="14" t="str">
        <f>IF('Raw Data'!A287&lt;&gt;"",AVERAGE('Raw Data'!Z287,'Raw Data'!AB287,'Raw Data'!AD287,'Raw Data'!AF287,'Raw Data'!AH287),"")</f>
        <v/>
      </c>
      <c r="M300" s="14" t="str">
        <f>IF('Raw Data'!A287&lt;&gt;"",AVERAGE('Raw Data'!AA287,'Raw Data'!AC287,'Raw Data'!AE287,'Raw Data'!AG287,'Raw Data'!AI287),"")</f>
        <v/>
      </c>
      <c r="N300" s="14" t="str">
        <f t="shared" si="49"/>
        <v/>
      </c>
      <c r="O300" s="14" t="str">
        <f>IF('Raw Data'!A287&lt;&gt;"",AVERAGE('Raw Data'!AJ287,'Raw Data'!AL287,'Raw Data'!AN287,'Raw Data'!AP287,'Raw Data'!AR287),"")</f>
        <v/>
      </c>
      <c r="P300" s="14" t="str">
        <f>IF('Raw Data'!A287&lt;&gt;"",AVERAGE('Raw Data'!AK287,'Raw Data'!AM287,'Raw Data'!AO287,'Raw Data'!AQ287,'Raw Data'!AS287),"")</f>
        <v/>
      </c>
      <c r="Q300" s="14" t="str">
        <f t="shared" si="50"/>
        <v/>
      </c>
      <c r="R300" s="14" t="str">
        <f>IF('Raw Data'!A287&lt;&gt;"",AVERAGE('Raw Data'!AT287,'Raw Data'!AV287,'Raw Data'!AX287,'Raw Data'!AZ287,'Raw Data'!BB287),"")</f>
        <v/>
      </c>
      <c r="S300" s="14" t="str">
        <f>IF('Raw Data'!A287&lt;&gt;"",AVERAGE('Raw Data'!AU287,'Raw Data'!AW287,'Raw Data'!AY287,'Raw Data'!BA287,'Raw Data'!BC287),"")</f>
        <v/>
      </c>
      <c r="T300" s="14" t="str">
        <f t="shared" si="51"/>
        <v/>
      </c>
      <c r="U300" s="14" t="str">
        <f>IF('Raw Data'!A287&lt;&gt;"",AVERAGE('Raw Data'!BD287,'Raw Data'!BF287,'Raw Data'!BH287,'Raw Data'!BJ287,'Raw Data'!BL287),"")</f>
        <v/>
      </c>
      <c r="V300" s="14" t="str">
        <f>IF('Raw Data'!A287&lt;&gt;"",AVERAGE('Raw Data'!BE287,'Raw Data'!BG287,'Raw Data'!BI287,'Raw Data'!BK287,'Raw Data'!BM287),"")</f>
        <v/>
      </c>
      <c r="W300" s="14" t="str">
        <f t="shared" si="52"/>
        <v/>
      </c>
      <c r="X300" s="14" t="str">
        <f t="shared" si="53"/>
        <v/>
      </c>
      <c r="Y300" s="14" t="str">
        <f t="shared" si="54"/>
        <v/>
      </c>
      <c r="Z300" s="14" t="str">
        <f t="shared" si="55"/>
        <v/>
      </c>
      <c r="AA300" s="14" t="str">
        <f t="shared" si="56"/>
        <v/>
      </c>
      <c r="AB300" s="25" t="str">
        <f t="shared" si="57"/>
        <v/>
      </c>
    </row>
    <row r="301" spans="1:28" x14ac:dyDescent="0.25">
      <c r="A301" s="2" t="str">
        <f>IF('Raw Data'!A288&lt;&gt;"",'Raw Data'!A288,"")</f>
        <v/>
      </c>
      <c r="B301" s="2" t="str">
        <f>IF('Raw Data'!B288&lt;&gt;"",'Raw Data'!B288,"")</f>
        <v/>
      </c>
      <c r="C301" s="2" t="str">
        <f>IF('Raw Data'!C288&lt;&gt;"",'Raw Data'!C288,"")</f>
        <v/>
      </c>
      <c r="D301" s="2" t="str">
        <f>IF('Raw Data'!D288&lt;&gt;"",'Raw Data'!D288,"")</f>
        <v/>
      </c>
      <c r="E301" s="2" t="str">
        <f>IF('Raw Data'!E288&lt;&gt;"",'Raw Data'!E288,"")</f>
        <v/>
      </c>
      <c r="F301" s="11" t="str">
        <f>IF('Raw Data'!A288&lt;&gt;"",AVERAGE('Raw Data'!F288,'Raw Data'!H288,'Raw Data'!J288,'Raw Data'!L288,'Raw Data'!N288),"")</f>
        <v/>
      </c>
      <c r="G301" s="11" t="str">
        <f>IF('Raw Data'!A288&lt;&gt;"",AVERAGE('Raw Data'!G288,'Raw Data'!I288,'Raw Data'!K288,'Raw Data'!M288,'Raw Data'!O288),"")</f>
        <v/>
      </c>
      <c r="H301" s="11" t="str">
        <f t="shared" si="47"/>
        <v/>
      </c>
      <c r="I301" s="11" t="str">
        <f>IF('Raw Data'!A288&lt;&gt;"",AVERAGE('Raw Data'!P288,'Raw Data'!R288,'Raw Data'!T288,'Raw Data'!V288,'Raw Data'!X288),"")</f>
        <v/>
      </c>
      <c r="J301" s="11" t="str">
        <f>IF('Raw Data'!A288&lt;&gt;"",AVERAGE('Raw Data'!Q288,'Raw Data'!S288,'Raw Data'!U288,'Raw Data'!W288,'Raw Data'!Y288),"")</f>
        <v/>
      </c>
      <c r="K301" s="11" t="str">
        <f t="shared" si="48"/>
        <v/>
      </c>
      <c r="L301" s="11" t="str">
        <f>IF('Raw Data'!A288&lt;&gt;"",AVERAGE('Raw Data'!Z288,'Raw Data'!AB288,'Raw Data'!AD288,'Raw Data'!AF288,'Raw Data'!AH288),"")</f>
        <v/>
      </c>
      <c r="M301" s="11" t="str">
        <f>IF('Raw Data'!A288&lt;&gt;"",AVERAGE('Raw Data'!AA288,'Raw Data'!AC288,'Raw Data'!AE288,'Raw Data'!AG288,'Raw Data'!AI288),"")</f>
        <v/>
      </c>
      <c r="N301" s="11" t="str">
        <f t="shared" si="49"/>
        <v/>
      </c>
      <c r="O301" s="11" t="str">
        <f>IF('Raw Data'!A288&lt;&gt;"",AVERAGE('Raw Data'!AJ288,'Raw Data'!AL288,'Raw Data'!AN288,'Raw Data'!AP288,'Raw Data'!AR288),"")</f>
        <v/>
      </c>
      <c r="P301" s="11" t="str">
        <f>IF('Raw Data'!A288&lt;&gt;"",AVERAGE('Raw Data'!AK288,'Raw Data'!AM288,'Raw Data'!AO288,'Raw Data'!AQ288,'Raw Data'!AS288),"")</f>
        <v/>
      </c>
      <c r="Q301" s="11" t="str">
        <f t="shared" si="50"/>
        <v/>
      </c>
      <c r="R301" s="11" t="str">
        <f>IF('Raw Data'!A288&lt;&gt;"",AVERAGE('Raw Data'!AT288,'Raw Data'!AV288,'Raw Data'!AX288,'Raw Data'!AZ288,'Raw Data'!BB288),"")</f>
        <v/>
      </c>
      <c r="S301" s="11" t="str">
        <f>IF('Raw Data'!A288&lt;&gt;"",AVERAGE('Raw Data'!AU288,'Raw Data'!AW288,'Raw Data'!AY288,'Raw Data'!BA288,'Raw Data'!BC288),"")</f>
        <v/>
      </c>
      <c r="T301" s="11" t="str">
        <f t="shared" si="51"/>
        <v/>
      </c>
      <c r="U301" s="11" t="str">
        <f>IF('Raw Data'!A288&lt;&gt;"",AVERAGE('Raw Data'!BD288,'Raw Data'!BF288,'Raw Data'!BH288,'Raw Data'!BJ288,'Raw Data'!BL288),"")</f>
        <v/>
      </c>
      <c r="V301" s="11" t="str">
        <f>IF('Raw Data'!A288&lt;&gt;"",AVERAGE('Raw Data'!BE288,'Raw Data'!BG288,'Raw Data'!BI288,'Raw Data'!BK288,'Raw Data'!BM288),"")</f>
        <v/>
      </c>
      <c r="W301" s="11" t="str">
        <f t="shared" si="52"/>
        <v/>
      </c>
      <c r="X301" s="11" t="str">
        <f t="shared" si="53"/>
        <v/>
      </c>
      <c r="Y301" s="11" t="str">
        <f t="shared" si="54"/>
        <v/>
      </c>
      <c r="Z301" s="11" t="str">
        <f t="shared" si="55"/>
        <v/>
      </c>
      <c r="AA301" s="11" t="str">
        <f t="shared" si="56"/>
        <v/>
      </c>
      <c r="AB301" s="24" t="str">
        <f t="shared" si="57"/>
        <v/>
      </c>
    </row>
    <row r="302" spans="1:28" x14ac:dyDescent="0.25">
      <c r="A302" s="10" t="str">
        <f>IF('Raw Data'!A289&lt;&gt;"",'Raw Data'!A289,"")</f>
        <v/>
      </c>
      <c r="B302" s="10" t="str">
        <f>IF('Raw Data'!B289&lt;&gt;"",'Raw Data'!B289,"")</f>
        <v/>
      </c>
      <c r="C302" s="10" t="str">
        <f>IF('Raw Data'!C289&lt;&gt;"",'Raw Data'!C289,"")</f>
        <v/>
      </c>
      <c r="D302" s="10" t="str">
        <f>IF('Raw Data'!D289&lt;&gt;"",'Raw Data'!D289,"")</f>
        <v/>
      </c>
      <c r="E302" s="10" t="str">
        <f>IF('Raw Data'!E289&lt;&gt;"",'Raw Data'!E289,"")</f>
        <v/>
      </c>
      <c r="F302" s="14" t="str">
        <f>IF('Raw Data'!A289&lt;&gt;"",AVERAGE('Raw Data'!F289,'Raw Data'!H289,'Raw Data'!J289,'Raw Data'!L289,'Raw Data'!N289),"")</f>
        <v/>
      </c>
      <c r="G302" s="14" t="str">
        <f>IF('Raw Data'!A289&lt;&gt;"",AVERAGE('Raw Data'!G289,'Raw Data'!I289,'Raw Data'!K289,'Raw Data'!M289,'Raw Data'!O289),"")</f>
        <v/>
      </c>
      <c r="H302" s="14" t="str">
        <f t="shared" si="47"/>
        <v/>
      </c>
      <c r="I302" s="14" t="str">
        <f>IF('Raw Data'!A289&lt;&gt;"",AVERAGE('Raw Data'!P289,'Raw Data'!R289,'Raw Data'!T289,'Raw Data'!V289,'Raw Data'!X289),"")</f>
        <v/>
      </c>
      <c r="J302" s="14" t="str">
        <f>IF('Raw Data'!A289&lt;&gt;"",AVERAGE('Raw Data'!Q289,'Raw Data'!S289,'Raw Data'!U289,'Raw Data'!W289,'Raw Data'!Y289),"")</f>
        <v/>
      </c>
      <c r="K302" s="14" t="str">
        <f t="shared" si="48"/>
        <v/>
      </c>
      <c r="L302" s="14" t="str">
        <f>IF('Raw Data'!A289&lt;&gt;"",AVERAGE('Raw Data'!Z289,'Raw Data'!AB289,'Raw Data'!AD289,'Raw Data'!AF289,'Raw Data'!AH289),"")</f>
        <v/>
      </c>
      <c r="M302" s="14" t="str">
        <f>IF('Raw Data'!A289&lt;&gt;"",AVERAGE('Raw Data'!AA289,'Raw Data'!AC289,'Raw Data'!AE289,'Raw Data'!AG289,'Raw Data'!AI289),"")</f>
        <v/>
      </c>
      <c r="N302" s="14" t="str">
        <f t="shared" si="49"/>
        <v/>
      </c>
      <c r="O302" s="14" t="str">
        <f>IF('Raw Data'!A289&lt;&gt;"",AVERAGE('Raw Data'!AJ289,'Raw Data'!AL289,'Raw Data'!AN289,'Raw Data'!AP289,'Raw Data'!AR289),"")</f>
        <v/>
      </c>
      <c r="P302" s="14" t="str">
        <f>IF('Raw Data'!A289&lt;&gt;"",AVERAGE('Raw Data'!AK289,'Raw Data'!AM289,'Raw Data'!AO289,'Raw Data'!AQ289,'Raw Data'!AS289),"")</f>
        <v/>
      </c>
      <c r="Q302" s="14" t="str">
        <f t="shared" si="50"/>
        <v/>
      </c>
      <c r="R302" s="14" t="str">
        <f>IF('Raw Data'!A289&lt;&gt;"",AVERAGE('Raw Data'!AT289,'Raw Data'!AV289,'Raw Data'!AX289,'Raw Data'!AZ289,'Raw Data'!BB289),"")</f>
        <v/>
      </c>
      <c r="S302" s="14" t="str">
        <f>IF('Raw Data'!A289&lt;&gt;"",AVERAGE('Raw Data'!AU289,'Raw Data'!AW289,'Raw Data'!AY289,'Raw Data'!BA289,'Raw Data'!BC289),"")</f>
        <v/>
      </c>
      <c r="T302" s="14" t="str">
        <f t="shared" si="51"/>
        <v/>
      </c>
      <c r="U302" s="14" t="str">
        <f>IF('Raw Data'!A289&lt;&gt;"",AVERAGE('Raw Data'!BD289,'Raw Data'!BF289,'Raw Data'!BH289,'Raw Data'!BJ289,'Raw Data'!BL289),"")</f>
        <v/>
      </c>
      <c r="V302" s="14" t="str">
        <f>IF('Raw Data'!A289&lt;&gt;"",AVERAGE('Raw Data'!BE289,'Raw Data'!BG289,'Raw Data'!BI289,'Raw Data'!BK289,'Raw Data'!BM289),"")</f>
        <v/>
      </c>
      <c r="W302" s="14" t="str">
        <f t="shared" si="52"/>
        <v/>
      </c>
      <c r="X302" s="14" t="str">
        <f t="shared" si="53"/>
        <v/>
      </c>
      <c r="Y302" s="14" t="str">
        <f t="shared" si="54"/>
        <v/>
      </c>
      <c r="Z302" s="14" t="str">
        <f t="shared" si="55"/>
        <v/>
      </c>
      <c r="AA302" s="14" t="str">
        <f t="shared" si="56"/>
        <v/>
      </c>
      <c r="AB302" s="25" t="str">
        <f t="shared" si="57"/>
        <v/>
      </c>
    </row>
    <row r="303" spans="1:28" x14ac:dyDescent="0.25">
      <c r="A303" s="2" t="str">
        <f>IF('Raw Data'!A290&lt;&gt;"",'Raw Data'!A290,"")</f>
        <v/>
      </c>
      <c r="B303" s="2" t="str">
        <f>IF('Raw Data'!B290&lt;&gt;"",'Raw Data'!B290,"")</f>
        <v/>
      </c>
      <c r="C303" s="2" t="str">
        <f>IF('Raw Data'!C290&lt;&gt;"",'Raw Data'!C290,"")</f>
        <v/>
      </c>
      <c r="D303" s="2" t="str">
        <f>IF('Raw Data'!D290&lt;&gt;"",'Raw Data'!D290,"")</f>
        <v/>
      </c>
      <c r="E303" s="2" t="str">
        <f>IF('Raw Data'!E290&lt;&gt;"",'Raw Data'!E290,"")</f>
        <v/>
      </c>
      <c r="F303" s="11" t="str">
        <f>IF('Raw Data'!A290&lt;&gt;"",AVERAGE('Raw Data'!F290,'Raw Data'!H290,'Raw Data'!J290,'Raw Data'!L290,'Raw Data'!N290),"")</f>
        <v/>
      </c>
      <c r="G303" s="11" t="str">
        <f>IF('Raw Data'!A290&lt;&gt;"",AVERAGE('Raw Data'!G290,'Raw Data'!I290,'Raw Data'!K290,'Raw Data'!M290,'Raw Data'!O290),"")</f>
        <v/>
      </c>
      <c r="H303" s="11" t="str">
        <f t="shared" si="47"/>
        <v/>
      </c>
      <c r="I303" s="11" t="str">
        <f>IF('Raw Data'!A290&lt;&gt;"",AVERAGE('Raw Data'!P290,'Raw Data'!R290,'Raw Data'!T290,'Raw Data'!V290,'Raw Data'!X290),"")</f>
        <v/>
      </c>
      <c r="J303" s="11" t="str">
        <f>IF('Raw Data'!A290&lt;&gt;"",AVERAGE('Raw Data'!Q290,'Raw Data'!S290,'Raw Data'!U290,'Raw Data'!W290,'Raw Data'!Y290),"")</f>
        <v/>
      </c>
      <c r="K303" s="11" t="str">
        <f t="shared" si="48"/>
        <v/>
      </c>
      <c r="L303" s="11" t="str">
        <f>IF('Raw Data'!A290&lt;&gt;"",AVERAGE('Raw Data'!Z290,'Raw Data'!AB290,'Raw Data'!AD290,'Raw Data'!AF290,'Raw Data'!AH290),"")</f>
        <v/>
      </c>
      <c r="M303" s="11" t="str">
        <f>IF('Raw Data'!A290&lt;&gt;"",AVERAGE('Raw Data'!AA290,'Raw Data'!AC290,'Raw Data'!AE290,'Raw Data'!AG290,'Raw Data'!AI290),"")</f>
        <v/>
      </c>
      <c r="N303" s="11" t="str">
        <f t="shared" si="49"/>
        <v/>
      </c>
      <c r="O303" s="11" t="str">
        <f>IF('Raw Data'!A290&lt;&gt;"",AVERAGE('Raw Data'!AJ290,'Raw Data'!AL290,'Raw Data'!AN290,'Raw Data'!AP290,'Raw Data'!AR290),"")</f>
        <v/>
      </c>
      <c r="P303" s="11" t="str">
        <f>IF('Raw Data'!A290&lt;&gt;"",AVERAGE('Raw Data'!AK290,'Raw Data'!AM290,'Raw Data'!AO290,'Raw Data'!AQ290,'Raw Data'!AS290),"")</f>
        <v/>
      </c>
      <c r="Q303" s="11" t="str">
        <f t="shared" si="50"/>
        <v/>
      </c>
      <c r="R303" s="11" t="str">
        <f>IF('Raw Data'!A290&lt;&gt;"",AVERAGE('Raw Data'!AT290,'Raw Data'!AV290,'Raw Data'!AX290,'Raw Data'!AZ290,'Raw Data'!BB290),"")</f>
        <v/>
      </c>
      <c r="S303" s="11" t="str">
        <f>IF('Raw Data'!A290&lt;&gt;"",AVERAGE('Raw Data'!AU290,'Raw Data'!AW290,'Raw Data'!AY290,'Raw Data'!BA290,'Raw Data'!BC290),"")</f>
        <v/>
      </c>
      <c r="T303" s="11" t="str">
        <f t="shared" si="51"/>
        <v/>
      </c>
      <c r="U303" s="11" t="str">
        <f>IF('Raw Data'!A290&lt;&gt;"",AVERAGE('Raw Data'!BD290,'Raw Data'!BF290,'Raw Data'!BH290,'Raw Data'!BJ290,'Raw Data'!BL290),"")</f>
        <v/>
      </c>
      <c r="V303" s="11" t="str">
        <f>IF('Raw Data'!A290&lt;&gt;"",AVERAGE('Raw Data'!BE290,'Raw Data'!BG290,'Raw Data'!BI290,'Raw Data'!BK290,'Raw Data'!BM290),"")</f>
        <v/>
      </c>
      <c r="W303" s="11" t="str">
        <f t="shared" si="52"/>
        <v/>
      </c>
      <c r="X303" s="11" t="str">
        <f t="shared" si="53"/>
        <v/>
      </c>
      <c r="Y303" s="11" t="str">
        <f t="shared" si="54"/>
        <v/>
      </c>
      <c r="Z303" s="11" t="str">
        <f t="shared" si="55"/>
        <v/>
      </c>
      <c r="AA303" s="11" t="str">
        <f t="shared" si="56"/>
        <v/>
      </c>
      <c r="AB303" s="24" t="str">
        <f t="shared" si="57"/>
        <v/>
      </c>
    </row>
    <row r="304" spans="1:28" x14ac:dyDescent="0.25">
      <c r="A304" s="10" t="str">
        <f>IF('Raw Data'!A291&lt;&gt;"",'Raw Data'!A291,"")</f>
        <v/>
      </c>
      <c r="B304" s="10" t="str">
        <f>IF('Raw Data'!B291&lt;&gt;"",'Raw Data'!B291,"")</f>
        <v/>
      </c>
      <c r="C304" s="10" t="str">
        <f>IF('Raw Data'!C291&lt;&gt;"",'Raw Data'!C291,"")</f>
        <v/>
      </c>
      <c r="D304" s="10" t="str">
        <f>IF('Raw Data'!D291&lt;&gt;"",'Raw Data'!D291,"")</f>
        <v/>
      </c>
      <c r="E304" s="10" t="str">
        <f>IF('Raw Data'!E291&lt;&gt;"",'Raw Data'!E291,"")</f>
        <v/>
      </c>
      <c r="F304" s="14" t="str">
        <f>IF('Raw Data'!A291&lt;&gt;"",AVERAGE('Raw Data'!F291,'Raw Data'!H291,'Raw Data'!J291,'Raw Data'!L291,'Raw Data'!N291),"")</f>
        <v/>
      </c>
      <c r="G304" s="14" t="str">
        <f>IF('Raw Data'!A291&lt;&gt;"",AVERAGE('Raw Data'!G291,'Raw Data'!I291,'Raw Data'!K291,'Raw Data'!M291,'Raw Data'!O291),"")</f>
        <v/>
      </c>
      <c r="H304" s="14" t="str">
        <f t="shared" si="47"/>
        <v/>
      </c>
      <c r="I304" s="14" t="str">
        <f>IF('Raw Data'!A291&lt;&gt;"",AVERAGE('Raw Data'!P291,'Raw Data'!R291,'Raw Data'!T291,'Raw Data'!V291,'Raw Data'!X291),"")</f>
        <v/>
      </c>
      <c r="J304" s="14" t="str">
        <f>IF('Raw Data'!A291&lt;&gt;"",AVERAGE('Raw Data'!Q291,'Raw Data'!S291,'Raw Data'!U291,'Raw Data'!W291,'Raw Data'!Y291),"")</f>
        <v/>
      </c>
      <c r="K304" s="14" t="str">
        <f t="shared" si="48"/>
        <v/>
      </c>
      <c r="L304" s="14" t="str">
        <f>IF('Raw Data'!A291&lt;&gt;"",AVERAGE('Raw Data'!Z291,'Raw Data'!AB291,'Raw Data'!AD291,'Raw Data'!AF291,'Raw Data'!AH291),"")</f>
        <v/>
      </c>
      <c r="M304" s="14" t="str">
        <f>IF('Raw Data'!A291&lt;&gt;"",AVERAGE('Raw Data'!AA291,'Raw Data'!AC291,'Raw Data'!AE291,'Raw Data'!AG291,'Raw Data'!AI291),"")</f>
        <v/>
      </c>
      <c r="N304" s="14" t="str">
        <f t="shared" si="49"/>
        <v/>
      </c>
      <c r="O304" s="14" t="str">
        <f>IF('Raw Data'!A291&lt;&gt;"",AVERAGE('Raw Data'!AJ291,'Raw Data'!AL291,'Raw Data'!AN291,'Raw Data'!AP291,'Raw Data'!AR291),"")</f>
        <v/>
      </c>
      <c r="P304" s="14" t="str">
        <f>IF('Raw Data'!A291&lt;&gt;"",AVERAGE('Raw Data'!AK291,'Raw Data'!AM291,'Raw Data'!AO291,'Raw Data'!AQ291,'Raw Data'!AS291),"")</f>
        <v/>
      </c>
      <c r="Q304" s="14" t="str">
        <f t="shared" si="50"/>
        <v/>
      </c>
      <c r="R304" s="14" t="str">
        <f>IF('Raw Data'!A291&lt;&gt;"",AVERAGE('Raw Data'!AT291,'Raw Data'!AV291,'Raw Data'!AX291,'Raw Data'!AZ291,'Raw Data'!BB291),"")</f>
        <v/>
      </c>
      <c r="S304" s="14" t="str">
        <f>IF('Raw Data'!A291&lt;&gt;"",AVERAGE('Raw Data'!AU291,'Raw Data'!AW291,'Raw Data'!AY291,'Raw Data'!BA291,'Raw Data'!BC291),"")</f>
        <v/>
      </c>
      <c r="T304" s="14" t="str">
        <f t="shared" si="51"/>
        <v/>
      </c>
      <c r="U304" s="14" t="str">
        <f>IF('Raw Data'!A291&lt;&gt;"",AVERAGE('Raw Data'!BD291,'Raw Data'!BF291,'Raw Data'!BH291,'Raw Data'!BJ291,'Raw Data'!BL291),"")</f>
        <v/>
      </c>
      <c r="V304" s="14" t="str">
        <f>IF('Raw Data'!A291&lt;&gt;"",AVERAGE('Raw Data'!BE291,'Raw Data'!BG291,'Raw Data'!BI291,'Raw Data'!BK291,'Raw Data'!BM291),"")</f>
        <v/>
      </c>
      <c r="W304" s="14" t="str">
        <f t="shared" si="52"/>
        <v/>
      </c>
      <c r="X304" s="14" t="str">
        <f t="shared" si="53"/>
        <v/>
      </c>
      <c r="Y304" s="14" t="str">
        <f t="shared" si="54"/>
        <v/>
      </c>
      <c r="Z304" s="14" t="str">
        <f t="shared" si="55"/>
        <v/>
      </c>
      <c r="AA304" s="14" t="str">
        <f t="shared" si="56"/>
        <v/>
      </c>
      <c r="AB304" s="25" t="str">
        <f t="shared" si="57"/>
        <v/>
      </c>
    </row>
    <row r="305" spans="1:28" x14ac:dyDescent="0.25">
      <c r="A305" s="2" t="str">
        <f>IF('Raw Data'!A292&lt;&gt;"",'Raw Data'!A292,"")</f>
        <v/>
      </c>
      <c r="B305" s="2" t="str">
        <f>IF('Raw Data'!B292&lt;&gt;"",'Raw Data'!B292,"")</f>
        <v/>
      </c>
      <c r="C305" s="2" t="str">
        <f>IF('Raw Data'!C292&lt;&gt;"",'Raw Data'!C292,"")</f>
        <v/>
      </c>
      <c r="D305" s="2" t="str">
        <f>IF('Raw Data'!D292&lt;&gt;"",'Raw Data'!D292,"")</f>
        <v/>
      </c>
      <c r="E305" s="2" t="str">
        <f>IF('Raw Data'!E292&lt;&gt;"",'Raw Data'!E292,"")</f>
        <v/>
      </c>
      <c r="F305" s="11" t="str">
        <f>IF('Raw Data'!A292&lt;&gt;"",AVERAGE('Raw Data'!F292,'Raw Data'!H292,'Raw Data'!J292,'Raw Data'!L292,'Raw Data'!N292),"")</f>
        <v/>
      </c>
      <c r="G305" s="11" t="str">
        <f>IF('Raw Data'!A292&lt;&gt;"",AVERAGE('Raw Data'!G292,'Raw Data'!I292,'Raw Data'!K292,'Raw Data'!M292,'Raw Data'!O292),"")</f>
        <v/>
      </c>
      <c r="H305" s="11" t="str">
        <f t="shared" si="47"/>
        <v/>
      </c>
      <c r="I305" s="11" t="str">
        <f>IF('Raw Data'!A292&lt;&gt;"",AVERAGE('Raw Data'!P292,'Raw Data'!R292,'Raw Data'!T292,'Raw Data'!V292,'Raw Data'!X292),"")</f>
        <v/>
      </c>
      <c r="J305" s="11" t="str">
        <f>IF('Raw Data'!A292&lt;&gt;"",AVERAGE('Raw Data'!Q292,'Raw Data'!S292,'Raw Data'!U292,'Raw Data'!W292,'Raw Data'!Y292),"")</f>
        <v/>
      </c>
      <c r="K305" s="11" t="str">
        <f t="shared" si="48"/>
        <v/>
      </c>
      <c r="L305" s="11" t="str">
        <f>IF('Raw Data'!A292&lt;&gt;"",AVERAGE('Raw Data'!Z292,'Raw Data'!AB292,'Raw Data'!AD292,'Raw Data'!AF292,'Raw Data'!AH292),"")</f>
        <v/>
      </c>
      <c r="M305" s="11" t="str">
        <f>IF('Raw Data'!A292&lt;&gt;"",AVERAGE('Raw Data'!AA292,'Raw Data'!AC292,'Raw Data'!AE292,'Raw Data'!AG292,'Raw Data'!AI292),"")</f>
        <v/>
      </c>
      <c r="N305" s="11" t="str">
        <f t="shared" si="49"/>
        <v/>
      </c>
      <c r="O305" s="11" t="str">
        <f>IF('Raw Data'!A292&lt;&gt;"",AVERAGE('Raw Data'!AJ292,'Raw Data'!AL292,'Raw Data'!AN292,'Raw Data'!AP292,'Raw Data'!AR292),"")</f>
        <v/>
      </c>
      <c r="P305" s="11" t="str">
        <f>IF('Raw Data'!A292&lt;&gt;"",AVERAGE('Raw Data'!AK292,'Raw Data'!AM292,'Raw Data'!AO292,'Raw Data'!AQ292,'Raw Data'!AS292),"")</f>
        <v/>
      </c>
      <c r="Q305" s="11" t="str">
        <f t="shared" si="50"/>
        <v/>
      </c>
      <c r="R305" s="11" t="str">
        <f>IF('Raw Data'!A292&lt;&gt;"",AVERAGE('Raw Data'!AT292,'Raw Data'!AV292,'Raw Data'!AX292,'Raw Data'!AZ292,'Raw Data'!BB292),"")</f>
        <v/>
      </c>
      <c r="S305" s="11" t="str">
        <f>IF('Raw Data'!A292&lt;&gt;"",AVERAGE('Raw Data'!AU292,'Raw Data'!AW292,'Raw Data'!AY292,'Raw Data'!BA292,'Raw Data'!BC292),"")</f>
        <v/>
      </c>
      <c r="T305" s="11" t="str">
        <f t="shared" si="51"/>
        <v/>
      </c>
      <c r="U305" s="11" t="str">
        <f>IF('Raw Data'!A292&lt;&gt;"",AVERAGE('Raw Data'!BD292,'Raw Data'!BF292,'Raw Data'!BH292,'Raw Data'!BJ292,'Raw Data'!BL292),"")</f>
        <v/>
      </c>
      <c r="V305" s="11" t="str">
        <f>IF('Raw Data'!A292&lt;&gt;"",AVERAGE('Raw Data'!BE292,'Raw Data'!BG292,'Raw Data'!BI292,'Raw Data'!BK292,'Raw Data'!BM292),"")</f>
        <v/>
      </c>
      <c r="W305" s="11" t="str">
        <f t="shared" si="52"/>
        <v/>
      </c>
      <c r="X305" s="11" t="str">
        <f t="shared" si="53"/>
        <v/>
      </c>
      <c r="Y305" s="11" t="str">
        <f t="shared" si="54"/>
        <v/>
      </c>
      <c r="Z305" s="11" t="str">
        <f t="shared" si="55"/>
        <v/>
      </c>
      <c r="AA305" s="11" t="str">
        <f t="shared" si="56"/>
        <v/>
      </c>
      <c r="AB305" s="24" t="str">
        <f t="shared" si="57"/>
        <v/>
      </c>
    </row>
    <row r="306" spans="1:28" x14ac:dyDescent="0.25">
      <c r="A306" s="10" t="str">
        <f>IF('Raw Data'!A293&lt;&gt;"",'Raw Data'!A293,"")</f>
        <v/>
      </c>
      <c r="B306" s="10" t="str">
        <f>IF('Raw Data'!B293&lt;&gt;"",'Raw Data'!B293,"")</f>
        <v/>
      </c>
      <c r="C306" s="10" t="str">
        <f>IF('Raw Data'!C293&lt;&gt;"",'Raw Data'!C293,"")</f>
        <v/>
      </c>
      <c r="D306" s="10" t="str">
        <f>IF('Raw Data'!D293&lt;&gt;"",'Raw Data'!D293,"")</f>
        <v/>
      </c>
      <c r="E306" s="10" t="str">
        <f>IF('Raw Data'!E293&lt;&gt;"",'Raw Data'!E293,"")</f>
        <v/>
      </c>
      <c r="F306" s="14" t="str">
        <f>IF('Raw Data'!A293&lt;&gt;"",AVERAGE('Raw Data'!F293,'Raw Data'!H293,'Raw Data'!J293,'Raw Data'!L293,'Raw Data'!N293),"")</f>
        <v/>
      </c>
      <c r="G306" s="14" t="str">
        <f>IF('Raw Data'!A293&lt;&gt;"",AVERAGE('Raw Data'!G293,'Raw Data'!I293,'Raw Data'!K293,'Raw Data'!M293,'Raw Data'!O293),"")</f>
        <v/>
      </c>
      <c r="H306" s="14" t="str">
        <f t="shared" si="47"/>
        <v/>
      </c>
      <c r="I306" s="14" t="str">
        <f>IF('Raw Data'!A293&lt;&gt;"",AVERAGE('Raw Data'!P293,'Raw Data'!R293,'Raw Data'!T293,'Raw Data'!V293,'Raw Data'!X293),"")</f>
        <v/>
      </c>
      <c r="J306" s="14" t="str">
        <f>IF('Raw Data'!A293&lt;&gt;"",AVERAGE('Raw Data'!Q293,'Raw Data'!S293,'Raw Data'!U293,'Raw Data'!W293,'Raw Data'!Y293),"")</f>
        <v/>
      </c>
      <c r="K306" s="14" t="str">
        <f t="shared" si="48"/>
        <v/>
      </c>
      <c r="L306" s="14" t="str">
        <f>IF('Raw Data'!A293&lt;&gt;"",AVERAGE('Raw Data'!Z293,'Raw Data'!AB293,'Raw Data'!AD293,'Raw Data'!AF293,'Raw Data'!AH293),"")</f>
        <v/>
      </c>
      <c r="M306" s="14" t="str">
        <f>IF('Raw Data'!A293&lt;&gt;"",AVERAGE('Raw Data'!AA293,'Raw Data'!AC293,'Raw Data'!AE293,'Raw Data'!AG293,'Raw Data'!AI293),"")</f>
        <v/>
      </c>
      <c r="N306" s="14" t="str">
        <f t="shared" si="49"/>
        <v/>
      </c>
      <c r="O306" s="14" t="str">
        <f>IF('Raw Data'!A293&lt;&gt;"",AVERAGE('Raw Data'!AJ293,'Raw Data'!AL293,'Raw Data'!AN293,'Raw Data'!AP293,'Raw Data'!AR293),"")</f>
        <v/>
      </c>
      <c r="P306" s="14" t="str">
        <f>IF('Raw Data'!A293&lt;&gt;"",AVERAGE('Raw Data'!AK293,'Raw Data'!AM293,'Raw Data'!AO293,'Raw Data'!AQ293,'Raw Data'!AS293),"")</f>
        <v/>
      </c>
      <c r="Q306" s="14" t="str">
        <f t="shared" si="50"/>
        <v/>
      </c>
      <c r="R306" s="14" t="str">
        <f>IF('Raw Data'!A293&lt;&gt;"",AVERAGE('Raw Data'!AT293,'Raw Data'!AV293,'Raw Data'!AX293,'Raw Data'!AZ293,'Raw Data'!BB293),"")</f>
        <v/>
      </c>
      <c r="S306" s="14" t="str">
        <f>IF('Raw Data'!A293&lt;&gt;"",AVERAGE('Raw Data'!AU293,'Raw Data'!AW293,'Raw Data'!AY293,'Raw Data'!BA293,'Raw Data'!BC293),"")</f>
        <v/>
      </c>
      <c r="T306" s="14" t="str">
        <f t="shared" si="51"/>
        <v/>
      </c>
      <c r="U306" s="14" t="str">
        <f>IF('Raw Data'!A293&lt;&gt;"",AVERAGE('Raw Data'!BD293,'Raw Data'!BF293,'Raw Data'!BH293,'Raw Data'!BJ293,'Raw Data'!BL293),"")</f>
        <v/>
      </c>
      <c r="V306" s="14" t="str">
        <f>IF('Raw Data'!A293&lt;&gt;"",AVERAGE('Raw Data'!BE293,'Raw Data'!BG293,'Raw Data'!BI293,'Raw Data'!BK293,'Raw Data'!BM293),"")</f>
        <v/>
      </c>
      <c r="W306" s="14" t="str">
        <f t="shared" si="52"/>
        <v/>
      </c>
      <c r="X306" s="14" t="str">
        <f t="shared" si="53"/>
        <v/>
      </c>
      <c r="Y306" s="14" t="str">
        <f t="shared" si="54"/>
        <v/>
      </c>
      <c r="Z306" s="14" t="str">
        <f t="shared" si="55"/>
        <v/>
      </c>
      <c r="AA306" s="14" t="str">
        <f t="shared" si="56"/>
        <v/>
      </c>
      <c r="AB306" s="25" t="str">
        <f t="shared" si="57"/>
        <v/>
      </c>
    </row>
    <row r="307" spans="1:28" x14ac:dyDescent="0.25">
      <c r="A307" s="2" t="str">
        <f>IF('Raw Data'!A294&lt;&gt;"",'Raw Data'!A294,"")</f>
        <v/>
      </c>
      <c r="B307" s="2" t="str">
        <f>IF('Raw Data'!B294&lt;&gt;"",'Raw Data'!B294,"")</f>
        <v/>
      </c>
      <c r="C307" s="2" t="str">
        <f>IF('Raw Data'!C294&lt;&gt;"",'Raw Data'!C294,"")</f>
        <v/>
      </c>
      <c r="D307" s="2" t="str">
        <f>IF('Raw Data'!D294&lt;&gt;"",'Raw Data'!D294,"")</f>
        <v/>
      </c>
      <c r="E307" s="2" t="str">
        <f>IF('Raw Data'!E294&lt;&gt;"",'Raw Data'!E294,"")</f>
        <v/>
      </c>
      <c r="F307" s="11" t="str">
        <f>IF('Raw Data'!A294&lt;&gt;"",AVERAGE('Raw Data'!F294,'Raw Data'!H294,'Raw Data'!J294,'Raw Data'!L294,'Raw Data'!N294),"")</f>
        <v/>
      </c>
      <c r="G307" s="11" t="str">
        <f>IF('Raw Data'!A294&lt;&gt;"",AVERAGE('Raw Data'!G294,'Raw Data'!I294,'Raw Data'!K294,'Raw Data'!M294,'Raw Data'!O294),"")</f>
        <v/>
      </c>
      <c r="H307" s="11" t="str">
        <f t="shared" si="47"/>
        <v/>
      </c>
      <c r="I307" s="11" t="str">
        <f>IF('Raw Data'!A294&lt;&gt;"",AVERAGE('Raw Data'!P294,'Raw Data'!R294,'Raw Data'!T294,'Raw Data'!V294,'Raw Data'!X294),"")</f>
        <v/>
      </c>
      <c r="J307" s="11" t="str">
        <f>IF('Raw Data'!A294&lt;&gt;"",AVERAGE('Raw Data'!Q294,'Raw Data'!S294,'Raw Data'!U294,'Raw Data'!W294,'Raw Data'!Y294),"")</f>
        <v/>
      </c>
      <c r="K307" s="11" t="str">
        <f t="shared" si="48"/>
        <v/>
      </c>
      <c r="L307" s="11" t="str">
        <f>IF('Raw Data'!A294&lt;&gt;"",AVERAGE('Raw Data'!Z294,'Raw Data'!AB294,'Raw Data'!AD294,'Raw Data'!AF294,'Raw Data'!AH294),"")</f>
        <v/>
      </c>
      <c r="M307" s="11" t="str">
        <f>IF('Raw Data'!A294&lt;&gt;"",AVERAGE('Raw Data'!AA294,'Raw Data'!AC294,'Raw Data'!AE294,'Raw Data'!AG294,'Raw Data'!AI294),"")</f>
        <v/>
      </c>
      <c r="N307" s="11" t="str">
        <f t="shared" si="49"/>
        <v/>
      </c>
      <c r="O307" s="11" t="str">
        <f>IF('Raw Data'!A294&lt;&gt;"",AVERAGE('Raw Data'!AJ294,'Raw Data'!AL294,'Raw Data'!AN294,'Raw Data'!AP294,'Raw Data'!AR294),"")</f>
        <v/>
      </c>
      <c r="P307" s="11" t="str">
        <f>IF('Raw Data'!A294&lt;&gt;"",AVERAGE('Raw Data'!AK294,'Raw Data'!AM294,'Raw Data'!AO294,'Raw Data'!AQ294,'Raw Data'!AS294),"")</f>
        <v/>
      </c>
      <c r="Q307" s="11" t="str">
        <f t="shared" si="50"/>
        <v/>
      </c>
      <c r="R307" s="11" t="str">
        <f>IF('Raw Data'!A294&lt;&gt;"",AVERAGE('Raw Data'!AT294,'Raw Data'!AV294,'Raw Data'!AX294,'Raw Data'!AZ294,'Raw Data'!BB294),"")</f>
        <v/>
      </c>
      <c r="S307" s="11" t="str">
        <f>IF('Raw Data'!A294&lt;&gt;"",AVERAGE('Raw Data'!AU294,'Raw Data'!AW294,'Raw Data'!AY294,'Raw Data'!BA294,'Raw Data'!BC294),"")</f>
        <v/>
      </c>
      <c r="T307" s="11" t="str">
        <f t="shared" si="51"/>
        <v/>
      </c>
      <c r="U307" s="11" t="str">
        <f>IF('Raw Data'!A294&lt;&gt;"",AVERAGE('Raw Data'!BD294,'Raw Data'!BF294,'Raw Data'!BH294,'Raw Data'!BJ294,'Raw Data'!BL294),"")</f>
        <v/>
      </c>
      <c r="V307" s="11" t="str">
        <f>IF('Raw Data'!A294&lt;&gt;"",AVERAGE('Raw Data'!BE294,'Raw Data'!BG294,'Raw Data'!BI294,'Raw Data'!BK294,'Raw Data'!BM294),"")</f>
        <v/>
      </c>
      <c r="W307" s="11" t="str">
        <f t="shared" si="52"/>
        <v/>
      </c>
      <c r="X307" s="11" t="str">
        <f t="shared" si="53"/>
        <v/>
      </c>
      <c r="Y307" s="11" t="str">
        <f t="shared" si="54"/>
        <v/>
      </c>
      <c r="Z307" s="11" t="str">
        <f t="shared" si="55"/>
        <v/>
      </c>
      <c r="AA307" s="11" t="str">
        <f t="shared" si="56"/>
        <v/>
      </c>
      <c r="AB307" s="24" t="str">
        <f t="shared" si="57"/>
        <v/>
      </c>
    </row>
    <row r="308" spans="1:28" x14ac:dyDescent="0.25">
      <c r="A308" s="10" t="str">
        <f>IF('Raw Data'!A295&lt;&gt;"",'Raw Data'!A295,"")</f>
        <v/>
      </c>
      <c r="B308" s="10" t="str">
        <f>IF('Raw Data'!B295&lt;&gt;"",'Raw Data'!B295,"")</f>
        <v/>
      </c>
      <c r="C308" s="10" t="str">
        <f>IF('Raw Data'!C295&lt;&gt;"",'Raw Data'!C295,"")</f>
        <v/>
      </c>
      <c r="D308" s="10" t="str">
        <f>IF('Raw Data'!D295&lt;&gt;"",'Raw Data'!D295,"")</f>
        <v/>
      </c>
      <c r="E308" s="10" t="str">
        <f>IF('Raw Data'!E295&lt;&gt;"",'Raw Data'!E295,"")</f>
        <v/>
      </c>
      <c r="F308" s="14" t="str">
        <f>IF('Raw Data'!A295&lt;&gt;"",AVERAGE('Raw Data'!F295,'Raw Data'!H295,'Raw Data'!J295,'Raw Data'!L295,'Raw Data'!N295),"")</f>
        <v/>
      </c>
      <c r="G308" s="14" t="str">
        <f>IF('Raw Data'!A295&lt;&gt;"",AVERAGE('Raw Data'!G295,'Raw Data'!I295,'Raw Data'!K295,'Raw Data'!M295,'Raw Data'!O295),"")</f>
        <v/>
      </c>
      <c r="H308" s="14" t="str">
        <f t="shared" si="47"/>
        <v/>
      </c>
      <c r="I308" s="14" t="str">
        <f>IF('Raw Data'!A295&lt;&gt;"",AVERAGE('Raw Data'!P295,'Raw Data'!R295,'Raw Data'!T295,'Raw Data'!V295,'Raw Data'!X295),"")</f>
        <v/>
      </c>
      <c r="J308" s="14" t="str">
        <f>IF('Raw Data'!A295&lt;&gt;"",AVERAGE('Raw Data'!Q295,'Raw Data'!S295,'Raw Data'!U295,'Raw Data'!W295,'Raw Data'!Y295),"")</f>
        <v/>
      </c>
      <c r="K308" s="14" t="str">
        <f t="shared" si="48"/>
        <v/>
      </c>
      <c r="L308" s="14" t="str">
        <f>IF('Raw Data'!A295&lt;&gt;"",AVERAGE('Raw Data'!Z295,'Raw Data'!AB295,'Raw Data'!AD295,'Raw Data'!AF295,'Raw Data'!AH295),"")</f>
        <v/>
      </c>
      <c r="M308" s="14" t="str">
        <f>IF('Raw Data'!A295&lt;&gt;"",AVERAGE('Raw Data'!AA295,'Raw Data'!AC295,'Raw Data'!AE295,'Raw Data'!AG295,'Raw Data'!AI295),"")</f>
        <v/>
      </c>
      <c r="N308" s="14" t="str">
        <f t="shared" si="49"/>
        <v/>
      </c>
      <c r="O308" s="14" t="str">
        <f>IF('Raw Data'!A295&lt;&gt;"",AVERAGE('Raw Data'!AJ295,'Raw Data'!AL295,'Raw Data'!AN295,'Raw Data'!AP295,'Raw Data'!AR295),"")</f>
        <v/>
      </c>
      <c r="P308" s="14" t="str">
        <f>IF('Raw Data'!A295&lt;&gt;"",AVERAGE('Raw Data'!AK295,'Raw Data'!AM295,'Raw Data'!AO295,'Raw Data'!AQ295,'Raw Data'!AS295),"")</f>
        <v/>
      </c>
      <c r="Q308" s="14" t="str">
        <f t="shared" si="50"/>
        <v/>
      </c>
      <c r="R308" s="14" t="str">
        <f>IF('Raw Data'!A295&lt;&gt;"",AVERAGE('Raw Data'!AT295,'Raw Data'!AV295,'Raw Data'!AX295,'Raw Data'!AZ295,'Raw Data'!BB295),"")</f>
        <v/>
      </c>
      <c r="S308" s="14" t="str">
        <f>IF('Raw Data'!A295&lt;&gt;"",AVERAGE('Raw Data'!AU295,'Raw Data'!AW295,'Raw Data'!AY295,'Raw Data'!BA295,'Raw Data'!BC295),"")</f>
        <v/>
      </c>
      <c r="T308" s="14" t="str">
        <f t="shared" si="51"/>
        <v/>
      </c>
      <c r="U308" s="14" t="str">
        <f>IF('Raw Data'!A295&lt;&gt;"",AVERAGE('Raw Data'!BD295,'Raw Data'!BF295,'Raw Data'!BH295,'Raw Data'!BJ295,'Raw Data'!BL295),"")</f>
        <v/>
      </c>
      <c r="V308" s="14" t="str">
        <f>IF('Raw Data'!A295&lt;&gt;"",AVERAGE('Raw Data'!BE295,'Raw Data'!BG295,'Raw Data'!BI295,'Raw Data'!BK295,'Raw Data'!BM295),"")</f>
        <v/>
      </c>
      <c r="W308" s="14" t="str">
        <f t="shared" si="52"/>
        <v/>
      </c>
      <c r="X308" s="14" t="str">
        <f t="shared" si="53"/>
        <v/>
      </c>
      <c r="Y308" s="14" t="str">
        <f t="shared" si="54"/>
        <v/>
      </c>
      <c r="Z308" s="14" t="str">
        <f t="shared" si="55"/>
        <v/>
      </c>
      <c r="AA308" s="14" t="str">
        <f t="shared" si="56"/>
        <v/>
      </c>
      <c r="AB308" s="25" t="str">
        <f t="shared" si="57"/>
        <v/>
      </c>
    </row>
    <row r="309" spans="1:28" x14ac:dyDescent="0.25">
      <c r="A309" s="2" t="str">
        <f>IF('Raw Data'!A296&lt;&gt;"",'Raw Data'!A296,"")</f>
        <v/>
      </c>
      <c r="B309" s="2" t="str">
        <f>IF('Raw Data'!B296&lt;&gt;"",'Raw Data'!B296,"")</f>
        <v/>
      </c>
      <c r="C309" s="2" t="str">
        <f>IF('Raw Data'!C296&lt;&gt;"",'Raw Data'!C296,"")</f>
        <v/>
      </c>
      <c r="D309" s="2" t="str">
        <f>IF('Raw Data'!D296&lt;&gt;"",'Raw Data'!D296,"")</f>
        <v/>
      </c>
      <c r="E309" s="2" t="str">
        <f>IF('Raw Data'!E296&lt;&gt;"",'Raw Data'!E296,"")</f>
        <v/>
      </c>
      <c r="F309" s="11" t="str">
        <f>IF('Raw Data'!A296&lt;&gt;"",AVERAGE('Raw Data'!F296,'Raw Data'!H296,'Raw Data'!J296,'Raw Data'!L296,'Raw Data'!N296),"")</f>
        <v/>
      </c>
      <c r="G309" s="11" t="str">
        <f>IF('Raw Data'!A296&lt;&gt;"",AVERAGE('Raw Data'!G296,'Raw Data'!I296,'Raw Data'!K296,'Raw Data'!M296,'Raw Data'!O296),"")</f>
        <v/>
      </c>
      <c r="H309" s="11" t="str">
        <f t="shared" si="47"/>
        <v/>
      </c>
      <c r="I309" s="11" t="str">
        <f>IF('Raw Data'!A296&lt;&gt;"",AVERAGE('Raw Data'!P296,'Raw Data'!R296,'Raw Data'!T296,'Raw Data'!V296,'Raw Data'!X296),"")</f>
        <v/>
      </c>
      <c r="J309" s="11" t="str">
        <f>IF('Raw Data'!A296&lt;&gt;"",AVERAGE('Raw Data'!Q296,'Raw Data'!S296,'Raw Data'!U296,'Raw Data'!W296,'Raw Data'!Y296),"")</f>
        <v/>
      </c>
      <c r="K309" s="11" t="str">
        <f t="shared" si="48"/>
        <v/>
      </c>
      <c r="L309" s="11" t="str">
        <f>IF('Raw Data'!A296&lt;&gt;"",AVERAGE('Raw Data'!Z296,'Raw Data'!AB296,'Raw Data'!AD296,'Raw Data'!AF296,'Raw Data'!AH296),"")</f>
        <v/>
      </c>
      <c r="M309" s="11" t="str">
        <f>IF('Raw Data'!A296&lt;&gt;"",AVERAGE('Raw Data'!AA296,'Raw Data'!AC296,'Raw Data'!AE296,'Raw Data'!AG296,'Raw Data'!AI296),"")</f>
        <v/>
      </c>
      <c r="N309" s="11" t="str">
        <f t="shared" si="49"/>
        <v/>
      </c>
      <c r="O309" s="11" t="str">
        <f>IF('Raw Data'!A296&lt;&gt;"",AVERAGE('Raw Data'!AJ296,'Raw Data'!AL296,'Raw Data'!AN296,'Raw Data'!AP296,'Raw Data'!AR296),"")</f>
        <v/>
      </c>
      <c r="P309" s="11" t="str">
        <f>IF('Raw Data'!A296&lt;&gt;"",AVERAGE('Raw Data'!AK296,'Raw Data'!AM296,'Raw Data'!AO296,'Raw Data'!AQ296,'Raw Data'!AS296),"")</f>
        <v/>
      </c>
      <c r="Q309" s="11" t="str">
        <f t="shared" si="50"/>
        <v/>
      </c>
      <c r="R309" s="11" t="str">
        <f>IF('Raw Data'!A296&lt;&gt;"",AVERAGE('Raw Data'!AT296,'Raw Data'!AV296,'Raw Data'!AX296,'Raw Data'!AZ296,'Raw Data'!BB296),"")</f>
        <v/>
      </c>
      <c r="S309" s="11" t="str">
        <f>IF('Raw Data'!A296&lt;&gt;"",AVERAGE('Raw Data'!AU296,'Raw Data'!AW296,'Raw Data'!AY296,'Raw Data'!BA296,'Raw Data'!BC296),"")</f>
        <v/>
      </c>
      <c r="T309" s="11" t="str">
        <f t="shared" si="51"/>
        <v/>
      </c>
      <c r="U309" s="11" t="str">
        <f>IF('Raw Data'!A296&lt;&gt;"",AVERAGE('Raw Data'!BD296,'Raw Data'!BF296,'Raw Data'!BH296,'Raw Data'!BJ296,'Raw Data'!BL296),"")</f>
        <v/>
      </c>
      <c r="V309" s="11" t="str">
        <f>IF('Raw Data'!A296&lt;&gt;"",AVERAGE('Raw Data'!BE296,'Raw Data'!BG296,'Raw Data'!BI296,'Raw Data'!BK296,'Raw Data'!BM296),"")</f>
        <v/>
      </c>
      <c r="W309" s="11" t="str">
        <f t="shared" si="52"/>
        <v/>
      </c>
      <c r="X309" s="11" t="str">
        <f t="shared" si="53"/>
        <v/>
      </c>
      <c r="Y309" s="11" t="str">
        <f t="shared" si="54"/>
        <v/>
      </c>
      <c r="Z309" s="11" t="str">
        <f t="shared" si="55"/>
        <v/>
      </c>
      <c r="AA309" s="11" t="str">
        <f t="shared" si="56"/>
        <v/>
      </c>
      <c r="AB309" s="24" t="str">
        <f t="shared" si="57"/>
        <v/>
      </c>
    </row>
    <row r="310" spans="1:28" x14ac:dyDescent="0.25">
      <c r="A310" s="10" t="str">
        <f>IF('Raw Data'!A297&lt;&gt;"",'Raw Data'!A297,"")</f>
        <v/>
      </c>
      <c r="B310" s="10" t="str">
        <f>IF('Raw Data'!B297&lt;&gt;"",'Raw Data'!B297,"")</f>
        <v/>
      </c>
      <c r="C310" s="10" t="str">
        <f>IF('Raw Data'!C297&lt;&gt;"",'Raw Data'!C297,"")</f>
        <v/>
      </c>
      <c r="D310" s="10" t="str">
        <f>IF('Raw Data'!D297&lt;&gt;"",'Raw Data'!D297,"")</f>
        <v/>
      </c>
      <c r="E310" s="10" t="str">
        <f>IF('Raw Data'!E297&lt;&gt;"",'Raw Data'!E297,"")</f>
        <v/>
      </c>
      <c r="F310" s="14" t="str">
        <f>IF('Raw Data'!A297&lt;&gt;"",AVERAGE('Raw Data'!F297,'Raw Data'!H297,'Raw Data'!J297,'Raw Data'!L297,'Raw Data'!N297),"")</f>
        <v/>
      </c>
      <c r="G310" s="14" t="str">
        <f>IF('Raw Data'!A297&lt;&gt;"",AVERAGE('Raw Data'!G297,'Raw Data'!I297,'Raw Data'!K297,'Raw Data'!M297,'Raw Data'!O297),"")</f>
        <v/>
      </c>
      <c r="H310" s="14" t="str">
        <f t="shared" si="47"/>
        <v/>
      </c>
      <c r="I310" s="14" t="str">
        <f>IF('Raw Data'!A297&lt;&gt;"",AVERAGE('Raw Data'!P297,'Raw Data'!R297,'Raw Data'!T297,'Raw Data'!V297,'Raw Data'!X297),"")</f>
        <v/>
      </c>
      <c r="J310" s="14" t="str">
        <f>IF('Raw Data'!A297&lt;&gt;"",AVERAGE('Raw Data'!Q297,'Raw Data'!S297,'Raw Data'!U297,'Raw Data'!W297,'Raw Data'!Y297),"")</f>
        <v/>
      </c>
      <c r="K310" s="14" t="str">
        <f t="shared" si="48"/>
        <v/>
      </c>
      <c r="L310" s="14" t="str">
        <f>IF('Raw Data'!A297&lt;&gt;"",AVERAGE('Raw Data'!Z297,'Raw Data'!AB297,'Raw Data'!AD297,'Raw Data'!AF297,'Raw Data'!AH297),"")</f>
        <v/>
      </c>
      <c r="M310" s="14" t="str">
        <f>IF('Raw Data'!A297&lt;&gt;"",AVERAGE('Raw Data'!AA297,'Raw Data'!AC297,'Raw Data'!AE297,'Raw Data'!AG297,'Raw Data'!AI297),"")</f>
        <v/>
      </c>
      <c r="N310" s="14" t="str">
        <f t="shared" si="49"/>
        <v/>
      </c>
      <c r="O310" s="14" t="str">
        <f>IF('Raw Data'!A297&lt;&gt;"",AVERAGE('Raw Data'!AJ297,'Raw Data'!AL297,'Raw Data'!AN297,'Raw Data'!AP297,'Raw Data'!AR297),"")</f>
        <v/>
      </c>
      <c r="P310" s="14" t="str">
        <f>IF('Raw Data'!A297&lt;&gt;"",AVERAGE('Raw Data'!AK297,'Raw Data'!AM297,'Raw Data'!AO297,'Raw Data'!AQ297,'Raw Data'!AS297),"")</f>
        <v/>
      </c>
      <c r="Q310" s="14" t="str">
        <f t="shared" si="50"/>
        <v/>
      </c>
      <c r="R310" s="14" t="str">
        <f>IF('Raw Data'!A297&lt;&gt;"",AVERAGE('Raw Data'!AT297,'Raw Data'!AV297,'Raw Data'!AX297,'Raw Data'!AZ297,'Raw Data'!BB297),"")</f>
        <v/>
      </c>
      <c r="S310" s="14" t="str">
        <f>IF('Raw Data'!A297&lt;&gt;"",AVERAGE('Raw Data'!AU297,'Raw Data'!AW297,'Raw Data'!AY297,'Raw Data'!BA297,'Raw Data'!BC297),"")</f>
        <v/>
      </c>
      <c r="T310" s="14" t="str">
        <f t="shared" si="51"/>
        <v/>
      </c>
      <c r="U310" s="14" t="str">
        <f>IF('Raw Data'!A297&lt;&gt;"",AVERAGE('Raw Data'!BD297,'Raw Data'!BF297,'Raw Data'!BH297,'Raw Data'!BJ297,'Raw Data'!BL297),"")</f>
        <v/>
      </c>
      <c r="V310" s="14" t="str">
        <f>IF('Raw Data'!A297&lt;&gt;"",AVERAGE('Raw Data'!BE297,'Raw Data'!BG297,'Raw Data'!BI297,'Raw Data'!BK297,'Raw Data'!BM297),"")</f>
        <v/>
      </c>
      <c r="W310" s="14" t="str">
        <f t="shared" si="52"/>
        <v/>
      </c>
      <c r="X310" s="14" t="str">
        <f t="shared" si="53"/>
        <v/>
      </c>
      <c r="Y310" s="14" t="str">
        <f t="shared" si="54"/>
        <v/>
      </c>
      <c r="Z310" s="14" t="str">
        <f t="shared" si="55"/>
        <v/>
      </c>
      <c r="AA310" s="14" t="str">
        <f t="shared" si="56"/>
        <v/>
      </c>
      <c r="AB310" s="25" t="str">
        <f t="shared" si="57"/>
        <v/>
      </c>
    </row>
    <row r="311" spans="1:28" x14ac:dyDescent="0.25">
      <c r="A311" s="2" t="str">
        <f>IF('Raw Data'!A298&lt;&gt;"",'Raw Data'!A298,"")</f>
        <v/>
      </c>
      <c r="B311" s="2" t="str">
        <f>IF('Raw Data'!B298&lt;&gt;"",'Raw Data'!B298,"")</f>
        <v/>
      </c>
      <c r="C311" s="2" t="str">
        <f>IF('Raw Data'!C298&lt;&gt;"",'Raw Data'!C298,"")</f>
        <v/>
      </c>
      <c r="D311" s="2" t="str">
        <f>IF('Raw Data'!D298&lt;&gt;"",'Raw Data'!D298,"")</f>
        <v/>
      </c>
      <c r="E311" s="2" t="str">
        <f>IF('Raw Data'!E298&lt;&gt;"",'Raw Data'!E298,"")</f>
        <v/>
      </c>
      <c r="F311" s="11" t="str">
        <f>IF('Raw Data'!A298&lt;&gt;"",AVERAGE('Raw Data'!F298,'Raw Data'!H298,'Raw Data'!J298,'Raw Data'!L298,'Raw Data'!N298),"")</f>
        <v/>
      </c>
      <c r="G311" s="11" t="str">
        <f>IF('Raw Data'!A298&lt;&gt;"",AVERAGE('Raw Data'!G298,'Raw Data'!I298,'Raw Data'!K298,'Raw Data'!M298,'Raw Data'!O298),"")</f>
        <v/>
      </c>
      <c r="H311" s="11" t="str">
        <f t="shared" si="47"/>
        <v/>
      </c>
      <c r="I311" s="11" t="str">
        <f>IF('Raw Data'!A298&lt;&gt;"",AVERAGE('Raw Data'!P298,'Raw Data'!R298,'Raw Data'!T298,'Raw Data'!V298,'Raw Data'!X298),"")</f>
        <v/>
      </c>
      <c r="J311" s="11" t="str">
        <f>IF('Raw Data'!A298&lt;&gt;"",AVERAGE('Raw Data'!Q298,'Raw Data'!S298,'Raw Data'!U298,'Raw Data'!W298,'Raw Data'!Y298),"")</f>
        <v/>
      </c>
      <c r="K311" s="11" t="str">
        <f t="shared" si="48"/>
        <v/>
      </c>
      <c r="L311" s="11" t="str">
        <f>IF('Raw Data'!A298&lt;&gt;"",AVERAGE('Raw Data'!Z298,'Raw Data'!AB298,'Raw Data'!AD298,'Raw Data'!AF298,'Raw Data'!AH298),"")</f>
        <v/>
      </c>
      <c r="M311" s="11" t="str">
        <f>IF('Raw Data'!A298&lt;&gt;"",AVERAGE('Raw Data'!AA298,'Raw Data'!AC298,'Raw Data'!AE298,'Raw Data'!AG298,'Raw Data'!AI298),"")</f>
        <v/>
      </c>
      <c r="N311" s="11" t="str">
        <f t="shared" si="49"/>
        <v/>
      </c>
      <c r="O311" s="11" t="str">
        <f>IF('Raw Data'!A298&lt;&gt;"",AVERAGE('Raw Data'!AJ298,'Raw Data'!AL298,'Raw Data'!AN298,'Raw Data'!AP298,'Raw Data'!AR298),"")</f>
        <v/>
      </c>
      <c r="P311" s="11" t="str">
        <f>IF('Raw Data'!A298&lt;&gt;"",AVERAGE('Raw Data'!AK298,'Raw Data'!AM298,'Raw Data'!AO298,'Raw Data'!AQ298,'Raw Data'!AS298),"")</f>
        <v/>
      </c>
      <c r="Q311" s="11" t="str">
        <f t="shared" si="50"/>
        <v/>
      </c>
      <c r="R311" s="11" t="str">
        <f>IF('Raw Data'!A298&lt;&gt;"",AVERAGE('Raw Data'!AT298,'Raw Data'!AV298,'Raw Data'!AX298,'Raw Data'!AZ298,'Raw Data'!BB298),"")</f>
        <v/>
      </c>
      <c r="S311" s="11" t="str">
        <f>IF('Raw Data'!A298&lt;&gt;"",AVERAGE('Raw Data'!AU298,'Raw Data'!AW298,'Raw Data'!AY298,'Raw Data'!BA298,'Raw Data'!BC298),"")</f>
        <v/>
      </c>
      <c r="T311" s="11" t="str">
        <f t="shared" si="51"/>
        <v/>
      </c>
      <c r="U311" s="11" t="str">
        <f>IF('Raw Data'!A298&lt;&gt;"",AVERAGE('Raw Data'!BD298,'Raw Data'!BF298,'Raw Data'!BH298,'Raw Data'!BJ298,'Raw Data'!BL298),"")</f>
        <v/>
      </c>
      <c r="V311" s="11" t="str">
        <f>IF('Raw Data'!A298&lt;&gt;"",AVERAGE('Raw Data'!BE298,'Raw Data'!BG298,'Raw Data'!BI298,'Raw Data'!BK298,'Raw Data'!BM298),"")</f>
        <v/>
      </c>
      <c r="W311" s="11" t="str">
        <f t="shared" si="52"/>
        <v/>
      </c>
      <c r="X311" s="11" t="str">
        <f t="shared" si="53"/>
        <v/>
      </c>
      <c r="Y311" s="11" t="str">
        <f t="shared" si="54"/>
        <v/>
      </c>
      <c r="Z311" s="11" t="str">
        <f t="shared" si="55"/>
        <v/>
      </c>
      <c r="AA311" s="11" t="str">
        <f t="shared" si="56"/>
        <v/>
      </c>
      <c r="AB311" s="24" t="str">
        <f t="shared" si="57"/>
        <v/>
      </c>
    </row>
    <row r="312" spans="1:28" x14ac:dyDescent="0.25">
      <c r="A312" s="10" t="str">
        <f>IF('Raw Data'!A299&lt;&gt;"",'Raw Data'!A299,"")</f>
        <v/>
      </c>
      <c r="B312" s="10" t="str">
        <f>IF('Raw Data'!B299&lt;&gt;"",'Raw Data'!B299,"")</f>
        <v/>
      </c>
      <c r="C312" s="10" t="str">
        <f>IF('Raw Data'!C299&lt;&gt;"",'Raw Data'!C299,"")</f>
        <v/>
      </c>
      <c r="D312" s="10" t="str">
        <f>IF('Raw Data'!D299&lt;&gt;"",'Raw Data'!D299,"")</f>
        <v/>
      </c>
      <c r="E312" s="10" t="str">
        <f>IF('Raw Data'!E299&lt;&gt;"",'Raw Data'!E299,"")</f>
        <v/>
      </c>
      <c r="F312" s="14" t="str">
        <f>IF('Raw Data'!A299&lt;&gt;"",AVERAGE('Raw Data'!F299,'Raw Data'!H299,'Raw Data'!J299,'Raw Data'!L299,'Raw Data'!N299),"")</f>
        <v/>
      </c>
      <c r="G312" s="14" t="str">
        <f>IF('Raw Data'!A299&lt;&gt;"",AVERAGE('Raw Data'!G299,'Raw Data'!I299,'Raw Data'!K299,'Raw Data'!M299,'Raw Data'!O299),"")</f>
        <v/>
      </c>
      <c r="H312" s="14" t="str">
        <f t="shared" si="47"/>
        <v/>
      </c>
      <c r="I312" s="14" t="str">
        <f>IF('Raw Data'!A299&lt;&gt;"",AVERAGE('Raw Data'!P299,'Raw Data'!R299,'Raw Data'!T299,'Raw Data'!V299,'Raw Data'!X299),"")</f>
        <v/>
      </c>
      <c r="J312" s="14" t="str">
        <f>IF('Raw Data'!A299&lt;&gt;"",AVERAGE('Raw Data'!Q299,'Raw Data'!S299,'Raw Data'!U299,'Raw Data'!W299,'Raw Data'!Y299),"")</f>
        <v/>
      </c>
      <c r="K312" s="14" t="str">
        <f t="shared" si="48"/>
        <v/>
      </c>
      <c r="L312" s="14" t="str">
        <f>IF('Raw Data'!A299&lt;&gt;"",AVERAGE('Raw Data'!Z299,'Raw Data'!AB299,'Raw Data'!AD299,'Raw Data'!AF299,'Raw Data'!AH299),"")</f>
        <v/>
      </c>
      <c r="M312" s="14" t="str">
        <f>IF('Raw Data'!A299&lt;&gt;"",AVERAGE('Raw Data'!AA299,'Raw Data'!AC299,'Raw Data'!AE299,'Raw Data'!AG299,'Raw Data'!AI299),"")</f>
        <v/>
      </c>
      <c r="N312" s="14" t="str">
        <f t="shared" si="49"/>
        <v/>
      </c>
      <c r="O312" s="14" t="str">
        <f>IF('Raw Data'!A299&lt;&gt;"",AVERAGE('Raw Data'!AJ299,'Raw Data'!AL299,'Raw Data'!AN299,'Raw Data'!AP299,'Raw Data'!AR299),"")</f>
        <v/>
      </c>
      <c r="P312" s="14" t="str">
        <f>IF('Raw Data'!A299&lt;&gt;"",AVERAGE('Raw Data'!AK299,'Raw Data'!AM299,'Raw Data'!AO299,'Raw Data'!AQ299,'Raw Data'!AS299),"")</f>
        <v/>
      </c>
      <c r="Q312" s="14" t="str">
        <f t="shared" si="50"/>
        <v/>
      </c>
      <c r="R312" s="14" t="str">
        <f>IF('Raw Data'!A299&lt;&gt;"",AVERAGE('Raw Data'!AT299,'Raw Data'!AV299,'Raw Data'!AX299,'Raw Data'!AZ299,'Raw Data'!BB299),"")</f>
        <v/>
      </c>
      <c r="S312" s="14" t="str">
        <f>IF('Raw Data'!A299&lt;&gt;"",AVERAGE('Raw Data'!AU299,'Raw Data'!AW299,'Raw Data'!AY299,'Raw Data'!BA299,'Raw Data'!BC299),"")</f>
        <v/>
      </c>
      <c r="T312" s="14" t="str">
        <f t="shared" si="51"/>
        <v/>
      </c>
      <c r="U312" s="14" t="str">
        <f>IF('Raw Data'!A299&lt;&gt;"",AVERAGE('Raw Data'!BD299,'Raw Data'!BF299,'Raw Data'!BH299,'Raw Data'!BJ299,'Raw Data'!BL299),"")</f>
        <v/>
      </c>
      <c r="V312" s="14" t="str">
        <f>IF('Raw Data'!A299&lt;&gt;"",AVERAGE('Raw Data'!BE299,'Raw Data'!BG299,'Raw Data'!BI299,'Raw Data'!BK299,'Raw Data'!BM299),"")</f>
        <v/>
      </c>
      <c r="W312" s="14" t="str">
        <f t="shared" si="52"/>
        <v/>
      </c>
      <c r="X312" s="14" t="str">
        <f t="shared" si="53"/>
        <v/>
      </c>
      <c r="Y312" s="14" t="str">
        <f t="shared" si="54"/>
        <v/>
      </c>
      <c r="Z312" s="14" t="str">
        <f t="shared" si="55"/>
        <v/>
      </c>
      <c r="AA312" s="14" t="str">
        <f t="shared" si="56"/>
        <v/>
      </c>
      <c r="AB312" s="25" t="str">
        <f t="shared" si="57"/>
        <v/>
      </c>
    </row>
    <row r="313" spans="1:28" x14ac:dyDescent="0.25">
      <c r="A313" s="2" t="str">
        <f>IF('Raw Data'!A300&lt;&gt;"",'Raw Data'!A300,"")</f>
        <v/>
      </c>
      <c r="B313" s="2" t="str">
        <f>IF('Raw Data'!B300&lt;&gt;"",'Raw Data'!B300,"")</f>
        <v/>
      </c>
      <c r="C313" s="2" t="str">
        <f>IF('Raw Data'!C300&lt;&gt;"",'Raw Data'!C300,"")</f>
        <v/>
      </c>
      <c r="D313" s="2" t="str">
        <f>IF('Raw Data'!D300&lt;&gt;"",'Raw Data'!D300,"")</f>
        <v/>
      </c>
      <c r="E313" s="2" t="str">
        <f>IF('Raw Data'!E300&lt;&gt;"",'Raw Data'!E300,"")</f>
        <v/>
      </c>
      <c r="F313" s="11" t="str">
        <f>IF('Raw Data'!A300&lt;&gt;"",AVERAGE('Raw Data'!F300,'Raw Data'!H300,'Raw Data'!J300,'Raw Data'!L300,'Raw Data'!N300),"")</f>
        <v/>
      </c>
      <c r="G313" s="11" t="str">
        <f>IF('Raw Data'!A300&lt;&gt;"",AVERAGE('Raw Data'!G300,'Raw Data'!I300,'Raw Data'!K300,'Raw Data'!M300,'Raw Data'!O300),"")</f>
        <v/>
      </c>
      <c r="H313" s="11" t="str">
        <f t="shared" si="47"/>
        <v/>
      </c>
      <c r="I313" s="11" t="str">
        <f>IF('Raw Data'!A300&lt;&gt;"",AVERAGE('Raw Data'!P300,'Raw Data'!R300,'Raw Data'!T300,'Raw Data'!V300,'Raw Data'!X300),"")</f>
        <v/>
      </c>
      <c r="J313" s="11" t="str">
        <f>IF('Raw Data'!A300&lt;&gt;"",AVERAGE('Raw Data'!Q300,'Raw Data'!S300,'Raw Data'!U300,'Raw Data'!W300,'Raw Data'!Y300),"")</f>
        <v/>
      </c>
      <c r="K313" s="11" t="str">
        <f t="shared" si="48"/>
        <v/>
      </c>
      <c r="L313" s="11" t="str">
        <f>IF('Raw Data'!A300&lt;&gt;"",AVERAGE('Raw Data'!Z300,'Raw Data'!AB300,'Raw Data'!AD300,'Raw Data'!AF300,'Raw Data'!AH300),"")</f>
        <v/>
      </c>
      <c r="M313" s="11" t="str">
        <f>IF('Raw Data'!A300&lt;&gt;"",AVERAGE('Raw Data'!AA300,'Raw Data'!AC300,'Raw Data'!AE300,'Raw Data'!AG300,'Raw Data'!AI300),"")</f>
        <v/>
      </c>
      <c r="N313" s="11" t="str">
        <f t="shared" si="49"/>
        <v/>
      </c>
      <c r="O313" s="11" t="str">
        <f>IF('Raw Data'!A300&lt;&gt;"",AVERAGE('Raw Data'!AJ300,'Raw Data'!AL300,'Raw Data'!AN300,'Raw Data'!AP300,'Raw Data'!AR300),"")</f>
        <v/>
      </c>
      <c r="P313" s="11" t="str">
        <f>IF('Raw Data'!A300&lt;&gt;"",AVERAGE('Raw Data'!AK300,'Raw Data'!AM300,'Raw Data'!AO300,'Raw Data'!AQ300,'Raw Data'!AS300),"")</f>
        <v/>
      </c>
      <c r="Q313" s="11" t="str">
        <f t="shared" si="50"/>
        <v/>
      </c>
      <c r="R313" s="11" t="str">
        <f>IF('Raw Data'!A300&lt;&gt;"",AVERAGE('Raw Data'!AT300,'Raw Data'!AV300,'Raw Data'!AX300,'Raw Data'!AZ300,'Raw Data'!BB300),"")</f>
        <v/>
      </c>
      <c r="S313" s="11" t="str">
        <f>IF('Raw Data'!A300&lt;&gt;"",AVERAGE('Raw Data'!AU300,'Raw Data'!AW300,'Raw Data'!AY300,'Raw Data'!BA300,'Raw Data'!BC300),"")</f>
        <v/>
      </c>
      <c r="T313" s="11" t="str">
        <f t="shared" si="51"/>
        <v/>
      </c>
      <c r="U313" s="11" t="str">
        <f>IF('Raw Data'!A300&lt;&gt;"",AVERAGE('Raw Data'!BD300,'Raw Data'!BF300,'Raw Data'!BH300,'Raw Data'!BJ300,'Raw Data'!BL300),"")</f>
        <v/>
      </c>
      <c r="V313" s="11" t="str">
        <f>IF('Raw Data'!A300&lt;&gt;"",AVERAGE('Raw Data'!BE300,'Raw Data'!BG300,'Raw Data'!BI300,'Raw Data'!BK300,'Raw Data'!BM300),"")</f>
        <v/>
      </c>
      <c r="W313" s="11" t="str">
        <f t="shared" si="52"/>
        <v/>
      </c>
      <c r="X313" s="11" t="str">
        <f t="shared" si="53"/>
        <v/>
      </c>
      <c r="Y313" s="11" t="str">
        <f t="shared" si="54"/>
        <v/>
      </c>
      <c r="Z313" s="11" t="str">
        <f t="shared" si="55"/>
        <v/>
      </c>
      <c r="AA313" s="11" t="str">
        <f t="shared" si="56"/>
        <v/>
      </c>
      <c r="AB313" s="24" t="str">
        <f t="shared" si="57"/>
        <v/>
      </c>
    </row>
    <row r="314" spans="1:28" x14ac:dyDescent="0.25">
      <c r="A314" s="10" t="str">
        <f>IF('Raw Data'!A301&lt;&gt;"",'Raw Data'!A301,"")</f>
        <v/>
      </c>
      <c r="B314" s="10" t="str">
        <f>IF('Raw Data'!B301&lt;&gt;"",'Raw Data'!B301,"")</f>
        <v/>
      </c>
      <c r="C314" s="10" t="str">
        <f>IF('Raw Data'!C301&lt;&gt;"",'Raw Data'!C301,"")</f>
        <v/>
      </c>
      <c r="D314" s="10" t="str">
        <f>IF('Raw Data'!D301&lt;&gt;"",'Raw Data'!D301,"")</f>
        <v/>
      </c>
      <c r="E314" s="10" t="str">
        <f>IF('Raw Data'!E301&lt;&gt;"",'Raw Data'!E301,"")</f>
        <v/>
      </c>
      <c r="F314" s="14" t="str">
        <f>IF('Raw Data'!A301&lt;&gt;"",AVERAGE('Raw Data'!F301,'Raw Data'!H301,'Raw Data'!J301,'Raw Data'!L301,'Raw Data'!N301),"")</f>
        <v/>
      </c>
      <c r="G314" s="14" t="str">
        <f>IF('Raw Data'!A301&lt;&gt;"",AVERAGE('Raw Data'!G301,'Raw Data'!I301,'Raw Data'!K301,'Raw Data'!M301,'Raw Data'!O301),"")</f>
        <v/>
      </c>
      <c r="H314" s="14" t="str">
        <f t="shared" si="47"/>
        <v/>
      </c>
      <c r="I314" s="14" t="str">
        <f>IF('Raw Data'!A301&lt;&gt;"",AVERAGE('Raw Data'!P301,'Raw Data'!R301,'Raw Data'!T301,'Raw Data'!V301,'Raw Data'!X301),"")</f>
        <v/>
      </c>
      <c r="J314" s="14" t="str">
        <f>IF('Raw Data'!A301&lt;&gt;"",AVERAGE('Raw Data'!Q301,'Raw Data'!S301,'Raw Data'!U301,'Raw Data'!W301,'Raw Data'!Y301),"")</f>
        <v/>
      </c>
      <c r="K314" s="14" t="str">
        <f t="shared" si="48"/>
        <v/>
      </c>
      <c r="L314" s="14" t="str">
        <f>IF('Raw Data'!A301&lt;&gt;"",AVERAGE('Raw Data'!Z301,'Raw Data'!AB301,'Raw Data'!AD301,'Raw Data'!AF301,'Raw Data'!AH301),"")</f>
        <v/>
      </c>
      <c r="M314" s="14" t="str">
        <f>IF('Raw Data'!A301&lt;&gt;"",AVERAGE('Raw Data'!AA301,'Raw Data'!AC301,'Raw Data'!AE301,'Raw Data'!AG301,'Raw Data'!AI301),"")</f>
        <v/>
      </c>
      <c r="N314" s="14" t="str">
        <f t="shared" si="49"/>
        <v/>
      </c>
      <c r="O314" s="14" t="str">
        <f>IF('Raw Data'!A301&lt;&gt;"",AVERAGE('Raw Data'!AJ301,'Raw Data'!AL301,'Raw Data'!AN301,'Raw Data'!AP301,'Raw Data'!AR301),"")</f>
        <v/>
      </c>
      <c r="P314" s="14" t="str">
        <f>IF('Raw Data'!A301&lt;&gt;"",AVERAGE('Raw Data'!AK301,'Raw Data'!AM301,'Raw Data'!AO301,'Raw Data'!AQ301,'Raw Data'!AS301),"")</f>
        <v/>
      </c>
      <c r="Q314" s="14" t="str">
        <f t="shared" si="50"/>
        <v/>
      </c>
      <c r="R314" s="14" t="str">
        <f>IF('Raw Data'!A301&lt;&gt;"",AVERAGE('Raw Data'!AT301,'Raw Data'!AV301,'Raw Data'!AX301,'Raw Data'!AZ301,'Raw Data'!BB301),"")</f>
        <v/>
      </c>
      <c r="S314" s="14" t="str">
        <f>IF('Raw Data'!A301&lt;&gt;"",AVERAGE('Raw Data'!AU301,'Raw Data'!AW301,'Raw Data'!AY301,'Raw Data'!BA301,'Raw Data'!BC301),"")</f>
        <v/>
      </c>
      <c r="T314" s="14" t="str">
        <f t="shared" si="51"/>
        <v/>
      </c>
      <c r="U314" s="14" t="str">
        <f>IF('Raw Data'!A301&lt;&gt;"",AVERAGE('Raw Data'!BD301,'Raw Data'!BF301,'Raw Data'!BH301,'Raw Data'!BJ301,'Raw Data'!BL301),"")</f>
        <v/>
      </c>
      <c r="V314" s="14" t="str">
        <f>IF('Raw Data'!A301&lt;&gt;"",AVERAGE('Raw Data'!BE301,'Raw Data'!BG301,'Raw Data'!BI301,'Raw Data'!BK301,'Raw Data'!BM301),"")</f>
        <v/>
      </c>
      <c r="W314" s="14" t="str">
        <f t="shared" si="52"/>
        <v/>
      </c>
      <c r="X314" s="14" t="str">
        <f t="shared" si="53"/>
        <v/>
      </c>
      <c r="Y314" s="14" t="str">
        <f t="shared" si="54"/>
        <v/>
      </c>
      <c r="Z314" s="14" t="str">
        <f t="shared" si="55"/>
        <v/>
      </c>
      <c r="AA314" s="14" t="str">
        <f t="shared" si="56"/>
        <v/>
      </c>
      <c r="AB314" s="25" t="str">
        <f t="shared" si="57"/>
        <v/>
      </c>
    </row>
    <row r="315" spans="1:28" x14ac:dyDescent="0.25">
      <c r="A315" s="2" t="str">
        <f>IF('Raw Data'!A302&lt;&gt;"",'Raw Data'!A302,"")</f>
        <v/>
      </c>
      <c r="B315" s="2" t="str">
        <f>IF('Raw Data'!B302&lt;&gt;"",'Raw Data'!B302,"")</f>
        <v/>
      </c>
      <c r="C315" s="2" t="str">
        <f>IF('Raw Data'!C302&lt;&gt;"",'Raw Data'!C302,"")</f>
        <v/>
      </c>
      <c r="D315" s="2" t="str">
        <f>IF('Raw Data'!D302&lt;&gt;"",'Raw Data'!D302,"")</f>
        <v/>
      </c>
      <c r="E315" s="2" t="str">
        <f>IF('Raw Data'!E302&lt;&gt;"",'Raw Data'!E302,"")</f>
        <v/>
      </c>
      <c r="F315" s="11" t="str">
        <f>IF('Raw Data'!A302&lt;&gt;"",AVERAGE('Raw Data'!F302,'Raw Data'!H302,'Raw Data'!J302,'Raw Data'!L302,'Raw Data'!N302),"")</f>
        <v/>
      </c>
      <c r="G315" s="11" t="str">
        <f>IF('Raw Data'!A302&lt;&gt;"",AVERAGE('Raw Data'!G302,'Raw Data'!I302,'Raw Data'!K302,'Raw Data'!M302,'Raw Data'!O302),"")</f>
        <v/>
      </c>
      <c r="H315" s="11" t="str">
        <f t="shared" si="47"/>
        <v/>
      </c>
      <c r="I315" s="11" t="str">
        <f>IF('Raw Data'!A302&lt;&gt;"",AVERAGE('Raw Data'!P302,'Raw Data'!R302,'Raw Data'!T302,'Raw Data'!V302,'Raw Data'!X302),"")</f>
        <v/>
      </c>
      <c r="J315" s="11" t="str">
        <f>IF('Raw Data'!A302&lt;&gt;"",AVERAGE('Raw Data'!Q302,'Raw Data'!S302,'Raw Data'!U302,'Raw Data'!W302,'Raw Data'!Y302),"")</f>
        <v/>
      </c>
      <c r="K315" s="11" t="str">
        <f t="shared" si="48"/>
        <v/>
      </c>
      <c r="L315" s="11" t="str">
        <f>IF('Raw Data'!A302&lt;&gt;"",AVERAGE('Raw Data'!Z302,'Raw Data'!AB302,'Raw Data'!AD302,'Raw Data'!AF302,'Raw Data'!AH302),"")</f>
        <v/>
      </c>
      <c r="M315" s="11" t="str">
        <f>IF('Raw Data'!A302&lt;&gt;"",AVERAGE('Raw Data'!AA302,'Raw Data'!AC302,'Raw Data'!AE302,'Raw Data'!AG302,'Raw Data'!AI302),"")</f>
        <v/>
      </c>
      <c r="N315" s="11" t="str">
        <f t="shared" si="49"/>
        <v/>
      </c>
      <c r="O315" s="11" t="str">
        <f>IF('Raw Data'!A302&lt;&gt;"",AVERAGE('Raw Data'!AJ302,'Raw Data'!AL302,'Raw Data'!AN302,'Raw Data'!AP302,'Raw Data'!AR302),"")</f>
        <v/>
      </c>
      <c r="P315" s="11" t="str">
        <f>IF('Raw Data'!A302&lt;&gt;"",AVERAGE('Raw Data'!AK302,'Raw Data'!AM302,'Raw Data'!AO302,'Raw Data'!AQ302,'Raw Data'!AS302),"")</f>
        <v/>
      </c>
      <c r="Q315" s="11" t="str">
        <f t="shared" si="50"/>
        <v/>
      </c>
      <c r="R315" s="11" t="str">
        <f>IF('Raw Data'!A302&lt;&gt;"",AVERAGE('Raw Data'!AT302,'Raw Data'!AV302,'Raw Data'!AX302,'Raw Data'!AZ302,'Raw Data'!BB302),"")</f>
        <v/>
      </c>
      <c r="S315" s="11" t="str">
        <f>IF('Raw Data'!A302&lt;&gt;"",AVERAGE('Raw Data'!AU302,'Raw Data'!AW302,'Raw Data'!AY302,'Raw Data'!BA302,'Raw Data'!BC302),"")</f>
        <v/>
      </c>
      <c r="T315" s="11" t="str">
        <f t="shared" si="51"/>
        <v/>
      </c>
      <c r="U315" s="11" t="str">
        <f>IF('Raw Data'!A302&lt;&gt;"",AVERAGE('Raw Data'!BD302,'Raw Data'!BF302,'Raw Data'!BH302,'Raw Data'!BJ302,'Raw Data'!BL302),"")</f>
        <v/>
      </c>
      <c r="V315" s="11" t="str">
        <f>IF('Raw Data'!A302&lt;&gt;"",AVERAGE('Raw Data'!BE302,'Raw Data'!BG302,'Raw Data'!BI302,'Raw Data'!BK302,'Raw Data'!BM302),"")</f>
        <v/>
      </c>
      <c r="W315" s="11" t="str">
        <f t="shared" si="52"/>
        <v/>
      </c>
      <c r="X315" s="11" t="str">
        <f t="shared" si="53"/>
        <v/>
      </c>
      <c r="Y315" s="11" t="str">
        <f t="shared" si="54"/>
        <v/>
      </c>
      <c r="Z315" s="11" t="str">
        <f t="shared" si="55"/>
        <v/>
      </c>
      <c r="AA315" s="11" t="str">
        <f t="shared" si="56"/>
        <v/>
      </c>
      <c r="AB315" s="24" t="str">
        <f t="shared" si="57"/>
        <v/>
      </c>
    </row>
    <row r="316" spans="1:28" x14ac:dyDescent="0.25">
      <c r="A316" s="10" t="str">
        <f>IF('Raw Data'!A303&lt;&gt;"",'Raw Data'!A303,"")</f>
        <v/>
      </c>
      <c r="B316" s="10" t="str">
        <f>IF('Raw Data'!B303&lt;&gt;"",'Raw Data'!B303,"")</f>
        <v/>
      </c>
      <c r="C316" s="10" t="str">
        <f>IF('Raw Data'!C303&lt;&gt;"",'Raw Data'!C303,"")</f>
        <v/>
      </c>
      <c r="D316" s="10" t="str">
        <f>IF('Raw Data'!D303&lt;&gt;"",'Raw Data'!D303,"")</f>
        <v/>
      </c>
      <c r="E316" s="10" t="str">
        <f>IF('Raw Data'!E303&lt;&gt;"",'Raw Data'!E303,"")</f>
        <v/>
      </c>
      <c r="F316" s="14" t="str">
        <f>IF('Raw Data'!A303&lt;&gt;"",AVERAGE('Raw Data'!F303,'Raw Data'!H303,'Raw Data'!J303,'Raw Data'!L303,'Raw Data'!N303),"")</f>
        <v/>
      </c>
      <c r="G316" s="14" t="str">
        <f>IF('Raw Data'!A303&lt;&gt;"",AVERAGE('Raw Data'!G303,'Raw Data'!I303,'Raw Data'!K303,'Raw Data'!M303,'Raw Data'!O303),"")</f>
        <v/>
      </c>
      <c r="H316" s="14" t="str">
        <f t="shared" si="47"/>
        <v/>
      </c>
      <c r="I316" s="14" t="str">
        <f>IF('Raw Data'!A303&lt;&gt;"",AVERAGE('Raw Data'!P303,'Raw Data'!R303,'Raw Data'!T303,'Raw Data'!V303,'Raw Data'!X303),"")</f>
        <v/>
      </c>
      <c r="J316" s="14" t="str">
        <f>IF('Raw Data'!A303&lt;&gt;"",AVERAGE('Raw Data'!Q303,'Raw Data'!S303,'Raw Data'!U303,'Raw Data'!W303,'Raw Data'!Y303),"")</f>
        <v/>
      </c>
      <c r="K316" s="14" t="str">
        <f t="shared" si="48"/>
        <v/>
      </c>
      <c r="L316" s="14" t="str">
        <f>IF('Raw Data'!A303&lt;&gt;"",AVERAGE('Raw Data'!Z303,'Raw Data'!AB303,'Raw Data'!AD303,'Raw Data'!AF303,'Raw Data'!AH303),"")</f>
        <v/>
      </c>
      <c r="M316" s="14" t="str">
        <f>IF('Raw Data'!A303&lt;&gt;"",AVERAGE('Raw Data'!AA303,'Raw Data'!AC303,'Raw Data'!AE303,'Raw Data'!AG303,'Raw Data'!AI303),"")</f>
        <v/>
      </c>
      <c r="N316" s="14" t="str">
        <f t="shared" si="49"/>
        <v/>
      </c>
      <c r="O316" s="14" t="str">
        <f>IF('Raw Data'!A303&lt;&gt;"",AVERAGE('Raw Data'!AJ303,'Raw Data'!AL303,'Raw Data'!AN303,'Raw Data'!AP303,'Raw Data'!AR303),"")</f>
        <v/>
      </c>
      <c r="P316" s="14" t="str">
        <f>IF('Raw Data'!A303&lt;&gt;"",AVERAGE('Raw Data'!AK303,'Raw Data'!AM303,'Raw Data'!AO303,'Raw Data'!AQ303,'Raw Data'!AS303),"")</f>
        <v/>
      </c>
      <c r="Q316" s="14" t="str">
        <f t="shared" si="50"/>
        <v/>
      </c>
      <c r="R316" s="14" t="str">
        <f>IF('Raw Data'!A303&lt;&gt;"",AVERAGE('Raw Data'!AT303,'Raw Data'!AV303,'Raw Data'!AX303,'Raw Data'!AZ303,'Raw Data'!BB303),"")</f>
        <v/>
      </c>
      <c r="S316" s="14" t="str">
        <f>IF('Raw Data'!A303&lt;&gt;"",AVERAGE('Raw Data'!AU303,'Raw Data'!AW303,'Raw Data'!AY303,'Raw Data'!BA303,'Raw Data'!BC303),"")</f>
        <v/>
      </c>
      <c r="T316" s="14" t="str">
        <f t="shared" si="51"/>
        <v/>
      </c>
      <c r="U316" s="14" t="str">
        <f>IF('Raw Data'!A303&lt;&gt;"",AVERAGE('Raw Data'!BD303,'Raw Data'!BF303,'Raw Data'!BH303,'Raw Data'!BJ303,'Raw Data'!BL303),"")</f>
        <v/>
      </c>
      <c r="V316" s="14" t="str">
        <f>IF('Raw Data'!A303&lt;&gt;"",AVERAGE('Raw Data'!BE303,'Raw Data'!BG303,'Raw Data'!BI303,'Raw Data'!BK303,'Raw Data'!BM303),"")</f>
        <v/>
      </c>
      <c r="W316" s="14" t="str">
        <f t="shared" si="52"/>
        <v/>
      </c>
      <c r="X316" s="14" t="str">
        <f t="shared" si="53"/>
        <v/>
      </c>
      <c r="Y316" s="14" t="str">
        <f t="shared" si="54"/>
        <v/>
      </c>
      <c r="Z316" s="14" t="str">
        <f t="shared" si="55"/>
        <v/>
      </c>
      <c r="AA316" s="14" t="str">
        <f t="shared" si="56"/>
        <v/>
      </c>
      <c r="AB316" s="25" t="str">
        <f t="shared" si="57"/>
        <v/>
      </c>
    </row>
    <row r="317" spans="1:28" x14ac:dyDescent="0.25">
      <c r="A317" s="2" t="str">
        <f>IF('Raw Data'!A304&lt;&gt;"",'Raw Data'!A304,"")</f>
        <v/>
      </c>
      <c r="B317" s="2" t="str">
        <f>IF('Raw Data'!B304&lt;&gt;"",'Raw Data'!B304,"")</f>
        <v/>
      </c>
      <c r="C317" s="2" t="str">
        <f>IF('Raw Data'!C304&lt;&gt;"",'Raw Data'!C304,"")</f>
        <v/>
      </c>
      <c r="D317" s="2" t="str">
        <f>IF('Raw Data'!D304&lt;&gt;"",'Raw Data'!D304,"")</f>
        <v/>
      </c>
      <c r="E317" s="2" t="str">
        <f>IF('Raw Data'!E304&lt;&gt;"",'Raw Data'!E304,"")</f>
        <v/>
      </c>
      <c r="F317" s="11" t="str">
        <f>IF('Raw Data'!A304&lt;&gt;"",AVERAGE('Raw Data'!F304,'Raw Data'!H304,'Raw Data'!J304,'Raw Data'!L304,'Raw Data'!N304),"")</f>
        <v/>
      </c>
      <c r="G317" s="11" t="str">
        <f>IF('Raw Data'!A304&lt;&gt;"",AVERAGE('Raw Data'!G304,'Raw Data'!I304,'Raw Data'!K304,'Raw Data'!M304,'Raw Data'!O304),"")</f>
        <v/>
      </c>
      <c r="H317" s="11" t="str">
        <f t="shared" si="47"/>
        <v/>
      </c>
      <c r="I317" s="11" t="str">
        <f>IF('Raw Data'!A304&lt;&gt;"",AVERAGE('Raw Data'!P304,'Raw Data'!R304,'Raw Data'!T304,'Raw Data'!V304,'Raw Data'!X304),"")</f>
        <v/>
      </c>
      <c r="J317" s="11" t="str">
        <f>IF('Raw Data'!A304&lt;&gt;"",AVERAGE('Raw Data'!Q304,'Raw Data'!S304,'Raw Data'!U304,'Raw Data'!W304,'Raw Data'!Y304),"")</f>
        <v/>
      </c>
      <c r="K317" s="11" t="str">
        <f t="shared" si="48"/>
        <v/>
      </c>
      <c r="L317" s="11" t="str">
        <f>IF('Raw Data'!A304&lt;&gt;"",AVERAGE('Raw Data'!Z304,'Raw Data'!AB304,'Raw Data'!AD304,'Raw Data'!AF304,'Raw Data'!AH304),"")</f>
        <v/>
      </c>
      <c r="M317" s="11" t="str">
        <f>IF('Raw Data'!A304&lt;&gt;"",AVERAGE('Raw Data'!AA304,'Raw Data'!AC304,'Raw Data'!AE304,'Raw Data'!AG304,'Raw Data'!AI304),"")</f>
        <v/>
      </c>
      <c r="N317" s="11" t="str">
        <f t="shared" si="49"/>
        <v/>
      </c>
      <c r="O317" s="11" t="str">
        <f>IF('Raw Data'!A304&lt;&gt;"",AVERAGE('Raw Data'!AJ304,'Raw Data'!AL304,'Raw Data'!AN304,'Raw Data'!AP304,'Raw Data'!AR304),"")</f>
        <v/>
      </c>
      <c r="P317" s="11" t="str">
        <f>IF('Raw Data'!A304&lt;&gt;"",AVERAGE('Raw Data'!AK304,'Raw Data'!AM304,'Raw Data'!AO304,'Raw Data'!AQ304,'Raw Data'!AS304),"")</f>
        <v/>
      </c>
      <c r="Q317" s="11" t="str">
        <f t="shared" si="50"/>
        <v/>
      </c>
      <c r="R317" s="11" t="str">
        <f>IF('Raw Data'!A304&lt;&gt;"",AVERAGE('Raw Data'!AT304,'Raw Data'!AV304,'Raw Data'!AX304,'Raw Data'!AZ304,'Raw Data'!BB304),"")</f>
        <v/>
      </c>
      <c r="S317" s="11" t="str">
        <f>IF('Raw Data'!A304&lt;&gt;"",AVERAGE('Raw Data'!AU304,'Raw Data'!AW304,'Raw Data'!AY304,'Raw Data'!BA304,'Raw Data'!BC304),"")</f>
        <v/>
      </c>
      <c r="T317" s="11" t="str">
        <f t="shared" si="51"/>
        <v/>
      </c>
      <c r="U317" s="11" t="str">
        <f>IF('Raw Data'!A304&lt;&gt;"",AVERAGE('Raw Data'!BD304,'Raw Data'!BF304,'Raw Data'!BH304,'Raw Data'!BJ304,'Raw Data'!BL304),"")</f>
        <v/>
      </c>
      <c r="V317" s="11" t="str">
        <f>IF('Raw Data'!A304&lt;&gt;"",AVERAGE('Raw Data'!BE304,'Raw Data'!BG304,'Raw Data'!BI304,'Raw Data'!BK304,'Raw Data'!BM304),"")</f>
        <v/>
      </c>
      <c r="W317" s="11" t="str">
        <f t="shared" si="52"/>
        <v/>
      </c>
      <c r="X317" s="11" t="str">
        <f t="shared" si="53"/>
        <v/>
      </c>
      <c r="Y317" s="11" t="str">
        <f t="shared" si="54"/>
        <v/>
      </c>
      <c r="Z317" s="11" t="str">
        <f t="shared" si="55"/>
        <v/>
      </c>
      <c r="AA317" s="11" t="str">
        <f t="shared" si="56"/>
        <v/>
      </c>
      <c r="AB317" s="24" t="str">
        <f t="shared" si="57"/>
        <v/>
      </c>
    </row>
    <row r="318" spans="1:28" x14ac:dyDescent="0.25">
      <c r="A318" s="10" t="str">
        <f>IF('Raw Data'!A305&lt;&gt;"",'Raw Data'!A305,"")</f>
        <v/>
      </c>
      <c r="B318" s="10" t="str">
        <f>IF('Raw Data'!B305&lt;&gt;"",'Raw Data'!B305,"")</f>
        <v/>
      </c>
      <c r="C318" s="10" t="str">
        <f>IF('Raw Data'!C305&lt;&gt;"",'Raw Data'!C305,"")</f>
        <v/>
      </c>
      <c r="D318" s="10" t="str">
        <f>IF('Raw Data'!D305&lt;&gt;"",'Raw Data'!D305,"")</f>
        <v/>
      </c>
      <c r="E318" s="10" t="str">
        <f>IF('Raw Data'!E305&lt;&gt;"",'Raw Data'!E305,"")</f>
        <v/>
      </c>
      <c r="F318" s="14" t="str">
        <f>IF('Raw Data'!A305&lt;&gt;"",AVERAGE('Raw Data'!F305,'Raw Data'!H305,'Raw Data'!J305,'Raw Data'!L305,'Raw Data'!N305),"")</f>
        <v/>
      </c>
      <c r="G318" s="14" t="str">
        <f>IF('Raw Data'!A305&lt;&gt;"",AVERAGE('Raw Data'!G305,'Raw Data'!I305,'Raw Data'!K305,'Raw Data'!M305,'Raw Data'!O305),"")</f>
        <v/>
      </c>
      <c r="H318" s="14" t="str">
        <f t="shared" si="47"/>
        <v/>
      </c>
      <c r="I318" s="14" t="str">
        <f>IF('Raw Data'!A305&lt;&gt;"",AVERAGE('Raw Data'!P305,'Raw Data'!R305,'Raw Data'!T305,'Raw Data'!V305,'Raw Data'!X305),"")</f>
        <v/>
      </c>
      <c r="J318" s="14" t="str">
        <f>IF('Raw Data'!A305&lt;&gt;"",AVERAGE('Raw Data'!Q305,'Raw Data'!S305,'Raw Data'!U305,'Raw Data'!W305,'Raw Data'!Y305),"")</f>
        <v/>
      </c>
      <c r="K318" s="14" t="str">
        <f t="shared" si="48"/>
        <v/>
      </c>
      <c r="L318" s="14" t="str">
        <f>IF('Raw Data'!A305&lt;&gt;"",AVERAGE('Raw Data'!Z305,'Raw Data'!AB305,'Raw Data'!AD305,'Raw Data'!AF305,'Raw Data'!AH305),"")</f>
        <v/>
      </c>
      <c r="M318" s="14" t="str">
        <f>IF('Raw Data'!A305&lt;&gt;"",AVERAGE('Raw Data'!AA305,'Raw Data'!AC305,'Raw Data'!AE305,'Raw Data'!AG305,'Raw Data'!AI305),"")</f>
        <v/>
      </c>
      <c r="N318" s="14" t="str">
        <f t="shared" si="49"/>
        <v/>
      </c>
      <c r="O318" s="14" t="str">
        <f>IF('Raw Data'!A305&lt;&gt;"",AVERAGE('Raw Data'!AJ305,'Raw Data'!AL305,'Raw Data'!AN305,'Raw Data'!AP305,'Raw Data'!AR305),"")</f>
        <v/>
      </c>
      <c r="P318" s="14" t="str">
        <f>IF('Raw Data'!A305&lt;&gt;"",AVERAGE('Raw Data'!AK305,'Raw Data'!AM305,'Raw Data'!AO305,'Raw Data'!AQ305,'Raw Data'!AS305),"")</f>
        <v/>
      </c>
      <c r="Q318" s="14" t="str">
        <f t="shared" si="50"/>
        <v/>
      </c>
      <c r="R318" s="14" t="str">
        <f>IF('Raw Data'!A305&lt;&gt;"",AVERAGE('Raw Data'!AT305,'Raw Data'!AV305,'Raw Data'!AX305,'Raw Data'!AZ305,'Raw Data'!BB305),"")</f>
        <v/>
      </c>
      <c r="S318" s="14" t="str">
        <f>IF('Raw Data'!A305&lt;&gt;"",AVERAGE('Raw Data'!AU305,'Raw Data'!AW305,'Raw Data'!AY305,'Raw Data'!BA305,'Raw Data'!BC305),"")</f>
        <v/>
      </c>
      <c r="T318" s="14" t="str">
        <f t="shared" si="51"/>
        <v/>
      </c>
      <c r="U318" s="14" t="str">
        <f>IF('Raw Data'!A305&lt;&gt;"",AVERAGE('Raw Data'!BD305,'Raw Data'!BF305,'Raw Data'!BH305,'Raw Data'!BJ305,'Raw Data'!BL305),"")</f>
        <v/>
      </c>
      <c r="V318" s="14" t="str">
        <f>IF('Raw Data'!A305&lt;&gt;"",AVERAGE('Raw Data'!BE305,'Raw Data'!BG305,'Raw Data'!BI305,'Raw Data'!BK305,'Raw Data'!BM305),"")</f>
        <v/>
      </c>
      <c r="W318" s="14" t="str">
        <f t="shared" si="52"/>
        <v/>
      </c>
      <c r="X318" s="14" t="str">
        <f t="shared" si="53"/>
        <v/>
      </c>
      <c r="Y318" s="14" t="str">
        <f t="shared" si="54"/>
        <v/>
      </c>
      <c r="Z318" s="14" t="str">
        <f t="shared" si="55"/>
        <v/>
      </c>
      <c r="AA318" s="14" t="str">
        <f t="shared" si="56"/>
        <v/>
      </c>
      <c r="AB318" s="25" t="str">
        <f t="shared" si="57"/>
        <v/>
      </c>
    </row>
    <row r="319" spans="1:28" x14ac:dyDescent="0.25">
      <c r="A319" s="2" t="str">
        <f>IF('Raw Data'!A306&lt;&gt;"",'Raw Data'!A306,"")</f>
        <v/>
      </c>
      <c r="B319" s="2" t="str">
        <f>IF('Raw Data'!B306&lt;&gt;"",'Raw Data'!B306,"")</f>
        <v/>
      </c>
      <c r="C319" s="2" t="str">
        <f>IF('Raw Data'!C306&lt;&gt;"",'Raw Data'!C306,"")</f>
        <v/>
      </c>
      <c r="D319" s="2" t="str">
        <f>IF('Raw Data'!D306&lt;&gt;"",'Raw Data'!D306,"")</f>
        <v/>
      </c>
      <c r="E319" s="2" t="str">
        <f>IF('Raw Data'!E306&lt;&gt;"",'Raw Data'!E306,"")</f>
        <v/>
      </c>
      <c r="F319" s="11" t="str">
        <f>IF('Raw Data'!A306&lt;&gt;"",AVERAGE('Raw Data'!F306,'Raw Data'!H306,'Raw Data'!J306,'Raw Data'!L306,'Raw Data'!N306),"")</f>
        <v/>
      </c>
      <c r="G319" s="11" t="str">
        <f>IF('Raw Data'!A306&lt;&gt;"",AVERAGE('Raw Data'!G306,'Raw Data'!I306,'Raw Data'!K306,'Raw Data'!M306,'Raw Data'!O306),"")</f>
        <v/>
      </c>
      <c r="H319" s="11" t="str">
        <f t="shared" si="47"/>
        <v/>
      </c>
      <c r="I319" s="11" t="str">
        <f>IF('Raw Data'!A306&lt;&gt;"",AVERAGE('Raw Data'!P306,'Raw Data'!R306,'Raw Data'!T306,'Raw Data'!V306,'Raw Data'!X306),"")</f>
        <v/>
      </c>
      <c r="J319" s="11" t="str">
        <f>IF('Raw Data'!A306&lt;&gt;"",AVERAGE('Raw Data'!Q306,'Raw Data'!S306,'Raw Data'!U306,'Raw Data'!W306,'Raw Data'!Y306),"")</f>
        <v/>
      </c>
      <c r="K319" s="11" t="str">
        <f t="shared" si="48"/>
        <v/>
      </c>
      <c r="L319" s="11" t="str">
        <f>IF('Raw Data'!A306&lt;&gt;"",AVERAGE('Raw Data'!Z306,'Raw Data'!AB306,'Raw Data'!AD306,'Raw Data'!AF306,'Raw Data'!AH306),"")</f>
        <v/>
      </c>
      <c r="M319" s="11" t="str">
        <f>IF('Raw Data'!A306&lt;&gt;"",AVERAGE('Raw Data'!AA306,'Raw Data'!AC306,'Raw Data'!AE306,'Raw Data'!AG306,'Raw Data'!AI306),"")</f>
        <v/>
      </c>
      <c r="N319" s="11" t="str">
        <f t="shared" si="49"/>
        <v/>
      </c>
      <c r="O319" s="11" t="str">
        <f>IF('Raw Data'!A306&lt;&gt;"",AVERAGE('Raw Data'!AJ306,'Raw Data'!AL306,'Raw Data'!AN306,'Raw Data'!AP306,'Raw Data'!AR306),"")</f>
        <v/>
      </c>
      <c r="P319" s="11" t="str">
        <f>IF('Raw Data'!A306&lt;&gt;"",AVERAGE('Raw Data'!AK306,'Raw Data'!AM306,'Raw Data'!AO306,'Raw Data'!AQ306,'Raw Data'!AS306),"")</f>
        <v/>
      </c>
      <c r="Q319" s="11" t="str">
        <f t="shared" si="50"/>
        <v/>
      </c>
      <c r="R319" s="11" t="str">
        <f>IF('Raw Data'!A306&lt;&gt;"",AVERAGE('Raw Data'!AT306,'Raw Data'!AV306,'Raw Data'!AX306,'Raw Data'!AZ306,'Raw Data'!BB306),"")</f>
        <v/>
      </c>
      <c r="S319" s="11" t="str">
        <f>IF('Raw Data'!A306&lt;&gt;"",AVERAGE('Raw Data'!AU306,'Raw Data'!AW306,'Raw Data'!AY306,'Raw Data'!BA306,'Raw Data'!BC306),"")</f>
        <v/>
      </c>
      <c r="T319" s="11" t="str">
        <f t="shared" si="51"/>
        <v/>
      </c>
      <c r="U319" s="11" t="str">
        <f>IF('Raw Data'!A306&lt;&gt;"",AVERAGE('Raw Data'!BD306,'Raw Data'!BF306,'Raw Data'!BH306,'Raw Data'!BJ306,'Raw Data'!BL306),"")</f>
        <v/>
      </c>
      <c r="V319" s="11" t="str">
        <f>IF('Raw Data'!A306&lt;&gt;"",AVERAGE('Raw Data'!BE306,'Raw Data'!BG306,'Raw Data'!BI306,'Raw Data'!BK306,'Raw Data'!BM306),"")</f>
        <v/>
      </c>
      <c r="W319" s="11" t="str">
        <f t="shared" si="52"/>
        <v/>
      </c>
      <c r="X319" s="11" t="str">
        <f t="shared" si="53"/>
        <v/>
      </c>
      <c r="Y319" s="11" t="str">
        <f t="shared" si="54"/>
        <v/>
      </c>
      <c r="Z319" s="11" t="str">
        <f t="shared" si="55"/>
        <v/>
      </c>
      <c r="AA319" s="11" t="str">
        <f t="shared" si="56"/>
        <v/>
      </c>
      <c r="AB319" s="24" t="str">
        <f t="shared" si="57"/>
        <v/>
      </c>
    </row>
    <row r="320" spans="1:28" x14ac:dyDescent="0.25">
      <c r="A320" s="10" t="str">
        <f>IF('Raw Data'!A307&lt;&gt;"",'Raw Data'!A307,"")</f>
        <v/>
      </c>
      <c r="B320" s="10" t="str">
        <f>IF('Raw Data'!B307&lt;&gt;"",'Raw Data'!B307,"")</f>
        <v/>
      </c>
      <c r="C320" s="10" t="str">
        <f>IF('Raw Data'!C307&lt;&gt;"",'Raw Data'!C307,"")</f>
        <v/>
      </c>
      <c r="D320" s="10" t="str">
        <f>IF('Raw Data'!D307&lt;&gt;"",'Raw Data'!D307,"")</f>
        <v/>
      </c>
      <c r="E320" s="10" t="str">
        <f>IF('Raw Data'!E307&lt;&gt;"",'Raw Data'!E307,"")</f>
        <v/>
      </c>
      <c r="F320" s="14" t="str">
        <f>IF('Raw Data'!A307&lt;&gt;"",AVERAGE('Raw Data'!F307,'Raw Data'!H307,'Raw Data'!J307,'Raw Data'!L307,'Raw Data'!N307),"")</f>
        <v/>
      </c>
      <c r="G320" s="14" t="str">
        <f>IF('Raw Data'!A307&lt;&gt;"",AVERAGE('Raw Data'!G307,'Raw Data'!I307,'Raw Data'!K307,'Raw Data'!M307,'Raw Data'!O307),"")</f>
        <v/>
      </c>
      <c r="H320" s="14" t="str">
        <f t="shared" si="47"/>
        <v/>
      </c>
      <c r="I320" s="14" t="str">
        <f>IF('Raw Data'!A307&lt;&gt;"",AVERAGE('Raw Data'!P307,'Raw Data'!R307,'Raw Data'!T307,'Raw Data'!V307,'Raw Data'!X307),"")</f>
        <v/>
      </c>
      <c r="J320" s="14" t="str">
        <f>IF('Raw Data'!A307&lt;&gt;"",AVERAGE('Raw Data'!Q307,'Raw Data'!S307,'Raw Data'!U307,'Raw Data'!W307,'Raw Data'!Y307),"")</f>
        <v/>
      </c>
      <c r="K320" s="14" t="str">
        <f t="shared" si="48"/>
        <v/>
      </c>
      <c r="L320" s="14" t="str">
        <f>IF('Raw Data'!A307&lt;&gt;"",AVERAGE('Raw Data'!Z307,'Raw Data'!AB307,'Raw Data'!AD307,'Raw Data'!AF307,'Raw Data'!AH307),"")</f>
        <v/>
      </c>
      <c r="M320" s="14" t="str">
        <f>IF('Raw Data'!A307&lt;&gt;"",AVERAGE('Raw Data'!AA307,'Raw Data'!AC307,'Raw Data'!AE307,'Raw Data'!AG307,'Raw Data'!AI307),"")</f>
        <v/>
      </c>
      <c r="N320" s="14" t="str">
        <f t="shared" si="49"/>
        <v/>
      </c>
      <c r="O320" s="14" t="str">
        <f>IF('Raw Data'!A307&lt;&gt;"",AVERAGE('Raw Data'!AJ307,'Raw Data'!AL307,'Raw Data'!AN307,'Raw Data'!AP307,'Raw Data'!AR307),"")</f>
        <v/>
      </c>
      <c r="P320" s="14" t="str">
        <f>IF('Raw Data'!A307&lt;&gt;"",AVERAGE('Raw Data'!AK307,'Raw Data'!AM307,'Raw Data'!AO307,'Raw Data'!AQ307,'Raw Data'!AS307),"")</f>
        <v/>
      </c>
      <c r="Q320" s="14" t="str">
        <f t="shared" si="50"/>
        <v/>
      </c>
      <c r="R320" s="14" t="str">
        <f>IF('Raw Data'!A307&lt;&gt;"",AVERAGE('Raw Data'!AT307,'Raw Data'!AV307,'Raw Data'!AX307,'Raw Data'!AZ307,'Raw Data'!BB307),"")</f>
        <v/>
      </c>
      <c r="S320" s="14" t="str">
        <f>IF('Raw Data'!A307&lt;&gt;"",AVERAGE('Raw Data'!AU307,'Raw Data'!AW307,'Raw Data'!AY307,'Raw Data'!BA307,'Raw Data'!BC307),"")</f>
        <v/>
      </c>
      <c r="T320" s="14" t="str">
        <f t="shared" si="51"/>
        <v/>
      </c>
      <c r="U320" s="14" t="str">
        <f>IF('Raw Data'!A307&lt;&gt;"",AVERAGE('Raw Data'!BD307,'Raw Data'!BF307,'Raw Data'!BH307,'Raw Data'!BJ307,'Raw Data'!BL307),"")</f>
        <v/>
      </c>
      <c r="V320" s="14" t="str">
        <f>IF('Raw Data'!A307&lt;&gt;"",AVERAGE('Raw Data'!BE307,'Raw Data'!BG307,'Raw Data'!BI307,'Raw Data'!BK307,'Raw Data'!BM307),"")</f>
        <v/>
      </c>
      <c r="W320" s="14" t="str">
        <f t="shared" si="52"/>
        <v/>
      </c>
      <c r="X320" s="14" t="str">
        <f t="shared" si="53"/>
        <v/>
      </c>
      <c r="Y320" s="14" t="str">
        <f t="shared" si="54"/>
        <v/>
      </c>
      <c r="Z320" s="14" t="str">
        <f t="shared" si="55"/>
        <v/>
      </c>
      <c r="AA320" s="14" t="str">
        <f t="shared" si="56"/>
        <v/>
      </c>
      <c r="AB320" s="25" t="str">
        <f t="shared" si="57"/>
        <v/>
      </c>
    </row>
    <row r="321" spans="1:28" x14ac:dyDescent="0.25">
      <c r="A321" s="2" t="str">
        <f>IF('Raw Data'!A308&lt;&gt;"",'Raw Data'!A308,"")</f>
        <v/>
      </c>
      <c r="B321" s="2" t="str">
        <f>IF('Raw Data'!B308&lt;&gt;"",'Raw Data'!B308,"")</f>
        <v/>
      </c>
      <c r="C321" s="2" t="str">
        <f>IF('Raw Data'!C308&lt;&gt;"",'Raw Data'!C308,"")</f>
        <v/>
      </c>
      <c r="D321" s="2" t="str">
        <f>IF('Raw Data'!D308&lt;&gt;"",'Raw Data'!D308,"")</f>
        <v/>
      </c>
      <c r="E321" s="2" t="str">
        <f>IF('Raw Data'!E308&lt;&gt;"",'Raw Data'!E308,"")</f>
        <v/>
      </c>
      <c r="F321" s="11" t="str">
        <f>IF('Raw Data'!A308&lt;&gt;"",AVERAGE('Raw Data'!F308,'Raw Data'!H308,'Raw Data'!J308,'Raw Data'!L308,'Raw Data'!N308),"")</f>
        <v/>
      </c>
      <c r="G321" s="11" t="str">
        <f>IF('Raw Data'!A308&lt;&gt;"",AVERAGE('Raw Data'!G308,'Raw Data'!I308,'Raw Data'!K308,'Raw Data'!M308,'Raw Data'!O308),"")</f>
        <v/>
      </c>
      <c r="H321" s="11" t="str">
        <f t="shared" si="47"/>
        <v/>
      </c>
      <c r="I321" s="11" t="str">
        <f>IF('Raw Data'!A308&lt;&gt;"",AVERAGE('Raw Data'!P308,'Raw Data'!R308,'Raw Data'!T308,'Raw Data'!V308,'Raw Data'!X308),"")</f>
        <v/>
      </c>
      <c r="J321" s="11" t="str">
        <f>IF('Raw Data'!A308&lt;&gt;"",AVERAGE('Raw Data'!Q308,'Raw Data'!S308,'Raw Data'!U308,'Raw Data'!W308,'Raw Data'!Y308),"")</f>
        <v/>
      </c>
      <c r="K321" s="11" t="str">
        <f t="shared" si="48"/>
        <v/>
      </c>
      <c r="L321" s="11" t="str">
        <f>IF('Raw Data'!A308&lt;&gt;"",AVERAGE('Raw Data'!Z308,'Raw Data'!AB308,'Raw Data'!AD308,'Raw Data'!AF308,'Raw Data'!AH308),"")</f>
        <v/>
      </c>
      <c r="M321" s="11" t="str">
        <f>IF('Raw Data'!A308&lt;&gt;"",AVERAGE('Raw Data'!AA308,'Raw Data'!AC308,'Raw Data'!AE308,'Raw Data'!AG308,'Raw Data'!AI308),"")</f>
        <v/>
      </c>
      <c r="N321" s="11" t="str">
        <f t="shared" si="49"/>
        <v/>
      </c>
      <c r="O321" s="11" t="str">
        <f>IF('Raw Data'!A308&lt;&gt;"",AVERAGE('Raw Data'!AJ308,'Raw Data'!AL308,'Raw Data'!AN308,'Raw Data'!AP308,'Raw Data'!AR308),"")</f>
        <v/>
      </c>
      <c r="P321" s="11" t="str">
        <f>IF('Raw Data'!A308&lt;&gt;"",AVERAGE('Raw Data'!AK308,'Raw Data'!AM308,'Raw Data'!AO308,'Raw Data'!AQ308,'Raw Data'!AS308),"")</f>
        <v/>
      </c>
      <c r="Q321" s="11" t="str">
        <f t="shared" si="50"/>
        <v/>
      </c>
      <c r="R321" s="11" t="str">
        <f>IF('Raw Data'!A308&lt;&gt;"",AVERAGE('Raw Data'!AT308,'Raw Data'!AV308,'Raw Data'!AX308,'Raw Data'!AZ308,'Raw Data'!BB308),"")</f>
        <v/>
      </c>
      <c r="S321" s="11" t="str">
        <f>IF('Raw Data'!A308&lt;&gt;"",AVERAGE('Raw Data'!AU308,'Raw Data'!AW308,'Raw Data'!AY308,'Raw Data'!BA308,'Raw Data'!BC308),"")</f>
        <v/>
      </c>
      <c r="T321" s="11" t="str">
        <f t="shared" si="51"/>
        <v/>
      </c>
      <c r="U321" s="11" t="str">
        <f>IF('Raw Data'!A308&lt;&gt;"",AVERAGE('Raw Data'!BD308,'Raw Data'!BF308,'Raw Data'!BH308,'Raw Data'!BJ308,'Raw Data'!BL308),"")</f>
        <v/>
      </c>
      <c r="V321" s="11" t="str">
        <f>IF('Raw Data'!A308&lt;&gt;"",AVERAGE('Raw Data'!BE308,'Raw Data'!BG308,'Raw Data'!BI308,'Raw Data'!BK308,'Raw Data'!BM308),"")</f>
        <v/>
      </c>
      <c r="W321" s="11" t="str">
        <f t="shared" si="52"/>
        <v/>
      </c>
      <c r="X321" s="11" t="str">
        <f t="shared" si="53"/>
        <v/>
      </c>
      <c r="Y321" s="11" t="str">
        <f t="shared" si="54"/>
        <v/>
      </c>
      <c r="Z321" s="11" t="str">
        <f t="shared" si="55"/>
        <v/>
      </c>
      <c r="AA321" s="11" t="str">
        <f t="shared" si="56"/>
        <v/>
      </c>
      <c r="AB321" s="24" t="str">
        <f t="shared" si="57"/>
        <v/>
      </c>
    </row>
    <row r="322" spans="1:28" x14ac:dyDescent="0.25">
      <c r="A322" s="10" t="str">
        <f>IF('Raw Data'!A309&lt;&gt;"",'Raw Data'!A309,"")</f>
        <v/>
      </c>
      <c r="B322" s="10" t="str">
        <f>IF('Raw Data'!B309&lt;&gt;"",'Raw Data'!B309,"")</f>
        <v/>
      </c>
      <c r="C322" s="10" t="str">
        <f>IF('Raw Data'!C309&lt;&gt;"",'Raw Data'!C309,"")</f>
        <v/>
      </c>
      <c r="D322" s="10" t="str">
        <f>IF('Raw Data'!D309&lt;&gt;"",'Raw Data'!D309,"")</f>
        <v/>
      </c>
      <c r="E322" s="10" t="str">
        <f>IF('Raw Data'!E309&lt;&gt;"",'Raw Data'!E309,"")</f>
        <v/>
      </c>
      <c r="F322" s="14" t="str">
        <f>IF('Raw Data'!A309&lt;&gt;"",AVERAGE('Raw Data'!F309,'Raw Data'!H309,'Raw Data'!J309,'Raw Data'!L309,'Raw Data'!N309),"")</f>
        <v/>
      </c>
      <c r="G322" s="14" t="str">
        <f>IF('Raw Data'!A309&lt;&gt;"",AVERAGE('Raw Data'!G309,'Raw Data'!I309,'Raw Data'!K309,'Raw Data'!M309,'Raw Data'!O309),"")</f>
        <v/>
      </c>
      <c r="H322" s="14" t="str">
        <f t="shared" si="47"/>
        <v/>
      </c>
      <c r="I322" s="14" t="str">
        <f>IF('Raw Data'!A309&lt;&gt;"",AVERAGE('Raw Data'!P309,'Raw Data'!R309,'Raw Data'!T309,'Raw Data'!V309,'Raw Data'!X309),"")</f>
        <v/>
      </c>
      <c r="J322" s="14" t="str">
        <f>IF('Raw Data'!A309&lt;&gt;"",AVERAGE('Raw Data'!Q309,'Raw Data'!S309,'Raw Data'!U309,'Raw Data'!W309,'Raw Data'!Y309),"")</f>
        <v/>
      </c>
      <c r="K322" s="14" t="str">
        <f t="shared" si="48"/>
        <v/>
      </c>
      <c r="L322" s="14" t="str">
        <f>IF('Raw Data'!A309&lt;&gt;"",AVERAGE('Raw Data'!Z309,'Raw Data'!AB309,'Raw Data'!AD309,'Raw Data'!AF309,'Raw Data'!AH309),"")</f>
        <v/>
      </c>
      <c r="M322" s="14" t="str">
        <f>IF('Raw Data'!A309&lt;&gt;"",AVERAGE('Raw Data'!AA309,'Raw Data'!AC309,'Raw Data'!AE309,'Raw Data'!AG309,'Raw Data'!AI309),"")</f>
        <v/>
      </c>
      <c r="N322" s="14" t="str">
        <f t="shared" si="49"/>
        <v/>
      </c>
      <c r="O322" s="14" t="str">
        <f>IF('Raw Data'!A309&lt;&gt;"",AVERAGE('Raw Data'!AJ309,'Raw Data'!AL309,'Raw Data'!AN309,'Raw Data'!AP309,'Raw Data'!AR309),"")</f>
        <v/>
      </c>
      <c r="P322" s="14" t="str">
        <f>IF('Raw Data'!A309&lt;&gt;"",AVERAGE('Raw Data'!AK309,'Raw Data'!AM309,'Raw Data'!AO309,'Raw Data'!AQ309,'Raw Data'!AS309),"")</f>
        <v/>
      </c>
      <c r="Q322" s="14" t="str">
        <f t="shared" si="50"/>
        <v/>
      </c>
      <c r="R322" s="14" t="str">
        <f>IF('Raw Data'!A309&lt;&gt;"",AVERAGE('Raw Data'!AT309,'Raw Data'!AV309,'Raw Data'!AX309,'Raw Data'!AZ309,'Raw Data'!BB309),"")</f>
        <v/>
      </c>
      <c r="S322" s="14" t="str">
        <f>IF('Raw Data'!A309&lt;&gt;"",AVERAGE('Raw Data'!AU309,'Raw Data'!AW309,'Raw Data'!AY309,'Raw Data'!BA309,'Raw Data'!BC309),"")</f>
        <v/>
      </c>
      <c r="T322" s="14" t="str">
        <f t="shared" si="51"/>
        <v/>
      </c>
      <c r="U322" s="14" t="str">
        <f>IF('Raw Data'!A309&lt;&gt;"",AVERAGE('Raw Data'!BD309,'Raw Data'!BF309,'Raw Data'!BH309,'Raw Data'!BJ309,'Raw Data'!BL309),"")</f>
        <v/>
      </c>
      <c r="V322" s="14" t="str">
        <f>IF('Raw Data'!A309&lt;&gt;"",AVERAGE('Raw Data'!BE309,'Raw Data'!BG309,'Raw Data'!BI309,'Raw Data'!BK309,'Raw Data'!BM309),"")</f>
        <v/>
      </c>
      <c r="W322" s="14" t="str">
        <f t="shared" si="52"/>
        <v/>
      </c>
      <c r="X322" s="14" t="str">
        <f t="shared" si="53"/>
        <v/>
      </c>
      <c r="Y322" s="14" t="str">
        <f t="shared" si="54"/>
        <v/>
      </c>
      <c r="Z322" s="14" t="str">
        <f t="shared" si="55"/>
        <v/>
      </c>
      <c r="AA322" s="14" t="str">
        <f t="shared" si="56"/>
        <v/>
      </c>
      <c r="AB322" s="25" t="str">
        <f t="shared" si="57"/>
        <v/>
      </c>
    </row>
    <row r="323" spans="1:28" x14ac:dyDescent="0.25">
      <c r="A323" s="2" t="str">
        <f>IF('Raw Data'!A310&lt;&gt;"",'Raw Data'!A310,"")</f>
        <v/>
      </c>
      <c r="B323" s="2" t="str">
        <f>IF('Raw Data'!B310&lt;&gt;"",'Raw Data'!B310,"")</f>
        <v/>
      </c>
      <c r="C323" s="2" t="str">
        <f>IF('Raw Data'!C310&lt;&gt;"",'Raw Data'!C310,"")</f>
        <v/>
      </c>
      <c r="D323" s="2" t="str">
        <f>IF('Raw Data'!D310&lt;&gt;"",'Raw Data'!D310,"")</f>
        <v/>
      </c>
      <c r="E323" s="2" t="str">
        <f>IF('Raw Data'!E310&lt;&gt;"",'Raw Data'!E310,"")</f>
        <v/>
      </c>
      <c r="F323" s="11" t="str">
        <f>IF('Raw Data'!A310&lt;&gt;"",AVERAGE('Raw Data'!F310,'Raw Data'!H310,'Raw Data'!J310,'Raw Data'!L310,'Raw Data'!N310),"")</f>
        <v/>
      </c>
      <c r="G323" s="11" t="str">
        <f>IF('Raw Data'!A310&lt;&gt;"",AVERAGE('Raw Data'!G310,'Raw Data'!I310,'Raw Data'!K310,'Raw Data'!M310,'Raw Data'!O310),"")</f>
        <v/>
      </c>
      <c r="H323" s="11" t="str">
        <f t="shared" si="47"/>
        <v/>
      </c>
      <c r="I323" s="11" t="str">
        <f>IF('Raw Data'!A310&lt;&gt;"",AVERAGE('Raw Data'!P310,'Raw Data'!R310,'Raw Data'!T310,'Raw Data'!V310,'Raw Data'!X310),"")</f>
        <v/>
      </c>
      <c r="J323" s="11" t="str">
        <f>IF('Raw Data'!A310&lt;&gt;"",AVERAGE('Raw Data'!Q310,'Raw Data'!S310,'Raw Data'!U310,'Raw Data'!W310,'Raw Data'!Y310),"")</f>
        <v/>
      </c>
      <c r="K323" s="11" t="str">
        <f t="shared" si="48"/>
        <v/>
      </c>
      <c r="L323" s="11" t="str">
        <f>IF('Raw Data'!A310&lt;&gt;"",AVERAGE('Raw Data'!Z310,'Raw Data'!AB310,'Raw Data'!AD310,'Raw Data'!AF310,'Raw Data'!AH310),"")</f>
        <v/>
      </c>
      <c r="M323" s="11" t="str">
        <f>IF('Raw Data'!A310&lt;&gt;"",AVERAGE('Raw Data'!AA310,'Raw Data'!AC310,'Raw Data'!AE310,'Raw Data'!AG310,'Raw Data'!AI310),"")</f>
        <v/>
      </c>
      <c r="N323" s="11" t="str">
        <f t="shared" si="49"/>
        <v/>
      </c>
      <c r="O323" s="11" t="str">
        <f>IF('Raw Data'!A310&lt;&gt;"",AVERAGE('Raw Data'!AJ310,'Raw Data'!AL310,'Raw Data'!AN310,'Raw Data'!AP310,'Raw Data'!AR310),"")</f>
        <v/>
      </c>
      <c r="P323" s="11" t="str">
        <f>IF('Raw Data'!A310&lt;&gt;"",AVERAGE('Raw Data'!AK310,'Raw Data'!AM310,'Raw Data'!AO310,'Raw Data'!AQ310,'Raw Data'!AS310),"")</f>
        <v/>
      </c>
      <c r="Q323" s="11" t="str">
        <f t="shared" si="50"/>
        <v/>
      </c>
      <c r="R323" s="11" t="str">
        <f>IF('Raw Data'!A310&lt;&gt;"",AVERAGE('Raw Data'!AT310,'Raw Data'!AV310,'Raw Data'!AX310,'Raw Data'!AZ310,'Raw Data'!BB310),"")</f>
        <v/>
      </c>
      <c r="S323" s="11" t="str">
        <f>IF('Raw Data'!A310&lt;&gt;"",AVERAGE('Raw Data'!AU310,'Raw Data'!AW310,'Raw Data'!AY310,'Raw Data'!BA310,'Raw Data'!BC310),"")</f>
        <v/>
      </c>
      <c r="T323" s="11" t="str">
        <f t="shared" si="51"/>
        <v/>
      </c>
      <c r="U323" s="11" t="str">
        <f>IF('Raw Data'!A310&lt;&gt;"",AVERAGE('Raw Data'!BD310,'Raw Data'!BF310,'Raw Data'!BH310,'Raw Data'!BJ310,'Raw Data'!BL310),"")</f>
        <v/>
      </c>
      <c r="V323" s="11" t="str">
        <f>IF('Raw Data'!A310&lt;&gt;"",AVERAGE('Raw Data'!BE310,'Raw Data'!BG310,'Raw Data'!BI310,'Raw Data'!BK310,'Raw Data'!BM310),"")</f>
        <v/>
      </c>
      <c r="W323" s="11" t="str">
        <f t="shared" si="52"/>
        <v/>
      </c>
      <c r="X323" s="11" t="str">
        <f t="shared" si="53"/>
        <v/>
      </c>
      <c r="Y323" s="11" t="str">
        <f t="shared" si="54"/>
        <v/>
      </c>
      <c r="Z323" s="11" t="str">
        <f t="shared" si="55"/>
        <v/>
      </c>
      <c r="AA323" s="11" t="str">
        <f t="shared" si="56"/>
        <v/>
      </c>
      <c r="AB323" s="24" t="str">
        <f t="shared" si="57"/>
        <v/>
      </c>
    </row>
    <row r="324" spans="1:28" x14ac:dyDescent="0.25">
      <c r="A324" s="10" t="str">
        <f>IF('Raw Data'!A311&lt;&gt;"",'Raw Data'!A311,"")</f>
        <v/>
      </c>
      <c r="B324" s="10" t="str">
        <f>IF('Raw Data'!B311&lt;&gt;"",'Raw Data'!B311,"")</f>
        <v/>
      </c>
      <c r="C324" s="10" t="str">
        <f>IF('Raw Data'!C311&lt;&gt;"",'Raw Data'!C311,"")</f>
        <v/>
      </c>
      <c r="D324" s="10" t="str">
        <f>IF('Raw Data'!D311&lt;&gt;"",'Raw Data'!D311,"")</f>
        <v/>
      </c>
      <c r="E324" s="10" t="str">
        <f>IF('Raw Data'!E311&lt;&gt;"",'Raw Data'!E311,"")</f>
        <v/>
      </c>
      <c r="F324" s="14" t="str">
        <f>IF('Raw Data'!A311&lt;&gt;"",AVERAGE('Raw Data'!F311,'Raw Data'!H311,'Raw Data'!J311,'Raw Data'!L311,'Raw Data'!N311),"")</f>
        <v/>
      </c>
      <c r="G324" s="14" t="str">
        <f>IF('Raw Data'!A311&lt;&gt;"",AVERAGE('Raw Data'!G311,'Raw Data'!I311,'Raw Data'!K311,'Raw Data'!M311,'Raw Data'!O311),"")</f>
        <v/>
      </c>
      <c r="H324" s="14" t="str">
        <f t="shared" si="47"/>
        <v/>
      </c>
      <c r="I324" s="14" t="str">
        <f>IF('Raw Data'!A311&lt;&gt;"",AVERAGE('Raw Data'!P311,'Raw Data'!R311,'Raw Data'!T311,'Raw Data'!V311,'Raw Data'!X311),"")</f>
        <v/>
      </c>
      <c r="J324" s="14" t="str">
        <f>IF('Raw Data'!A311&lt;&gt;"",AVERAGE('Raw Data'!Q311,'Raw Data'!S311,'Raw Data'!U311,'Raw Data'!W311,'Raw Data'!Y311),"")</f>
        <v/>
      </c>
      <c r="K324" s="14" t="str">
        <f t="shared" si="48"/>
        <v/>
      </c>
      <c r="L324" s="14" t="str">
        <f>IF('Raw Data'!A311&lt;&gt;"",AVERAGE('Raw Data'!Z311,'Raw Data'!AB311,'Raw Data'!AD311,'Raw Data'!AF311,'Raw Data'!AH311),"")</f>
        <v/>
      </c>
      <c r="M324" s="14" t="str">
        <f>IF('Raw Data'!A311&lt;&gt;"",AVERAGE('Raw Data'!AA311,'Raw Data'!AC311,'Raw Data'!AE311,'Raw Data'!AG311,'Raw Data'!AI311),"")</f>
        <v/>
      </c>
      <c r="N324" s="14" t="str">
        <f t="shared" si="49"/>
        <v/>
      </c>
      <c r="O324" s="14" t="str">
        <f>IF('Raw Data'!A311&lt;&gt;"",AVERAGE('Raw Data'!AJ311,'Raw Data'!AL311,'Raw Data'!AN311,'Raw Data'!AP311,'Raw Data'!AR311),"")</f>
        <v/>
      </c>
      <c r="P324" s="14" t="str">
        <f>IF('Raw Data'!A311&lt;&gt;"",AVERAGE('Raw Data'!AK311,'Raw Data'!AM311,'Raw Data'!AO311,'Raw Data'!AQ311,'Raw Data'!AS311),"")</f>
        <v/>
      </c>
      <c r="Q324" s="14" t="str">
        <f t="shared" si="50"/>
        <v/>
      </c>
      <c r="R324" s="14" t="str">
        <f>IF('Raw Data'!A311&lt;&gt;"",AVERAGE('Raw Data'!AT311,'Raw Data'!AV311,'Raw Data'!AX311,'Raw Data'!AZ311,'Raw Data'!BB311),"")</f>
        <v/>
      </c>
      <c r="S324" s="14" t="str">
        <f>IF('Raw Data'!A311&lt;&gt;"",AVERAGE('Raw Data'!AU311,'Raw Data'!AW311,'Raw Data'!AY311,'Raw Data'!BA311,'Raw Data'!BC311),"")</f>
        <v/>
      </c>
      <c r="T324" s="14" t="str">
        <f t="shared" si="51"/>
        <v/>
      </c>
      <c r="U324" s="14" t="str">
        <f>IF('Raw Data'!A311&lt;&gt;"",AVERAGE('Raw Data'!BD311,'Raw Data'!BF311,'Raw Data'!BH311,'Raw Data'!BJ311,'Raw Data'!BL311),"")</f>
        <v/>
      </c>
      <c r="V324" s="14" t="str">
        <f>IF('Raw Data'!A311&lt;&gt;"",AVERAGE('Raw Data'!BE311,'Raw Data'!BG311,'Raw Data'!BI311,'Raw Data'!BK311,'Raw Data'!BM311),"")</f>
        <v/>
      </c>
      <c r="W324" s="14" t="str">
        <f t="shared" si="52"/>
        <v/>
      </c>
      <c r="X324" s="14" t="str">
        <f t="shared" si="53"/>
        <v/>
      </c>
      <c r="Y324" s="14" t="str">
        <f t="shared" si="54"/>
        <v/>
      </c>
      <c r="Z324" s="14" t="str">
        <f t="shared" si="55"/>
        <v/>
      </c>
      <c r="AA324" s="14" t="str">
        <f t="shared" si="56"/>
        <v/>
      </c>
      <c r="AB324" s="25" t="str">
        <f t="shared" si="57"/>
        <v/>
      </c>
    </row>
    <row r="325" spans="1:28" x14ac:dyDescent="0.25">
      <c r="A325" s="2" t="str">
        <f>IF('Raw Data'!A312&lt;&gt;"",'Raw Data'!A312,"")</f>
        <v/>
      </c>
      <c r="B325" s="2" t="str">
        <f>IF('Raw Data'!B312&lt;&gt;"",'Raw Data'!B312,"")</f>
        <v/>
      </c>
      <c r="C325" s="2" t="str">
        <f>IF('Raw Data'!C312&lt;&gt;"",'Raw Data'!C312,"")</f>
        <v/>
      </c>
      <c r="D325" s="2" t="str">
        <f>IF('Raw Data'!D312&lt;&gt;"",'Raw Data'!D312,"")</f>
        <v/>
      </c>
      <c r="E325" s="2" t="str">
        <f>IF('Raw Data'!E312&lt;&gt;"",'Raw Data'!E312,"")</f>
        <v/>
      </c>
      <c r="F325" s="11" t="str">
        <f>IF('Raw Data'!A312&lt;&gt;"",AVERAGE('Raw Data'!F312,'Raw Data'!H312,'Raw Data'!J312,'Raw Data'!L312,'Raw Data'!N312),"")</f>
        <v/>
      </c>
      <c r="G325" s="11" t="str">
        <f>IF('Raw Data'!A312&lt;&gt;"",AVERAGE('Raw Data'!G312,'Raw Data'!I312,'Raw Data'!K312,'Raw Data'!M312,'Raw Data'!O312),"")</f>
        <v/>
      </c>
      <c r="H325" s="11" t="str">
        <f t="shared" si="47"/>
        <v/>
      </c>
      <c r="I325" s="11" t="str">
        <f>IF('Raw Data'!A312&lt;&gt;"",AVERAGE('Raw Data'!P312,'Raw Data'!R312,'Raw Data'!T312,'Raw Data'!V312,'Raw Data'!X312),"")</f>
        <v/>
      </c>
      <c r="J325" s="11" t="str">
        <f>IF('Raw Data'!A312&lt;&gt;"",AVERAGE('Raw Data'!Q312,'Raw Data'!S312,'Raw Data'!U312,'Raw Data'!W312,'Raw Data'!Y312),"")</f>
        <v/>
      </c>
      <c r="K325" s="11" t="str">
        <f t="shared" si="48"/>
        <v/>
      </c>
      <c r="L325" s="11" t="str">
        <f>IF('Raw Data'!A312&lt;&gt;"",AVERAGE('Raw Data'!Z312,'Raw Data'!AB312,'Raw Data'!AD312,'Raw Data'!AF312,'Raw Data'!AH312),"")</f>
        <v/>
      </c>
      <c r="M325" s="11" t="str">
        <f>IF('Raw Data'!A312&lt;&gt;"",AVERAGE('Raw Data'!AA312,'Raw Data'!AC312,'Raw Data'!AE312,'Raw Data'!AG312,'Raw Data'!AI312),"")</f>
        <v/>
      </c>
      <c r="N325" s="11" t="str">
        <f t="shared" si="49"/>
        <v/>
      </c>
      <c r="O325" s="11" t="str">
        <f>IF('Raw Data'!A312&lt;&gt;"",AVERAGE('Raw Data'!AJ312,'Raw Data'!AL312,'Raw Data'!AN312,'Raw Data'!AP312,'Raw Data'!AR312),"")</f>
        <v/>
      </c>
      <c r="P325" s="11" t="str">
        <f>IF('Raw Data'!A312&lt;&gt;"",AVERAGE('Raw Data'!AK312,'Raw Data'!AM312,'Raw Data'!AO312,'Raw Data'!AQ312,'Raw Data'!AS312),"")</f>
        <v/>
      </c>
      <c r="Q325" s="11" t="str">
        <f t="shared" si="50"/>
        <v/>
      </c>
      <c r="R325" s="11" t="str">
        <f>IF('Raw Data'!A312&lt;&gt;"",AVERAGE('Raw Data'!AT312,'Raw Data'!AV312,'Raw Data'!AX312,'Raw Data'!AZ312,'Raw Data'!BB312),"")</f>
        <v/>
      </c>
      <c r="S325" s="11" t="str">
        <f>IF('Raw Data'!A312&lt;&gt;"",AVERAGE('Raw Data'!AU312,'Raw Data'!AW312,'Raw Data'!AY312,'Raw Data'!BA312,'Raw Data'!BC312),"")</f>
        <v/>
      </c>
      <c r="T325" s="11" t="str">
        <f t="shared" si="51"/>
        <v/>
      </c>
      <c r="U325" s="11" t="str">
        <f>IF('Raw Data'!A312&lt;&gt;"",AVERAGE('Raw Data'!BD312,'Raw Data'!BF312,'Raw Data'!BH312,'Raw Data'!BJ312,'Raw Data'!BL312),"")</f>
        <v/>
      </c>
      <c r="V325" s="11" t="str">
        <f>IF('Raw Data'!A312&lt;&gt;"",AVERAGE('Raw Data'!BE312,'Raw Data'!BG312,'Raw Data'!BI312,'Raw Data'!BK312,'Raw Data'!BM312),"")</f>
        <v/>
      </c>
      <c r="W325" s="11" t="str">
        <f t="shared" si="52"/>
        <v/>
      </c>
      <c r="X325" s="11" t="str">
        <f t="shared" si="53"/>
        <v/>
      </c>
      <c r="Y325" s="11" t="str">
        <f t="shared" si="54"/>
        <v/>
      </c>
      <c r="Z325" s="11" t="str">
        <f t="shared" si="55"/>
        <v/>
      </c>
      <c r="AA325" s="11" t="str">
        <f t="shared" si="56"/>
        <v/>
      </c>
      <c r="AB325" s="24" t="str">
        <f t="shared" si="57"/>
        <v/>
      </c>
    </row>
    <row r="326" spans="1:28" x14ac:dyDescent="0.25">
      <c r="A326" s="10" t="str">
        <f>IF('Raw Data'!A313&lt;&gt;"",'Raw Data'!A313,"")</f>
        <v/>
      </c>
      <c r="B326" s="10" t="str">
        <f>IF('Raw Data'!B313&lt;&gt;"",'Raw Data'!B313,"")</f>
        <v/>
      </c>
      <c r="C326" s="10" t="str">
        <f>IF('Raw Data'!C313&lt;&gt;"",'Raw Data'!C313,"")</f>
        <v/>
      </c>
      <c r="D326" s="10" t="str">
        <f>IF('Raw Data'!D313&lt;&gt;"",'Raw Data'!D313,"")</f>
        <v/>
      </c>
      <c r="E326" s="10" t="str">
        <f>IF('Raw Data'!E313&lt;&gt;"",'Raw Data'!E313,"")</f>
        <v/>
      </c>
      <c r="F326" s="14" t="str">
        <f>IF('Raw Data'!A313&lt;&gt;"",AVERAGE('Raw Data'!F313,'Raw Data'!H313,'Raw Data'!J313,'Raw Data'!L313,'Raw Data'!N313),"")</f>
        <v/>
      </c>
      <c r="G326" s="14" t="str">
        <f>IF('Raw Data'!A313&lt;&gt;"",AVERAGE('Raw Data'!G313,'Raw Data'!I313,'Raw Data'!K313,'Raw Data'!M313,'Raw Data'!O313),"")</f>
        <v/>
      </c>
      <c r="H326" s="14" t="str">
        <f t="shared" si="47"/>
        <v/>
      </c>
      <c r="I326" s="14" t="str">
        <f>IF('Raw Data'!A313&lt;&gt;"",AVERAGE('Raw Data'!P313,'Raw Data'!R313,'Raw Data'!T313,'Raw Data'!V313,'Raw Data'!X313),"")</f>
        <v/>
      </c>
      <c r="J326" s="14" t="str">
        <f>IF('Raw Data'!A313&lt;&gt;"",AVERAGE('Raw Data'!Q313,'Raw Data'!S313,'Raw Data'!U313,'Raw Data'!W313,'Raw Data'!Y313),"")</f>
        <v/>
      </c>
      <c r="K326" s="14" t="str">
        <f t="shared" si="48"/>
        <v/>
      </c>
      <c r="L326" s="14" t="str">
        <f>IF('Raw Data'!A313&lt;&gt;"",AVERAGE('Raw Data'!Z313,'Raw Data'!AB313,'Raw Data'!AD313,'Raw Data'!AF313,'Raw Data'!AH313),"")</f>
        <v/>
      </c>
      <c r="M326" s="14" t="str">
        <f>IF('Raw Data'!A313&lt;&gt;"",AVERAGE('Raw Data'!AA313,'Raw Data'!AC313,'Raw Data'!AE313,'Raw Data'!AG313,'Raw Data'!AI313),"")</f>
        <v/>
      </c>
      <c r="N326" s="14" t="str">
        <f t="shared" si="49"/>
        <v/>
      </c>
      <c r="O326" s="14" t="str">
        <f>IF('Raw Data'!A313&lt;&gt;"",AVERAGE('Raw Data'!AJ313,'Raw Data'!AL313,'Raw Data'!AN313,'Raw Data'!AP313,'Raw Data'!AR313),"")</f>
        <v/>
      </c>
      <c r="P326" s="14" t="str">
        <f>IF('Raw Data'!A313&lt;&gt;"",AVERAGE('Raw Data'!AK313,'Raw Data'!AM313,'Raw Data'!AO313,'Raw Data'!AQ313,'Raw Data'!AS313),"")</f>
        <v/>
      </c>
      <c r="Q326" s="14" t="str">
        <f t="shared" si="50"/>
        <v/>
      </c>
      <c r="R326" s="14" t="str">
        <f>IF('Raw Data'!A313&lt;&gt;"",AVERAGE('Raw Data'!AT313,'Raw Data'!AV313,'Raw Data'!AX313,'Raw Data'!AZ313,'Raw Data'!BB313),"")</f>
        <v/>
      </c>
      <c r="S326" s="14" t="str">
        <f>IF('Raw Data'!A313&lt;&gt;"",AVERAGE('Raw Data'!AU313,'Raw Data'!AW313,'Raw Data'!AY313,'Raw Data'!BA313,'Raw Data'!BC313),"")</f>
        <v/>
      </c>
      <c r="T326" s="14" t="str">
        <f t="shared" si="51"/>
        <v/>
      </c>
      <c r="U326" s="14" t="str">
        <f>IF('Raw Data'!A313&lt;&gt;"",AVERAGE('Raw Data'!BD313,'Raw Data'!BF313,'Raw Data'!BH313,'Raw Data'!BJ313,'Raw Data'!BL313),"")</f>
        <v/>
      </c>
      <c r="V326" s="14" t="str">
        <f>IF('Raw Data'!A313&lt;&gt;"",AVERAGE('Raw Data'!BE313,'Raw Data'!BG313,'Raw Data'!BI313,'Raw Data'!BK313,'Raw Data'!BM313),"")</f>
        <v/>
      </c>
      <c r="W326" s="14" t="str">
        <f t="shared" si="52"/>
        <v/>
      </c>
      <c r="X326" s="14" t="str">
        <f t="shared" si="53"/>
        <v/>
      </c>
      <c r="Y326" s="14" t="str">
        <f t="shared" si="54"/>
        <v/>
      </c>
      <c r="Z326" s="14" t="str">
        <f t="shared" si="55"/>
        <v/>
      </c>
      <c r="AA326" s="14" t="str">
        <f t="shared" si="56"/>
        <v/>
      </c>
      <c r="AB326" s="25" t="str">
        <f t="shared" si="57"/>
        <v/>
      </c>
    </row>
    <row r="327" spans="1:28" x14ac:dyDescent="0.25">
      <c r="A327" s="2" t="str">
        <f>IF('Raw Data'!A314&lt;&gt;"",'Raw Data'!A314,"")</f>
        <v/>
      </c>
      <c r="B327" s="2" t="str">
        <f>IF('Raw Data'!B314&lt;&gt;"",'Raw Data'!B314,"")</f>
        <v/>
      </c>
      <c r="C327" s="2" t="str">
        <f>IF('Raw Data'!C314&lt;&gt;"",'Raw Data'!C314,"")</f>
        <v/>
      </c>
      <c r="D327" s="2" t="str">
        <f>IF('Raw Data'!D314&lt;&gt;"",'Raw Data'!D314,"")</f>
        <v/>
      </c>
      <c r="E327" s="2" t="str">
        <f>IF('Raw Data'!E314&lt;&gt;"",'Raw Data'!E314,"")</f>
        <v/>
      </c>
      <c r="F327" s="11" t="str">
        <f>IF('Raw Data'!A314&lt;&gt;"",AVERAGE('Raw Data'!F314,'Raw Data'!H314,'Raw Data'!J314,'Raw Data'!L314,'Raw Data'!N314),"")</f>
        <v/>
      </c>
      <c r="G327" s="11" t="str">
        <f>IF('Raw Data'!A314&lt;&gt;"",AVERAGE('Raw Data'!G314,'Raw Data'!I314,'Raw Data'!K314,'Raw Data'!M314,'Raw Data'!O314),"")</f>
        <v/>
      </c>
      <c r="H327" s="11" t="str">
        <f t="shared" si="47"/>
        <v/>
      </c>
      <c r="I327" s="11" t="str">
        <f>IF('Raw Data'!A314&lt;&gt;"",AVERAGE('Raw Data'!P314,'Raw Data'!R314,'Raw Data'!T314,'Raw Data'!V314,'Raw Data'!X314),"")</f>
        <v/>
      </c>
      <c r="J327" s="11" t="str">
        <f>IF('Raw Data'!A314&lt;&gt;"",AVERAGE('Raw Data'!Q314,'Raw Data'!S314,'Raw Data'!U314,'Raw Data'!W314,'Raw Data'!Y314),"")</f>
        <v/>
      </c>
      <c r="K327" s="11" t="str">
        <f t="shared" si="48"/>
        <v/>
      </c>
      <c r="L327" s="11" t="str">
        <f>IF('Raw Data'!A314&lt;&gt;"",AVERAGE('Raw Data'!Z314,'Raw Data'!AB314,'Raw Data'!AD314,'Raw Data'!AF314,'Raw Data'!AH314),"")</f>
        <v/>
      </c>
      <c r="M327" s="11" t="str">
        <f>IF('Raw Data'!A314&lt;&gt;"",AVERAGE('Raw Data'!AA314,'Raw Data'!AC314,'Raw Data'!AE314,'Raw Data'!AG314,'Raw Data'!AI314),"")</f>
        <v/>
      </c>
      <c r="N327" s="11" t="str">
        <f t="shared" si="49"/>
        <v/>
      </c>
      <c r="O327" s="11" t="str">
        <f>IF('Raw Data'!A314&lt;&gt;"",AVERAGE('Raw Data'!AJ314,'Raw Data'!AL314,'Raw Data'!AN314,'Raw Data'!AP314,'Raw Data'!AR314),"")</f>
        <v/>
      </c>
      <c r="P327" s="11" t="str">
        <f>IF('Raw Data'!A314&lt;&gt;"",AVERAGE('Raw Data'!AK314,'Raw Data'!AM314,'Raw Data'!AO314,'Raw Data'!AQ314,'Raw Data'!AS314),"")</f>
        <v/>
      </c>
      <c r="Q327" s="11" t="str">
        <f t="shared" si="50"/>
        <v/>
      </c>
      <c r="R327" s="11" t="str">
        <f>IF('Raw Data'!A314&lt;&gt;"",AVERAGE('Raw Data'!AT314,'Raw Data'!AV314,'Raw Data'!AX314,'Raw Data'!AZ314,'Raw Data'!BB314),"")</f>
        <v/>
      </c>
      <c r="S327" s="11" t="str">
        <f>IF('Raw Data'!A314&lt;&gt;"",AVERAGE('Raw Data'!AU314,'Raw Data'!AW314,'Raw Data'!AY314,'Raw Data'!BA314,'Raw Data'!BC314),"")</f>
        <v/>
      </c>
      <c r="T327" s="11" t="str">
        <f t="shared" si="51"/>
        <v/>
      </c>
      <c r="U327" s="11" t="str">
        <f>IF('Raw Data'!A314&lt;&gt;"",AVERAGE('Raw Data'!BD314,'Raw Data'!BF314,'Raw Data'!BH314,'Raw Data'!BJ314,'Raw Data'!BL314),"")</f>
        <v/>
      </c>
      <c r="V327" s="11" t="str">
        <f>IF('Raw Data'!A314&lt;&gt;"",AVERAGE('Raw Data'!BE314,'Raw Data'!BG314,'Raw Data'!BI314,'Raw Data'!BK314,'Raw Data'!BM314),"")</f>
        <v/>
      </c>
      <c r="W327" s="11" t="str">
        <f t="shared" si="52"/>
        <v/>
      </c>
      <c r="X327" s="11" t="str">
        <f t="shared" si="53"/>
        <v/>
      </c>
      <c r="Y327" s="11" t="str">
        <f t="shared" si="54"/>
        <v/>
      </c>
      <c r="Z327" s="11" t="str">
        <f t="shared" si="55"/>
        <v/>
      </c>
      <c r="AA327" s="11" t="str">
        <f t="shared" si="56"/>
        <v/>
      </c>
      <c r="AB327" s="24" t="str">
        <f t="shared" si="57"/>
        <v/>
      </c>
    </row>
    <row r="328" spans="1:28" x14ac:dyDescent="0.25">
      <c r="A328" s="10" t="str">
        <f>IF('Raw Data'!A315&lt;&gt;"",'Raw Data'!A315,"")</f>
        <v/>
      </c>
      <c r="B328" s="10" t="str">
        <f>IF('Raw Data'!B315&lt;&gt;"",'Raw Data'!B315,"")</f>
        <v/>
      </c>
      <c r="C328" s="10" t="str">
        <f>IF('Raw Data'!C315&lt;&gt;"",'Raw Data'!C315,"")</f>
        <v/>
      </c>
      <c r="D328" s="10" t="str">
        <f>IF('Raw Data'!D315&lt;&gt;"",'Raw Data'!D315,"")</f>
        <v/>
      </c>
      <c r="E328" s="10" t="str">
        <f>IF('Raw Data'!E315&lt;&gt;"",'Raw Data'!E315,"")</f>
        <v/>
      </c>
      <c r="F328" s="14" t="str">
        <f>IF('Raw Data'!A315&lt;&gt;"",AVERAGE('Raw Data'!F315,'Raw Data'!H315,'Raw Data'!J315,'Raw Data'!L315,'Raw Data'!N315),"")</f>
        <v/>
      </c>
      <c r="G328" s="14" t="str">
        <f>IF('Raw Data'!A315&lt;&gt;"",AVERAGE('Raw Data'!G315,'Raw Data'!I315,'Raw Data'!K315,'Raw Data'!M315,'Raw Data'!O315),"")</f>
        <v/>
      </c>
      <c r="H328" s="14" t="str">
        <f t="shared" si="47"/>
        <v/>
      </c>
      <c r="I328" s="14" t="str">
        <f>IF('Raw Data'!A315&lt;&gt;"",AVERAGE('Raw Data'!P315,'Raw Data'!R315,'Raw Data'!T315,'Raw Data'!V315,'Raw Data'!X315),"")</f>
        <v/>
      </c>
      <c r="J328" s="14" t="str">
        <f>IF('Raw Data'!A315&lt;&gt;"",AVERAGE('Raw Data'!Q315,'Raw Data'!S315,'Raw Data'!U315,'Raw Data'!W315,'Raw Data'!Y315),"")</f>
        <v/>
      </c>
      <c r="K328" s="14" t="str">
        <f t="shared" si="48"/>
        <v/>
      </c>
      <c r="L328" s="14" t="str">
        <f>IF('Raw Data'!A315&lt;&gt;"",AVERAGE('Raw Data'!Z315,'Raw Data'!AB315,'Raw Data'!AD315,'Raw Data'!AF315,'Raw Data'!AH315),"")</f>
        <v/>
      </c>
      <c r="M328" s="14" t="str">
        <f>IF('Raw Data'!A315&lt;&gt;"",AVERAGE('Raw Data'!AA315,'Raw Data'!AC315,'Raw Data'!AE315,'Raw Data'!AG315,'Raw Data'!AI315),"")</f>
        <v/>
      </c>
      <c r="N328" s="14" t="str">
        <f t="shared" si="49"/>
        <v/>
      </c>
      <c r="O328" s="14" t="str">
        <f>IF('Raw Data'!A315&lt;&gt;"",AVERAGE('Raw Data'!AJ315,'Raw Data'!AL315,'Raw Data'!AN315,'Raw Data'!AP315,'Raw Data'!AR315),"")</f>
        <v/>
      </c>
      <c r="P328" s="14" t="str">
        <f>IF('Raw Data'!A315&lt;&gt;"",AVERAGE('Raw Data'!AK315,'Raw Data'!AM315,'Raw Data'!AO315,'Raw Data'!AQ315,'Raw Data'!AS315),"")</f>
        <v/>
      </c>
      <c r="Q328" s="14" t="str">
        <f t="shared" si="50"/>
        <v/>
      </c>
      <c r="R328" s="14" t="str">
        <f>IF('Raw Data'!A315&lt;&gt;"",AVERAGE('Raw Data'!AT315,'Raw Data'!AV315,'Raw Data'!AX315,'Raw Data'!AZ315,'Raw Data'!BB315),"")</f>
        <v/>
      </c>
      <c r="S328" s="14" t="str">
        <f>IF('Raw Data'!A315&lt;&gt;"",AVERAGE('Raw Data'!AU315,'Raw Data'!AW315,'Raw Data'!AY315,'Raw Data'!BA315,'Raw Data'!BC315),"")</f>
        <v/>
      </c>
      <c r="T328" s="14" t="str">
        <f t="shared" si="51"/>
        <v/>
      </c>
      <c r="U328" s="14" t="str">
        <f>IF('Raw Data'!A315&lt;&gt;"",AVERAGE('Raw Data'!BD315,'Raw Data'!BF315,'Raw Data'!BH315,'Raw Data'!BJ315,'Raw Data'!BL315),"")</f>
        <v/>
      </c>
      <c r="V328" s="14" t="str">
        <f>IF('Raw Data'!A315&lt;&gt;"",AVERAGE('Raw Data'!BE315,'Raw Data'!BG315,'Raw Data'!BI315,'Raw Data'!BK315,'Raw Data'!BM315),"")</f>
        <v/>
      </c>
      <c r="W328" s="14" t="str">
        <f t="shared" si="52"/>
        <v/>
      </c>
      <c r="X328" s="14" t="str">
        <f t="shared" si="53"/>
        <v/>
      </c>
      <c r="Y328" s="14" t="str">
        <f t="shared" si="54"/>
        <v/>
      </c>
      <c r="Z328" s="14" t="str">
        <f t="shared" si="55"/>
        <v/>
      </c>
      <c r="AA328" s="14" t="str">
        <f t="shared" si="56"/>
        <v/>
      </c>
      <c r="AB328" s="25" t="str">
        <f t="shared" si="57"/>
        <v/>
      </c>
    </row>
    <row r="329" spans="1:28" x14ac:dyDescent="0.25">
      <c r="A329" s="2" t="str">
        <f>IF('Raw Data'!A316&lt;&gt;"",'Raw Data'!A316,"")</f>
        <v/>
      </c>
      <c r="B329" s="2" t="str">
        <f>IF('Raw Data'!B316&lt;&gt;"",'Raw Data'!B316,"")</f>
        <v/>
      </c>
      <c r="C329" s="2" t="str">
        <f>IF('Raw Data'!C316&lt;&gt;"",'Raw Data'!C316,"")</f>
        <v/>
      </c>
      <c r="D329" s="2" t="str">
        <f>IF('Raw Data'!D316&lt;&gt;"",'Raw Data'!D316,"")</f>
        <v/>
      </c>
      <c r="E329" s="2" t="str">
        <f>IF('Raw Data'!E316&lt;&gt;"",'Raw Data'!E316,"")</f>
        <v/>
      </c>
      <c r="F329" s="11" t="str">
        <f>IF('Raw Data'!A316&lt;&gt;"",AVERAGE('Raw Data'!F316,'Raw Data'!H316,'Raw Data'!J316,'Raw Data'!L316,'Raw Data'!N316),"")</f>
        <v/>
      </c>
      <c r="G329" s="11" t="str">
        <f>IF('Raw Data'!A316&lt;&gt;"",AVERAGE('Raw Data'!G316,'Raw Data'!I316,'Raw Data'!K316,'Raw Data'!M316,'Raw Data'!O316),"")</f>
        <v/>
      </c>
      <c r="H329" s="11" t="str">
        <f t="shared" si="47"/>
        <v/>
      </c>
      <c r="I329" s="11" t="str">
        <f>IF('Raw Data'!A316&lt;&gt;"",AVERAGE('Raw Data'!P316,'Raw Data'!R316,'Raw Data'!T316,'Raw Data'!V316,'Raw Data'!X316),"")</f>
        <v/>
      </c>
      <c r="J329" s="11" t="str">
        <f>IF('Raw Data'!A316&lt;&gt;"",AVERAGE('Raw Data'!Q316,'Raw Data'!S316,'Raw Data'!U316,'Raw Data'!W316,'Raw Data'!Y316),"")</f>
        <v/>
      </c>
      <c r="K329" s="11" t="str">
        <f t="shared" si="48"/>
        <v/>
      </c>
      <c r="L329" s="11" t="str">
        <f>IF('Raw Data'!A316&lt;&gt;"",AVERAGE('Raw Data'!Z316,'Raw Data'!AB316,'Raw Data'!AD316,'Raw Data'!AF316,'Raw Data'!AH316),"")</f>
        <v/>
      </c>
      <c r="M329" s="11" t="str">
        <f>IF('Raw Data'!A316&lt;&gt;"",AVERAGE('Raw Data'!AA316,'Raw Data'!AC316,'Raw Data'!AE316,'Raw Data'!AG316,'Raw Data'!AI316),"")</f>
        <v/>
      </c>
      <c r="N329" s="11" t="str">
        <f t="shared" si="49"/>
        <v/>
      </c>
      <c r="O329" s="11" t="str">
        <f>IF('Raw Data'!A316&lt;&gt;"",AVERAGE('Raw Data'!AJ316,'Raw Data'!AL316,'Raw Data'!AN316,'Raw Data'!AP316,'Raw Data'!AR316),"")</f>
        <v/>
      </c>
      <c r="P329" s="11" t="str">
        <f>IF('Raw Data'!A316&lt;&gt;"",AVERAGE('Raw Data'!AK316,'Raw Data'!AM316,'Raw Data'!AO316,'Raw Data'!AQ316,'Raw Data'!AS316),"")</f>
        <v/>
      </c>
      <c r="Q329" s="11" t="str">
        <f t="shared" si="50"/>
        <v/>
      </c>
      <c r="R329" s="11" t="str">
        <f>IF('Raw Data'!A316&lt;&gt;"",AVERAGE('Raw Data'!AT316,'Raw Data'!AV316,'Raw Data'!AX316,'Raw Data'!AZ316,'Raw Data'!BB316),"")</f>
        <v/>
      </c>
      <c r="S329" s="11" t="str">
        <f>IF('Raw Data'!A316&lt;&gt;"",AVERAGE('Raw Data'!AU316,'Raw Data'!AW316,'Raw Data'!AY316,'Raw Data'!BA316,'Raw Data'!BC316),"")</f>
        <v/>
      </c>
      <c r="T329" s="11" t="str">
        <f t="shared" si="51"/>
        <v/>
      </c>
      <c r="U329" s="11" t="str">
        <f>IF('Raw Data'!A316&lt;&gt;"",AVERAGE('Raw Data'!BD316,'Raw Data'!BF316,'Raw Data'!BH316,'Raw Data'!BJ316,'Raw Data'!BL316),"")</f>
        <v/>
      </c>
      <c r="V329" s="11" t="str">
        <f>IF('Raw Data'!A316&lt;&gt;"",AVERAGE('Raw Data'!BE316,'Raw Data'!BG316,'Raw Data'!BI316,'Raw Data'!BK316,'Raw Data'!BM316),"")</f>
        <v/>
      </c>
      <c r="W329" s="11" t="str">
        <f t="shared" si="52"/>
        <v/>
      </c>
      <c r="X329" s="11" t="str">
        <f t="shared" si="53"/>
        <v/>
      </c>
      <c r="Y329" s="11" t="str">
        <f t="shared" si="54"/>
        <v/>
      </c>
      <c r="Z329" s="11" t="str">
        <f t="shared" si="55"/>
        <v/>
      </c>
      <c r="AA329" s="11" t="str">
        <f t="shared" si="56"/>
        <v/>
      </c>
      <c r="AB329" s="24" t="str">
        <f t="shared" si="57"/>
        <v/>
      </c>
    </row>
    <row r="330" spans="1:28" x14ac:dyDescent="0.25">
      <c r="A330" s="10" t="str">
        <f>IF('Raw Data'!A317&lt;&gt;"",'Raw Data'!A317,"")</f>
        <v/>
      </c>
      <c r="B330" s="10" t="str">
        <f>IF('Raw Data'!B317&lt;&gt;"",'Raw Data'!B317,"")</f>
        <v/>
      </c>
      <c r="C330" s="10" t="str">
        <f>IF('Raw Data'!C317&lt;&gt;"",'Raw Data'!C317,"")</f>
        <v/>
      </c>
      <c r="D330" s="10" t="str">
        <f>IF('Raw Data'!D317&lt;&gt;"",'Raw Data'!D317,"")</f>
        <v/>
      </c>
      <c r="E330" s="10" t="str">
        <f>IF('Raw Data'!E317&lt;&gt;"",'Raw Data'!E317,"")</f>
        <v/>
      </c>
      <c r="F330" s="14" t="str">
        <f>IF('Raw Data'!A317&lt;&gt;"",AVERAGE('Raw Data'!F317,'Raw Data'!H317,'Raw Data'!J317,'Raw Data'!L317,'Raw Data'!N317),"")</f>
        <v/>
      </c>
      <c r="G330" s="14" t="str">
        <f>IF('Raw Data'!A317&lt;&gt;"",AVERAGE('Raw Data'!G317,'Raw Data'!I317,'Raw Data'!K317,'Raw Data'!M317,'Raw Data'!O317),"")</f>
        <v/>
      </c>
      <c r="H330" s="14" t="str">
        <f t="shared" si="47"/>
        <v/>
      </c>
      <c r="I330" s="14" t="str">
        <f>IF('Raw Data'!A317&lt;&gt;"",AVERAGE('Raw Data'!P317,'Raw Data'!R317,'Raw Data'!T317,'Raw Data'!V317,'Raw Data'!X317),"")</f>
        <v/>
      </c>
      <c r="J330" s="14" t="str">
        <f>IF('Raw Data'!A317&lt;&gt;"",AVERAGE('Raw Data'!Q317,'Raw Data'!S317,'Raw Data'!U317,'Raw Data'!W317,'Raw Data'!Y317),"")</f>
        <v/>
      </c>
      <c r="K330" s="14" t="str">
        <f t="shared" si="48"/>
        <v/>
      </c>
      <c r="L330" s="14" t="str">
        <f>IF('Raw Data'!A317&lt;&gt;"",AVERAGE('Raw Data'!Z317,'Raw Data'!AB317,'Raw Data'!AD317,'Raw Data'!AF317,'Raw Data'!AH317),"")</f>
        <v/>
      </c>
      <c r="M330" s="14" t="str">
        <f>IF('Raw Data'!A317&lt;&gt;"",AVERAGE('Raw Data'!AA317,'Raw Data'!AC317,'Raw Data'!AE317,'Raw Data'!AG317,'Raw Data'!AI317),"")</f>
        <v/>
      </c>
      <c r="N330" s="14" t="str">
        <f t="shared" si="49"/>
        <v/>
      </c>
      <c r="O330" s="14" t="str">
        <f>IF('Raw Data'!A317&lt;&gt;"",AVERAGE('Raw Data'!AJ317,'Raw Data'!AL317,'Raw Data'!AN317,'Raw Data'!AP317,'Raw Data'!AR317),"")</f>
        <v/>
      </c>
      <c r="P330" s="14" t="str">
        <f>IF('Raw Data'!A317&lt;&gt;"",AVERAGE('Raw Data'!AK317,'Raw Data'!AM317,'Raw Data'!AO317,'Raw Data'!AQ317,'Raw Data'!AS317),"")</f>
        <v/>
      </c>
      <c r="Q330" s="14" t="str">
        <f t="shared" si="50"/>
        <v/>
      </c>
      <c r="R330" s="14" t="str">
        <f>IF('Raw Data'!A317&lt;&gt;"",AVERAGE('Raw Data'!AT317,'Raw Data'!AV317,'Raw Data'!AX317,'Raw Data'!AZ317,'Raw Data'!BB317),"")</f>
        <v/>
      </c>
      <c r="S330" s="14" t="str">
        <f>IF('Raw Data'!A317&lt;&gt;"",AVERAGE('Raw Data'!AU317,'Raw Data'!AW317,'Raw Data'!AY317,'Raw Data'!BA317,'Raw Data'!BC317),"")</f>
        <v/>
      </c>
      <c r="T330" s="14" t="str">
        <f t="shared" si="51"/>
        <v/>
      </c>
      <c r="U330" s="14" t="str">
        <f>IF('Raw Data'!A317&lt;&gt;"",AVERAGE('Raw Data'!BD317,'Raw Data'!BF317,'Raw Data'!BH317,'Raw Data'!BJ317,'Raw Data'!BL317),"")</f>
        <v/>
      </c>
      <c r="V330" s="14" t="str">
        <f>IF('Raw Data'!A317&lt;&gt;"",AVERAGE('Raw Data'!BE317,'Raw Data'!BG317,'Raw Data'!BI317,'Raw Data'!BK317,'Raw Data'!BM317),"")</f>
        <v/>
      </c>
      <c r="W330" s="14" t="str">
        <f t="shared" si="52"/>
        <v/>
      </c>
      <c r="X330" s="14" t="str">
        <f t="shared" si="53"/>
        <v/>
      </c>
      <c r="Y330" s="14" t="str">
        <f t="shared" si="54"/>
        <v/>
      </c>
      <c r="Z330" s="14" t="str">
        <f t="shared" si="55"/>
        <v/>
      </c>
      <c r="AA330" s="14" t="str">
        <f t="shared" si="56"/>
        <v/>
      </c>
      <c r="AB330" s="25" t="str">
        <f t="shared" si="57"/>
        <v/>
      </c>
    </row>
    <row r="331" spans="1:28" x14ac:dyDescent="0.25">
      <c r="A331" s="2" t="str">
        <f>IF('Raw Data'!A318&lt;&gt;"",'Raw Data'!A318,"")</f>
        <v/>
      </c>
      <c r="B331" s="2" t="str">
        <f>IF('Raw Data'!B318&lt;&gt;"",'Raw Data'!B318,"")</f>
        <v/>
      </c>
      <c r="C331" s="2" t="str">
        <f>IF('Raw Data'!C318&lt;&gt;"",'Raw Data'!C318,"")</f>
        <v/>
      </c>
      <c r="D331" s="2" t="str">
        <f>IF('Raw Data'!D318&lt;&gt;"",'Raw Data'!D318,"")</f>
        <v/>
      </c>
      <c r="E331" s="2" t="str">
        <f>IF('Raw Data'!E318&lt;&gt;"",'Raw Data'!E318,"")</f>
        <v/>
      </c>
      <c r="F331" s="11" t="str">
        <f>IF('Raw Data'!A318&lt;&gt;"",AVERAGE('Raw Data'!F318,'Raw Data'!H318,'Raw Data'!J318,'Raw Data'!L318,'Raw Data'!N318),"")</f>
        <v/>
      </c>
      <c r="G331" s="11" t="str">
        <f>IF('Raw Data'!A318&lt;&gt;"",AVERAGE('Raw Data'!G318,'Raw Data'!I318,'Raw Data'!K318,'Raw Data'!M318,'Raw Data'!O318),"")</f>
        <v/>
      </c>
      <c r="H331" s="11" t="str">
        <f t="shared" si="47"/>
        <v/>
      </c>
      <c r="I331" s="11" t="str">
        <f>IF('Raw Data'!A318&lt;&gt;"",AVERAGE('Raw Data'!P318,'Raw Data'!R318,'Raw Data'!T318,'Raw Data'!V318,'Raw Data'!X318),"")</f>
        <v/>
      </c>
      <c r="J331" s="11" t="str">
        <f>IF('Raw Data'!A318&lt;&gt;"",AVERAGE('Raw Data'!Q318,'Raw Data'!S318,'Raw Data'!U318,'Raw Data'!W318,'Raw Data'!Y318),"")</f>
        <v/>
      </c>
      <c r="K331" s="11" t="str">
        <f t="shared" si="48"/>
        <v/>
      </c>
      <c r="L331" s="11" t="str">
        <f>IF('Raw Data'!A318&lt;&gt;"",AVERAGE('Raw Data'!Z318,'Raw Data'!AB318,'Raw Data'!AD318,'Raw Data'!AF318,'Raw Data'!AH318),"")</f>
        <v/>
      </c>
      <c r="M331" s="11" t="str">
        <f>IF('Raw Data'!A318&lt;&gt;"",AVERAGE('Raw Data'!AA318,'Raw Data'!AC318,'Raw Data'!AE318,'Raw Data'!AG318,'Raw Data'!AI318),"")</f>
        <v/>
      </c>
      <c r="N331" s="11" t="str">
        <f t="shared" si="49"/>
        <v/>
      </c>
      <c r="O331" s="11" t="str">
        <f>IF('Raw Data'!A318&lt;&gt;"",AVERAGE('Raw Data'!AJ318,'Raw Data'!AL318,'Raw Data'!AN318,'Raw Data'!AP318,'Raw Data'!AR318),"")</f>
        <v/>
      </c>
      <c r="P331" s="11" t="str">
        <f>IF('Raw Data'!A318&lt;&gt;"",AVERAGE('Raw Data'!AK318,'Raw Data'!AM318,'Raw Data'!AO318,'Raw Data'!AQ318,'Raw Data'!AS318),"")</f>
        <v/>
      </c>
      <c r="Q331" s="11" t="str">
        <f t="shared" si="50"/>
        <v/>
      </c>
      <c r="R331" s="11" t="str">
        <f>IF('Raw Data'!A318&lt;&gt;"",AVERAGE('Raw Data'!AT318,'Raw Data'!AV318,'Raw Data'!AX318,'Raw Data'!AZ318,'Raw Data'!BB318),"")</f>
        <v/>
      </c>
      <c r="S331" s="11" t="str">
        <f>IF('Raw Data'!A318&lt;&gt;"",AVERAGE('Raw Data'!AU318,'Raw Data'!AW318,'Raw Data'!AY318,'Raw Data'!BA318,'Raw Data'!BC318),"")</f>
        <v/>
      </c>
      <c r="T331" s="11" t="str">
        <f t="shared" si="51"/>
        <v/>
      </c>
      <c r="U331" s="11" t="str">
        <f>IF('Raw Data'!A318&lt;&gt;"",AVERAGE('Raw Data'!BD318,'Raw Data'!BF318,'Raw Data'!BH318,'Raw Data'!BJ318,'Raw Data'!BL318),"")</f>
        <v/>
      </c>
      <c r="V331" s="11" t="str">
        <f>IF('Raw Data'!A318&lt;&gt;"",AVERAGE('Raw Data'!BE318,'Raw Data'!BG318,'Raw Data'!BI318,'Raw Data'!BK318,'Raw Data'!BM318),"")</f>
        <v/>
      </c>
      <c r="W331" s="11" t="str">
        <f t="shared" si="52"/>
        <v/>
      </c>
      <c r="X331" s="11" t="str">
        <f t="shared" si="53"/>
        <v/>
      </c>
      <c r="Y331" s="11" t="str">
        <f t="shared" si="54"/>
        <v/>
      </c>
      <c r="Z331" s="11" t="str">
        <f t="shared" si="55"/>
        <v/>
      </c>
      <c r="AA331" s="11" t="str">
        <f t="shared" si="56"/>
        <v/>
      </c>
      <c r="AB331" s="24" t="str">
        <f t="shared" si="57"/>
        <v/>
      </c>
    </row>
    <row r="332" spans="1:28" x14ac:dyDescent="0.25">
      <c r="A332" s="10" t="str">
        <f>IF('Raw Data'!A319&lt;&gt;"",'Raw Data'!A319,"")</f>
        <v/>
      </c>
      <c r="B332" s="10" t="str">
        <f>IF('Raw Data'!B319&lt;&gt;"",'Raw Data'!B319,"")</f>
        <v/>
      </c>
      <c r="C332" s="10" t="str">
        <f>IF('Raw Data'!C319&lt;&gt;"",'Raw Data'!C319,"")</f>
        <v/>
      </c>
      <c r="D332" s="10" t="str">
        <f>IF('Raw Data'!D319&lt;&gt;"",'Raw Data'!D319,"")</f>
        <v/>
      </c>
      <c r="E332" s="10" t="str">
        <f>IF('Raw Data'!E319&lt;&gt;"",'Raw Data'!E319,"")</f>
        <v/>
      </c>
      <c r="F332" s="14" t="str">
        <f>IF('Raw Data'!A319&lt;&gt;"",AVERAGE('Raw Data'!F319,'Raw Data'!H319,'Raw Data'!J319,'Raw Data'!L319,'Raw Data'!N319),"")</f>
        <v/>
      </c>
      <c r="G332" s="14" t="str">
        <f>IF('Raw Data'!A319&lt;&gt;"",AVERAGE('Raw Data'!G319,'Raw Data'!I319,'Raw Data'!K319,'Raw Data'!M319,'Raw Data'!O319),"")</f>
        <v/>
      </c>
      <c r="H332" s="14" t="str">
        <f t="shared" si="47"/>
        <v/>
      </c>
      <c r="I332" s="14" t="str">
        <f>IF('Raw Data'!A319&lt;&gt;"",AVERAGE('Raw Data'!P319,'Raw Data'!R319,'Raw Data'!T319,'Raw Data'!V319,'Raw Data'!X319),"")</f>
        <v/>
      </c>
      <c r="J332" s="14" t="str">
        <f>IF('Raw Data'!A319&lt;&gt;"",AVERAGE('Raw Data'!Q319,'Raw Data'!S319,'Raw Data'!U319,'Raw Data'!W319,'Raw Data'!Y319),"")</f>
        <v/>
      </c>
      <c r="K332" s="14" t="str">
        <f t="shared" si="48"/>
        <v/>
      </c>
      <c r="L332" s="14" t="str">
        <f>IF('Raw Data'!A319&lt;&gt;"",AVERAGE('Raw Data'!Z319,'Raw Data'!AB319,'Raw Data'!AD319,'Raw Data'!AF319,'Raw Data'!AH319),"")</f>
        <v/>
      </c>
      <c r="M332" s="14" t="str">
        <f>IF('Raw Data'!A319&lt;&gt;"",AVERAGE('Raw Data'!AA319,'Raw Data'!AC319,'Raw Data'!AE319,'Raw Data'!AG319,'Raw Data'!AI319),"")</f>
        <v/>
      </c>
      <c r="N332" s="14" t="str">
        <f t="shared" si="49"/>
        <v/>
      </c>
      <c r="O332" s="14" t="str">
        <f>IF('Raw Data'!A319&lt;&gt;"",AVERAGE('Raw Data'!AJ319,'Raw Data'!AL319,'Raw Data'!AN319,'Raw Data'!AP319,'Raw Data'!AR319),"")</f>
        <v/>
      </c>
      <c r="P332" s="14" t="str">
        <f>IF('Raw Data'!A319&lt;&gt;"",AVERAGE('Raw Data'!AK319,'Raw Data'!AM319,'Raw Data'!AO319,'Raw Data'!AQ319,'Raw Data'!AS319),"")</f>
        <v/>
      </c>
      <c r="Q332" s="14" t="str">
        <f t="shared" si="50"/>
        <v/>
      </c>
      <c r="R332" s="14" t="str">
        <f>IF('Raw Data'!A319&lt;&gt;"",AVERAGE('Raw Data'!AT319,'Raw Data'!AV319,'Raw Data'!AX319,'Raw Data'!AZ319,'Raw Data'!BB319),"")</f>
        <v/>
      </c>
      <c r="S332" s="14" t="str">
        <f>IF('Raw Data'!A319&lt;&gt;"",AVERAGE('Raw Data'!AU319,'Raw Data'!AW319,'Raw Data'!AY319,'Raw Data'!BA319,'Raw Data'!BC319),"")</f>
        <v/>
      </c>
      <c r="T332" s="14" t="str">
        <f t="shared" si="51"/>
        <v/>
      </c>
      <c r="U332" s="14" t="str">
        <f>IF('Raw Data'!A319&lt;&gt;"",AVERAGE('Raw Data'!BD319,'Raw Data'!BF319,'Raw Data'!BH319,'Raw Data'!BJ319,'Raw Data'!BL319),"")</f>
        <v/>
      </c>
      <c r="V332" s="14" t="str">
        <f>IF('Raw Data'!A319&lt;&gt;"",AVERAGE('Raw Data'!BE319,'Raw Data'!BG319,'Raw Data'!BI319,'Raw Data'!BK319,'Raw Data'!BM319),"")</f>
        <v/>
      </c>
      <c r="W332" s="14" t="str">
        <f t="shared" si="52"/>
        <v/>
      </c>
      <c r="X332" s="14" t="str">
        <f t="shared" si="53"/>
        <v/>
      </c>
      <c r="Y332" s="14" t="str">
        <f t="shared" si="54"/>
        <v/>
      </c>
      <c r="Z332" s="14" t="str">
        <f t="shared" si="55"/>
        <v/>
      </c>
      <c r="AA332" s="14" t="str">
        <f t="shared" si="56"/>
        <v/>
      </c>
      <c r="AB332" s="25" t="str">
        <f t="shared" si="57"/>
        <v/>
      </c>
    </row>
    <row r="333" spans="1:28" x14ac:dyDescent="0.25">
      <c r="A333" s="2" t="str">
        <f>IF('Raw Data'!A320&lt;&gt;"",'Raw Data'!A320,"")</f>
        <v/>
      </c>
      <c r="B333" s="2" t="str">
        <f>IF('Raw Data'!B320&lt;&gt;"",'Raw Data'!B320,"")</f>
        <v/>
      </c>
      <c r="C333" s="2" t="str">
        <f>IF('Raw Data'!C320&lt;&gt;"",'Raw Data'!C320,"")</f>
        <v/>
      </c>
      <c r="D333" s="2" t="str">
        <f>IF('Raw Data'!D320&lt;&gt;"",'Raw Data'!D320,"")</f>
        <v/>
      </c>
      <c r="E333" s="2" t="str">
        <f>IF('Raw Data'!E320&lt;&gt;"",'Raw Data'!E320,"")</f>
        <v/>
      </c>
      <c r="F333" s="11" t="str">
        <f>IF('Raw Data'!A320&lt;&gt;"",AVERAGE('Raw Data'!F320,'Raw Data'!H320,'Raw Data'!J320,'Raw Data'!L320,'Raw Data'!N320),"")</f>
        <v/>
      </c>
      <c r="G333" s="11" t="str">
        <f>IF('Raw Data'!A320&lt;&gt;"",AVERAGE('Raw Data'!G320,'Raw Data'!I320,'Raw Data'!K320,'Raw Data'!M320,'Raw Data'!O320),"")</f>
        <v/>
      </c>
      <c r="H333" s="11" t="str">
        <f t="shared" si="47"/>
        <v/>
      </c>
      <c r="I333" s="11" t="str">
        <f>IF('Raw Data'!A320&lt;&gt;"",AVERAGE('Raw Data'!P320,'Raw Data'!R320,'Raw Data'!T320,'Raw Data'!V320,'Raw Data'!X320),"")</f>
        <v/>
      </c>
      <c r="J333" s="11" t="str">
        <f>IF('Raw Data'!A320&lt;&gt;"",AVERAGE('Raw Data'!Q320,'Raw Data'!S320,'Raw Data'!U320,'Raw Data'!W320,'Raw Data'!Y320),"")</f>
        <v/>
      </c>
      <c r="K333" s="11" t="str">
        <f t="shared" si="48"/>
        <v/>
      </c>
      <c r="L333" s="11" t="str">
        <f>IF('Raw Data'!A320&lt;&gt;"",AVERAGE('Raw Data'!Z320,'Raw Data'!AB320,'Raw Data'!AD320,'Raw Data'!AF320,'Raw Data'!AH320),"")</f>
        <v/>
      </c>
      <c r="M333" s="11" t="str">
        <f>IF('Raw Data'!A320&lt;&gt;"",AVERAGE('Raw Data'!AA320,'Raw Data'!AC320,'Raw Data'!AE320,'Raw Data'!AG320,'Raw Data'!AI320),"")</f>
        <v/>
      </c>
      <c r="N333" s="11" t="str">
        <f t="shared" si="49"/>
        <v/>
      </c>
      <c r="O333" s="11" t="str">
        <f>IF('Raw Data'!A320&lt;&gt;"",AVERAGE('Raw Data'!AJ320,'Raw Data'!AL320,'Raw Data'!AN320,'Raw Data'!AP320,'Raw Data'!AR320),"")</f>
        <v/>
      </c>
      <c r="P333" s="11" t="str">
        <f>IF('Raw Data'!A320&lt;&gt;"",AVERAGE('Raw Data'!AK320,'Raw Data'!AM320,'Raw Data'!AO320,'Raw Data'!AQ320,'Raw Data'!AS320),"")</f>
        <v/>
      </c>
      <c r="Q333" s="11" t="str">
        <f t="shared" si="50"/>
        <v/>
      </c>
      <c r="R333" s="11" t="str">
        <f>IF('Raw Data'!A320&lt;&gt;"",AVERAGE('Raw Data'!AT320,'Raw Data'!AV320,'Raw Data'!AX320,'Raw Data'!AZ320,'Raw Data'!BB320),"")</f>
        <v/>
      </c>
      <c r="S333" s="11" t="str">
        <f>IF('Raw Data'!A320&lt;&gt;"",AVERAGE('Raw Data'!AU320,'Raw Data'!AW320,'Raw Data'!AY320,'Raw Data'!BA320,'Raw Data'!BC320),"")</f>
        <v/>
      </c>
      <c r="T333" s="11" t="str">
        <f t="shared" si="51"/>
        <v/>
      </c>
      <c r="U333" s="11" t="str">
        <f>IF('Raw Data'!A320&lt;&gt;"",AVERAGE('Raw Data'!BD320,'Raw Data'!BF320,'Raw Data'!BH320,'Raw Data'!BJ320,'Raw Data'!BL320),"")</f>
        <v/>
      </c>
      <c r="V333" s="11" t="str">
        <f>IF('Raw Data'!A320&lt;&gt;"",AVERAGE('Raw Data'!BE320,'Raw Data'!BG320,'Raw Data'!BI320,'Raw Data'!BK320,'Raw Data'!BM320),"")</f>
        <v/>
      </c>
      <c r="W333" s="11" t="str">
        <f t="shared" si="52"/>
        <v/>
      </c>
      <c r="X333" s="11" t="str">
        <f t="shared" si="53"/>
        <v/>
      </c>
      <c r="Y333" s="11" t="str">
        <f t="shared" si="54"/>
        <v/>
      </c>
      <c r="Z333" s="11" t="str">
        <f t="shared" si="55"/>
        <v/>
      </c>
      <c r="AA333" s="11" t="str">
        <f t="shared" si="56"/>
        <v/>
      </c>
      <c r="AB333" s="24" t="str">
        <f t="shared" si="57"/>
        <v/>
      </c>
    </row>
    <row r="334" spans="1:28" x14ac:dyDescent="0.25">
      <c r="A334" s="10" t="str">
        <f>IF('Raw Data'!A321&lt;&gt;"",'Raw Data'!A321,"")</f>
        <v/>
      </c>
      <c r="B334" s="10" t="str">
        <f>IF('Raw Data'!B321&lt;&gt;"",'Raw Data'!B321,"")</f>
        <v/>
      </c>
      <c r="C334" s="10" t="str">
        <f>IF('Raw Data'!C321&lt;&gt;"",'Raw Data'!C321,"")</f>
        <v/>
      </c>
      <c r="D334" s="10" t="str">
        <f>IF('Raw Data'!D321&lt;&gt;"",'Raw Data'!D321,"")</f>
        <v/>
      </c>
      <c r="E334" s="10" t="str">
        <f>IF('Raw Data'!E321&lt;&gt;"",'Raw Data'!E321,"")</f>
        <v/>
      </c>
      <c r="F334" s="14" t="str">
        <f>IF('Raw Data'!A321&lt;&gt;"",AVERAGE('Raw Data'!F321,'Raw Data'!H321,'Raw Data'!J321,'Raw Data'!L321,'Raw Data'!N321),"")</f>
        <v/>
      </c>
      <c r="G334" s="14" t="str">
        <f>IF('Raw Data'!A321&lt;&gt;"",AVERAGE('Raw Data'!G321,'Raw Data'!I321,'Raw Data'!K321,'Raw Data'!M321,'Raw Data'!O321),"")</f>
        <v/>
      </c>
      <c r="H334" s="14" t="str">
        <f t="shared" si="47"/>
        <v/>
      </c>
      <c r="I334" s="14" t="str">
        <f>IF('Raw Data'!A321&lt;&gt;"",AVERAGE('Raw Data'!P321,'Raw Data'!R321,'Raw Data'!T321,'Raw Data'!V321,'Raw Data'!X321),"")</f>
        <v/>
      </c>
      <c r="J334" s="14" t="str">
        <f>IF('Raw Data'!A321&lt;&gt;"",AVERAGE('Raw Data'!Q321,'Raw Data'!S321,'Raw Data'!U321,'Raw Data'!W321,'Raw Data'!Y321),"")</f>
        <v/>
      </c>
      <c r="K334" s="14" t="str">
        <f t="shared" si="48"/>
        <v/>
      </c>
      <c r="L334" s="14" t="str">
        <f>IF('Raw Data'!A321&lt;&gt;"",AVERAGE('Raw Data'!Z321,'Raw Data'!AB321,'Raw Data'!AD321,'Raw Data'!AF321,'Raw Data'!AH321),"")</f>
        <v/>
      </c>
      <c r="M334" s="14" t="str">
        <f>IF('Raw Data'!A321&lt;&gt;"",AVERAGE('Raw Data'!AA321,'Raw Data'!AC321,'Raw Data'!AE321,'Raw Data'!AG321,'Raw Data'!AI321),"")</f>
        <v/>
      </c>
      <c r="N334" s="14" t="str">
        <f t="shared" si="49"/>
        <v/>
      </c>
      <c r="O334" s="14" t="str">
        <f>IF('Raw Data'!A321&lt;&gt;"",AVERAGE('Raw Data'!AJ321,'Raw Data'!AL321,'Raw Data'!AN321,'Raw Data'!AP321,'Raw Data'!AR321),"")</f>
        <v/>
      </c>
      <c r="P334" s="14" t="str">
        <f>IF('Raw Data'!A321&lt;&gt;"",AVERAGE('Raw Data'!AK321,'Raw Data'!AM321,'Raw Data'!AO321,'Raw Data'!AQ321,'Raw Data'!AS321),"")</f>
        <v/>
      </c>
      <c r="Q334" s="14" t="str">
        <f t="shared" si="50"/>
        <v/>
      </c>
      <c r="R334" s="14" t="str">
        <f>IF('Raw Data'!A321&lt;&gt;"",AVERAGE('Raw Data'!AT321,'Raw Data'!AV321,'Raw Data'!AX321,'Raw Data'!AZ321,'Raw Data'!BB321),"")</f>
        <v/>
      </c>
      <c r="S334" s="14" t="str">
        <f>IF('Raw Data'!A321&lt;&gt;"",AVERAGE('Raw Data'!AU321,'Raw Data'!AW321,'Raw Data'!AY321,'Raw Data'!BA321,'Raw Data'!BC321),"")</f>
        <v/>
      </c>
      <c r="T334" s="14" t="str">
        <f t="shared" si="51"/>
        <v/>
      </c>
      <c r="U334" s="14" t="str">
        <f>IF('Raw Data'!A321&lt;&gt;"",AVERAGE('Raw Data'!BD321,'Raw Data'!BF321,'Raw Data'!BH321,'Raw Data'!BJ321,'Raw Data'!BL321),"")</f>
        <v/>
      </c>
      <c r="V334" s="14" t="str">
        <f>IF('Raw Data'!A321&lt;&gt;"",AVERAGE('Raw Data'!BE321,'Raw Data'!BG321,'Raw Data'!BI321,'Raw Data'!BK321,'Raw Data'!BM321),"")</f>
        <v/>
      </c>
      <c r="W334" s="14" t="str">
        <f t="shared" si="52"/>
        <v/>
      </c>
      <c r="X334" s="14" t="str">
        <f t="shared" si="53"/>
        <v/>
      </c>
      <c r="Y334" s="14" t="str">
        <f t="shared" si="54"/>
        <v/>
      </c>
      <c r="Z334" s="14" t="str">
        <f t="shared" si="55"/>
        <v/>
      </c>
      <c r="AA334" s="14" t="str">
        <f t="shared" si="56"/>
        <v/>
      </c>
      <c r="AB334" s="25" t="str">
        <f t="shared" si="57"/>
        <v/>
      </c>
    </row>
    <row r="335" spans="1:28" x14ac:dyDescent="0.25">
      <c r="A335" s="2" t="str">
        <f>IF('Raw Data'!A322&lt;&gt;"",'Raw Data'!A322,"")</f>
        <v/>
      </c>
      <c r="B335" s="2" t="str">
        <f>IF('Raw Data'!B322&lt;&gt;"",'Raw Data'!B322,"")</f>
        <v/>
      </c>
      <c r="C335" s="2" t="str">
        <f>IF('Raw Data'!C322&lt;&gt;"",'Raw Data'!C322,"")</f>
        <v/>
      </c>
      <c r="D335" s="2" t="str">
        <f>IF('Raw Data'!D322&lt;&gt;"",'Raw Data'!D322,"")</f>
        <v/>
      </c>
      <c r="E335" s="2" t="str">
        <f>IF('Raw Data'!E322&lt;&gt;"",'Raw Data'!E322,"")</f>
        <v/>
      </c>
      <c r="F335" s="11" t="str">
        <f>IF('Raw Data'!A322&lt;&gt;"",AVERAGE('Raw Data'!F322,'Raw Data'!H322,'Raw Data'!J322,'Raw Data'!L322,'Raw Data'!N322),"")</f>
        <v/>
      </c>
      <c r="G335" s="11" t="str">
        <f>IF('Raw Data'!A322&lt;&gt;"",AVERAGE('Raw Data'!G322,'Raw Data'!I322,'Raw Data'!K322,'Raw Data'!M322,'Raw Data'!O322),"")</f>
        <v/>
      </c>
      <c r="H335" s="11" t="str">
        <f t="shared" si="47"/>
        <v/>
      </c>
      <c r="I335" s="11" t="str">
        <f>IF('Raw Data'!A322&lt;&gt;"",AVERAGE('Raw Data'!P322,'Raw Data'!R322,'Raw Data'!T322,'Raw Data'!V322,'Raw Data'!X322),"")</f>
        <v/>
      </c>
      <c r="J335" s="11" t="str">
        <f>IF('Raw Data'!A322&lt;&gt;"",AVERAGE('Raw Data'!Q322,'Raw Data'!S322,'Raw Data'!U322,'Raw Data'!W322,'Raw Data'!Y322),"")</f>
        <v/>
      </c>
      <c r="K335" s="11" t="str">
        <f t="shared" si="48"/>
        <v/>
      </c>
      <c r="L335" s="11" t="str">
        <f>IF('Raw Data'!A322&lt;&gt;"",AVERAGE('Raw Data'!Z322,'Raw Data'!AB322,'Raw Data'!AD322,'Raw Data'!AF322,'Raw Data'!AH322),"")</f>
        <v/>
      </c>
      <c r="M335" s="11" t="str">
        <f>IF('Raw Data'!A322&lt;&gt;"",AVERAGE('Raw Data'!AA322,'Raw Data'!AC322,'Raw Data'!AE322,'Raw Data'!AG322,'Raw Data'!AI322),"")</f>
        <v/>
      </c>
      <c r="N335" s="11" t="str">
        <f t="shared" si="49"/>
        <v/>
      </c>
      <c r="O335" s="11" t="str">
        <f>IF('Raw Data'!A322&lt;&gt;"",AVERAGE('Raw Data'!AJ322,'Raw Data'!AL322,'Raw Data'!AN322,'Raw Data'!AP322,'Raw Data'!AR322),"")</f>
        <v/>
      </c>
      <c r="P335" s="11" t="str">
        <f>IF('Raw Data'!A322&lt;&gt;"",AVERAGE('Raw Data'!AK322,'Raw Data'!AM322,'Raw Data'!AO322,'Raw Data'!AQ322,'Raw Data'!AS322),"")</f>
        <v/>
      </c>
      <c r="Q335" s="11" t="str">
        <f t="shared" si="50"/>
        <v/>
      </c>
      <c r="R335" s="11" t="str">
        <f>IF('Raw Data'!A322&lt;&gt;"",AVERAGE('Raw Data'!AT322,'Raw Data'!AV322,'Raw Data'!AX322,'Raw Data'!AZ322,'Raw Data'!BB322),"")</f>
        <v/>
      </c>
      <c r="S335" s="11" t="str">
        <f>IF('Raw Data'!A322&lt;&gt;"",AVERAGE('Raw Data'!AU322,'Raw Data'!AW322,'Raw Data'!AY322,'Raw Data'!BA322,'Raw Data'!BC322),"")</f>
        <v/>
      </c>
      <c r="T335" s="11" t="str">
        <f t="shared" si="51"/>
        <v/>
      </c>
      <c r="U335" s="11" t="str">
        <f>IF('Raw Data'!A322&lt;&gt;"",AVERAGE('Raw Data'!BD322,'Raw Data'!BF322,'Raw Data'!BH322,'Raw Data'!BJ322,'Raw Data'!BL322),"")</f>
        <v/>
      </c>
      <c r="V335" s="11" t="str">
        <f>IF('Raw Data'!A322&lt;&gt;"",AVERAGE('Raw Data'!BE322,'Raw Data'!BG322,'Raw Data'!BI322,'Raw Data'!BK322,'Raw Data'!BM322),"")</f>
        <v/>
      </c>
      <c r="W335" s="11" t="str">
        <f t="shared" si="52"/>
        <v/>
      </c>
      <c r="X335" s="11" t="str">
        <f t="shared" si="53"/>
        <v/>
      </c>
      <c r="Y335" s="11" t="str">
        <f t="shared" si="54"/>
        <v/>
      </c>
      <c r="Z335" s="11" t="str">
        <f t="shared" si="55"/>
        <v/>
      </c>
      <c r="AA335" s="11" t="str">
        <f t="shared" si="56"/>
        <v/>
      </c>
      <c r="AB335" s="24" t="str">
        <f t="shared" si="57"/>
        <v/>
      </c>
    </row>
    <row r="336" spans="1:28" x14ac:dyDescent="0.25">
      <c r="A336" s="10" t="str">
        <f>IF('Raw Data'!A323&lt;&gt;"",'Raw Data'!A323,"")</f>
        <v/>
      </c>
      <c r="B336" s="10" t="str">
        <f>IF('Raw Data'!B323&lt;&gt;"",'Raw Data'!B323,"")</f>
        <v/>
      </c>
      <c r="C336" s="10" t="str">
        <f>IF('Raw Data'!C323&lt;&gt;"",'Raw Data'!C323,"")</f>
        <v/>
      </c>
      <c r="D336" s="10" t="str">
        <f>IF('Raw Data'!D323&lt;&gt;"",'Raw Data'!D323,"")</f>
        <v/>
      </c>
      <c r="E336" s="10" t="str">
        <f>IF('Raw Data'!E323&lt;&gt;"",'Raw Data'!E323,"")</f>
        <v/>
      </c>
      <c r="F336" s="14" t="str">
        <f>IF('Raw Data'!A323&lt;&gt;"",AVERAGE('Raw Data'!F323,'Raw Data'!H323,'Raw Data'!J323,'Raw Data'!L323,'Raw Data'!N323),"")</f>
        <v/>
      </c>
      <c r="G336" s="14" t="str">
        <f>IF('Raw Data'!A323&lt;&gt;"",AVERAGE('Raw Data'!G323,'Raw Data'!I323,'Raw Data'!K323,'Raw Data'!M323,'Raw Data'!O323),"")</f>
        <v/>
      </c>
      <c r="H336" s="14" t="str">
        <f t="shared" si="47"/>
        <v/>
      </c>
      <c r="I336" s="14" t="str">
        <f>IF('Raw Data'!A323&lt;&gt;"",AVERAGE('Raw Data'!P323,'Raw Data'!R323,'Raw Data'!T323,'Raw Data'!V323,'Raw Data'!X323),"")</f>
        <v/>
      </c>
      <c r="J336" s="14" t="str">
        <f>IF('Raw Data'!A323&lt;&gt;"",AVERAGE('Raw Data'!Q323,'Raw Data'!S323,'Raw Data'!U323,'Raw Data'!W323,'Raw Data'!Y323),"")</f>
        <v/>
      </c>
      <c r="K336" s="14" t="str">
        <f t="shared" si="48"/>
        <v/>
      </c>
      <c r="L336" s="14" t="str">
        <f>IF('Raw Data'!A323&lt;&gt;"",AVERAGE('Raw Data'!Z323,'Raw Data'!AB323,'Raw Data'!AD323,'Raw Data'!AF323,'Raw Data'!AH323),"")</f>
        <v/>
      </c>
      <c r="M336" s="14" t="str">
        <f>IF('Raw Data'!A323&lt;&gt;"",AVERAGE('Raw Data'!AA323,'Raw Data'!AC323,'Raw Data'!AE323,'Raw Data'!AG323,'Raw Data'!AI323),"")</f>
        <v/>
      </c>
      <c r="N336" s="14" t="str">
        <f t="shared" si="49"/>
        <v/>
      </c>
      <c r="O336" s="14" t="str">
        <f>IF('Raw Data'!A323&lt;&gt;"",AVERAGE('Raw Data'!AJ323,'Raw Data'!AL323,'Raw Data'!AN323,'Raw Data'!AP323,'Raw Data'!AR323),"")</f>
        <v/>
      </c>
      <c r="P336" s="14" t="str">
        <f>IF('Raw Data'!A323&lt;&gt;"",AVERAGE('Raw Data'!AK323,'Raw Data'!AM323,'Raw Data'!AO323,'Raw Data'!AQ323,'Raw Data'!AS323),"")</f>
        <v/>
      </c>
      <c r="Q336" s="14" t="str">
        <f t="shared" si="50"/>
        <v/>
      </c>
      <c r="R336" s="14" t="str">
        <f>IF('Raw Data'!A323&lt;&gt;"",AVERAGE('Raw Data'!AT323,'Raw Data'!AV323,'Raw Data'!AX323,'Raw Data'!AZ323,'Raw Data'!BB323),"")</f>
        <v/>
      </c>
      <c r="S336" s="14" t="str">
        <f>IF('Raw Data'!A323&lt;&gt;"",AVERAGE('Raw Data'!AU323,'Raw Data'!AW323,'Raw Data'!AY323,'Raw Data'!BA323,'Raw Data'!BC323),"")</f>
        <v/>
      </c>
      <c r="T336" s="14" t="str">
        <f t="shared" si="51"/>
        <v/>
      </c>
      <c r="U336" s="14" t="str">
        <f>IF('Raw Data'!A323&lt;&gt;"",AVERAGE('Raw Data'!BD323,'Raw Data'!BF323,'Raw Data'!BH323,'Raw Data'!BJ323,'Raw Data'!BL323),"")</f>
        <v/>
      </c>
      <c r="V336" s="14" t="str">
        <f>IF('Raw Data'!A323&lt;&gt;"",AVERAGE('Raw Data'!BE323,'Raw Data'!BG323,'Raw Data'!BI323,'Raw Data'!BK323,'Raw Data'!BM323),"")</f>
        <v/>
      </c>
      <c r="W336" s="14" t="str">
        <f t="shared" si="52"/>
        <v/>
      </c>
      <c r="X336" s="14" t="str">
        <f t="shared" si="53"/>
        <v/>
      </c>
      <c r="Y336" s="14" t="str">
        <f t="shared" si="54"/>
        <v/>
      </c>
      <c r="Z336" s="14" t="str">
        <f t="shared" si="55"/>
        <v/>
      </c>
      <c r="AA336" s="14" t="str">
        <f t="shared" si="56"/>
        <v/>
      </c>
      <c r="AB336" s="25" t="str">
        <f t="shared" si="57"/>
        <v/>
      </c>
    </row>
    <row r="337" spans="1:28" x14ac:dyDescent="0.25">
      <c r="A337" s="2" t="str">
        <f>IF('Raw Data'!A324&lt;&gt;"",'Raw Data'!A324,"")</f>
        <v/>
      </c>
      <c r="B337" s="2" t="str">
        <f>IF('Raw Data'!B324&lt;&gt;"",'Raw Data'!B324,"")</f>
        <v/>
      </c>
      <c r="C337" s="2" t="str">
        <f>IF('Raw Data'!C324&lt;&gt;"",'Raw Data'!C324,"")</f>
        <v/>
      </c>
      <c r="D337" s="2" t="str">
        <f>IF('Raw Data'!D324&lt;&gt;"",'Raw Data'!D324,"")</f>
        <v/>
      </c>
      <c r="E337" s="2" t="str">
        <f>IF('Raw Data'!E324&lt;&gt;"",'Raw Data'!E324,"")</f>
        <v/>
      </c>
      <c r="F337" s="11" t="str">
        <f>IF('Raw Data'!A324&lt;&gt;"",AVERAGE('Raw Data'!F324,'Raw Data'!H324,'Raw Data'!J324,'Raw Data'!L324,'Raw Data'!N324),"")</f>
        <v/>
      </c>
      <c r="G337" s="11" t="str">
        <f>IF('Raw Data'!A324&lt;&gt;"",AVERAGE('Raw Data'!G324,'Raw Data'!I324,'Raw Data'!K324,'Raw Data'!M324,'Raw Data'!O324),"")</f>
        <v/>
      </c>
      <c r="H337" s="11" t="str">
        <f t="shared" ref="H337:H400" si="58">IF(F337&lt;&gt;"",F337-G337,"")</f>
        <v/>
      </c>
      <c r="I337" s="11" t="str">
        <f>IF('Raw Data'!A324&lt;&gt;"",AVERAGE('Raw Data'!P324,'Raw Data'!R324,'Raw Data'!T324,'Raw Data'!V324,'Raw Data'!X324),"")</f>
        <v/>
      </c>
      <c r="J337" s="11" t="str">
        <f>IF('Raw Data'!A324&lt;&gt;"",AVERAGE('Raw Data'!Q324,'Raw Data'!S324,'Raw Data'!U324,'Raw Data'!W324,'Raw Data'!Y324),"")</f>
        <v/>
      </c>
      <c r="K337" s="11" t="str">
        <f t="shared" ref="K337:K400" si="59">IF(I337&lt;&gt;"",I337-J337,"")</f>
        <v/>
      </c>
      <c r="L337" s="11" t="str">
        <f>IF('Raw Data'!A324&lt;&gt;"",AVERAGE('Raw Data'!Z324,'Raw Data'!AB324,'Raw Data'!AD324,'Raw Data'!AF324,'Raw Data'!AH324),"")</f>
        <v/>
      </c>
      <c r="M337" s="11" t="str">
        <f>IF('Raw Data'!A324&lt;&gt;"",AVERAGE('Raw Data'!AA324,'Raw Data'!AC324,'Raw Data'!AE324,'Raw Data'!AG324,'Raw Data'!AI324),"")</f>
        <v/>
      </c>
      <c r="N337" s="11" t="str">
        <f t="shared" ref="N337:N400" si="60">IF(L337&lt;&gt;"",L337-M337,"")</f>
        <v/>
      </c>
      <c r="O337" s="11" t="str">
        <f>IF('Raw Data'!A324&lt;&gt;"",AVERAGE('Raw Data'!AJ324,'Raw Data'!AL324,'Raw Data'!AN324,'Raw Data'!AP324,'Raw Data'!AR324),"")</f>
        <v/>
      </c>
      <c r="P337" s="11" t="str">
        <f>IF('Raw Data'!A324&lt;&gt;"",AVERAGE('Raw Data'!AK324,'Raw Data'!AM324,'Raw Data'!AO324,'Raw Data'!AQ324,'Raw Data'!AS324),"")</f>
        <v/>
      </c>
      <c r="Q337" s="11" t="str">
        <f t="shared" ref="Q337:Q400" si="61">IF(O337&lt;&gt;"",O337-P337,"")</f>
        <v/>
      </c>
      <c r="R337" s="11" t="str">
        <f>IF('Raw Data'!A324&lt;&gt;"",AVERAGE('Raw Data'!AT324,'Raw Data'!AV324,'Raw Data'!AX324,'Raw Data'!AZ324,'Raw Data'!BB324),"")</f>
        <v/>
      </c>
      <c r="S337" s="11" t="str">
        <f>IF('Raw Data'!A324&lt;&gt;"",AVERAGE('Raw Data'!AU324,'Raw Data'!AW324,'Raw Data'!AY324,'Raw Data'!BA324,'Raw Data'!BC324),"")</f>
        <v/>
      </c>
      <c r="T337" s="11" t="str">
        <f t="shared" ref="T337:T400" si="62">IF(R337&lt;&gt;"",R337-S337,"")</f>
        <v/>
      </c>
      <c r="U337" s="11" t="str">
        <f>IF('Raw Data'!A324&lt;&gt;"",AVERAGE('Raw Data'!BD324,'Raw Data'!BF324,'Raw Data'!BH324,'Raw Data'!BJ324,'Raw Data'!BL324),"")</f>
        <v/>
      </c>
      <c r="V337" s="11" t="str">
        <f>IF('Raw Data'!A324&lt;&gt;"",AVERAGE('Raw Data'!BE324,'Raw Data'!BG324,'Raw Data'!BI324,'Raw Data'!BK324,'Raw Data'!BM324),"")</f>
        <v/>
      </c>
      <c r="W337" s="11" t="str">
        <f t="shared" ref="W337:W400" si="63">IF(U337&lt;&gt;"",U337-V337,"")</f>
        <v/>
      </c>
      <c r="X337" s="11" t="str">
        <f t="shared" ref="X337:X400" si="64">IF(A337&lt;&gt;"",AVERAGE(F337,I337,L337,O337,R337,U337),"")</f>
        <v/>
      </c>
      <c r="Y337" s="11" t="str">
        <f t="shared" ref="Y337:Y400" si="65">IF(A337&lt;&gt;"",AVERAGE(G337,J337,M337,P337,S337,V337),"")</f>
        <v/>
      </c>
      <c r="Z337" s="11" t="str">
        <f t="shared" ref="Z337:Z400" si="66">IF(A337&lt;&gt;"",X337-Y337,"")</f>
        <v/>
      </c>
      <c r="AA337" s="11" t="str">
        <f t="shared" ref="AA337:AA400" si="67">IF(A337&lt;&gt;"",(K337*0.25)+(Q337*0.2)+(W337*0.2)+(H337*0.15)+(N337*0.1)+(T337*0.1),"")</f>
        <v/>
      </c>
      <c r="AB337" s="24" t="str">
        <f t="shared" ref="AB337:AB400" si="68">IF(A337&lt;&gt;"",(AA337*0.5)+(0.3*K337)+(0.2*Q337),"")</f>
        <v/>
      </c>
    </row>
    <row r="338" spans="1:28" x14ac:dyDescent="0.25">
      <c r="A338" s="10" t="str">
        <f>IF('Raw Data'!A325&lt;&gt;"",'Raw Data'!A325,"")</f>
        <v/>
      </c>
      <c r="B338" s="10" t="str">
        <f>IF('Raw Data'!B325&lt;&gt;"",'Raw Data'!B325,"")</f>
        <v/>
      </c>
      <c r="C338" s="10" t="str">
        <f>IF('Raw Data'!C325&lt;&gt;"",'Raw Data'!C325,"")</f>
        <v/>
      </c>
      <c r="D338" s="10" t="str">
        <f>IF('Raw Data'!D325&lt;&gt;"",'Raw Data'!D325,"")</f>
        <v/>
      </c>
      <c r="E338" s="10" t="str">
        <f>IF('Raw Data'!E325&lt;&gt;"",'Raw Data'!E325,"")</f>
        <v/>
      </c>
      <c r="F338" s="14" t="str">
        <f>IF('Raw Data'!A325&lt;&gt;"",AVERAGE('Raw Data'!F325,'Raw Data'!H325,'Raw Data'!J325,'Raw Data'!L325,'Raw Data'!N325),"")</f>
        <v/>
      </c>
      <c r="G338" s="14" t="str">
        <f>IF('Raw Data'!A325&lt;&gt;"",AVERAGE('Raw Data'!G325,'Raw Data'!I325,'Raw Data'!K325,'Raw Data'!M325,'Raw Data'!O325),"")</f>
        <v/>
      </c>
      <c r="H338" s="14" t="str">
        <f t="shared" si="58"/>
        <v/>
      </c>
      <c r="I338" s="14" t="str">
        <f>IF('Raw Data'!A325&lt;&gt;"",AVERAGE('Raw Data'!P325,'Raw Data'!R325,'Raw Data'!T325,'Raw Data'!V325,'Raw Data'!X325),"")</f>
        <v/>
      </c>
      <c r="J338" s="14" t="str">
        <f>IF('Raw Data'!A325&lt;&gt;"",AVERAGE('Raw Data'!Q325,'Raw Data'!S325,'Raw Data'!U325,'Raw Data'!W325,'Raw Data'!Y325),"")</f>
        <v/>
      </c>
      <c r="K338" s="14" t="str">
        <f t="shared" si="59"/>
        <v/>
      </c>
      <c r="L338" s="14" t="str">
        <f>IF('Raw Data'!A325&lt;&gt;"",AVERAGE('Raw Data'!Z325,'Raw Data'!AB325,'Raw Data'!AD325,'Raw Data'!AF325,'Raw Data'!AH325),"")</f>
        <v/>
      </c>
      <c r="M338" s="14" t="str">
        <f>IF('Raw Data'!A325&lt;&gt;"",AVERAGE('Raw Data'!AA325,'Raw Data'!AC325,'Raw Data'!AE325,'Raw Data'!AG325,'Raw Data'!AI325),"")</f>
        <v/>
      </c>
      <c r="N338" s="14" t="str">
        <f t="shared" si="60"/>
        <v/>
      </c>
      <c r="O338" s="14" t="str">
        <f>IF('Raw Data'!A325&lt;&gt;"",AVERAGE('Raw Data'!AJ325,'Raw Data'!AL325,'Raw Data'!AN325,'Raw Data'!AP325,'Raw Data'!AR325),"")</f>
        <v/>
      </c>
      <c r="P338" s="14" t="str">
        <f>IF('Raw Data'!A325&lt;&gt;"",AVERAGE('Raw Data'!AK325,'Raw Data'!AM325,'Raw Data'!AO325,'Raw Data'!AQ325,'Raw Data'!AS325),"")</f>
        <v/>
      </c>
      <c r="Q338" s="14" t="str">
        <f t="shared" si="61"/>
        <v/>
      </c>
      <c r="R338" s="14" t="str">
        <f>IF('Raw Data'!A325&lt;&gt;"",AVERAGE('Raw Data'!AT325,'Raw Data'!AV325,'Raw Data'!AX325,'Raw Data'!AZ325,'Raw Data'!BB325),"")</f>
        <v/>
      </c>
      <c r="S338" s="14" t="str">
        <f>IF('Raw Data'!A325&lt;&gt;"",AVERAGE('Raw Data'!AU325,'Raw Data'!AW325,'Raw Data'!AY325,'Raw Data'!BA325,'Raw Data'!BC325),"")</f>
        <v/>
      </c>
      <c r="T338" s="14" t="str">
        <f t="shared" si="62"/>
        <v/>
      </c>
      <c r="U338" s="14" t="str">
        <f>IF('Raw Data'!A325&lt;&gt;"",AVERAGE('Raw Data'!BD325,'Raw Data'!BF325,'Raw Data'!BH325,'Raw Data'!BJ325,'Raw Data'!BL325),"")</f>
        <v/>
      </c>
      <c r="V338" s="14" t="str">
        <f>IF('Raw Data'!A325&lt;&gt;"",AVERAGE('Raw Data'!BE325,'Raw Data'!BG325,'Raw Data'!BI325,'Raw Data'!BK325,'Raw Data'!BM325),"")</f>
        <v/>
      </c>
      <c r="W338" s="14" t="str">
        <f t="shared" si="63"/>
        <v/>
      </c>
      <c r="X338" s="14" t="str">
        <f t="shared" si="64"/>
        <v/>
      </c>
      <c r="Y338" s="14" t="str">
        <f t="shared" si="65"/>
        <v/>
      </c>
      <c r="Z338" s="14" t="str">
        <f t="shared" si="66"/>
        <v/>
      </c>
      <c r="AA338" s="14" t="str">
        <f t="shared" si="67"/>
        <v/>
      </c>
      <c r="AB338" s="25" t="str">
        <f t="shared" si="68"/>
        <v/>
      </c>
    </row>
    <row r="339" spans="1:28" x14ac:dyDescent="0.25">
      <c r="A339" s="2" t="str">
        <f>IF('Raw Data'!A326&lt;&gt;"",'Raw Data'!A326,"")</f>
        <v/>
      </c>
      <c r="B339" s="2" t="str">
        <f>IF('Raw Data'!B326&lt;&gt;"",'Raw Data'!B326,"")</f>
        <v/>
      </c>
      <c r="C339" s="2" t="str">
        <f>IF('Raw Data'!C326&lt;&gt;"",'Raw Data'!C326,"")</f>
        <v/>
      </c>
      <c r="D339" s="2" t="str">
        <f>IF('Raw Data'!D326&lt;&gt;"",'Raw Data'!D326,"")</f>
        <v/>
      </c>
      <c r="E339" s="2" t="str">
        <f>IF('Raw Data'!E326&lt;&gt;"",'Raw Data'!E326,"")</f>
        <v/>
      </c>
      <c r="F339" s="11" t="str">
        <f>IF('Raw Data'!A326&lt;&gt;"",AVERAGE('Raw Data'!F326,'Raw Data'!H326,'Raw Data'!J326,'Raw Data'!L326,'Raw Data'!N326),"")</f>
        <v/>
      </c>
      <c r="G339" s="11" t="str">
        <f>IF('Raw Data'!A326&lt;&gt;"",AVERAGE('Raw Data'!G326,'Raw Data'!I326,'Raw Data'!K326,'Raw Data'!M326,'Raw Data'!O326),"")</f>
        <v/>
      </c>
      <c r="H339" s="11" t="str">
        <f t="shared" si="58"/>
        <v/>
      </c>
      <c r="I339" s="11" t="str">
        <f>IF('Raw Data'!A326&lt;&gt;"",AVERAGE('Raw Data'!P326,'Raw Data'!R326,'Raw Data'!T326,'Raw Data'!V326,'Raw Data'!X326),"")</f>
        <v/>
      </c>
      <c r="J339" s="11" t="str">
        <f>IF('Raw Data'!A326&lt;&gt;"",AVERAGE('Raw Data'!Q326,'Raw Data'!S326,'Raw Data'!U326,'Raw Data'!W326,'Raw Data'!Y326),"")</f>
        <v/>
      </c>
      <c r="K339" s="11" t="str">
        <f t="shared" si="59"/>
        <v/>
      </c>
      <c r="L339" s="11" t="str">
        <f>IF('Raw Data'!A326&lt;&gt;"",AVERAGE('Raw Data'!Z326,'Raw Data'!AB326,'Raw Data'!AD326,'Raw Data'!AF326,'Raw Data'!AH326),"")</f>
        <v/>
      </c>
      <c r="M339" s="11" t="str">
        <f>IF('Raw Data'!A326&lt;&gt;"",AVERAGE('Raw Data'!AA326,'Raw Data'!AC326,'Raw Data'!AE326,'Raw Data'!AG326,'Raw Data'!AI326),"")</f>
        <v/>
      </c>
      <c r="N339" s="11" t="str">
        <f t="shared" si="60"/>
        <v/>
      </c>
      <c r="O339" s="11" t="str">
        <f>IF('Raw Data'!A326&lt;&gt;"",AVERAGE('Raw Data'!AJ326,'Raw Data'!AL326,'Raw Data'!AN326,'Raw Data'!AP326,'Raw Data'!AR326),"")</f>
        <v/>
      </c>
      <c r="P339" s="11" t="str">
        <f>IF('Raw Data'!A326&lt;&gt;"",AVERAGE('Raw Data'!AK326,'Raw Data'!AM326,'Raw Data'!AO326,'Raw Data'!AQ326,'Raw Data'!AS326),"")</f>
        <v/>
      </c>
      <c r="Q339" s="11" t="str">
        <f t="shared" si="61"/>
        <v/>
      </c>
      <c r="R339" s="11" t="str">
        <f>IF('Raw Data'!A326&lt;&gt;"",AVERAGE('Raw Data'!AT326,'Raw Data'!AV326,'Raw Data'!AX326,'Raw Data'!AZ326,'Raw Data'!BB326),"")</f>
        <v/>
      </c>
      <c r="S339" s="11" t="str">
        <f>IF('Raw Data'!A326&lt;&gt;"",AVERAGE('Raw Data'!AU326,'Raw Data'!AW326,'Raw Data'!AY326,'Raw Data'!BA326,'Raw Data'!BC326),"")</f>
        <v/>
      </c>
      <c r="T339" s="11" t="str">
        <f t="shared" si="62"/>
        <v/>
      </c>
      <c r="U339" s="11" t="str">
        <f>IF('Raw Data'!A326&lt;&gt;"",AVERAGE('Raw Data'!BD326,'Raw Data'!BF326,'Raw Data'!BH326,'Raw Data'!BJ326,'Raw Data'!BL326),"")</f>
        <v/>
      </c>
      <c r="V339" s="11" t="str">
        <f>IF('Raw Data'!A326&lt;&gt;"",AVERAGE('Raw Data'!BE326,'Raw Data'!BG326,'Raw Data'!BI326,'Raw Data'!BK326,'Raw Data'!BM326),"")</f>
        <v/>
      </c>
      <c r="W339" s="11" t="str">
        <f t="shared" si="63"/>
        <v/>
      </c>
      <c r="X339" s="11" t="str">
        <f t="shared" si="64"/>
        <v/>
      </c>
      <c r="Y339" s="11" t="str">
        <f t="shared" si="65"/>
        <v/>
      </c>
      <c r="Z339" s="11" t="str">
        <f t="shared" si="66"/>
        <v/>
      </c>
      <c r="AA339" s="11" t="str">
        <f t="shared" si="67"/>
        <v/>
      </c>
      <c r="AB339" s="24" t="str">
        <f t="shared" si="68"/>
        <v/>
      </c>
    </row>
    <row r="340" spans="1:28" x14ac:dyDescent="0.25">
      <c r="A340" s="10" t="str">
        <f>IF('Raw Data'!A327&lt;&gt;"",'Raw Data'!A327,"")</f>
        <v/>
      </c>
      <c r="B340" s="10" t="str">
        <f>IF('Raw Data'!B327&lt;&gt;"",'Raw Data'!B327,"")</f>
        <v/>
      </c>
      <c r="C340" s="10" t="str">
        <f>IF('Raw Data'!C327&lt;&gt;"",'Raw Data'!C327,"")</f>
        <v/>
      </c>
      <c r="D340" s="10" t="str">
        <f>IF('Raw Data'!D327&lt;&gt;"",'Raw Data'!D327,"")</f>
        <v/>
      </c>
      <c r="E340" s="10" t="str">
        <f>IF('Raw Data'!E327&lt;&gt;"",'Raw Data'!E327,"")</f>
        <v/>
      </c>
      <c r="F340" s="14" t="str">
        <f>IF('Raw Data'!A327&lt;&gt;"",AVERAGE('Raw Data'!F327,'Raw Data'!H327,'Raw Data'!J327,'Raw Data'!L327,'Raw Data'!N327),"")</f>
        <v/>
      </c>
      <c r="G340" s="14" t="str">
        <f>IF('Raw Data'!A327&lt;&gt;"",AVERAGE('Raw Data'!G327,'Raw Data'!I327,'Raw Data'!K327,'Raw Data'!M327,'Raw Data'!O327),"")</f>
        <v/>
      </c>
      <c r="H340" s="14" t="str">
        <f t="shared" si="58"/>
        <v/>
      </c>
      <c r="I340" s="14" t="str">
        <f>IF('Raw Data'!A327&lt;&gt;"",AVERAGE('Raw Data'!P327,'Raw Data'!R327,'Raw Data'!T327,'Raw Data'!V327,'Raw Data'!X327),"")</f>
        <v/>
      </c>
      <c r="J340" s="14" t="str">
        <f>IF('Raw Data'!A327&lt;&gt;"",AVERAGE('Raw Data'!Q327,'Raw Data'!S327,'Raw Data'!U327,'Raw Data'!W327,'Raw Data'!Y327),"")</f>
        <v/>
      </c>
      <c r="K340" s="14" t="str">
        <f t="shared" si="59"/>
        <v/>
      </c>
      <c r="L340" s="14" t="str">
        <f>IF('Raw Data'!A327&lt;&gt;"",AVERAGE('Raw Data'!Z327,'Raw Data'!AB327,'Raw Data'!AD327,'Raw Data'!AF327,'Raw Data'!AH327),"")</f>
        <v/>
      </c>
      <c r="M340" s="14" t="str">
        <f>IF('Raw Data'!A327&lt;&gt;"",AVERAGE('Raw Data'!AA327,'Raw Data'!AC327,'Raw Data'!AE327,'Raw Data'!AG327,'Raw Data'!AI327),"")</f>
        <v/>
      </c>
      <c r="N340" s="14" t="str">
        <f t="shared" si="60"/>
        <v/>
      </c>
      <c r="O340" s="14" t="str">
        <f>IF('Raw Data'!A327&lt;&gt;"",AVERAGE('Raw Data'!AJ327,'Raw Data'!AL327,'Raw Data'!AN327,'Raw Data'!AP327,'Raw Data'!AR327),"")</f>
        <v/>
      </c>
      <c r="P340" s="14" t="str">
        <f>IF('Raw Data'!A327&lt;&gt;"",AVERAGE('Raw Data'!AK327,'Raw Data'!AM327,'Raw Data'!AO327,'Raw Data'!AQ327,'Raw Data'!AS327),"")</f>
        <v/>
      </c>
      <c r="Q340" s="14" t="str">
        <f t="shared" si="61"/>
        <v/>
      </c>
      <c r="R340" s="14" t="str">
        <f>IF('Raw Data'!A327&lt;&gt;"",AVERAGE('Raw Data'!AT327,'Raw Data'!AV327,'Raw Data'!AX327,'Raw Data'!AZ327,'Raw Data'!BB327),"")</f>
        <v/>
      </c>
      <c r="S340" s="14" t="str">
        <f>IF('Raw Data'!A327&lt;&gt;"",AVERAGE('Raw Data'!AU327,'Raw Data'!AW327,'Raw Data'!AY327,'Raw Data'!BA327,'Raw Data'!BC327),"")</f>
        <v/>
      </c>
      <c r="T340" s="14" t="str">
        <f t="shared" si="62"/>
        <v/>
      </c>
      <c r="U340" s="14" t="str">
        <f>IF('Raw Data'!A327&lt;&gt;"",AVERAGE('Raw Data'!BD327,'Raw Data'!BF327,'Raw Data'!BH327,'Raw Data'!BJ327,'Raw Data'!BL327),"")</f>
        <v/>
      </c>
      <c r="V340" s="14" t="str">
        <f>IF('Raw Data'!A327&lt;&gt;"",AVERAGE('Raw Data'!BE327,'Raw Data'!BG327,'Raw Data'!BI327,'Raw Data'!BK327,'Raw Data'!BM327),"")</f>
        <v/>
      </c>
      <c r="W340" s="14" t="str">
        <f t="shared" si="63"/>
        <v/>
      </c>
      <c r="X340" s="14" t="str">
        <f t="shared" si="64"/>
        <v/>
      </c>
      <c r="Y340" s="14" t="str">
        <f t="shared" si="65"/>
        <v/>
      </c>
      <c r="Z340" s="14" t="str">
        <f t="shared" si="66"/>
        <v/>
      </c>
      <c r="AA340" s="14" t="str">
        <f t="shared" si="67"/>
        <v/>
      </c>
      <c r="AB340" s="25" t="str">
        <f t="shared" si="68"/>
        <v/>
      </c>
    </row>
    <row r="341" spans="1:28" x14ac:dyDescent="0.25">
      <c r="A341" s="2" t="str">
        <f>IF('Raw Data'!A328&lt;&gt;"",'Raw Data'!A328,"")</f>
        <v/>
      </c>
      <c r="B341" s="2" t="str">
        <f>IF('Raw Data'!B328&lt;&gt;"",'Raw Data'!B328,"")</f>
        <v/>
      </c>
      <c r="C341" s="2" t="str">
        <f>IF('Raw Data'!C328&lt;&gt;"",'Raw Data'!C328,"")</f>
        <v/>
      </c>
      <c r="D341" s="2" t="str">
        <f>IF('Raw Data'!D328&lt;&gt;"",'Raw Data'!D328,"")</f>
        <v/>
      </c>
      <c r="E341" s="2" t="str">
        <f>IF('Raw Data'!E328&lt;&gt;"",'Raw Data'!E328,"")</f>
        <v/>
      </c>
      <c r="F341" s="11" t="str">
        <f>IF('Raw Data'!A328&lt;&gt;"",AVERAGE('Raw Data'!F328,'Raw Data'!H328,'Raw Data'!J328,'Raw Data'!L328,'Raw Data'!N328),"")</f>
        <v/>
      </c>
      <c r="G341" s="11" t="str">
        <f>IF('Raw Data'!A328&lt;&gt;"",AVERAGE('Raw Data'!G328,'Raw Data'!I328,'Raw Data'!K328,'Raw Data'!M328,'Raw Data'!O328),"")</f>
        <v/>
      </c>
      <c r="H341" s="11" t="str">
        <f t="shared" si="58"/>
        <v/>
      </c>
      <c r="I341" s="11" t="str">
        <f>IF('Raw Data'!A328&lt;&gt;"",AVERAGE('Raw Data'!P328,'Raw Data'!R328,'Raw Data'!T328,'Raw Data'!V328,'Raw Data'!X328),"")</f>
        <v/>
      </c>
      <c r="J341" s="11" t="str">
        <f>IF('Raw Data'!A328&lt;&gt;"",AVERAGE('Raw Data'!Q328,'Raw Data'!S328,'Raw Data'!U328,'Raw Data'!W328,'Raw Data'!Y328),"")</f>
        <v/>
      </c>
      <c r="K341" s="11" t="str">
        <f t="shared" si="59"/>
        <v/>
      </c>
      <c r="L341" s="11" t="str">
        <f>IF('Raw Data'!A328&lt;&gt;"",AVERAGE('Raw Data'!Z328,'Raw Data'!AB328,'Raw Data'!AD328,'Raw Data'!AF328,'Raw Data'!AH328),"")</f>
        <v/>
      </c>
      <c r="M341" s="11" t="str">
        <f>IF('Raw Data'!A328&lt;&gt;"",AVERAGE('Raw Data'!AA328,'Raw Data'!AC328,'Raw Data'!AE328,'Raw Data'!AG328,'Raw Data'!AI328),"")</f>
        <v/>
      </c>
      <c r="N341" s="11" t="str">
        <f t="shared" si="60"/>
        <v/>
      </c>
      <c r="O341" s="11" t="str">
        <f>IF('Raw Data'!A328&lt;&gt;"",AVERAGE('Raw Data'!AJ328,'Raw Data'!AL328,'Raw Data'!AN328,'Raw Data'!AP328,'Raw Data'!AR328),"")</f>
        <v/>
      </c>
      <c r="P341" s="11" t="str">
        <f>IF('Raw Data'!A328&lt;&gt;"",AVERAGE('Raw Data'!AK328,'Raw Data'!AM328,'Raw Data'!AO328,'Raw Data'!AQ328,'Raw Data'!AS328),"")</f>
        <v/>
      </c>
      <c r="Q341" s="11" t="str">
        <f t="shared" si="61"/>
        <v/>
      </c>
      <c r="R341" s="11" t="str">
        <f>IF('Raw Data'!A328&lt;&gt;"",AVERAGE('Raw Data'!AT328,'Raw Data'!AV328,'Raw Data'!AX328,'Raw Data'!AZ328,'Raw Data'!BB328),"")</f>
        <v/>
      </c>
      <c r="S341" s="11" t="str">
        <f>IF('Raw Data'!A328&lt;&gt;"",AVERAGE('Raw Data'!AU328,'Raw Data'!AW328,'Raw Data'!AY328,'Raw Data'!BA328,'Raw Data'!BC328),"")</f>
        <v/>
      </c>
      <c r="T341" s="11" t="str">
        <f t="shared" si="62"/>
        <v/>
      </c>
      <c r="U341" s="11" t="str">
        <f>IF('Raw Data'!A328&lt;&gt;"",AVERAGE('Raw Data'!BD328,'Raw Data'!BF328,'Raw Data'!BH328,'Raw Data'!BJ328,'Raw Data'!BL328),"")</f>
        <v/>
      </c>
      <c r="V341" s="11" t="str">
        <f>IF('Raw Data'!A328&lt;&gt;"",AVERAGE('Raw Data'!BE328,'Raw Data'!BG328,'Raw Data'!BI328,'Raw Data'!BK328,'Raw Data'!BM328),"")</f>
        <v/>
      </c>
      <c r="W341" s="11" t="str">
        <f t="shared" si="63"/>
        <v/>
      </c>
      <c r="X341" s="11" t="str">
        <f t="shared" si="64"/>
        <v/>
      </c>
      <c r="Y341" s="11" t="str">
        <f t="shared" si="65"/>
        <v/>
      </c>
      <c r="Z341" s="11" t="str">
        <f t="shared" si="66"/>
        <v/>
      </c>
      <c r="AA341" s="11" t="str">
        <f t="shared" si="67"/>
        <v/>
      </c>
      <c r="AB341" s="24" t="str">
        <f t="shared" si="68"/>
        <v/>
      </c>
    </row>
    <row r="342" spans="1:28" x14ac:dyDescent="0.25">
      <c r="A342" s="10" t="str">
        <f>IF('Raw Data'!A329&lt;&gt;"",'Raw Data'!A329,"")</f>
        <v/>
      </c>
      <c r="B342" s="10" t="str">
        <f>IF('Raw Data'!B329&lt;&gt;"",'Raw Data'!B329,"")</f>
        <v/>
      </c>
      <c r="C342" s="10" t="str">
        <f>IF('Raw Data'!C329&lt;&gt;"",'Raw Data'!C329,"")</f>
        <v/>
      </c>
      <c r="D342" s="10" t="str">
        <f>IF('Raw Data'!D329&lt;&gt;"",'Raw Data'!D329,"")</f>
        <v/>
      </c>
      <c r="E342" s="10" t="str">
        <f>IF('Raw Data'!E329&lt;&gt;"",'Raw Data'!E329,"")</f>
        <v/>
      </c>
      <c r="F342" s="14" t="str">
        <f>IF('Raw Data'!A329&lt;&gt;"",AVERAGE('Raw Data'!F329,'Raw Data'!H329,'Raw Data'!J329,'Raw Data'!L329,'Raw Data'!N329),"")</f>
        <v/>
      </c>
      <c r="G342" s="14" t="str">
        <f>IF('Raw Data'!A329&lt;&gt;"",AVERAGE('Raw Data'!G329,'Raw Data'!I329,'Raw Data'!K329,'Raw Data'!M329,'Raw Data'!O329),"")</f>
        <v/>
      </c>
      <c r="H342" s="14" t="str">
        <f t="shared" si="58"/>
        <v/>
      </c>
      <c r="I342" s="14" t="str">
        <f>IF('Raw Data'!A329&lt;&gt;"",AVERAGE('Raw Data'!P329,'Raw Data'!R329,'Raw Data'!T329,'Raw Data'!V329,'Raw Data'!X329),"")</f>
        <v/>
      </c>
      <c r="J342" s="14" t="str">
        <f>IF('Raw Data'!A329&lt;&gt;"",AVERAGE('Raw Data'!Q329,'Raw Data'!S329,'Raw Data'!U329,'Raw Data'!W329,'Raw Data'!Y329),"")</f>
        <v/>
      </c>
      <c r="K342" s="14" t="str">
        <f t="shared" si="59"/>
        <v/>
      </c>
      <c r="L342" s="14" t="str">
        <f>IF('Raw Data'!A329&lt;&gt;"",AVERAGE('Raw Data'!Z329,'Raw Data'!AB329,'Raw Data'!AD329,'Raw Data'!AF329,'Raw Data'!AH329),"")</f>
        <v/>
      </c>
      <c r="M342" s="14" t="str">
        <f>IF('Raw Data'!A329&lt;&gt;"",AVERAGE('Raw Data'!AA329,'Raw Data'!AC329,'Raw Data'!AE329,'Raw Data'!AG329,'Raw Data'!AI329),"")</f>
        <v/>
      </c>
      <c r="N342" s="14" t="str">
        <f t="shared" si="60"/>
        <v/>
      </c>
      <c r="O342" s="14" t="str">
        <f>IF('Raw Data'!A329&lt;&gt;"",AVERAGE('Raw Data'!AJ329,'Raw Data'!AL329,'Raw Data'!AN329,'Raw Data'!AP329,'Raw Data'!AR329),"")</f>
        <v/>
      </c>
      <c r="P342" s="14" t="str">
        <f>IF('Raw Data'!A329&lt;&gt;"",AVERAGE('Raw Data'!AK329,'Raw Data'!AM329,'Raw Data'!AO329,'Raw Data'!AQ329,'Raw Data'!AS329),"")</f>
        <v/>
      </c>
      <c r="Q342" s="14" t="str">
        <f t="shared" si="61"/>
        <v/>
      </c>
      <c r="R342" s="14" t="str">
        <f>IF('Raw Data'!A329&lt;&gt;"",AVERAGE('Raw Data'!AT329,'Raw Data'!AV329,'Raw Data'!AX329,'Raw Data'!AZ329,'Raw Data'!BB329),"")</f>
        <v/>
      </c>
      <c r="S342" s="14" t="str">
        <f>IF('Raw Data'!A329&lt;&gt;"",AVERAGE('Raw Data'!AU329,'Raw Data'!AW329,'Raw Data'!AY329,'Raw Data'!BA329,'Raw Data'!BC329),"")</f>
        <v/>
      </c>
      <c r="T342" s="14" t="str">
        <f t="shared" si="62"/>
        <v/>
      </c>
      <c r="U342" s="14" t="str">
        <f>IF('Raw Data'!A329&lt;&gt;"",AVERAGE('Raw Data'!BD329,'Raw Data'!BF329,'Raw Data'!BH329,'Raw Data'!BJ329,'Raw Data'!BL329),"")</f>
        <v/>
      </c>
      <c r="V342" s="14" t="str">
        <f>IF('Raw Data'!A329&lt;&gt;"",AVERAGE('Raw Data'!BE329,'Raw Data'!BG329,'Raw Data'!BI329,'Raw Data'!BK329,'Raw Data'!BM329),"")</f>
        <v/>
      </c>
      <c r="W342" s="14" t="str">
        <f t="shared" si="63"/>
        <v/>
      </c>
      <c r="X342" s="14" t="str">
        <f t="shared" si="64"/>
        <v/>
      </c>
      <c r="Y342" s="14" t="str">
        <f t="shared" si="65"/>
        <v/>
      </c>
      <c r="Z342" s="14" t="str">
        <f t="shared" si="66"/>
        <v/>
      </c>
      <c r="AA342" s="14" t="str">
        <f t="shared" si="67"/>
        <v/>
      </c>
      <c r="AB342" s="25" t="str">
        <f t="shared" si="68"/>
        <v/>
      </c>
    </row>
    <row r="343" spans="1:28" x14ac:dyDescent="0.25">
      <c r="A343" s="2" t="str">
        <f>IF('Raw Data'!A330&lt;&gt;"",'Raw Data'!A330,"")</f>
        <v/>
      </c>
      <c r="B343" s="2" t="str">
        <f>IF('Raw Data'!B330&lt;&gt;"",'Raw Data'!B330,"")</f>
        <v/>
      </c>
      <c r="C343" s="2" t="str">
        <f>IF('Raw Data'!C330&lt;&gt;"",'Raw Data'!C330,"")</f>
        <v/>
      </c>
      <c r="D343" s="2" t="str">
        <f>IF('Raw Data'!D330&lt;&gt;"",'Raw Data'!D330,"")</f>
        <v/>
      </c>
      <c r="E343" s="2" t="str">
        <f>IF('Raw Data'!E330&lt;&gt;"",'Raw Data'!E330,"")</f>
        <v/>
      </c>
      <c r="F343" s="11" t="str">
        <f>IF('Raw Data'!A330&lt;&gt;"",AVERAGE('Raw Data'!F330,'Raw Data'!H330,'Raw Data'!J330,'Raw Data'!L330,'Raw Data'!N330),"")</f>
        <v/>
      </c>
      <c r="G343" s="11" t="str">
        <f>IF('Raw Data'!A330&lt;&gt;"",AVERAGE('Raw Data'!G330,'Raw Data'!I330,'Raw Data'!K330,'Raw Data'!M330,'Raw Data'!O330),"")</f>
        <v/>
      </c>
      <c r="H343" s="11" t="str">
        <f t="shared" si="58"/>
        <v/>
      </c>
      <c r="I343" s="11" t="str">
        <f>IF('Raw Data'!A330&lt;&gt;"",AVERAGE('Raw Data'!P330,'Raw Data'!R330,'Raw Data'!T330,'Raw Data'!V330,'Raw Data'!X330),"")</f>
        <v/>
      </c>
      <c r="J343" s="11" t="str">
        <f>IF('Raw Data'!A330&lt;&gt;"",AVERAGE('Raw Data'!Q330,'Raw Data'!S330,'Raw Data'!U330,'Raw Data'!W330,'Raw Data'!Y330),"")</f>
        <v/>
      </c>
      <c r="K343" s="11" t="str">
        <f t="shared" si="59"/>
        <v/>
      </c>
      <c r="L343" s="11" t="str">
        <f>IF('Raw Data'!A330&lt;&gt;"",AVERAGE('Raw Data'!Z330,'Raw Data'!AB330,'Raw Data'!AD330,'Raw Data'!AF330,'Raw Data'!AH330),"")</f>
        <v/>
      </c>
      <c r="M343" s="11" t="str">
        <f>IF('Raw Data'!A330&lt;&gt;"",AVERAGE('Raw Data'!AA330,'Raw Data'!AC330,'Raw Data'!AE330,'Raw Data'!AG330,'Raw Data'!AI330),"")</f>
        <v/>
      </c>
      <c r="N343" s="11" t="str">
        <f t="shared" si="60"/>
        <v/>
      </c>
      <c r="O343" s="11" t="str">
        <f>IF('Raw Data'!A330&lt;&gt;"",AVERAGE('Raw Data'!AJ330,'Raw Data'!AL330,'Raw Data'!AN330,'Raw Data'!AP330,'Raw Data'!AR330),"")</f>
        <v/>
      </c>
      <c r="P343" s="11" t="str">
        <f>IF('Raw Data'!A330&lt;&gt;"",AVERAGE('Raw Data'!AK330,'Raw Data'!AM330,'Raw Data'!AO330,'Raw Data'!AQ330,'Raw Data'!AS330),"")</f>
        <v/>
      </c>
      <c r="Q343" s="11" t="str">
        <f t="shared" si="61"/>
        <v/>
      </c>
      <c r="R343" s="11" t="str">
        <f>IF('Raw Data'!A330&lt;&gt;"",AVERAGE('Raw Data'!AT330,'Raw Data'!AV330,'Raw Data'!AX330,'Raw Data'!AZ330,'Raw Data'!BB330),"")</f>
        <v/>
      </c>
      <c r="S343" s="11" t="str">
        <f>IF('Raw Data'!A330&lt;&gt;"",AVERAGE('Raw Data'!AU330,'Raw Data'!AW330,'Raw Data'!AY330,'Raw Data'!BA330,'Raw Data'!BC330),"")</f>
        <v/>
      </c>
      <c r="T343" s="11" t="str">
        <f t="shared" si="62"/>
        <v/>
      </c>
      <c r="U343" s="11" t="str">
        <f>IF('Raw Data'!A330&lt;&gt;"",AVERAGE('Raw Data'!BD330,'Raw Data'!BF330,'Raw Data'!BH330,'Raw Data'!BJ330,'Raw Data'!BL330),"")</f>
        <v/>
      </c>
      <c r="V343" s="11" t="str">
        <f>IF('Raw Data'!A330&lt;&gt;"",AVERAGE('Raw Data'!BE330,'Raw Data'!BG330,'Raw Data'!BI330,'Raw Data'!BK330,'Raw Data'!BM330),"")</f>
        <v/>
      </c>
      <c r="W343" s="11" t="str">
        <f t="shared" si="63"/>
        <v/>
      </c>
      <c r="X343" s="11" t="str">
        <f t="shared" si="64"/>
        <v/>
      </c>
      <c r="Y343" s="11" t="str">
        <f t="shared" si="65"/>
        <v/>
      </c>
      <c r="Z343" s="11" t="str">
        <f t="shared" si="66"/>
        <v/>
      </c>
      <c r="AA343" s="11" t="str">
        <f t="shared" si="67"/>
        <v/>
      </c>
      <c r="AB343" s="24" t="str">
        <f t="shared" si="68"/>
        <v/>
      </c>
    </row>
    <row r="344" spans="1:28" x14ac:dyDescent="0.25">
      <c r="A344" s="10" t="str">
        <f>IF('Raw Data'!A331&lt;&gt;"",'Raw Data'!A331,"")</f>
        <v/>
      </c>
      <c r="B344" s="10" t="str">
        <f>IF('Raw Data'!B331&lt;&gt;"",'Raw Data'!B331,"")</f>
        <v/>
      </c>
      <c r="C344" s="10" t="str">
        <f>IF('Raw Data'!C331&lt;&gt;"",'Raw Data'!C331,"")</f>
        <v/>
      </c>
      <c r="D344" s="10" t="str">
        <f>IF('Raw Data'!D331&lt;&gt;"",'Raw Data'!D331,"")</f>
        <v/>
      </c>
      <c r="E344" s="10" t="str">
        <f>IF('Raw Data'!E331&lt;&gt;"",'Raw Data'!E331,"")</f>
        <v/>
      </c>
      <c r="F344" s="14" t="str">
        <f>IF('Raw Data'!A331&lt;&gt;"",AVERAGE('Raw Data'!F331,'Raw Data'!H331,'Raw Data'!J331,'Raw Data'!L331,'Raw Data'!N331),"")</f>
        <v/>
      </c>
      <c r="G344" s="14" t="str">
        <f>IF('Raw Data'!A331&lt;&gt;"",AVERAGE('Raw Data'!G331,'Raw Data'!I331,'Raw Data'!K331,'Raw Data'!M331,'Raw Data'!O331),"")</f>
        <v/>
      </c>
      <c r="H344" s="14" t="str">
        <f t="shared" si="58"/>
        <v/>
      </c>
      <c r="I344" s="14" t="str">
        <f>IF('Raw Data'!A331&lt;&gt;"",AVERAGE('Raw Data'!P331,'Raw Data'!R331,'Raw Data'!T331,'Raw Data'!V331,'Raw Data'!X331),"")</f>
        <v/>
      </c>
      <c r="J344" s="14" t="str">
        <f>IF('Raw Data'!A331&lt;&gt;"",AVERAGE('Raw Data'!Q331,'Raw Data'!S331,'Raw Data'!U331,'Raw Data'!W331,'Raw Data'!Y331),"")</f>
        <v/>
      </c>
      <c r="K344" s="14" t="str">
        <f t="shared" si="59"/>
        <v/>
      </c>
      <c r="L344" s="14" t="str">
        <f>IF('Raw Data'!A331&lt;&gt;"",AVERAGE('Raw Data'!Z331,'Raw Data'!AB331,'Raw Data'!AD331,'Raw Data'!AF331,'Raw Data'!AH331),"")</f>
        <v/>
      </c>
      <c r="M344" s="14" t="str">
        <f>IF('Raw Data'!A331&lt;&gt;"",AVERAGE('Raw Data'!AA331,'Raw Data'!AC331,'Raw Data'!AE331,'Raw Data'!AG331,'Raw Data'!AI331),"")</f>
        <v/>
      </c>
      <c r="N344" s="14" t="str">
        <f t="shared" si="60"/>
        <v/>
      </c>
      <c r="O344" s="14" t="str">
        <f>IF('Raw Data'!A331&lt;&gt;"",AVERAGE('Raw Data'!AJ331,'Raw Data'!AL331,'Raw Data'!AN331,'Raw Data'!AP331,'Raw Data'!AR331),"")</f>
        <v/>
      </c>
      <c r="P344" s="14" t="str">
        <f>IF('Raw Data'!A331&lt;&gt;"",AVERAGE('Raw Data'!AK331,'Raw Data'!AM331,'Raw Data'!AO331,'Raw Data'!AQ331,'Raw Data'!AS331),"")</f>
        <v/>
      </c>
      <c r="Q344" s="14" t="str">
        <f t="shared" si="61"/>
        <v/>
      </c>
      <c r="R344" s="14" t="str">
        <f>IF('Raw Data'!A331&lt;&gt;"",AVERAGE('Raw Data'!AT331,'Raw Data'!AV331,'Raw Data'!AX331,'Raw Data'!AZ331,'Raw Data'!BB331),"")</f>
        <v/>
      </c>
      <c r="S344" s="14" t="str">
        <f>IF('Raw Data'!A331&lt;&gt;"",AVERAGE('Raw Data'!AU331,'Raw Data'!AW331,'Raw Data'!AY331,'Raw Data'!BA331,'Raw Data'!BC331),"")</f>
        <v/>
      </c>
      <c r="T344" s="14" t="str">
        <f t="shared" si="62"/>
        <v/>
      </c>
      <c r="U344" s="14" t="str">
        <f>IF('Raw Data'!A331&lt;&gt;"",AVERAGE('Raw Data'!BD331,'Raw Data'!BF331,'Raw Data'!BH331,'Raw Data'!BJ331,'Raw Data'!BL331),"")</f>
        <v/>
      </c>
      <c r="V344" s="14" t="str">
        <f>IF('Raw Data'!A331&lt;&gt;"",AVERAGE('Raw Data'!BE331,'Raw Data'!BG331,'Raw Data'!BI331,'Raw Data'!BK331,'Raw Data'!BM331),"")</f>
        <v/>
      </c>
      <c r="W344" s="14" t="str">
        <f t="shared" si="63"/>
        <v/>
      </c>
      <c r="X344" s="14" t="str">
        <f t="shared" si="64"/>
        <v/>
      </c>
      <c r="Y344" s="14" t="str">
        <f t="shared" si="65"/>
        <v/>
      </c>
      <c r="Z344" s="14" t="str">
        <f t="shared" si="66"/>
        <v/>
      </c>
      <c r="AA344" s="14" t="str">
        <f t="shared" si="67"/>
        <v/>
      </c>
      <c r="AB344" s="25" t="str">
        <f t="shared" si="68"/>
        <v/>
      </c>
    </row>
    <row r="345" spans="1:28" x14ac:dyDescent="0.25">
      <c r="A345" s="2" t="str">
        <f>IF('Raw Data'!A332&lt;&gt;"",'Raw Data'!A332,"")</f>
        <v/>
      </c>
      <c r="B345" s="2" t="str">
        <f>IF('Raw Data'!B332&lt;&gt;"",'Raw Data'!B332,"")</f>
        <v/>
      </c>
      <c r="C345" s="2" t="str">
        <f>IF('Raw Data'!C332&lt;&gt;"",'Raw Data'!C332,"")</f>
        <v/>
      </c>
      <c r="D345" s="2" t="str">
        <f>IF('Raw Data'!D332&lt;&gt;"",'Raw Data'!D332,"")</f>
        <v/>
      </c>
      <c r="E345" s="2" t="str">
        <f>IF('Raw Data'!E332&lt;&gt;"",'Raw Data'!E332,"")</f>
        <v/>
      </c>
      <c r="F345" s="11" t="str">
        <f>IF('Raw Data'!A332&lt;&gt;"",AVERAGE('Raw Data'!F332,'Raw Data'!H332,'Raw Data'!J332,'Raw Data'!L332,'Raw Data'!N332),"")</f>
        <v/>
      </c>
      <c r="G345" s="11" t="str">
        <f>IF('Raw Data'!A332&lt;&gt;"",AVERAGE('Raw Data'!G332,'Raw Data'!I332,'Raw Data'!K332,'Raw Data'!M332,'Raw Data'!O332),"")</f>
        <v/>
      </c>
      <c r="H345" s="11" t="str">
        <f t="shared" si="58"/>
        <v/>
      </c>
      <c r="I345" s="11" t="str">
        <f>IF('Raw Data'!A332&lt;&gt;"",AVERAGE('Raw Data'!P332,'Raw Data'!R332,'Raw Data'!T332,'Raw Data'!V332,'Raw Data'!X332),"")</f>
        <v/>
      </c>
      <c r="J345" s="11" t="str">
        <f>IF('Raw Data'!A332&lt;&gt;"",AVERAGE('Raw Data'!Q332,'Raw Data'!S332,'Raw Data'!U332,'Raw Data'!W332,'Raw Data'!Y332),"")</f>
        <v/>
      </c>
      <c r="K345" s="11" t="str">
        <f t="shared" si="59"/>
        <v/>
      </c>
      <c r="L345" s="11" t="str">
        <f>IF('Raw Data'!A332&lt;&gt;"",AVERAGE('Raw Data'!Z332,'Raw Data'!AB332,'Raw Data'!AD332,'Raw Data'!AF332,'Raw Data'!AH332),"")</f>
        <v/>
      </c>
      <c r="M345" s="11" t="str">
        <f>IF('Raw Data'!A332&lt;&gt;"",AVERAGE('Raw Data'!AA332,'Raw Data'!AC332,'Raw Data'!AE332,'Raw Data'!AG332,'Raw Data'!AI332),"")</f>
        <v/>
      </c>
      <c r="N345" s="11" t="str">
        <f t="shared" si="60"/>
        <v/>
      </c>
      <c r="O345" s="11" t="str">
        <f>IF('Raw Data'!A332&lt;&gt;"",AVERAGE('Raw Data'!AJ332,'Raw Data'!AL332,'Raw Data'!AN332,'Raw Data'!AP332,'Raw Data'!AR332),"")</f>
        <v/>
      </c>
      <c r="P345" s="11" t="str">
        <f>IF('Raw Data'!A332&lt;&gt;"",AVERAGE('Raw Data'!AK332,'Raw Data'!AM332,'Raw Data'!AO332,'Raw Data'!AQ332,'Raw Data'!AS332),"")</f>
        <v/>
      </c>
      <c r="Q345" s="11" t="str">
        <f t="shared" si="61"/>
        <v/>
      </c>
      <c r="R345" s="11" t="str">
        <f>IF('Raw Data'!A332&lt;&gt;"",AVERAGE('Raw Data'!AT332,'Raw Data'!AV332,'Raw Data'!AX332,'Raw Data'!AZ332,'Raw Data'!BB332),"")</f>
        <v/>
      </c>
      <c r="S345" s="11" t="str">
        <f>IF('Raw Data'!A332&lt;&gt;"",AVERAGE('Raw Data'!AU332,'Raw Data'!AW332,'Raw Data'!AY332,'Raw Data'!BA332,'Raw Data'!BC332),"")</f>
        <v/>
      </c>
      <c r="T345" s="11" t="str">
        <f t="shared" si="62"/>
        <v/>
      </c>
      <c r="U345" s="11" t="str">
        <f>IF('Raw Data'!A332&lt;&gt;"",AVERAGE('Raw Data'!BD332,'Raw Data'!BF332,'Raw Data'!BH332,'Raw Data'!BJ332,'Raw Data'!BL332),"")</f>
        <v/>
      </c>
      <c r="V345" s="11" t="str">
        <f>IF('Raw Data'!A332&lt;&gt;"",AVERAGE('Raw Data'!BE332,'Raw Data'!BG332,'Raw Data'!BI332,'Raw Data'!BK332,'Raw Data'!BM332),"")</f>
        <v/>
      </c>
      <c r="W345" s="11" t="str">
        <f t="shared" si="63"/>
        <v/>
      </c>
      <c r="X345" s="11" t="str">
        <f t="shared" si="64"/>
        <v/>
      </c>
      <c r="Y345" s="11" t="str">
        <f t="shared" si="65"/>
        <v/>
      </c>
      <c r="Z345" s="11" t="str">
        <f t="shared" si="66"/>
        <v/>
      </c>
      <c r="AA345" s="11" t="str">
        <f t="shared" si="67"/>
        <v/>
      </c>
      <c r="AB345" s="24" t="str">
        <f t="shared" si="68"/>
        <v/>
      </c>
    </row>
    <row r="346" spans="1:28" x14ac:dyDescent="0.25">
      <c r="A346" s="10" t="str">
        <f>IF('Raw Data'!A333&lt;&gt;"",'Raw Data'!A333,"")</f>
        <v/>
      </c>
      <c r="B346" s="10" t="str">
        <f>IF('Raw Data'!B333&lt;&gt;"",'Raw Data'!B333,"")</f>
        <v/>
      </c>
      <c r="C346" s="10" t="str">
        <f>IF('Raw Data'!C333&lt;&gt;"",'Raw Data'!C333,"")</f>
        <v/>
      </c>
      <c r="D346" s="10" t="str">
        <f>IF('Raw Data'!D333&lt;&gt;"",'Raw Data'!D333,"")</f>
        <v/>
      </c>
      <c r="E346" s="10" t="str">
        <f>IF('Raw Data'!E333&lt;&gt;"",'Raw Data'!E333,"")</f>
        <v/>
      </c>
      <c r="F346" s="14" t="str">
        <f>IF('Raw Data'!A333&lt;&gt;"",AVERAGE('Raw Data'!F333,'Raw Data'!H333,'Raw Data'!J333,'Raw Data'!L333,'Raw Data'!N333),"")</f>
        <v/>
      </c>
      <c r="G346" s="14" t="str">
        <f>IF('Raw Data'!A333&lt;&gt;"",AVERAGE('Raw Data'!G333,'Raw Data'!I333,'Raw Data'!K333,'Raw Data'!M333,'Raw Data'!O333),"")</f>
        <v/>
      </c>
      <c r="H346" s="14" t="str">
        <f t="shared" si="58"/>
        <v/>
      </c>
      <c r="I346" s="14" t="str">
        <f>IF('Raw Data'!A333&lt;&gt;"",AVERAGE('Raw Data'!P333,'Raw Data'!R333,'Raw Data'!T333,'Raw Data'!V333,'Raw Data'!X333),"")</f>
        <v/>
      </c>
      <c r="J346" s="14" t="str">
        <f>IF('Raw Data'!A333&lt;&gt;"",AVERAGE('Raw Data'!Q333,'Raw Data'!S333,'Raw Data'!U333,'Raw Data'!W333,'Raw Data'!Y333),"")</f>
        <v/>
      </c>
      <c r="K346" s="14" t="str">
        <f t="shared" si="59"/>
        <v/>
      </c>
      <c r="L346" s="14" t="str">
        <f>IF('Raw Data'!A333&lt;&gt;"",AVERAGE('Raw Data'!Z333,'Raw Data'!AB333,'Raw Data'!AD333,'Raw Data'!AF333,'Raw Data'!AH333),"")</f>
        <v/>
      </c>
      <c r="M346" s="14" t="str">
        <f>IF('Raw Data'!A333&lt;&gt;"",AVERAGE('Raw Data'!AA333,'Raw Data'!AC333,'Raw Data'!AE333,'Raw Data'!AG333,'Raw Data'!AI333),"")</f>
        <v/>
      </c>
      <c r="N346" s="14" t="str">
        <f t="shared" si="60"/>
        <v/>
      </c>
      <c r="O346" s="14" t="str">
        <f>IF('Raw Data'!A333&lt;&gt;"",AVERAGE('Raw Data'!AJ333,'Raw Data'!AL333,'Raw Data'!AN333,'Raw Data'!AP333,'Raw Data'!AR333),"")</f>
        <v/>
      </c>
      <c r="P346" s="14" t="str">
        <f>IF('Raw Data'!A333&lt;&gt;"",AVERAGE('Raw Data'!AK333,'Raw Data'!AM333,'Raw Data'!AO333,'Raw Data'!AQ333,'Raw Data'!AS333),"")</f>
        <v/>
      </c>
      <c r="Q346" s="14" t="str">
        <f t="shared" si="61"/>
        <v/>
      </c>
      <c r="R346" s="14" t="str">
        <f>IF('Raw Data'!A333&lt;&gt;"",AVERAGE('Raw Data'!AT333,'Raw Data'!AV333,'Raw Data'!AX333,'Raw Data'!AZ333,'Raw Data'!BB333),"")</f>
        <v/>
      </c>
      <c r="S346" s="14" t="str">
        <f>IF('Raw Data'!A333&lt;&gt;"",AVERAGE('Raw Data'!AU333,'Raw Data'!AW333,'Raw Data'!AY333,'Raw Data'!BA333,'Raw Data'!BC333),"")</f>
        <v/>
      </c>
      <c r="T346" s="14" t="str">
        <f t="shared" si="62"/>
        <v/>
      </c>
      <c r="U346" s="14" t="str">
        <f>IF('Raw Data'!A333&lt;&gt;"",AVERAGE('Raw Data'!BD333,'Raw Data'!BF333,'Raw Data'!BH333,'Raw Data'!BJ333,'Raw Data'!BL333),"")</f>
        <v/>
      </c>
      <c r="V346" s="14" t="str">
        <f>IF('Raw Data'!A333&lt;&gt;"",AVERAGE('Raw Data'!BE333,'Raw Data'!BG333,'Raw Data'!BI333,'Raw Data'!BK333,'Raw Data'!BM333),"")</f>
        <v/>
      </c>
      <c r="W346" s="14" t="str">
        <f t="shared" si="63"/>
        <v/>
      </c>
      <c r="X346" s="14" t="str">
        <f t="shared" si="64"/>
        <v/>
      </c>
      <c r="Y346" s="14" t="str">
        <f t="shared" si="65"/>
        <v/>
      </c>
      <c r="Z346" s="14" t="str">
        <f t="shared" si="66"/>
        <v/>
      </c>
      <c r="AA346" s="14" t="str">
        <f t="shared" si="67"/>
        <v/>
      </c>
      <c r="AB346" s="25" t="str">
        <f t="shared" si="68"/>
        <v/>
      </c>
    </row>
    <row r="347" spans="1:28" x14ac:dyDescent="0.25">
      <c r="A347" s="2" t="str">
        <f>IF('Raw Data'!A334&lt;&gt;"",'Raw Data'!A334,"")</f>
        <v/>
      </c>
      <c r="B347" s="2" t="str">
        <f>IF('Raw Data'!B334&lt;&gt;"",'Raw Data'!B334,"")</f>
        <v/>
      </c>
      <c r="C347" s="2" t="str">
        <f>IF('Raw Data'!C334&lt;&gt;"",'Raw Data'!C334,"")</f>
        <v/>
      </c>
      <c r="D347" s="2" t="str">
        <f>IF('Raw Data'!D334&lt;&gt;"",'Raw Data'!D334,"")</f>
        <v/>
      </c>
      <c r="E347" s="2" t="str">
        <f>IF('Raw Data'!E334&lt;&gt;"",'Raw Data'!E334,"")</f>
        <v/>
      </c>
      <c r="F347" s="11" t="str">
        <f>IF('Raw Data'!A334&lt;&gt;"",AVERAGE('Raw Data'!F334,'Raw Data'!H334,'Raw Data'!J334,'Raw Data'!L334,'Raw Data'!N334),"")</f>
        <v/>
      </c>
      <c r="G347" s="11" t="str">
        <f>IF('Raw Data'!A334&lt;&gt;"",AVERAGE('Raw Data'!G334,'Raw Data'!I334,'Raw Data'!K334,'Raw Data'!M334,'Raw Data'!O334),"")</f>
        <v/>
      </c>
      <c r="H347" s="11" t="str">
        <f t="shared" si="58"/>
        <v/>
      </c>
      <c r="I347" s="11" t="str">
        <f>IF('Raw Data'!A334&lt;&gt;"",AVERAGE('Raw Data'!P334,'Raw Data'!R334,'Raw Data'!T334,'Raw Data'!V334,'Raw Data'!X334),"")</f>
        <v/>
      </c>
      <c r="J347" s="11" t="str">
        <f>IF('Raw Data'!A334&lt;&gt;"",AVERAGE('Raw Data'!Q334,'Raw Data'!S334,'Raw Data'!U334,'Raw Data'!W334,'Raw Data'!Y334),"")</f>
        <v/>
      </c>
      <c r="K347" s="11" t="str">
        <f t="shared" si="59"/>
        <v/>
      </c>
      <c r="L347" s="11" t="str">
        <f>IF('Raw Data'!A334&lt;&gt;"",AVERAGE('Raw Data'!Z334,'Raw Data'!AB334,'Raw Data'!AD334,'Raw Data'!AF334,'Raw Data'!AH334),"")</f>
        <v/>
      </c>
      <c r="M347" s="11" t="str">
        <f>IF('Raw Data'!A334&lt;&gt;"",AVERAGE('Raw Data'!AA334,'Raw Data'!AC334,'Raw Data'!AE334,'Raw Data'!AG334,'Raw Data'!AI334),"")</f>
        <v/>
      </c>
      <c r="N347" s="11" t="str">
        <f t="shared" si="60"/>
        <v/>
      </c>
      <c r="O347" s="11" t="str">
        <f>IF('Raw Data'!A334&lt;&gt;"",AVERAGE('Raw Data'!AJ334,'Raw Data'!AL334,'Raw Data'!AN334,'Raw Data'!AP334,'Raw Data'!AR334),"")</f>
        <v/>
      </c>
      <c r="P347" s="11" t="str">
        <f>IF('Raw Data'!A334&lt;&gt;"",AVERAGE('Raw Data'!AK334,'Raw Data'!AM334,'Raw Data'!AO334,'Raw Data'!AQ334,'Raw Data'!AS334),"")</f>
        <v/>
      </c>
      <c r="Q347" s="11" t="str">
        <f t="shared" si="61"/>
        <v/>
      </c>
      <c r="R347" s="11" t="str">
        <f>IF('Raw Data'!A334&lt;&gt;"",AVERAGE('Raw Data'!AT334,'Raw Data'!AV334,'Raw Data'!AX334,'Raw Data'!AZ334,'Raw Data'!BB334),"")</f>
        <v/>
      </c>
      <c r="S347" s="11" t="str">
        <f>IF('Raw Data'!A334&lt;&gt;"",AVERAGE('Raw Data'!AU334,'Raw Data'!AW334,'Raw Data'!AY334,'Raw Data'!BA334,'Raw Data'!BC334),"")</f>
        <v/>
      </c>
      <c r="T347" s="11" t="str">
        <f t="shared" si="62"/>
        <v/>
      </c>
      <c r="U347" s="11" t="str">
        <f>IF('Raw Data'!A334&lt;&gt;"",AVERAGE('Raw Data'!BD334,'Raw Data'!BF334,'Raw Data'!BH334,'Raw Data'!BJ334,'Raw Data'!BL334),"")</f>
        <v/>
      </c>
      <c r="V347" s="11" t="str">
        <f>IF('Raw Data'!A334&lt;&gt;"",AVERAGE('Raw Data'!BE334,'Raw Data'!BG334,'Raw Data'!BI334,'Raw Data'!BK334,'Raw Data'!BM334),"")</f>
        <v/>
      </c>
      <c r="W347" s="11" t="str">
        <f t="shared" si="63"/>
        <v/>
      </c>
      <c r="X347" s="11" t="str">
        <f t="shared" si="64"/>
        <v/>
      </c>
      <c r="Y347" s="11" t="str">
        <f t="shared" si="65"/>
        <v/>
      </c>
      <c r="Z347" s="11" t="str">
        <f t="shared" si="66"/>
        <v/>
      </c>
      <c r="AA347" s="11" t="str">
        <f t="shared" si="67"/>
        <v/>
      </c>
      <c r="AB347" s="24" t="str">
        <f t="shared" si="68"/>
        <v/>
      </c>
    </row>
    <row r="348" spans="1:28" x14ac:dyDescent="0.25">
      <c r="A348" s="10" t="str">
        <f>IF('Raw Data'!A335&lt;&gt;"",'Raw Data'!A335,"")</f>
        <v/>
      </c>
      <c r="B348" s="10" t="str">
        <f>IF('Raw Data'!B335&lt;&gt;"",'Raw Data'!B335,"")</f>
        <v/>
      </c>
      <c r="C348" s="10" t="str">
        <f>IF('Raw Data'!C335&lt;&gt;"",'Raw Data'!C335,"")</f>
        <v/>
      </c>
      <c r="D348" s="10" t="str">
        <f>IF('Raw Data'!D335&lt;&gt;"",'Raw Data'!D335,"")</f>
        <v/>
      </c>
      <c r="E348" s="10" t="str">
        <f>IF('Raw Data'!E335&lt;&gt;"",'Raw Data'!E335,"")</f>
        <v/>
      </c>
      <c r="F348" s="14" t="str">
        <f>IF('Raw Data'!A335&lt;&gt;"",AVERAGE('Raw Data'!F335,'Raw Data'!H335,'Raw Data'!J335,'Raw Data'!L335,'Raw Data'!N335),"")</f>
        <v/>
      </c>
      <c r="G348" s="14" t="str">
        <f>IF('Raw Data'!A335&lt;&gt;"",AVERAGE('Raw Data'!G335,'Raw Data'!I335,'Raw Data'!K335,'Raw Data'!M335,'Raw Data'!O335),"")</f>
        <v/>
      </c>
      <c r="H348" s="14" t="str">
        <f t="shared" si="58"/>
        <v/>
      </c>
      <c r="I348" s="14" t="str">
        <f>IF('Raw Data'!A335&lt;&gt;"",AVERAGE('Raw Data'!P335,'Raw Data'!R335,'Raw Data'!T335,'Raw Data'!V335,'Raw Data'!X335),"")</f>
        <v/>
      </c>
      <c r="J348" s="14" t="str">
        <f>IF('Raw Data'!A335&lt;&gt;"",AVERAGE('Raw Data'!Q335,'Raw Data'!S335,'Raw Data'!U335,'Raw Data'!W335,'Raw Data'!Y335),"")</f>
        <v/>
      </c>
      <c r="K348" s="14" t="str">
        <f t="shared" si="59"/>
        <v/>
      </c>
      <c r="L348" s="14" t="str">
        <f>IF('Raw Data'!A335&lt;&gt;"",AVERAGE('Raw Data'!Z335,'Raw Data'!AB335,'Raw Data'!AD335,'Raw Data'!AF335,'Raw Data'!AH335),"")</f>
        <v/>
      </c>
      <c r="M348" s="14" t="str">
        <f>IF('Raw Data'!A335&lt;&gt;"",AVERAGE('Raw Data'!AA335,'Raw Data'!AC335,'Raw Data'!AE335,'Raw Data'!AG335,'Raw Data'!AI335),"")</f>
        <v/>
      </c>
      <c r="N348" s="14" t="str">
        <f t="shared" si="60"/>
        <v/>
      </c>
      <c r="O348" s="14" t="str">
        <f>IF('Raw Data'!A335&lt;&gt;"",AVERAGE('Raw Data'!AJ335,'Raw Data'!AL335,'Raw Data'!AN335,'Raw Data'!AP335,'Raw Data'!AR335),"")</f>
        <v/>
      </c>
      <c r="P348" s="14" t="str">
        <f>IF('Raw Data'!A335&lt;&gt;"",AVERAGE('Raw Data'!AK335,'Raw Data'!AM335,'Raw Data'!AO335,'Raw Data'!AQ335,'Raw Data'!AS335),"")</f>
        <v/>
      </c>
      <c r="Q348" s="14" t="str">
        <f t="shared" si="61"/>
        <v/>
      </c>
      <c r="R348" s="14" t="str">
        <f>IF('Raw Data'!A335&lt;&gt;"",AVERAGE('Raw Data'!AT335,'Raw Data'!AV335,'Raw Data'!AX335,'Raw Data'!AZ335,'Raw Data'!BB335),"")</f>
        <v/>
      </c>
      <c r="S348" s="14" t="str">
        <f>IF('Raw Data'!A335&lt;&gt;"",AVERAGE('Raw Data'!AU335,'Raw Data'!AW335,'Raw Data'!AY335,'Raw Data'!BA335,'Raw Data'!BC335),"")</f>
        <v/>
      </c>
      <c r="T348" s="14" t="str">
        <f t="shared" si="62"/>
        <v/>
      </c>
      <c r="U348" s="14" t="str">
        <f>IF('Raw Data'!A335&lt;&gt;"",AVERAGE('Raw Data'!BD335,'Raw Data'!BF335,'Raw Data'!BH335,'Raw Data'!BJ335,'Raw Data'!BL335),"")</f>
        <v/>
      </c>
      <c r="V348" s="14" t="str">
        <f>IF('Raw Data'!A335&lt;&gt;"",AVERAGE('Raw Data'!BE335,'Raw Data'!BG335,'Raw Data'!BI335,'Raw Data'!BK335,'Raw Data'!BM335),"")</f>
        <v/>
      </c>
      <c r="W348" s="14" t="str">
        <f t="shared" si="63"/>
        <v/>
      </c>
      <c r="X348" s="14" t="str">
        <f t="shared" si="64"/>
        <v/>
      </c>
      <c r="Y348" s="14" t="str">
        <f t="shared" si="65"/>
        <v/>
      </c>
      <c r="Z348" s="14" t="str">
        <f t="shared" si="66"/>
        <v/>
      </c>
      <c r="AA348" s="14" t="str">
        <f t="shared" si="67"/>
        <v/>
      </c>
      <c r="AB348" s="25" t="str">
        <f t="shared" si="68"/>
        <v/>
      </c>
    </row>
    <row r="349" spans="1:28" x14ac:dyDescent="0.25">
      <c r="A349" s="2" t="str">
        <f>IF('Raw Data'!A336&lt;&gt;"",'Raw Data'!A336,"")</f>
        <v/>
      </c>
      <c r="B349" s="2" t="str">
        <f>IF('Raw Data'!B336&lt;&gt;"",'Raw Data'!B336,"")</f>
        <v/>
      </c>
      <c r="C349" s="2" t="str">
        <f>IF('Raw Data'!C336&lt;&gt;"",'Raw Data'!C336,"")</f>
        <v/>
      </c>
      <c r="D349" s="2" t="str">
        <f>IF('Raw Data'!D336&lt;&gt;"",'Raw Data'!D336,"")</f>
        <v/>
      </c>
      <c r="E349" s="2" t="str">
        <f>IF('Raw Data'!E336&lt;&gt;"",'Raw Data'!E336,"")</f>
        <v/>
      </c>
      <c r="F349" s="11" t="str">
        <f>IF('Raw Data'!A336&lt;&gt;"",AVERAGE('Raw Data'!F336,'Raw Data'!H336,'Raw Data'!J336,'Raw Data'!L336,'Raw Data'!N336),"")</f>
        <v/>
      </c>
      <c r="G349" s="11" t="str">
        <f>IF('Raw Data'!A336&lt;&gt;"",AVERAGE('Raw Data'!G336,'Raw Data'!I336,'Raw Data'!K336,'Raw Data'!M336,'Raw Data'!O336),"")</f>
        <v/>
      </c>
      <c r="H349" s="11" t="str">
        <f t="shared" si="58"/>
        <v/>
      </c>
      <c r="I349" s="11" t="str">
        <f>IF('Raw Data'!A336&lt;&gt;"",AVERAGE('Raw Data'!P336,'Raw Data'!R336,'Raw Data'!T336,'Raw Data'!V336,'Raw Data'!X336),"")</f>
        <v/>
      </c>
      <c r="J349" s="11" t="str">
        <f>IF('Raw Data'!A336&lt;&gt;"",AVERAGE('Raw Data'!Q336,'Raw Data'!S336,'Raw Data'!U336,'Raw Data'!W336,'Raw Data'!Y336),"")</f>
        <v/>
      </c>
      <c r="K349" s="11" t="str">
        <f t="shared" si="59"/>
        <v/>
      </c>
      <c r="L349" s="11" t="str">
        <f>IF('Raw Data'!A336&lt;&gt;"",AVERAGE('Raw Data'!Z336,'Raw Data'!AB336,'Raw Data'!AD336,'Raw Data'!AF336,'Raw Data'!AH336),"")</f>
        <v/>
      </c>
      <c r="M349" s="11" t="str">
        <f>IF('Raw Data'!A336&lt;&gt;"",AVERAGE('Raw Data'!AA336,'Raw Data'!AC336,'Raw Data'!AE336,'Raw Data'!AG336,'Raw Data'!AI336),"")</f>
        <v/>
      </c>
      <c r="N349" s="11" t="str">
        <f t="shared" si="60"/>
        <v/>
      </c>
      <c r="O349" s="11" t="str">
        <f>IF('Raw Data'!A336&lt;&gt;"",AVERAGE('Raw Data'!AJ336,'Raw Data'!AL336,'Raw Data'!AN336,'Raw Data'!AP336,'Raw Data'!AR336),"")</f>
        <v/>
      </c>
      <c r="P349" s="11" t="str">
        <f>IF('Raw Data'!A336&lt;&gt;"",AVERAGE('Raw Data'!AK336,'Raw Data'!AM336,'Raw Data'!AO336,'Raw Data'!AQ336,'Raw Data'!AS336),"")</f>
        <v/>
      </c>
      <c r="Q349" s="11" t="str">
        <f t="shared" si="61"/>
        <v/>
      </c>
      <c r="R349" s="11" t="str">
        <f>IF('Raw Data'!A336&lt;&gt;"",AVERAGE('Raw Data'!AT336,'Raw Data'!AV336,'Raw Data'!AX336,'Raw Data'!AZ336,'Raw Data'!BB336),"")</f>
        <v/>
      </c>
      <c r="S349" s="11" t="str">
        <f>IF('Raw Data'!A336&lt;&gt;"",AVERAGE('Raw Data'!AU336,'Raw Data'!AW336,'Raw Data'!AY336,'Raw Data'!BA336,'Raw Data'!BC336),"")</f>
        <v/>
      </c>
      <c r="T349" s="11" t="str">
        <f t="shared" si="62"/>
        <v/>
      </c>
      <c r="U349" s="11" t="str">
        <f>IF('Raw Data'!A336&lt;&gt;"",AVERAGE('Raw Data'!BD336,'Raw Data'!BF336,'Raw Data'!BH336,'Raw Data'!BJ336,'Raw Data'!BL336),"")</f>
        <v/>
      </c>
      <c r="V349" s="11" t="str">
        <f>IF('Raw Data'!A336&lt;&gt;"",AVERAGE('Raw Data'!BE336,'Raw Data'!BG336,'Raw Data'!BI336,'Raw Data'!BK336,'Raw Data'!BM336),"")</f>
        <v/>
      </c>
      <c r="W349" s="11" t="str">
        <f t="shared" si="63"/>
        <v/>
      </c>
      <c r="X349" s="11" t="str">
        <f t="shared" si="64"/>
        <v/>
      </c>
      <c r="Y349" s="11" t="str">
        <f t="shared" si="65"/>
        <v/>
      </c>
      <c r="Z349" s="11" t="str">
        <f t="shared" si="66"/>
        <v/>
      </c>
      <c r="AA349" s="11" t="str">
        <f t="shared" si="67"/>
        <v/>
      </c>
      <c r="AB349" s="24" t="str">
        <f t="shared" si="68"/>
        <v/>
      </c>
    </row>
    <row r="350" spans="1:28" x14ac:dyDescent="0.25">
      <c r="A350" s="10" t="str">
        <f>IF('Raw Data'!A337&lt;&gt;"",'Raw Data'!A337,"")</f>
        <v/>
      </c>
      <c r="B350" s="10" t="str">
        <f>IF('Raw Data'!B337&lt;&gt;"",'Raw Data'!B337,"")</f>
        <v/>
      </c>
      <c r="C350" s="10" t="str">
        <f>IF('Raw Data'!C337&lt;&gt;"",'Raw Data'!C337,"")</f>
        <v/>
      </c>
      <c r="D350" s="10" t="str">
        <f>IF('Raw Data'!D337&lt;&gt;"",'Raw Data'!D337,"")</f>
        <v/>
      </c>
      <c r="E350" s="10" t="str">
        <f>IF('Raw Data'!E337&lt;&gt;"",'Raw Data'!E337,"")</f>
        <v/>
      </c>
      <c r="F350" s="14" t="str">
        <f>IF('Raw Data'!A337&lt;&gt;"",AVERAGE('Raw Data'!F337,'Raw Data'!H337,'Raw Data'!J337,'Raw Data'!L337,'Raw Data'!N337),"")</f>
        <v/>
      </c>
      <c r="G350" s="14" t="str">
        <f>IF('Raw Data'!A337&lt;&gt;"",AVERAGE('Raw Data'!G337,'Raw Data'!I337,'Raw Data'!K337,'Raw Data'!M337,'Raw Data'!O337),"")</f>
        <v/>
      </c>
      <c r="H350" s="14" t="str">
        <f t="shared" si="58"/>
        <v/>
      </c>
      <c r="I350" s="14" t="str">
        <f>IF('Raw Data'!A337&lt;&gt;"",AVERAGE('Raw Data'!P337,'Raw Data'!R337,'Raw Data'!T337,'Raw Data'!V337,'Raw Data'!X337),"")</f>
        <v/>
      </c>
      <c r="J350" s="14" t="str">
        <f>IF('Raw Data'!A337&lt;&gt;"",AVERAGE('Raw Data'!Q337,'Raw Data'!S337,'Raw Data'!U337,'Raw Data'!W337,'Raw Data'!Y337),"")</f>
        <v/>
      </c>
      <c r="K350" s="14" t="str">
        <f t="shared" si="59"/>
        <v/>
      </c>
      <c r="L350" s="14" t="str">
        <f>IF('Raw Data'!A337&lt;&gt;"",AVERAGE('Raw Data'!Z337,'Raw Data'!AB337,'Raw Data'!AD337,'Raw Data'!AF337,'Raw Data'!AH337),"")</f>
        <v/>
      </c>
      <c r="M350" s="14" t="str">
        <f>IF('Raw Data'!A337&lt;&gt;"",AVERAGE('Raw Data'!AA337,'Raw Data'!AC337,'Raw Data'!AE337,'Raw Data'!AG337,'Raw Data'!AI337),"")</f>
        <v/>
      </c>
      <c r="N350" s="14" t="str">
        <f t="shared" si="60"/>
        <v/>
      </c>
      <c r="O350" s="14" t="str">
        <f>IF('Raw Data'!A337&lt;&gt;"",AVERAGE('Raw Data'!AJ337,'Raw Data'!AL337,'Raw Data'!AN337,'Raw Data'!AP337,'Raw Data'!AR337),"")</f>
        <v/>
      </c>
      <c r="P350" s="14" t="str">
        <f>IF('Raw Data'!A337&lt;&gt;"",AVERAGE('Raw Data'!AK337,'Raw Data'!AM337,'Raw Data'!AO337,'Raw Data'!AQ337,'Raw Data'!AS337),"")</f>
        <v/>
      </c>
      <c r="Q350" s="14" t="str">
        <f t="shared" si="61"/>
        <v/>
      </c>
      <c r="R350" s="14" t="str">
        <f>IF('Raw Data'!A337&lt;&gt;"",AVERAGE('Raw Data'!AT337,'Raw Data'!AV337,'Raw Data'!AX337,'Raw Data'!AZ337,'Raw Data'!BB337),"")</f>
        <v/>
      </c>
      <c r="S350" s="14" t="str">
        <f>IF('Raw Data'!A337&lt;&gt;"",AVERAGE('Raw Data'!AU337,'Raw Data'!AW337,'Raw Data'!AY337,'Raw Data'!BA337,'Raw Data'!BC337),"")</f>
        <v/>
      </c>
      <c r="T350" s="14" t="str">
        <f t="shared" si="62"/>
        <v/>
      </c>
      <c r="U350" s="14" t="str">
        <f>IF('Raw Data'!A337&lt;&gt;"",AVERAGE('Raw Data'!BD337,'Raw Data'!BF337,'Raw Data'!BH337,'Raw Data'!BJ337,'Raw Data'!BL337),"")</f>
        <v/>
      </c>
      <c r="V350" s="14" t="str">
        <f>IF('Raw Data'!A337&lt;&gt;"",AVERAGE('Raw Data'!BE337,'Raw Data'!BG337,'Raw Data'!BI337,'Raw Data'!BK337,'Raw Data'!BM337),"")</f>
        <v/>
      </c>
      <c r="W350" s="14" t="str">
        <f t="shared" si="63"/>
        <v/>
      </c>
      <c r="X350" s="14" t="str">
        <f t="shared" si="64"/>
        <v/>
      </c>
      <c r="Y350" s="14" t="str">
        <f t="shared" si="65"/>
        <v/>
      </c>
      <c r="Z350" s="14" t="str">
        <f t="shared" si="66"/>
        <v/>
      </c>
      <c r="AA350" s="14" t="str">
        <f t="shared" si="67"/>
        <v/>
      </c>
      <c r="AB350" s="25" t="str">
        <f t="shared" si="68"/>
        <v/>
      </c>
    </row>
    <row r="351" spans="1:28" x14ac:dyDescent="0.25">
      <c r="A351" s="2" t="str">
        <f>IF('Raw Data'!A338&lt;&gt;"",'Raw Data'!A338,"")</f>
        <v/>
      </c>
      <c r="B351" s="2" t="str">
        <f>IF('Raw Data'!B338&lt;&gt;"",'Raw Data'!B338,"")</f>
        <v/>
      </c>
      <c r="C351" s="2" t="str">
        <f>IF('Raw Data'!C338&lt;&gt;"",'Raw Data'!C338,"")</f>
        <v/>
      </c>
      <c r="D351" s="2" t="str">
        <f>IF('Raw Data'!D338&lt;&gt;"",'Raw Data'!D338,"")</f>
        <v/>
      </c>
      <c r="E351" s="2" t="str">
        <f>IF('Raw Data'!E338&lt;&gt;"",'Raw Data'!E338,"")</f>
        <v/>
      </c>
      <c r="F351" s="11" t="str">
        <f>IF('Raw Data'!A338&lt;&gt;"",AVERAGE('Raw Data'!F338,'Raw Data'!H338,'Raw Data'!J338,'Raw Data'!L338,'Raw Data'!N338),"")</f>
        <v/>
      </c>
      <c r="G351" s="11" t="str">
        <f>IF('Raw Data'!A338&lt;&gt;"",AVERAGE('Raw Data'!G338,'Raw Data'!I338,'Raw Data'!K338,'Raw Data'!M338,'Raw Data'!O338),"")</f>
        <v/>
      </c>
      <c r="H351" s="11" t="str">
        <f t="shared" si="58"/>
        <v/>
      </c>
      <c r="I351" s="11" t="str">
        <f>IF('Raw Data'!A338&lt;&gt;"",AVERAGE('Raw Data'!P338,'Raw Data'!R338,'Raw Data'!T338,'Raw Data'!V338,'Raw Data'!X338),"")</f>
        <v/>
      </c>
      <c r="J351" s="11" t="str">
        <f>IF('Raw Data'!A338&lt;&gt;"",AVERAGE('Raw Data'!Q338,'Raw Data'!S338,'Raw Data'!U338,'Raw Data'!W338,'Raw Data'!Y338),"")</f>
        <v/>
      </c>
      <c r="K351" s="11" t="str">
        <f t="shared" si="59"/>
        <v/>
      </c>
      <c r="L351" s="11" t="str">
        <f>IF('Raw Data'!A338&lt;&gt;"",AVERAGE('Raw Data'!Z338,'Raw Data'!AB338,'Raw Data'!AD338,'Raw Data'!AF338,'Raw Data'!AH338),"")</f>
        <v/>
      </c>
      <c r="M351" s="11" t="str">
        <f>IF('Raw Data'!A338&lt;&gt;"",AVERAGE('Raw Data'!AA338,'Raw Data'!AC338,'Raw Data'!AE338,'Raw Data'!AG338,'Raw Data'!AI338),"")</f>
        <v/>
      </c>
      <c r="N351" s="11" t="str">
        <f t="shared" si="60"/>
        <v/>
      </c>
      <c r="O351" s="11" t="str">
        <f>IF('Raw Data'!A338&lt;&gt;"",AVERAGE('Raw Data'!AJ338,'Raw Data'!AL338,'Raw Data'!AN338,'Raw Data'!AP338,'Raw Data'!AR338),"")</f>
        <v/>
      </c>
      <c r="P351" s="11" t="str">
        <f>IF('Raw Data'!A338&lt;&gt;"",AVERAGE('Raw Data'!AK338,'Raw Data'!AM338,'Raw Data'!AO338,'Raw Data'!AQ338,'Raw Data'!AS338),"")</f>
        <v/>
      </c>
      <c r="Q351" s="11" t="str">
        <f t="shared" si="61"/>
        <v/>
      </c>
      <c r="R351" s="11" t="str">
        <f>IF('Raw Data'!A338&lt;&gt;"",AVERAGE('Raw Data'!AT338,'Raw Data'!AV338,'Raw Data'!AX338,'Raw Data'!AZ338,'Raw Data'!BB338),"")</f>
        <v/>
      </c>
      <c r="S351" s="11" t="str">
        <f>IF('Raw Data'!A338&lt;&gt;"",AVERAGE('Raw Data'!AU338,'Raw Data'!AW338,'Raw Data'!AY338,'Raw Data'!BA338,'Raw Data'!BC338),"")</f>
        <v/>
      </c>
      <c r="T351" s="11" t="str">
        <f t="shared" si="62"/>
        <v/>
      </c>
      <c r="U351" s="11" t="str">
        <f>IF('Raw Data'!A338&lt;&gt;"",AVERAGE('Raw Data'!BD338,'Raw Data'!BF338,'Raw Data'!BH338,'Raw Data'!BJ338,'Raw Data'!BL338),"")</f>
        <v/>
      </c>
      <c r="V351" s="11" t="str">
        <f>IF('Raw Data'!A338&lt;&gt;"",AVERAGE('Raw Data'!BE338,'Raw Data'!BG338,'Raw Data'!BI338,'Raw Data'!BK338,'Raw Data'!BM338),"")</f>
        <v/>
      </c>
      <c r="W351" s="11" t="str">
        <f t="shared" si="63"/>
        <v/>
      </c>
      <c r="X351" s="11" t="str">
        <f t="shared" si="64"/>
        <v/>
      </c>
      <c r="Y351" s="11" t="str">
        <f t="shared" si="65"/>
        <v/>
      </c>
      <c r="Z351" s="11" t="str">
        <f t="shared" si="66"/>
        <v/>
      </c>
      <c r="AA351" s="11" t="str">
        <f t="shared" si="67"/>
        <v/>
      </c>
      <c r="AB351" s="24" t="str">
        <f t="shared" si="68"/>
        <v/>
      </c>
    </row>
    <row r="352" spans="1:28" x14ac:dyDescent="0.25">
      <c r="A352" s="10" t="str">
        <f>IF('Raw Data'!A339&lt;&gt;"",'Raw Data'!A339,"")</f>
        <v/>
      </c>
      <c r="B352" s="10" t="str">
        <f>IF('Raw Data'!B339&lt;&gt;"",'Raw Data'!B339,"")</f>
        <v/>
      </c>
      <c r="C352" s="10" t="str">
        <f>IF('Raw Data'!C339&lt;&gt;"",'Raw Data'!C339,"")</f>
        <v/>
      </c>
      <c r="D352" s="10" t="str">
        <f>IF('Raw Data'!D339&lt;&gt;"",'Raw Data'!D339,"")</f>
        <v/>
      </c>
      <c r="E352" s="10" t="str">
        <f>IF('Raw Data'!E339&lt;&gt;"",'Raw Data'!E339,"")</f>
        <v/>
      </c>
      <c r="F352" s="14" t="str">
        <f>IF('Raw Data'!A339&lt;&gt;"",AVERAGE('Raw Data'!F339,'Raw Data'!H339,'Raw Data'!J339,'Raw Data'!L339,'Raw Data'!N339),"")</f>
        <v/>
      </c>
      <c r="G352" s="14" t="str">
        <f>IF('Raw Data'!A339&lt;&gt;"",AVERAGE('Raw Data'!G339,'Raw Data'!I339,'Raw Data'!K339,'Raw Data'!M339,'Raw Data'!O339),"")</f>
        <v/>
      </c>
      <c r="H352" s="14" t="str">
        <f t="shared" si="58"/>
        <v/>
      </c>
      <c r="I352" s="14" t="str">
        <f>IF('Raw Data'!A339&lt;&gt;"",AVERAGE('Raw Data'!P339,'Raw Data'!R339,'Raw Data'!T339,'Raw Data'!V339,'Raw Data'!X339),"")</f>
        <v/>
      </c>
      <c r="J352" s="14" t="str">
        <f>IF('Raw Data'!A339&lt;&gt;"",AVERAGE('Raw Data'!Q339,'Raw Data'!S339,'Raw Data'!U339,'Raw Data'!W339,'Raw Data'!Y339),"")</f>
        <v/>
      </c>
      <c r="K352" s="14" t="str">
        <f t="shared" si="59"/>
        <v/>
      </c>
      <c r="L352" s="14" t="str">
        <f>IF('Raw Data'!A339&lt;&gt;"",AVERAGE('Raw Data'!Z339,'Raw Data'!AB339,'Raw Data'!AD339,'Raw Data'!AF339,'Raw Data'!AH339),"")</f>
        <v/>
      </c>
      <c r="M352" s="14" t="str">
        <f>IF('Raw Data'!A339&lt;&gt;"",AVERAGE('Raw Data'!AA339,'Raw Data'!AC339,'Raw Data'!AE339,'Raw Data'!AG339,'Raw Data'!AI339),"")</f>
        <v/>
      </c>
      <c r="N352" s="14" t="str">
        <f t="shared" si="60"/>
        <v/>
      </c>
      <c r="O352" s="14" t="str">
        <f>IF('Raw Data'!A339&lt;&gt;"",AVERAGE('Raw Data'!AJ339,'Raw Data'!AL339,'Raw Data'!AN339,'Raw Data'!AP339,'Raw Data'!AR339),"")</f>
        <v/>
      </c>
      <c r="P352" s="14" t="str">
        <f>IF('Raw Data'!A339&lt;&gt;"",AVERAGE('Raw Data'!AK339,'Raw Data'!AM339,'Raw Data'!AO339,'Raw Data'!AQ339,'Raw Data'!AS339),"")</f>
        <v/>
      </c>
      <c r="Q352" s="14" t="str">
        <f t="shared" si="61"/>
        <v/>
      </c>
      <c r="R352" s="14" t="str">
        <f>IF('Raw Data'!A339&lt;&gt;"",AVERAGE('Raw Data'!AT339,'Raw Data'!AV339,'Raw Data'!AX339,'Raw Data'!AZ339,'Raw Data'!BB339),"")</f>
        <v/>
      </c>
      <c r="S352" s="14" t="str">
        <f>IF('Raw Data'!A339&lt;&gt;"",AVERAGE('Raw Data'!AU339,'Raw Data'!AW339,'Raw Data'!AY339,'Raw Data'!BA339,'Raw Data'!BC339),"")</f>
        <v/>
      </c>
      <c r="T352" s="14" t="str">
        <f t="shared" si="62"/>
        <v/>
      </c>
      <c r="U352" s="14" t="str">
        <f>IF('Raw Data'!A339&lt;&gt;"",AVERAGE('Raw Data'!BD339,'Raw Data'!BF339,'Raw Data'!BH339,'Raw Data'!BJ339,'Raw Data'!BL339),"")</f>
        <v/>
      </c>
      <c r="V352" s="14" t="str">
        <f>IF('Raw Data'!A339&lt;&gt;"",AVERAGE('Raw Data'!BE339,'Raw Data'!BG339,'Raw Data'!BI339,'Raw Data'!BK339,'Raw Data'!BM339),"")</f>
        <v/>
      </c>
      <c r="W352" s="14" t="str">
        <f t="shared" si="63"/>
        <v/>
      </c>
      <c r="X352" s="14" t="str">
        <f t="shared" si="64"/>
        <v/>
      </c>
      <c r="Y352" s="14" t="str">
        <f t="shared" si="65"/>
        <v/>
      </c>
      <c r="Z352" s="14" t="str">
        <f t="shared" si="66"/>
        <v/>
      </c>
      <c r="AA352" s="14" t="str">
        <f t="shared" si="67"/>
        <v/>
      </c>
      <c r="AB352" s="25" t="str">
        <f t="shared" si="68"/>
        <v/>
      </c>
    </row>
    <row r="353" spans="1:28" x14ac:dyDescent="0.25">
      <c r="A353" s="2" t="str">
        <f>IF('Raw Data'!A340&lt;&gt;"",'Raw Data'!A340,"")</f>
        <v/>
      </c>
      <c r="B353" s="2" t="str">
        <f>IF('Raw Data'!B340&lt;&gt;"",'Raw Data'!B340,"")</f>
        <v/>
      </c>
      <c r="C353" s="2" t="str">
        <f>IF('Raw Data'!C340&lt;&gt;"",'Raw Data'!C340,"")</f>
        <v/>
      </c>
      <c r="D353" s="2" t="str">
        <f>IF('Raw Data'!D340&lt;&gt;"",'Raw Data'!D340,"")</f>
        <v/>
      </c>
      <c r="E353" s="2" t="str">
        <f>IF('Raw Data'!E340&lt;&gt;"",'Raw Data'!E340,"")</f>
        <v/>
      </c>
      <c r="F353" s="11" t="str">
        <f>IF('Raw Data'!A340&lt;&gt;"",AVERAGE('Raw Data'!F340,'Raw Data'!H340,'Raw Data'!J340,'Raw Data'!L340,'Raw Data'!N340),"")</f>
        <v/>
      </c>
      <c r="G353" s="11" t="str">
        <f>IF('Raw Data'!A340&lt;&gt;"",AVERAGE('Raw Data'!G340,'Raw Data'!I340,'Raw Data'!K340,'Raw Data'!M340,'Raw Data'!O340),"")</f>
        <v/>
      </c>
      <c r="H353" s="11" t="str">
        <f t="shared" si="58"/>
        <v/>
      </c>
      <c r="I353" s="11" t="str">
        <f>IF('Raw Data'!A340&lt;&gt;"",AVERAGE('Raw Data'!P340,'Raw Data'!R340,'Raw Data'!T340,'Raw Data'!V340,'Raw Data'!X340),"")</f>
        <v/>
      </c>
      <c r="J353" s="11" t="str">
        <f>IF('Raw Data'!A340&lt;&gt;"",AVERAGE('Raw Data'!Q340,'Raw Data'!S340,'Raw Data'!U340,'Raw Data'!W340,'Raw Data'!Y340),"")</f>
        <v/>
      </c>
      <c r="K353" s="11" t="str">
        <f t="shared" si="59"/>
        <v/>
      </c>
      <c r="L353" s="11" t="str">
        <f>IF('Raw Data'!A340&lt;&gt;"",AVERAGE('Raw Data'!Z340,'Raw Data'!AB340,'Raw Data'!AD340,'Raw Data'!AF340,'Raw Data'!AH340),"")</f>
        <v/>
      </c>
      <c r="M353" s="11" t="str">
        <f>IF('Raw Data'!A340&lt;&gt;"",AVERAGE('Raw Data'!AA340,'Raw Data'!AC340,'Raw Data'!AE340,'Raw Data'!AG340,'Raw Data'!AI340),"")</f>
        <v/>
      </c>
      <c r="N353" s="11" t="str">
        <f t="shared" si="60"/>
        <v/>
      </c>
      <c r="O353" s="11" t="str">
        <f>IF('Raw Data'!A340&lt;&gt;"",AVERAGE('Raw Data'!AJ340,'Raw Data'!AL340,'Raw Data'!AN340,'Raw Data'!AP340,'Raw Data'!AR340),"")</f>
        <v/>
      </c>
      <c r="P353" s="11" t="str">
        <f>IF('Raw Data'!A340&lt;&gt;"",AVERAGE('Raw Data'!AK340,'Raw Data'!AM340,'Raw Data'!AO340,'Raw Data'!AQ340,'Raw Data'!AS340),"")</f>
        <v/>
      </c>
      <c r="Q353" s="11" t="str">
        <f t="shared" si="61"/>
        <v/>
      </c>
      <c r="R353" s="11" t="str">
        <f>IF('Raw Data'!A340&lt;&gt;"",AVERAGE('Raw Data'!AT340,'Raw Data'!AV340,'Raw Data'!AX340,'Raw Data'!AZ340,'Raw Data'!BB340),"")</f>
        <v/>
      </c>
      <c r="S353" s="11" t="str">
        <f>IF('Raw Data'!A340&lt;&gt;"",AVERAGE('Raw Data'!AU340,'Raw Data'!AW340,'Raw Data'!AY340,'Raw Data'!BA340,'Raw Data'!BC340),"")</f>
        <v/>
      </c>
      <c r="T353" s="11" t="str">
        <f t="shared" si="62"/>
        <v/>
      </c>
      <c r="U353" s="11" t="str">
        <f>IF('Raw Data'!A340&lt;&gt;"",AVERAGE('Raw Data'!BD340,'Raw Data'!BF340,'Raw Data'!BH340,'Raw Data'!BJ340,'Raw Data'!BL340),"")</f>
        <v/>
      </c>
      <c r="V353" s="11" t="str">
        <f>IF('Raw Data'!A340&lt;&gt;"",AVERAGE('Raw Data'!BE340,'Raw Data'!BG340,'Raw Data'!BI340,'Raw Data'!BK340,'Raw Data'!BM340),"")</f>
        <v/>
      </c>
      <c r="W353" s="11" t="str">
        <f t="shared" si="63"/>
        <v/>
      </c>
      <c r="X353" s="11" t="str">
        <f t="shared" si="64"/>
        <v/>
      </c>
      <c r="Y353" s="11" t="str">
        <f t="shared" si="65"/>
        <v/>
      </c>
      <c r="Z353" s="11" t="str">
        <f t="shared" si="66"/>
        <v/>
      </c>
      <c r="AA353" s="11" t="str">
        <f t="shared" si="67"/>
        <v/>
      </c>
      <c r="AB353" s="24" t="str">
        <f t="shared" si="68"/>
        <v/>
      </c>
    </row>
    <row r="354" spans="1:28" x14ac:dyDescent="0.25">
      <c r="A354" s="10" t="str">
        <f>IF('Raw Data'!A341&lt;&gt;"",'Raw Data'!A341,"")</f>
        <v/>
      </c>
      <c r="B354" s="10" t="str">
        <f>IF('Raw Data'!B341&lt;&gt;"",'Raw Data'!B341,"")</f>
        <v/>
      </c>
      <c r="C354" s="10" t="str">
        <f>IF('Raw Data'!C341&lt;&gt;"",'Raw Data'!C341,"")</f>
        <v/>
      </c>
      <c r="D354" s="10" t="str">
        <f>IF('Raw Data'!D341&lt;&gt;"",'Raw Data'!D341,"")</f>
        <v/>
      </c>
      <c r="E354" s="10" t="str">
        <f>IF('Raw Data'!E341&lt;&gt;"",'Raw Data'!E341,"")</f>
        <v/>
      </c>
      <c r="F354" s="14" t="str">
        <f>IF('Raw Data'!A341&lt;&gt;"",AVERAGE('Raw Data'!F341,'Raw Data'!H341,'Raw Data'!J341,'Raw Data'!L341,'Raw Data'!N341),"")</f>
        <v/>
      </c>
      <c r="G354" s="14" t="str">
        <f>IF('Raw Data'!A341&lt;&gt;"",AVERAGE('Raw Data'!G341,'Raw Data'!I341,'Raw Data'!K341,'Raw Data'!M341,'Raw Data'!O341),"")</f>
        <v/>
      </c>
      <c r="H354" s="14" t="str">
        <f t="shared" si="58"/>
        <v/>
      </c>
      <c r="I354" s="14" t="str">
        <f>IF('Raw Data'!A341&lt;&gt;"",AVERAGE('Raw Data'!P341,'Raw Data'!R341,'Raw Data'!T341,'Raw Data'!V341,'Raw Data'!X341),"")</f>
        <v/>
      </c>
      <c r="J354" s="14" t="str">
        <f>IF('Raw Data'!A341&lt;&gt;"",AVERAGE('Raw Data'!Q341,'Raw Data'!S341,'Raw Data'!U341,'Raw Data'!W341,'Raw Data'!Y341),"")</f>
        <v/>
      </c>
      <c r="K354" s="14" t="str">
        <f t="shared" si="59"/>
        <v/>
      </c>
      <c r="L354" s="14" t="str">
        <f>IF('Raw Data'!A341&lt;&gt;"",AVERAGE('Raw Data'!Z341,'Raw Data'!AB341,'Raw Data'!AD341,'Raw Data'!AF341,'Raw Data'!AH341),"")</f>
        <v/>
      </c>
      <c r="M354" s="14" t="str">
        <f>IF('Raw Data'!A341&lt;&gt;"",AVERAGE('Raw Data'!AA341,'Raw Data'!AC341,'Raw Data'!AE341,'Raw Data'!AG341,'Raw Data'!AI341),"")</f>
        <v/>
      </c>
      <c r="N354" s="14" t="str">
        <f t="shared" si="60"/>
        <v/>
      </c>
      <c r="O354" s="14" t="str">
        <f>IF('Raw Data'!A341&lt;&gt;"",AVERAGE('Raw Data'!AJ341,'Raw Data'!AL341,'Raw Data'!AN341,'Raw Data'!AP341,'Raw Data'!AR341),"")</f>
        <v/>
      </c>
      <c r="P354" s="14" t="str">
        <f>IF('Raw Data'!A341&lt;&gt;"",AVERAGE('Raw Data'!AK341,'Raw Data'!AM341,'Raw Data'!AO341,'Raw Data'!AQ341,'Raw Data'!AS341),"")</f>
        <v/>
      </c>
      <c r="Q354" s="14" t="str">
        <f t="shared" si="61"/>
        <v/>
      </c>
      <c r="R354" s="14" t="str">
        <f>IF('Raw Data'!A341&lt;&gt;"",AVERAGE('Raw Data'!AT341,'Raw Data'!AV341,'Raw Data'!AX341,'Raw Data'!AZ341,'Raw Data'!BB341),"")</f>
        <v/>
      </c>
      <c r="S354" s="14" t="str">
        <f>IF('Raw Data'!A341&lt;&gt;"",AVERAGE('Raw Data'!AU341,'Raw Data'!AW341,'Raw Data'!AY341,'Raw Data'!BA341,'Raw Data'!BC341),"")</f>
        <v/>
      </c>
      <c r="T354" s="14" t="str">
        <f t="shared" si="62"/>
        <v/>
      </c>
      <c r="U354" s="14" t="str">
        <f>IF('Raw Data'!A341&lt;&gt;"",AVERAGE('Raw Data'!BD341,'Raw Data'!BF341,'Raw Data'!BH341,'Raw Data'!BJ341,'Raw Data'!BL341),"")</f>
        <v/>
      </c>
      <c r="V354" s="14" t="str">
        <f>IF('Raw Data'!A341&lt;&gt;"",AVERAGE('Raw Data'!BE341,'Raw Data'!BG341,'Raw Data'!BI341,'Raw Data'!BK341,'Raw Data'!BM341),"")</f>
        <v/>
      </c>
      <c r="W354" s="14" t="str">
        <f t="shared" si="63"/>
        <v/>
      </c>
      <c r="X354" s="14" t="str">
        <f t="shared" si="64"/>
        <v/>
      </c>
      <c r="Y354" s="14" t="str">
        <f t="shared" si="65"/>
        <v/>
      </c>
      <c r="Z354" s="14" t="str">
        <f t="shared" si="66"/>
        <v/>
      </c>
      <c r="AA354" s="14" t="str">
        <f t="shared" si="67"/>
        <v/>
      </c>
      <c r="AB354" s="25" t="str">
        <f t="shared" si="68"/>
        <v/>
      </c>
    </row>
    <row r="355" spans="1:28" x14ac:dyDescent="0.25">
      <c r="A355" s="2" t="str">
        <f>IF('Raw Data'!A342&lt;&gt;"",'Raw Data'!A342,"")</f>
        <v/>
      </c>
      <c r="B355" s="2" t="str">
        <f>IF('Raw Data'!B342&lt;&gt;"",'Raw Data'!B342,"")</f>
        <v/>
      </c>
      <c r="C355" s="2" t="str">
        <f>IF('Raw Data'!C342&lt;&gt;"",'Raw Data'!C342,"")</f>
        <v/>
      </c>
      <c r="D355" s="2" t="str">
        <f>IF('Raw Data'!D342&lt;&gt;"",'Raw Data'!D342,"")</f>
        <v/>
      </c>
      <c r="E355" s="2" t="str">
        <f>IF('Raw Data'!E342&lt;&gt;"",'Raw Data'!E342,"")</f>
        <v/>
      </c>
      <c r="F355" s="11" t="str">
        <f>IF('Raw Data'!A342&lt;&gt;"",AVERAGE('Raw Data'!F342,'Raw Data'!H342,'Raw Data'!J342,'Raw Data'!L342,'Raw Data'!N342),"")</f>
        <v/>
      </c>
      <c r="G355" s="11" t="str">
        <f>IF('Raw Data'!A342&lt;&gt;"",AVERAGE('Raw Data'!G342,'Raw Data'!I342,'Raw Data'!K342,'Raw Data'!M342,'Raw Data'!O342),"")</f>
        <v/>
      </c>
      <c r="H355" s="11" t="str">
        <f t="shared" si="58"/>
        <v/>
      </c>
      <c r="I355" s="11" t="str">
        <f>IF('Raw Data'!A342&lt;&gt;"",AVERAGE('Raw Data'!P342,'Raw Data'!R342,'Raw Data'!T342,'Raw Data'!V342,'Raw Data'!X342),"")</f>
        <v/>
      </c>
      <c r="J355" s="11" t="str">
        <f>IF('Raw Data'!A342&lt;&gt;"",AVERAGE('Raw Data'!Q342,'Raw Data'!S342,'Raw Data'!U342,'Raw Data'!W342,'Raw Data'!Y342),"")</f>
        <v/>
      </c>
      <c r="K355" s="11" t="str">
        <f t="shared" si="59"/>
        <v/>
      </c>
      <c r="L355" s="11" t="str">
        <f>IF('Raw Data'!A342&lt;&gt;"",AVERAGE('Raw Data'!Z342,'Raw Data'!AB342,'Raw Data'!AD342,'Raw Data'!AF342,'Raw Data'!AH342),"")</f>
        <v/>
      </c>
      <c r="M355" s="11" t="str">
        <f>IF('Raw Data'!A342&lt;&gt;"",AVERAGE('Raw Data'!AA342,'Raw Data'!AC342,'Raw Data'!AE342,'Raw Data'!AG342,'Raw Data'!AI342),"")</f>
        <v/>
      </c>
      <c r="N355" s="11" t="str">
        <f t="shared" si="60"/>
        <v/>
      </c>
      <c r="O355" s="11" t="str">
        <f>IF('Raw Data'!A342&lt;&gt;"",AVERAGE('Raw Data'!AJ342,'Raw Data'!AL342,'Raw Data'!AN342,'Raw Data'!AP342,'Raw Data'!AR342),"")</f>
        <v/>
      </c>
      <c r="P355" s="11" t="str">
        <f>IF('Raw Data'!A342&lt;&gt;"",AVERAGE('Raw Data'!AK342,'Raw Data'!AM342,'Raw Data'!AO342,'Raw Data'!AQ342,'Raw Data'!AS342),"")</f>
        <v/>
      </c>
      <c r="Q355" s="11" t="str">
        <f t="shared" si="61"/>
        <v/>
      </c>
      <c r="R355" s="11" t="str">
        <f>IF('Raw Data'!A342&lt;&gt;"",AVERAGE('Raw Data'!AT342,'Raw Data'!AV342,'Raw Data'!AX342,'Raw Data'!AZ342,'Raw Data'!BB342),"")</f>
        <v/>
      </c>
      <c r="S355" s="11" t="str">
        <f>IF('Raw Data'!A342&lt;&gt;"",AVERAGE('Raw Data'!AU342,'Raw Data'!AW342,'Raw Data'!AY342,'Raw Data'!BA342,'Raw Data'!BC342),"")</f>
        <v/>
      </c>
      <c r="T355" s="11" t="str">
        <f t="shared" si="62"/>
        <v/>
      </c>
      <c r="U355" s="11" t="str">
        <f>IF('Raw Data'!A342&lt;&gt;"",AVERAGE('Raw Data'!BD342,'Raw Data'!BF342,'Raw Data'!BH342,'Raw Data'!BJ342,'Raw Data'!BL342),"")</f>
        <v/>
      </c>
      <c r="V355" s="11" t="str">
        <f>IF('Raw Data'!A342&lt;&gt;"",AVERAGE('Raw Data'!BE342,'Raw Data'!BG342,'Raw Data'!BI342,'Raw Data'!BK342,'Raw Data'!BM342),"")</f>
        <v/>
      </c>
      <c r="W355" s="11" t="str">
        <f t="shared" si="63"/>
        <v/>
      </c>
      <c r="X355" s="11" t="str">
        <f t="shared" si="64"/>
        <v/>
      </c>
      <c r="Y355" s="11" t="str">
        <f t="shared" si="65"/>
        <v/>
      </c>
      <c r="Z355" s="11" t="str">
        <f t="shared" si="66"/>
        <v/>
      </c>
      <c r="AA355" s="11" t="str">
        <f t="shared" si="67"/>
        <v/>
      </c>
      <c r="AB355" s="24" t="str">
        <f t="shared" si="68"/>
        <v/>
      </c>
    </row>
    <row r="356" spans="1:28" x14ac:dyDescent="0.25">
      <c r="A356" s="10" t="str">
        <f>IF('Raw Data'!A343&lt;&gt;"",'Raw Data'!A343,"")</f>
        <v/>
      </c>
      <c r="B356" s="10" t="str">
        <f>IF('Raw Data'!B343&lt;&gt;"",'Raw Data'!B343,"")</f>
        <v/>
      </c>
      <c r="C356" s="10" t="str">
        <f>IF('Raw Data'!C343&lt;&gt;"",'Raw Data'!C343,"")</f>
        <v/>
      </c>
      <c r="D356" s="10" t="str">
        <f>IF('Raw Data'!D343&lt;&gt;"",'Raw Data'!D343,"")</f>
        <v/>
      </c>
      <c r="E356" s="10" t="str">
        <f>IF('Raw Data'!E343&lt;&gt;"",'Raw Data'!E343,"")</f>
        <v/>
      </c>
      <c r="F356" s="14" t="str">
        <f>IF('Raw Data'!A343&lt;&gt;"",AVERAGE('Raw Data'!F343,'Raw Data'!H343,'Raw Data'!J343,'Raw Data'!L343,'Raw Data'!N343),"")</f>
        <v/>
      </c>
      <c r="G356" s="14" t="str">
        <f>IF('Raw Data'!A343&lt;&gt;"",AVERAGE('Raw Data'!G343,'Raw Data'!I343,'Raw Data'!K343,'Raw Data'!M343,'Raw Data'!O343),"")</f>
        <v/>
      </c>
      <c r="H356" s="14" t="str">
        <f t="shared" si="58"/>
        <v/>
      </c>
      <c r="I356" s="14" t="str">
        <f>IF('Raw Data'!A343&lt;&gt;"",AVERAGE('Raw Data'!P343,'Raw Data'!R343,'Raw Data'!T343,'Raw Data'!V343,'Raw Data'!X343),"")</f>
        <v/>
      </c>
      <c r="J356" s="14" t="str">
        <f>IF('Raw Data'!A343&lt;&gt;"",AVERAGE('Raw Data'!Q343,'Raw Data'!S343,'Raw Data'!U343,'Raw Data'!W343,'Raw Data'!Y343),"")</f>
        <v/>
      </c>
      <c r="K356" s="14" t="str">
        <f t="shared" si="59"/>
        <v/>
      </c>
      <c r="L356" s="14" t="str">
        <f>IF('Raw Data'!A343&lt;&gt;"",AVERAGE('Raw Data'!Z343,'Raw Data'!AB343,'Raw Data'!AD343,'Raw Data'!AF343,'Raw Data'!AH343),"")</f>
        <v/>
      </c>
      <c r="M356" s="14" t="str">
        <f>IF('Raw Data'!A343&lt;&gt;"",AVERAGE('Raw Data'!AA343,'Raw Data'!AC343,'Raw Data'!AE343,'Raw Data'!AG343,'Raw Data'!AI343),"")</f>
        <v/>
      </c>
      <c r="N356" s="14" t="str">
        <f t="shared" si="60"/>
        <v/>
      </c>
      <c r="O356" s="14" t="str">
        <f>IF('Raw Data'!A343&lt;&gt;"",AVERAGE('Raw Data'!AJ343,'Raw Data'!AL343,'Raw Data'!AN343,'Raw Data'!AP343,'Raw Data'!AR343),"")</f>
        <v/>
      </c>
      <c r="P356" s="14" t="str">
        <f>IF('Raw Data'!A343&lt;&gt;"",AVERAGE('Raw Data'!AK343,'Raw Data'!AM343,'Raw Data'!AO343,'Raw Data'!AQ343,'Raw Data'!AS343),"")</f>
        <v/>
      </c>
      <c r="Q356" s="14" t="str">
        <f t="shared" si="61"/>
        <v/>
      </c>
      <c r="R356" s="14" t="str">
        <f>IF('Raw Data'!A343&lt;&gt;"",AVERAGE('Raw Data'!AT343,'Raw Data'!AV343,'Raw Data'!AX343,'Raw Data'!AZ343,'Raw Data'!BB343),"")</f>
        <v/>
      </c>
      <c r="S356" s="14" t="str">
        <f>IF('Raw Data'!A343&lt;&gt;"",AVERAGE('Raw Data'!AU343,'Raw Data'!AW343,'Raw Data'!AY343,'Raw Data'!BA343,'Raw Data'!BC343),"")</f>
        <v/>
      </c>
      <c r="T356" s="14" t="str">
        <f t="shared" si="62"/>
        <v/>
      </c>
      <c r="U356" s="14" t="str">
        <f>IF('Raw Data'!A343&lt;&gt;"",AVERAGE('Raw Data'!BD343,'Raw Data'!BF343,'Raw Data'!BH343,'Raw Data'!BJ343,'Raw Data'!BL343),"")</f>
        <v/>
      </c>
      <c r="V356" s="14" t="str">
        <f>IF('Raw Data'!A343&lt;&gt;"",AVERAGE('Raw Data'!BE343,'Raw Data'!BG343,'Raw Data'!BI343,'Raw Data'!BK343,'Raw Data'!BM343),"")</f>
        <v/>
      </c>
      <c r="W356" s="14" t="str">
        <f t="shared" si="63"/>
        <v/>
      </c>
      <c r="X356" s="14" t="str">
        <f t="shared" si="64"/>
        <v/>
      </c>
      <c r="Y356" s="14" t="str">
        <f t="shared" si="65"/>
        <v/>
      </c>
      <c r="Z356" s="14" t="str">
        <f t="shared" si="66"/>
        <v/>
      </c>
      <c r="AA356" s="14" t="str">
        <f t="shared" si="67"/>
        <v/>
      </c>
      <c r="AB356" s="25" t="str">
        <f t="shared" si="68"/>
        <v/>
      </c>
    </row>
    <row r="357" spans="1:28" x14ac:dyDescent="0.25">
      <c r="A357" s="2" t="str">
        <f>IF('Raw Data'!A344&lt;&gt;"",'Raw Data'!A344,"")</f>
        <v/>
      </c>
      <c r="B357" s="2" t="str">
        <f>IF('Raw Data'!B344&lt;&gt;"",'Raw Data'!B344,"")</f>
        <v/>
      </c>
      <c r="C357" s="2" t="str">
        <f>IF('Raw Data'!C344&lt;&gt;"",'Raw Data'!C344,"")</f>
        <v/>
      </c>
      <c r="D357" s="2" t="str">
        <f>IF('Raw Data'!D344&lt;&gt;"",'Raw Data'!D344,"")</f>
        <v/>
      </c>
      <c r="E357" s="2" t="str">
        <f>IF('Raw Data'!E344&lt;&gt;"",'Raw Data'!E344,"")</f>
        <v/>
      </c>
      <c r="F357" s="11" t="str">
        <f>IF('Raw Data'!A344&lt;&gt;"",AVERAGE('Raw Data'!F344,'Raw Data'!H344,'Raw Data'!J344,'Raw Data'!L344,'Raw Data'!N344),"")</f>
        <v/>
      </c>
      <c r="G357" s="11" t="str">
        <f>IF('Raw Data'!A344&lt;&gt;"",AVERAGE('Raw Data'!G344,'Raw Data'!I344,'Raw Data'!K344,'Raw Data'!M344,'Raw Data'!O344),"")</f>
        <v/>
      </c>
      <c r="H357" s="11" t="str">
        <f t="shared" si="58"/>
        <v/>
      </c>
      <c r="I357" s="11" t="str">
        <f>IF('Raw Data'!A344&lt;&gt;"",AVERAGE('Raw Data'!P344,'Raw Data'!R344,'Raw Data'!T344,'Raw Data'!V344,'Raw Data'!X344),"")</f>
        <v/>
      </c>
      <c r="J357" s="11" t="str">
        <f>IF('Raw Data'!A344&lt;&gt;"",AVERAGE('Raw Data'!Q344,'Raw Data'!S344,'Raw Data'!U344,'Raw Data'!W344,'Raw Data'!Y344),"")</f>
        <v/>
      </c>
      <c r="K357" s="11" t="str">
        <f t="shared" si="59"/>
        <v/>
      </c>
      <c r="L357" s="11" t="str">
        <f>IF('Raw Data'!A344&lt;&gt;"",AVERAGE('Raw Data'!Z344,'Raw Data'!AB344,'Raw Data'!AD344,'Raw Data'!AF344,'Raw Data'!AH344),"")</f>
        <v/>
      </c>
      <c r="M357" s="11" t="str">
        <f>IF('Raw Data'!A344&lt;&gt;"",AVERAGE('Raw Data'!AA344,'Raw Data'!AC344,'Raw Data'!AE344,'Raw Data'!AG344,'Raw Data'!AI344),"")</f>
        <v/>
      </c>
      <c r="N357" s="11" t="str">
        <f t="shared" si="60"/>
        <v/>
      </c>
      <c r="O357" s="11" t="str">
        <f>IF('Raw Data'!A344&lt;&gt;"",AVERAGE('Raw Data'!AJ344,'Raw Data'!AL344,'Raw Data'!AN344,'Raw Data'!AP344,'Raw Data'!AR344),"")</f>
        <v/>
      </c>
      <c r="P357" s="11" t="str">
        <f>IF('Raw Data'!A344&lt;&gt;"",AVERAGE('Raw Data'!AK344,'Raw Data'!AM344,'Raw Data'!AO344,'Raw Data'!AQ344,'Raw Data'!AS344),"")</f>
        <v/>
      </c>
      <c r="Q357" s="11" t="str">
        <f t="shared" si="61"/>
        <v/>
      </c>
      <c r="R357" s="11" t="str">
        <f>IF('Raw Data'!A344&lt;&gt;"",AVERAGE('Raw Data'!AT344,'Raw Data'!AV344,'Raw Data'!AX344,'Raw Data'!AZ344,'Raw Data'!BB344),"")</f>
        <v/>
      </c>
      <c r="S357" s="11" t="str">
        <f>IF('Raw Data'!A344&lt;&gt;"",AVERAGE('Raw Data'!AU344,'Raw Data'!AW344,'Raw Data'!AY344,'Raw Data'!BA344,'Raw Data'!BC344),"")</f>
        <v/>
      </c>
      <c r="T357" s="11" t="str">
        <f t="shared" si="62"/>
        <v/>
      </c>
      <c r="U357" s="11" t="str">
        <f>IF('Raw Data'!A344&lt;&gt;"",AVERAGE('Raw Data'!BD344,'Raw Data'!BF344,'Raw Data'!BH344,'Raw Data'!BJ344,'Raw Data'!BL344),"")</f>
        <v/>
      </c>
      <c r="V357" s="11" t="str">
        <f>IF('Raw Data'!A344&lt;&gt;"",AVERAGE('Raw Data'!BE344,'Raw Data'!BG344,'Raw Data'!BI344,'Raw Data'!BK344,'Raw Data'!BM344),"")</f>
        <v/>
      </c>
      <c r="W357" s="11" t="str">
        <f t="shared" si="63"/>
        <v/>
      </c>
      <c r="X357" s="11" t="str">
        <f t="shared" si="64"/>
        <v/>
      </c>
      <c r="Y357" s="11" t="str">
        <f t="shared" si="65"/>
        <v/>
      </c>
      <c r="Z357" s="11" t="str">
        <f t="shared" si="66"/>
        <v/>
      </c>
      <c r="AA357" s="11" t="str">
        <f t="shared" si="67"/>
        <v/>
      </c>
      <c r="AB357" s="24" t="str">
        <f t="shared" si="68"/>
        <v/>
      </c>
    </row>
    <row r="358" spans="1:28" x14ac:dyDescent="0.25">
      <c r="A358" s="10" t="str">
        <f>IF('Raw Data'!A345&lt;&gt;"",'Raw Data'!A345,"")</f>
        <v/>
      </c>
      <c r="B358" s="10" t="str">
        <f>IF('Raw Data'!B345&lt;&gt;"",'Raw Data'!B345,"")</f>
        <v/>
      </c>
      <c r="C358" s="10" t="str">
        <f>IF('Raw Data'!C345&lt;&gt;"",'Raw Data'!C345,"")</f>
        <v/>
      </c>
      <c r="D358" s="10" t="str">
        <f>IF('Raw Data'!D345&lt;&gt;"",'Raw Data'!D345,"")</f>
        <v/>
      </c>
      <c r="E358" s="10" t="str">
        <f>IF('Raw Data'!E345&lt;&gt;"",'Raw Data'!E345,"")</f>
        <v/>
      </c>
      <c r="F358" s="14" t="str">
        <f>IF('Raw Data'!A345&lt;&gt;"",AVERAGE('Raw Data'!F345,'Raw Data'!H345,'Raw Data'!J345,'Raw Data'!L345,'Raw Data'!N345),"")</f>
        <v/>
      </c>
      <c r="G358" s="14" t="str">
        <f>IF('Raw Data'!A345&lt;&gt;"",AVERAGE('Raw Data'!G345,'Raw Data'!I345,'Raw Data'!K345,'Raw Data'!M345,'Raw Data'!O345),"")</f>
        <v/>
      </c>
      <c r="H358" s="14" t="str">
        <f t="shared" si="58"/>
        <v/>
      </c>
      <c r="I358" s="14" t="str">
        <f>IF('Raw Data'!A345&lt;&gt;"",AVERAGE('Raw Data'!P345,'Raw Data'!R345,'Raw Data'!T345,'Raw Data'!V345,'Raw Data'!X345),"")</f>
        <v/>
      </c>
      <c r="J358" s="14" t="str">
        <f>IF('Raw Data'!A345&lt;&gt;"",AVERAGE('Raw Data'!Q345,'Raw Data'!S345,'Raw Data'!U345,'Raw Data'!W345,'Raw Data'!Y345),"")</f>
        <v/>
      </c>
      <c r="K358" s="14" t="str">
        <f t="shared" si="59"/>
        <v/>
      </c>
      <c r="L358" s="14" t="str">
        <f>IF('Raw Data'!A345&lt;&gt;"",AVERAGE('Raw Data'!Z345,'Raw Data'!AB345,'Raw Data'!AD345,'Raw Data'!AF345,'Raw Data'!AH345),"")</f>
        <v/>
      </c>
      <c r="M358" s="14" t="str">
        <f>IF('Raw Data'!A345&lt;&gt;"",AVERAGE('Raw Data'!AA345,'Raw Data'!AC345,'Raw Data'!AE345,'Raw Data'!AG345,'Raw Data'!AI345),"")</f>
        <v/>
      </c>
      <c r="N358" s="14" t="str">
        <f t="shared" si="60"/>
        <v/>
      </c>
      <c r="O358" s="14" t="str">
        <f>IF('Raw Data'!A345&lt;&gt;"",AVERAGE('Raw Data'!AJ345,'Raw Data'!AL345,'Raw Data'!AN345,'Raw Data'!AP345,'Raw Data'!AR345),"")</f>
        <v/>
      </c>
      <c r="P358" s="14" t="str">
        <f>IF('Raw Data'!A345&lt;&gt;"",AVERAGE('Raw Data'!AK345,'Raw Data'!AM345,'Raw Data'!AO345,'Raw Data'!AQ345,'Raw Data'!AS345),"")</f>
        <v/>
      </c>
      <c r="Q358" s="14" t="str">
        <f t="shared" si="61"/>
        <v/>
      </c>
      <c r="R358" s="14" t="str">
        <f>IF('Raw Data'!A345&lt;&gt;"",AVERAGE('Raw Data'!AT345,'Raw Data'!AV345,'Raw Data'!AX345,'Raw Data'!AZ345,'Raw Data'!BB345),"")</f>
        <v/>
      </c>
      <c r="S358" s="14" t="str">
        <f>IF('Raw Data'!A345&lt;&gt;"",AVERAGE('Raw Data'!AU345,'Raw Data'!AW345,'Raw Data'!AY345,'Raw Data'!BA345,'Raw Data'!BC345),"")</f>
        <v/>
      </c>
      <c r="T358" s="14" t="str">
        <f t="shared" si="62"/>
        <v/>
      </c>
      <c r="U358" s="14" t="str">
        <f>IF('Raw Data'!A345&lt;&gt;"",AVERAGE('Raw Data'!BD345,'Raw Data'!BF345,'Raw Data'!BH345,'Raw Data'!BJ345,'Raw Data'!BL345),"")</f>
        <v/>
      </c>
      <c r="V358" s="14" t="str">
        <f>IF('Raw Data'!A345&lt;&gt;"",AVERAGE('Raw Data'!BE345,'Raw Data'!BG345,'Raw Data'!BI345,'Raw Data'!BK345,'Raw Data'!BM345),"")</f>
        <v/>
      </c>
      <c r="W358" s="14" t="str">
        <f t="shared" si="63"/>
        <v/>
      </c>
      <c r="X358" s="14" t="str">
        <f t="shared" si="64"/>
        <v/>
      </c>
      <c r="Y358" s="14" t="str">
        <f t="shared" si="65"/>
        <v/>
      </c>
      <c r="Z358" s="14" t="str">
        <f t="shared" si="66"/>
        <v/>
      </c>
      <c r="AA358" s="14" t="str">
        <f t="shared" si="67"/>
        <v/>
      </c>
      <c r="AB358" s="25" t="str">
        <f t="shared" si="68"/>
        <v/>
      </c>
    </row>
    <row r="359" spans="1:28" x14ac:dyDescent="0.25">
      <c r="A359" s="2" t="str">
        <f>IF('Raw Data'!A346&lt;&gt;"",'Raw Data'!A346,"")</f>
        <v/>
      </c>
      <c r="B359" s="2" t="str">
        <f>IF('Raw Data'!B346&lt;&gt;"",'Raw Data'!B346,"")</f>
        <v/>
      </c>
      <c r="C359" s="2" t="str">
        <f>IF('Raw Data'!C346&lt;&gt;"",'Raw Data'!C346,"")</f>
        <v/>
      </c>
      <c r="D359" s="2" t="str">
        <f>IF('Raw Data'!D346&lt;&gt;"",'Raw Data'!D346,"")</f>
        <v/>
      </c>
      <c r="E359" s="2" t="str">
        <f>IF('Raw Data'!E346&lt;&gt;"",'Raw Data'!E346,"")</f>
        <v/>
      </c>
      <c r="F359" s="11" t="str">
        <f>IF('Raw Data'!A346&lt;&gt;"",AVERAGE('Raw Data'!F346,'Raw Data'!H346,'Raw Data'!J346,'Raw Data'!L346,'Raw Data'!N346),"")</f>
        <v/>
      </c>
      <c r="G359" s="11" t="str">
        <f>IF('Raw Data'!A346&lt;&gt;"",AVERAGE('Raw Data'!G346,'Raw Data'!I346,'Raw Data'!K346,'Raw Data'!M346,'Raw Data'!O346),"")</f>
        <v/>
      </c>
      <c r="H359" s="11" t="str">
        <f t="shared" si="58"/>
        <v/>
      </c>
      <c r="I359" s="11" t="str">
        <f>IF('Raw Data'!A346&lt;&gt;"",AVERAGE('Raw Data'!P346,'Raw Data'!R346,'Raw Data'!T346,'Raw Data'!V346,'Raw Data'!X346),"")</f>
        <v/>
      </c>
      <c r="J359" s="11" t="str">
        <f>IF('Raw Data'!A346&lt;&gt;"",AVERAGE('Raw Data'!Q346,'Raw Data'!S346,'Raw Data'!U346,'Raw Data'!W346,'Raw Data'!Y346),"")</f>
        <v/>
      </c>
      <c r="K359" s="11" t="str">
        <f t="shared" si="59"/>
        <v/>
      </c>
      <c r="L359" s="11" t="str">
        <f>IF('Raw Data'!A346&lt;&gt;"",AVERAGE('Raw Data'!Z346,'Raw Data'!AB346,'Raw Data'!AD346,'Raw Data'!AF346,'Raw Data'!AH346),"")</f>
        <v/>
      </c>
      <c r="M359" s="11" t="str">
        <f>IF('Raw Data'!A346&lt;&gt;"",AVERAGE('Raw Data'!AA346,'Raw Data'!AC346,'Raw Data'!AE346,'Raw Data'!AG346,'Raw Data'!AI346),"")</f>
        <v/>
      </c>
      <c r="N359" s="11" t="str">
        <f t="shared" si="60"/>
        <v/>
      </c>
      <c r="O359" s="11" t="str">
        <f>IF('Raw Data'!A346&lt;&gt;"",AVERAGE('Raw Data'!AJ346,'Raw Data'!AL346,'Raw Data'!AN346,'Raw Data'!AP346,'Raw Data'!AR346),"")</f>
        <v/>
      </c>
      <c r="P359" s="11" t="str">
        <f>IF('Raw Data'!A346&lt;&gt;"",AVERAGE('Raw Data'!AK346,'Raw Data'!AM346,'Raw Data'!AO346,'Raw Data'!AQ346,'Raw Data'!AS346),"")</f>
        <v/>
      </c>
      <c r="Q359" s="11" t="str">
        <f t="shared" si="61"/>
        <v/>
      </c>
      <c r="R359" s="11" t="str">
        <f>IF('Raw Data'!A346&lt;&gt;"",AVERAGE('Raw Data'!AT346,'Raw Data'!AV346,'Raw Data'!AX346,'Raw Data'!AZ346,'Raw Data'!BB346),"")</f>
        <v/>
      </c>
      <c r="S359" s="11" t="str">
        <f>IF('Raw Data'!A346&lt;&gt;"",AVERAGE('Raw Data'!AU346,'Raw Data'!AW346,'Raw Data'!AY346,'Raw Data'!BA346,'Raw Data'!BC346),"")</f>
        <v/>
      </c>
      <c r="T359" s="11" t="str">
        <f t="shared" si="62"/>
        <v/>
      </c>
      <c r="U359" s="11" t="str">
        <f>IF('Raw Data'!A346&lt;&gt;"",AVERAGE('Raw Data'!BD346,'Raw Data'!BF346,'Raw Data'!BH346,'Raw Data'!BJ346,'Raw Data'!BL346),"")</f>
        <v/>
      </c>
      <c r="V359" s="11" t="str">
        <f>IF('Raw Data'!A346&lt;&gt;"",AVERAGE('Raw Data'!BE346,'Raw Data'!BG346,'Raw Data'!BI346,'Raw Data'!BK346,'Raw Data'!BM346),"")</f>
        <v/>
      </c>
      <c r="W359" s="11" t="str">
        <f t="shared" si="63"/>
        <v/>
      </c>
      <c r="X359" s="11" t="str">
        <f t="shared" si="64"/>
        <v/>
      </c>
      <c r="Y359" s="11" t="str">
        <f t="shared" si="65"/>
        <v/>
      </c>
      <c r="Z359" s="11" t="str">
        <f t="shared" si="66"/>
        <v/>
      </c>
      <c r="AA359" s="11" t="str">
        <f t="shared" si="67"/>
        <v/>
      </c>
      <c r="AB359" s="24" t="str">
        <f t="shared" si="68"/>
        <v/>
      </c>
    </row>
    <row r="360" spans="1:28" x14ac:dyDescent="0.25">
      <c r="A360" s="10" t="str">
        <f>IF('Raw Data'!A347&lt;&gt;"",'Raw Data'!A347,"")</f>
        <v/>
      </c>
      <c r="B360" s="10" t="str">
        <f>IF('Raw Data'!B347&lt;&gt;"",'Raw Data'!B347,"")</f>
        <v/>
      </c>
      <c r="C360" s="10" t="str">
        <f>IF('Raw Data'!C347&lt;&gt;"",'Raw Data'!C347,"")</f>
        <v/>
      </c>
      <c r="D360" s="10" t="str">
        <f>IF('Raw Data'!D347&lt;&gt;"",'Raw Data'!D347,"")</f>
        <v/>
      </c>
      <c r="E360" s="10" t="str">
        <f>IF('Raw Data'!E347&lt;&gt;"",'Raw Data'!E347,"")</f>
        <v/>
      </c>
      <c r="F360" s="14" t="str">
        <f>IF('Raw Data'!A347&lt;&gt;"",AVERAGE('Raw Data'!F347,'Raw Data'!H347,'Raw Data'!J347,'Raw Data'!L347,'Raw Data'!N347),"")</f>
        <v/>
      </c>
      <c r="G360" s="14" t="str">
        <f>IF('Raw Data'!A347&lt;&gt;"",AVERAGE('Raw Data'!G347,'Raw Data'!I347,'Raw Data'!K347,'Raw Data'!M347,'Raw Data'!O347),"")</f>
        <v/>
      </c>
      <c r="H360" s="14" t="str">
        <f t="shared" si="58"/>
        <v/>
      </c>
      <c r="I360" s="14" t="str">
        <f>IF('Raw Data'!A347&lt;&gt;"",AVERAGE('Raw Data'!P347,'Raw Data'!R347,'Raw Data'!T347,'Raw Data'!V347,'Raw Data'!X347),"")</f>
        <v/>
      </c>
      <c r="J360" s="14" t="str">
        <f>IF('Raw Data'!A347&lt;&gt;"",AVERAGE('Raw Data'!Q347,'Raw Data'!S347,'Raw Data'!U347,'Raw Data'!W347,'Raw Data'!Y347),"")</f>
        <v/>
      </c>
      <c r="K360" s="14" t="str">
        <f t="shared" si="59"/>
        <v/>
      </c>
      <c r="L360" s="14" t="str">
        <f>IF('Raw Data'!A347&lt;&gt;"",AVERAGE('Raw Data'!Z347,'Raw Data'!AB347,'Raw Data'!AD347,'Raw Data'!AF347,'Raw Data'!AH347),"")</f>
        <v/>
      </c>
      <c r="M360" s="14" t="str">
        <f>IF('Raw Data'!A347&lt;&gt;"",AVERAGE('Raw Data'!AA347,'Raw Data'!AC347,'Raw Data'!AE347,'Raw Data'!AG347,'Raw Data'!AI347),"")</f>
        <v/>
      </c>
      <c r="N360" s="14" t="str">
        <f t="shared" si="60"/>
        <v/>
      </c>
      <c r="O360" s="14" t="str">
        <f>IF('Raw Data'!A347&lt;&gt;"",AVERAGE('Raw Data'!AJ347,'Raw Data'!AL347,'Raw Data'!AN347,'Raw Data'!AP347,'Raw Data'!AR347),"")</f>
        <v/>
      </c>
      <c r="P360" s="14" t="str">
        <f>IF('Raw Data'!A347&lt;&gt;"",AVERAGE('Raw Data'!AK347,'Raw Data'!AM347,'Raw Data'!AO347,'Raw Data'!AQ347,'Raw Data'!AS347),"")</f>
        <v/>
      </c>
      <c r="Q360" s="14" t="str">
        <f t="shared" si="61"/>
        <v/>
      </c>
      <c r="R360" s="14" t="str">
        <f>IF('Raw Data'!A347&lt;&gt;"",AVERAGE('Raw Data'!AT347,'Raw Data'!AV347,'Raw Data'!AX347,'Raw Data'!AZ347,'Raw Data'!BB347),"")</f>
        <v/>
      </c>
      <c r="S360" s="14" t="str">
        <f>IF('Raw Data'!A347&lt;&gt;"",AVERAGE('Raw Data'!AU347,'Raw Data'!AW347,'Raw Data'!AY347,'Raw Data'!BA347,'Raw Data'!BC347),"")</f>
        <v/>
      </c>
      <c r="T360" s="14" t="str">
        <f t="shared" si="62"/>
        <v/>
      </c>
      <c r="U360" s="14" t="str">
        <f>IF('Raw Data'!A347&lt;&gt;"",AVERAGE('Raw Data'!BD347,'Raw Data'!BF347,'Raw Data'!BH347,'Raw Data'!BJ347,'Raw Data'!BL347),"")</f>
        <v/>
      </c>
      <c r="V360" s="14" t="str">
        <f>IF('Raw Data'!A347&lt;&gt;"",AVERAGE('Raw Data'!BE347,'Raw Data'!BG347,'Raw Data'!BI347,'Raw Data'!BK347,'Raw Data'!BM347),"")</f>
        <v/>
      </c>
      <c r="W360" s="14" t="str">
        <f t="shared" si="63"/>
        <v/>
      </c>
      <c r="X360" s="14" t="str">
        <f t="shared" si="64"/>
        <v/>
      </c>
      <c r="Y360" s="14" t="str">
        <f t="shared" si="65"/>
        <v/>
      </c>
      <c r="Z360" s="14" t="str">
        <f t="shared" si="66"/>
        <v/>
      </c>
      <c r="AA360" s="14" t="str">
        <f t="shared" si="67"/>
        <v/>
      </c>
      <c r="AB360" s="25" t="str">
        <f t="shared" si="68"/>
        <v/>
      </c>
    </row>
    <row r="361" spans="1:28" x14ac:dyDescent="0.25">
      <c r="A361" s="2" t="str">
        <f>IF('Raw Data'!A348&lt;&gt;"",'Raw Data'!A348,"")</f>
        <v/>
      </c>
      <c r="B361" s="2" t="str">
        <f>IF('Raw Data'!B348&lt;&gt;"",'Raw Data'!B348,"")</f>
        <v/>
      </c>
      <c r="C361" s="2" t="str">
        <f>IF('Raw Data'!C348&lt;&gt;"",'Raw Data'!C348,"")</f>
        <v/>
      </c>
      <c r="D361" s="2" t="str">
        <f>IF('Raw Data'!D348&lt;&gt;"",'Raw Data'!D348,"")</f>
        <v/>
      </c>
      <c r="E361" s="2" t="str">
        <f>IF('Raw Data'!E348&lt;&gt;"",'Raw Data'!E348,"")</f>
        <v/>
      </c>
      <c r="F361" s="11" t="str">
        <f>IF('Raw Data'!A348&lt;&gt;"",AVERAGE('Raw Data'!F348,'Raw Data'!H348,'Raw Data'!J348,'Raw Data'!L348,'Raw Data'!N348),"")</f>
        <v/>
      </c>
      <c r="G361" s="11" t="str">
        <f>IF('Raw Data'!A348&lt;&gt;"",AVERAGE('Raw Data'!G348,'Raw Data'!I348,'Raw Data'!K348,'Raw Data'!M348,'Raw Data'!O348),"")</f>
        <v/>
      </c>
      <c r="H361" s="11" t="str">
        <f t="shared" si="58"/>
        <v/>
      </c>
      <c r="I361" s="11" t="str">
        <f>IF('Raw Data'!A348&lt;&gt;"",AVERAGE('Raw Data'!P348,'Raw Data'!R348,'Raw Data'!T348,'Raw Data'!V348,'Raw Data'!X348),"")</f>
        <v/>
      </c>
      <c r="J361" s="11" t="str">
        <f>IF('Raw Data'!A348&lt;&gt;"",AVERAGE('Raw Data'!Q348,'Raw Data'!S348,'Raw Data'!U348,'Raw Data'!W348,'Raw Data'!Y348),"")</f>
        <v/>
      </c>
      <c r="K361" s="11" t="str">
        <f t="shared" si="59"/>
        <v/>
      </c>
      <c r="L361" s="11" t="str">
        <f>IF('Raw Data'!A348&lt;&gt;"",AVERAGE('Raw Data'!Z348,'Raw Data'!AB348,'Raw Data'!AD348,'Raw Data'!AF348,'Raw Data'!AH348),"")</f>
        <v/>
      </c>
      <c r="M361" s="11" t="str">
        <f>IF('Raw Data'!A348&lt;&gt;"",AVERAGE('Raw Data'!AA348,'Raw Data'!AC348,'Raw Data'!AE348,'Raw Data'!AG348,'Raw Data'!AI348),"")</f>
        <v/>
      </c>
      <c r="N361" s="11" t="str">
        <f t="shared" si="60"/>
        <v/>
      </c>
      <c r="O361" s="11" t="str">
        <f>IF('Raw Data'!A348&lt;&gt;"",AVERAGE('Raw Data'!AJ348,'Raw Data'!AL348,'Raw Data'!AN348,'Raw Data'!AP348,'Raw Data'!AR348),"")</f>
        <v/>
      </c>
      <c r="P361" s="11" t="str">
        <f>IF('Raw Data'!A348&lt;&gt;"",AVERAGE('Raw Data'!AK348,'Raw Data'!AM348,'Raw Data'!AO348,'Raw Data'!AQ348,'Raw Data'!AS348),"")</f>
        <v/>
      </c>
      <c r="Q361" s="11" t="str">
        <f t="shared" si="61"/>
        <v/>
      </c>
      <c r="R361" s="11" t="str">
        <f>IF('Raw Data'!A348&lt;&gt;"",AVERAGE('Raw Data'!AT348,'Raw Data'!AV348,'Raw Data'!AX348,'Raw Data'!AZ348,'Raw Data'!BB348),"")</f>
        <v/>
      </c>
      <c r="S361" s="11" t="str">
        <f>IF('Raw Data'!A348&lt;&gt;"",AVERAGE('Raw Data'!AU348,'Raw Data'!AW348,'Raw Data'!AY348,'Raw Data'!BA348,'Raw Data'!BC348),"")</f>
        <v/>
      </c>
      <c r="T361" s="11" t="str">
        <f t="shared" si="62"/>
        <v/>
      </c>
      <c r="U361" s="11" t="str">
        <f>IF('Raw Data'!A348&lt;&gt;"",AVERAGE('Raw Data'!BD348,'Raw Data'!BF348,'Raw Data'!BH348,'Raw Data'!BJ348,'Raw Data'!BL348),"")</f>
        <v/>
      </c>
      <c r="V361" s="11" t="str">
        <f>IF('Raw Data'!A348&lt;&gt;"",AVERAGE('Raw Data'!BE348,'Raw Data'!BG348,'Raw Data'!BI348,'Raw Data'!BK348,'Raw Data'!BM348),"")</f>
        <v/>
      </c>
      <c r="W361" s="11" t="str">
        <f t="shared" si="63"/>
        <v/>
      </c>
      <c r="X361" s="11" t="str">
        <f t="shared" si="64"/>
        <v/>
      </c>
      <c r="Y361" s="11" t="str">
        <f t="shared" si="65"/>
        <v/>
      </c>
      <c r="Z361" s="11" t="str">
        <f t="shared" si="66"/>
        <v/>
      </c>
      <c r="AA361" s="11" t="str">
        <f t="shared" si="67"/>
        <v/>
      </c>
      <c r="AB361" s="24" t="str">
        <f t="shared" si="68"/>
        <v/>
      </c>
    </row>
    <row r="362" spans="1:28" x14ac:dyDescent="0.25">
      <c r="A362" s="10" t="str">
        <f>IF('Raw Data'!A349&lt;&gt;"",'Raw Data'!A349,"")</f>
        <v/>
      </c>
      <c r="B362" s="10" t="str">
        <f>IF('Raw Data'!B349&lt;&gt;"",'Raw Data'!B349,"")</f>
        <v/>
      </c>
      <c r="C362" s="10" t="str">
        <f>IF('Raw Data'!C349&lt;&gt;"",'Raw Data'!C349,"")</f>
        <v/>
      </c>
      <c r="D362" s="10" t="str">
        <f>IF('Raw Data'!D349&lt;&gt;"",'Raw Data'!D349,"")</f>
        <v/>
      </c>
      <c r="E362" s="10" t="str">
        <f>IF('Raw Data'!E349&lt;&gt;"",'Raw Data'!E349,"")</f>
        <v/>
      </c>
      <c r="F362" s="14" t="str">
        <f>IF('Raw Data'!A349&lt;&gt;"",AVERAGE('Raw Data'!F349,'Raw Data'!H349,'Raw Data'!J349,'Raw Data'!L349,'Raw Data'!N349),"")</f>
        <v/>
      </c>
      <c r="G362" s="14" t="str">
        <f>IF('Raw Data'!A349&lt;&gt;"",AVERAGE('Raw Data'!G349,'Raw Data'!I349,'Raw Data'!K349,'Raw Data'!M349,'Raw Data'!O349),"")</f>
        <v/>
      </c>
      <c r="H362" s="14" t="str">
        <f t="shared" si="58"/>
        <v/>
      </c>
      <c r="I362" s="14" t="str">
        <f>IF('Raw Data'!A349&lt;&gt;"",AVERAGE('Raw Data'!P349,'Raw Data'!R349,'Raw Data'!T349,'Raw Data'!V349,'Raw Data'!X349),"")</f>
        <v/>
      </c>
      <c r="J362" s="14" t="str">
        <f>IF('Raw Data'!A349&lt;&gt;"",AVERAGE('Raw Data'!Q349,'Raw Data'!S349,'Raw Data'!U349,'Raw Data'!W349,'Raw Data'!Y349),"")</f>
        <v/>
      </c>
      <c r="K362" s="14" t="str">
        <f t="shared" si="59"/>
        <v/>
      </c>
      <c r="L362" s="14" t="str">
        <f>IF('Raw Data'!A349&lt;&gt;"",AVERAGE('Raw Data'!Z349,'Raw Data'!AB349,'Raw Data'!AD349,'Raw Data'!AF349,'Raw Data'!AH349),"")</f>
        <v/>
      </c>
      <c r="M362" s="14" t="str">
        <f>IF('Raw Data'!A349&lt;&gt;"",AVERAGE('Raw Data'!AA349,'Raw Data'!AC349,'Raw Data'!AE349,'Raw Data'!AG349,'Raw Data'!AI349),"")</f>
        <v/>
      </c>
      <c r="N362" s="14" t="str">
        <f t="shared" si="60"/>
        <v/>
      </c>
      <c r="O362" s="14" t="str">
        <f>IF('Raw Data'!A349&lt;&gt;"",AVERAGE('Raw Data'!AJ349,'Raw Data'!AL349,'Raw Data'!AN349,'Raw Data'!AP349,'Raw Data'!AR349),"")</f>
        <v/>
      </c>
      <c r="P362" s="14" t="str">
        <f>IF('Raw Data'!A349&lt;&gt;"",AVERAGE('Raw Data'!AK349,'Raw Data'!AM349,'Raw Data'!AO349,'Raw Data'!AQ349,'Raw Data'!AS349),"")</f>
        <v/>
      </c>
      <c r="Q362" s="14" t="str">
        <f t="shared" si="61"/>
        <v/>
      </c>
      <c r="R362" s="14" t="str">
        <f>IF('Raw Data'!A349&lt;&gt;"",AVERAGE('Raw Data'!AT349,'Raw Data'!AV349,'Raw Data'!AX349,'Raw Data'!AZ349,'Raw Data'!BB349),"")</f>
        <v/>
      </c>
      <c r="S362" s="14" t="str">
        <f>IF('Raw Data'!A349&lt;&gt;"",AVERAGE('Raw Data'!AU349,'Raw Data'!AW349,'Raw Data'!AY349,'Raw Data'!BA349,'Raw Data'!BC349),"")</f>
        <v/>
      </c>
      <c r="T362" s="14" t="str">
        <f t="shared" si="62"/>
        <v/>
      </c>
      <c r="U362" s="14" t="str">
        <f>IF('Raw Data'!A349&lt;&gt;"",AVERAGE('Raw Data'!BD349,'Raw Data'!BF349,'Raw Data'!BH349,'Raw Data'!BJ349,'Raw Data'!BL349),"")</f>
        <v/>
      </c>
      <c r="V362" s="14" t="str">
        <f>IF('Raw Data'!A349&lt;&gt;"",AVERAGE('Raw Data'!BE349,'Raw Data'!BG349,'Raw Data'!BI349,'Raw Data'!BK349,'Raw Data'!BM349),"")</f>
        <v/>
      </c>
      <c r="W362" s="14" t="str">
        <f t="shared" si="63"/>
        <v/>
      </c>
      <c r="X362" s="14" t="str">
        <f t="shared" si="64"/>
        <v/>
      </c>
      <c r="Y362" s="14" t="str">
        <f t="shared" si="65"/>
        <v/>
      </c>
      <c r="Z362" s="14" t="str">
        <f t="shared" si="66"/>
        <v/>
      </c>
      <c r="AA362" s="14" t="str">
        <f t="shared" si="67"/>
        <v/>
      </c>
      <c r="AB362" s="25" t="str">
        <f t="shared" si="68"/>
        <v/>
      </c>
    </row>
    <row r="363" spans="1:28" x14ac:dyDescent="0.25">
      <c r="A363" s="2" t="str">
        <f>IF('Raw Data'!A350&lt;&gt;"",'Raw Data'!A350,"")</f>
        <v/>
      </c>
      <c r="B363" s="2" t="str">
        <f>IF('Raw Data'!B350&lt;&gt;"",'Raw Data'!B350,"")</f>
        <v/>
      </c>
      <c r="C363" s="2" t="str">
        <f>IF('Raw Data'!C350&lt;&gt;"",'Raw Data'!C350,"")</f>
        <v/>
      </c>
      <c r="D363" s="2" t="str">
        <f>IF('Raw Data'!D350&lt;&gt;"",'Raw Data'!D350,"")</f>
        <v/>
      </c>
      <c r="E363" s="2" t="str">
        <f>IF('Raw Data'!E350&lt;&gt;"",'Raw Data'!E350,"")</f>
        <v/>
      </c>
      <c r="F363" s="11" t="str">
        <f>IF('Raw Data'!A350&lt;&gt;"",AVERAGE('Raw Data'!F350,'Raw Data'!H350,'Raw Data'!J350,'Raw Data'!L350,'Raw Data'!N350),"")</f>
        <v/>
      </c>
      <c r="G363" s="11" t="str">
        <f>IF('Raw Data'!A350&lt;&gt;"",AVERAGE('Raw Data'!G350,'Raw Data'!I350,'Raw Data'!K350,'Raw Data'!M350,'Raw Data'!O350),"")</f>
        <v/>
      </c>
      <c r="H363" s="11" t="str">
        <f t="shared" si="58"/>
        <v/>
      </c>
      <c r="I363" s="11" t="str">
        <f>IF('Raw Data'!A350&lt;&gt;"",AVERAGE('Raw Data'!P350,'Raw Data'!R350,'Raw Data'!T350,'Raw Data'!V350,'Raw Data'!X350),"")</f>
        <v/>
      </c>
      <c r="J363" s="11" t="str">
        <f>IF('Raw Data'!A350&lt;&gt;"",AVERAGE('Raw Data'!Q350,'Raw Data'!S350,'Raw Data'!U350,'Raw Data'!W350,'Raw Data'!Y350),"")</f>
        <v/>
      </c>
      <c r="K363" s="11" t="str">
        <f t="shared" si="59"/>
        <v/>
      </c>
      <c r="L363" s="11" t="str">
        <f>IF('Raw Data'!A350&lt;&gt;"",AVERAGE('Raw Data'!Z350,'Raw Data'!AB350,'Raw Data'!AD350,'Raw Data'!AF350,'Raw Data'!AH350),"")</f>
        <v/>
      </c>
      <c r="M363" s="11" t="str">
        <f>IF('Raw Data'!A350&lt;&gt;"",AVERAGE('Raw Data'!AA350,'Raw Data'!AC350,'Raw Data'!AE350,'Raw Data'!AG350,'Raw Data'!AI350),"")</f>
        <v/>
      </c>
      <c r="N363" s="11" t="str">
        <f t="shared" si="60"/>
        <v/>
      </c>
      <c r="O363" s="11" t="str">
        <f>IF('Raw Data'!A350&lt;&gt;"",AVERAGE('Raw Data'!AJ350,'Raw Data'!AL350,'Raw Data'!AN350,'Raw Data'!AP350,'Raw Data'!AR350),"")</f>
        <v/>
      </c>
      <c r="P363" s="11" t="str">
        <f>IF('Raw Data'!A350&lt;&gt;"",AVERAGE('Raw Data'!AK350,'Raw Data'!AM350,'Raw Data'!AO350,'Raw Data'!AQ350,'Raw Data'!AS350),"")</f>
        <v/>
      </c>
      <c r="Q363" s="11" t="str">
        <f t="shared" si="61"/>
        <v/>
      </c>
      <c r="R363" s="11" t="str">
        <f>IF('Raw Data'!A350&lt;&gt;"",AVERAGE('Raw Data'!AT350,'Raw Data'!AV350,'Raw Data'!AX350,'Raw Data'!AZ350,'Raw Data'!BB350),"")</f>
        <v/>
      </c>
      <c r="S363" s="11" t="str">
        <f>IF('Raw Data'!A350&lt;&gt;"",AVERAGE('Raw Data'!AU350,'Raw Data'!AW350,'Raw Data'!AY350,'Raw Data'!BA350,'Raw Data'!BC350),"")</f>
        <v/>
      </c>
      <c r="T363" s="11" t="str">
        <f t="shared" si="62"/>
        <v/>
      </c>
      <c r="U363" s="11" t="str">
        <f>IF('Raw Data'!A350&lt;&gt;"",AVERAGE('Raw Data'!BD350,'Raw Data'!BF350,'Raw Data'!BH350,'Raw Data'!BJ350,'Raw Data'!BL350),"")</f>
        <v/>
      </c>
      <c r="V363" s="11" t="str">
        <f>IF('Raw Data'!A350&lt;&gt;"",AVERAGE('Raw Data'!BE350,'Raw Data'!BG350,'Raw Data'!BI350,'Raw Data'!BK350,'Raw Data'!BM350),"")</f>
        <v/>
      </c>
      <c r="W363" s="11" t="str">
        <f t="shared" si="63"/>
        <v/>
      </c>
      <c r="X363" s="11" t="str">
        <f t="shared" si="64"/>
        <v/>
      </c>
      <c r="Y363" s="11" t="str">
        <f t="shared" si="65"/>
        <v/>
      </c>
      <c r="Z363" s="11" t="str">
        <f t="shared" si="66"/>
        <v/>
      </c>
      <c r="AA363" s="11" t="str">
        <f t="shared" si="67"/>
        <v/>
      </c>
      <c r="AB363" s="24" t="str">
        <f t="shared" si="68"/>
        <v/>
      </c>
    </row>
    <row r="364" spans="1:28" x14ac:dyDescent="0.25">
      <c r="A364" s="10" t="str">
        <f>IF('Raw Data'!A351&lt;&gt;"",'Raw Data'!A351,"")</f>
        <v/>
      </c>
      <c r="B364" s="10" t="str">
        <f>IF('Raw Data'!B351&lt;&gt;"",'Raw Data'!B351,"")</f>
        <v/>
      </c>
      <c r="C364" s="10" t="str">
        <f>IF('Raw Data'!C351&lt;&gt;"",'Raw Data'!C351,"")</f>
        <v/>
      </c>
      <c r="D364" s="10" t="str">
        <f>IF('Raw Data'!D351&lt;&gt;"",'Raw Data'!D351,"")</f>
        <v/>
      </c>
      <c r="E364" s="10" t="str">
        <f>IF('Raw Data'!E351&lt;&gt;"",'Raw Data'!E351,"")</f>
        <v/>
      </c>
      <c r="F364" s="14" t="str">
        <f>IF('Raw Data'!A351&lt;&gt;"",AVERAGE('Raw Data'!F351,'Raw Data'!H351,'Raw Data'!J351,'Raw Data'!L351,'Raw Data'!N351),"")</f>
        <v/>
      </c>
      <c r="G364" s="14" t="str">
        <f>IF('Raw Data'!A351&lt;&gt;"",AVERAGE('Raw Data'!G351,'Raw Data'!I351,'Raw Data'!K351,'Raw Data'!M351,'Raw Data'!O351),"")</f>
        <v/>
      </c>
      <c r="H364" s="14" t="str">
        <f t="shared" si="58"/>
        <v/>
      </c>
      <c r="I364" s="14" t="str">
        <f>IF('Raw Data'!A351&lt;&gt;"",AVERAGE('Raw Data'!P351,'Raw Data'!R351,'Raw Data'!T351,'Raw Data'!V351,'Raw Data'!X351),"")</f>
        <v/>
      </c>
      <c r="J364" s="14" t="str">
        <f>IF('Raw Data'!A351&lt;&gt;"",AVERAGE('Raw Data'!Q351,'Raw Data'!S351,'Raw Data'!U351,'Raw Data'!W351,'Raw Data'!Y351),"")</f>
        <v/>
      </c>
      <c r="K364" s="14" t="str">
        <f t="shared" si="59"/>
        <v/>
      </c>
      <c r="L364" s="14" t="str">
        <f>IF('Raw Data'!A351&lt;&gt;"",AVERAGE('Raw Data'!Z351,'Raw Data'!AB351,'Raw Data'!AD351,'Raw Data'!AF351,'Raw Data'!AH351),"")</f>
        <v/>
      </c>
      <c r="M364" s="14" t="str">
        <f>IF('Raw Data'!A351&lt;&gt;"",AVERAGE('Raw Data'!AA351,'Raw Data'!AC351,'Raw Data'!AE351,'Raw Data'!AG351,'Raw Data'!AI351),"")</f>
        <v/>
      </c>
      <c r="N364" s="14" t="str">
        <f t="shared" si="60"/>
        <v/>
      </c>
      <c r="O364" s="14" t="str">
        <f>IF('Raw Data'!A351&lt;&gt;"",AVERAGE('Raw Data'!AJ351,'Raw Data'!AL351,'Raw Data'!AN351,'Raw Data'!AP351,'Raw Data'!AR351),"")</f>
        <v/>
      </c>
      <c r="P364" s="14" t="str">
        <f>IF('Raw Data'!A351&lt;&gt;"",AVERAGE('Raw Data'!AK351,'Raw Data'!AM351,'Raw Data'!AO351,'Raw Data'!AQ351,'Raw Data'!AS351),"")</f>
        <v/>
      </c>
      <c r="Q364" s="14" t="str">
        <f t="shared" si="61"/>
        <v/>
      </c>
      <c r="R364" s="14" t="str">
        <f>IF('Raw Data'!A351&lt;&gt;"",AVERAGE('Raw Data'!AT351,'Raw Data'!AV351,'Raw Data'!AX351,'Raw Data'!AZ351,'Raw Data'!BB351),"")</f>
        <v/>
      </c>
      <c r="S364" s="14" t="str">
        <f>IF('Raw Data'!A351&lt;&gt;"",AVERAGE('Raw Data'!AU351,'Raw Data'!AW351,'Raw Data'!AY351,'Raw Data'!BA351,'Raw Data'!BC351),"")</f>
        <v/>
      </c>
      <c r="T364" s="14" t="str">
        <f t="shared" si="62"/>
        <v/>
      </c>
      <c r="U364" s="14" t="str">
        <f>IF('Raw Data'!A351&lt;&gt;"",AVERAGE('Raw Data'!BD351,'Raw Data'!BF351,'Raw Data'!BH351,'Raw Data'!BJ351,'Raw Data'!BL351),"")</f>
        <v/>
      </c>
      <c r="V364" s="14" t="str">
        <f>IF('Raw Data'!A351&lt;&gt;"",AVERAGE('Raw Data'!BE351,'Raw Data'!BG351,'Raw Data'!BI351,'Raw Data'!BK351,'Raw Data'!BM351),"")</f>
        <v/>
      </c>
      <c r="W364" s="14" t="str">
        <f t="shared" si="63"/>
        <v/>
      </c>
      <c r="X364" s="14" t="str">
        <f t="shared" si="64"/>
        <v/>
      </c>
      <c r="Y364" s="14" t="str">
        <f t="shared" si="65"/>
        <v/>
      </c>
      <c r="Z364" s="14" t="str">
        <f t="shared" si="66"/>
        <v/>
      </c>
      <c r="AA364" s="14" t="str">
        <f t="shared" si="67"/>
        <v/>
      </c>
      <c r="AB364" s="25" t="str">
        <f t="shared" si="68"/>
        <v/>
      </c>
    </row>
    <row r="365" spans="1:28" x14ac:dyDescent="0.25">
      <c r="A365" s="2" t="str">
        <f>IF('Raw Data'!A352&lt;&gt;"",'Raw Data'!A352,"")</f>
        <v/>
      </c>
      <c r="B365" s="2" t="str">
        <f>IF('Raw Data'!B352&lt;&gt;"",'Raw Data'!B352,"")</f>
        <v/>
      </c>
      <c r="C365" s="2" t="str">
        <f>IF('Raw Data'!C352&lt;&gt;"",'Raw Data'!C352,"")</f>
        <v/>
      </c>
      <c r="D365" s="2" t="str">
        <f>IF('Raw Data'!D352&lt;&gt;"",'Raw Data'!D352,"")</f>
        <v/>
      </c>
      <c r="E365" s="2" t="str">
        <f>IF('Raw Data'!E352&lt;&gt;"",'Raw Data'!E352,"")</f>
        <v/>
      </c>
      <c r="F365" s="11" t="str">
        <f>IF('Raw Data'!A352&lt;&gt;"",AVERAGE('Raw Data'!F352,'Raw Data'!H352,'Raw Data'!J352,'Raw Data'!L352,'Raw Data'!N352),"")</f>
        <v/>
      </c>
      <c r="G365" s="11" t="str">
        <f>IF('Raw Data'!A352&lt;&gt;"",AVERAGE('Raw Data'!G352,'Raw Data'!I352,'Raw Data'!K352,'Raw Data'!M352,'Raw Data'!O352),"")</f>
        <v/>
      </c>
      <c r="H365" s="11" t="str">
        <f t="shared" si="58"/>
        <v/>
      </c>
      <c r="I365" s="11" t="str">
        <f>IF('Raw Data'!A352&lt;&gt;"",AVERAGE('Raw Data'!P352,'Raw Data'!R352,'Raw Data'!T352,'Raw Data'!V352,'Raw Data'!X352),"")</f>
        <v/>
      </c>
      <c r="J365" s="11" t="str">
        <f>IF('Raw Data'!A352&lt;&gt;"",AVERAGE('Raw Data'!Q352,'Raw Data'!S352,'Raw Data'!U352,'Raw Data'!W352,'Raw Data'!Y352),"")</f>
        <v/>
      </c>
      <c r="K365" s="11" t="str">
        <f t="shared" si="59"/>
        <v/>
      </c>
      <c r="L365" s="11" t="str">
        <f>IF('Raw Data'!A352&lt;&gt;"",AVERAGE('Raw Data'!Z352,'Raw Data'!AB352,'Raw Data'!AD352,'Raw Data'!AF352,'Raw Data'!AH352),"")</f>
        <v/>
      </c>
      <c r="M365" s="11" t="str">
        <f>IF('Raw Data'!A352&lt;&gt;"",AVERAGE('Raw Data'!AA352,'Raw Data'!AC352,'Raw Data'!AE352,'Raw Data'!AG352,'Raw Data'!AI352),"")</f>
        <v/>
      </c>
      <c r="N365" s="11" t="str">
        <f t="shared" si="60"/>
        <v/>
      </c>
      <c r="O365" s="11" t="str">
        <f>IF('Raw Data'!A352&lt;&gt;"",AVERAGE('Raw Data'!AJ352,'Raw Data'!AL352,'Raw Data'!AN352,'Raw Data'!AP352,'Raw Data'!AR352),"")</f>
        <v/>
      </c>
      <c r="P365" s="11" t="str">
        <f>IF('Raw Data'!A352&lt;&gt;"",AVERAGE('Raw Data'!AK352,'Raw Data'!AM352,'Raw Data'!AO352,'Raw Data'!AQ352,'Raw Data'!AS352),"")</f>
        <v/>
      </c>
      <c r="Q365" s="11" t="str">
        <f t="shared" si="61"/>
        <v/>
      </c>
      <c r="R365" s="11" t="str">
        <f>IF('Raw Data'!A352&lt;&gt;"",AVERAGE('Raw Data'!AT352,'Raw Data'!AV352,'Raw Data'!AX352,'Raw Data'!AZ352,'Raw Data'!BB352),"")</f>
        <v/>
      </c>
      <c r="S365" s="11" t="str">
        <f>IF('Raw Data'!A352&lt;&gt;"",AVERAGE('Raw Data'!AU352,'Raw Data'!AW352,'Raw Data'!AY352,'Raw Data'!BA352,'Raw Data'!BC352),"")</f>
        <v/>
      </c>
      <c r="T365" s="11" t="str">
        <f t="shared" si="62"/>
        <v/>
      </c>
      <c r="U365" s="11" t="str">
        <f>IF('Raw Data'!A352&lt;&gt;"",AVERAGE('Raw Data'!BD352,'Raw Data'!BF352,'Raw Data'!BH352,'Raw Data'!BJ352,'Raw Data'!BL352),"")</f>
        <v/>
      </c>
      <c r="V365" s="11" t="str">
        <f>IF('Raw Data'!A352&lt;&gt;"",AVERAGE('Raw Data'!BE352,'Raw Data'!BG352,'Raw Data'!BI352,'Raw Data'!BK352,'Raw Data'!BM352),"")</f>
        <v/>
      </c>
      <c r="W365" s="11" t="str">
        <f t="shared" si="63"/>
        <v/>
      </c>
      <c r="X365" s="11" t="str">
        <f t="shared" si="64"/>
        <v/>
      </c>
      <c r="Y365" s="11" t="str">
        <f t="shared" si="65"/>
        <v/>
      </c>
      <c r="Z365" s="11" t="str">
        <f t="shared" si="66"/>
        <v/>
      </c>
      <c r="AA365" s="11" t="str">
        <f t="shared" si="67"/>
        <v/>
      </c>
      <c r="AB365" s="24" t="str">
        <f t="shared" si="68"/>
        <v/>
      </c>
    </row>
    <row r="366" spans="1:28" x14ac:dyDescent="0.25">
      <c r="A366" s="10" t="str">
        <f>IF('Raw Data'!A353&lt;&gt;"",'Raw Data'!A353,"")</f>
        <v/>
      </c>
      <c r="B366" s="10" t="str">
        <f>IF('Raw Data'!B353&lt;&gt;"",'Raw Data'!B353,"")</f>
        <v/>
      </c>
      <c r="C366" s="10" t="str">
        <f>IF('Raw Data'!C353&lt;&gt;"",'Raw Data'!C353,"")</f>
        <v/>
      </c>
      <c r="D366" s="10" t="str">
        <f>IF('Raw Data'!D353&lt;&gt;"",'Raw Data'!D353,"")</f>
        <v/>
      </c>
      <c r="E366" s="10" t="str">
        <f>IF('Raw Data'!E353&lt;&gt;"",'Raw Data'!E353,"")</f>
        <v/>
      </c>
      <c r="F366" s="14" t="str">
        <f>IF('Raw Data'!A353&lt;&gt;"",AVERAGE('Raw Data'!F353,'Raw Data'!H353,'Raw Data'!J353,'Raw Data'!L353,'Raw Data'!N353),"")</f>
        <v/>
      </c>
      <c r="G366" s="14" t="str">
        <f>IF('Raw Data'!A353&lt;&gt;"",AVERAGE('Raw Data'!G353,'Raw Data'!I353,'Raw Data'!K353,'Raw Data'!M353,'Raw Data'!O353),"")</f>
        <v/>
      </c>
      <c r="H366" s="14" t="str">
        <f t="shared" si="58"/>
        <v/>
      </c>
      <c r="I366" s="14" t="str">
        <f>IF('Raw Data'!A353&lt;&gt;"",AVERAGE('Raw Data'!P353,'Raw Data'!R353,'Raw Data'!T353,'Raw Data'!V353,'Raw Data'!X353),"")</f>
        <v/>
      </c>
      <c r="J366" s="14" t="str">
        <f>IF('Raw Data'!A353&lt;&gt;"",AVERAGE('Raw Data'!Q353,'Raw Data'!S353,'Raw Data'!U353,'Raw Data'!W353,'Raw Data'!Y353),"")</f>
        <v/>
      </c>
      <c r="K366" s="14" t="str">
        <f t="shared" si="59"/>
        <v/>
      </c>
      <c r="L366" s="14" t="str">
        <f>IF('Raw Data'!A353&lt;&gt;"",AVERAGE('Raw Data'!Z353,'Raw Data'!AB353,'Raw Data'!AD353,'Raw Data'!AF353,'Raw Data'!AH353),"")</f>
        <v/>
      </c>
      <c r="M366" s="14" t="str">
        <f>IF('Raw Data'!A353&lt;&gt;"",AVERAGE('Raw Data'!AA353,'Raw Data'!AC353,'Raw Data'!AE353,'Raw Data'!AG353,'Raw Data'!AI353),"")</f>
        <v/>
      </c>
      <c r="N366" s="14" t="str">
        <f t="shared" si="60"/>
        <v/>
      </c>
      <c r="O366" s="14" t="str">
        <f>IF('Raw Data'!A353&lt;&gt;"",AVERAGE('Raw Data'!AJ353,'Raw Data'!AL353,'Raw Data'!AN353,'Raw Data'!AP353,'Raw Data'!AR353),"")</f>
        <v/>
      </c>
      <c r="P366" s="14" t="str">
        <f>IF('Raw Data'!A353&lt;&gt;"",AVERAGE('Raw Data'!AK353,'Raw Data'!AM353,'Raw Data'!AO353,'Raw Data'!AQ353,'Raw Data'!AS353),"")</f>
        <v/>
      </c>
      <c r="Q366" s="14" t="str">
        <f t="shared" si="61"/>
        <v/>
      </c>
      <c r="R366" s="14" t="str">
        <f>IF('Raw Data'!A353&lt;&gt;"",AVERAGE('Raw Data'!AT353,'Raw Data'!AV353,'Raw Data'!AX353,'Raw Data'!AZ353,'Raw Data'!BB353),"")</f>
        <v/>
      </c>
      <c r="S366" s="14" t="str">
        <f>IF('Raw Data'!A353&lt;&gt;"",AVERAGE('Raw Data'!AU353,'Raw Data'!AW353,'Raw Data'!AY353,'Raw Data'!BA353,'Raw Data'!BC353),"")</f>
        <v/>
      </c>
      <c r="T366" s="14" t="str">
        <f t="shared" si="62"/>
        <v/>
      </c>
      <c r="U366" s="14" t="str">
        <f>IF('Raw Data'!A353&lt;&gt;"",AVERAGE('Raw Data'!BD353,'Raw Data'!BF353,'Raw Data'!BH353,'Raw Data'!BJ353,'Raw Data'!BL353),"")</f>
        <v/>
      </c>
      <c r="V366" s="14" t="str">
        <f>IF('Raw Data'!A353&lt;&gt;"",AVERAGE('Raw Data'!BE353,'Raw Data'!BG353,'Raw Data'!BI353,'Raw Data'!BK353,'Raw Data'!BM353),"")</f>
        <v/>
      </c>
      <c r="W366" s="14" t="str">
        <f t="shared" si="63"/>
        <v/>
      </c>
      <c r="X366" s="14" t="str">
        <f t="shared" si="64"/>
        <v/>
      </c>
      <c r="Y366" s="14" t="str">
        <f t="shared" si="65"/>
        <v/>
      </c>
      <c r="Z366" s="14" t="str">
        <f t="shared" si="66"/>
        <v/>
      </c>
      <c r="AA366" s="14" t="str">
        <f t="shared" si="67"/>
        <v/>
      </c>
      <c r="AB366" s="25" t="str">
        <f t="shared" si="68"/>
        <v/>
      </c>
    </row>
    <row r="367" spans="1:28" x14ac:dyDescent="0.25">
      <c r="A367" s="2" t="str">
        <f>IF('Raw Data'!A354&lt;&gt;"",'Raw Data'!A354,"")</f>
        <v/>
      </c>
      <c r="B367" s="2" t="str">
        <f>IF('Raw Data'!B354&lt;&gt;"",'Raw Data'!B354,"")</f>
        <v/>
      </c>
      <c r="C367" s="2" t="str">
        <f>IF('Raw Data'!C354&lt;&gt;"",'Raw Data'!C354,"")</f>
        <v/>
      </c>
      <c r="D367" s="2" t="str">
        <f>IF('Raw Data'!D354&lt;&gt;"",'Raw Data'!D354,"")</f>
        <v/>
      </c>
      <c r="E367" s="2" t="str">
        <f>IF('Raw Data'!E354&lt;&gt;"",'Raw Data'!E354,"")</f>
        <v/>
      </c>
      <c r="F367" s="11" t="str">
        <f>IF('Raw Data'!A354&lt;&gt;"",AVERAGE('Raw Data'!F354,'Raw Data'!H354,'Raw Data'!J354,'Raw Data'!L354,'Raw Data'!N354),"")</f>
        <v/>
      </c>
      <c r="G367" s="11" t="str">
        <f>IF('Raw Data'!A354&lt;&gt;"",AVERAGE('Raw Data'!G354,'Raw Data'!I354,'Raw Data'!K354,'Raw Data'!M354,'Raw Data'!O354),"")</f>
        <v/>
      </c>
      <c r="H367" s="11" t="str">
        <f t="shared" si="58"/>
        <v/>
      </c>
      <c r="I367" s="11" t="str">
        <f>IF('Raw Data'!A354&lt;&gt;"",AVERAGE('Raw Data'!P354,'Raw Data'!R354,'Raw Data'!T354,'Raw Data'!V354,'Raw Data'!X354),"")</f>
        <v/>
      </c>
      <c r="J367" s="11" t="str">
        <f>IF('Raw Data'!A354&lt;&gt;"",AVERAGE('Raw Data'!Q354,'Raw Data'!S354,'Raw Data'!U354,'Raw Data'!W354,'Raw Data'!Y354),"")</f>
        <v/>
      </c>
      <c r="K367" s="11" t="str">
        <f t="shared" si="59"/>
        <v/>
      </c>
      <c r="L367" s="11" t="str">
        <f>IF('Raw Data'!A354&lt;&gt;"",AVERAGE('Raw Data'!Z354,'Raw Data'!AB354,'Raw Data'!AD354,'Raw Data'!AF354,'Raw Data'!AH354),"")</f>
        <v/>
      </c>
      <c r="M367" s="11" t="str">
        <f>IF('Raw Data'!A354&lt;&gt;"",AVERAGE('Raw Data'!AA354,'Raw Data'!AC354,'Raw Data'!AE354,'Raw Data'!AG354,'Raw Data'!AI354),"")</f>
        <v/>
      </c>
      <c r="N367" s="11" t="str">
        <f t="shared" si="60"/>
        <v/>
      </c>
      <c r="O367" s="11" t="str">
        <f>IF('Raw Data'!A354&lt;&gt;"",AVERAGE('Raw Data'!AJ354,'Raw Data'!AL354,'Raw Data'!AN354,'Raw Data'!AP354,'Raw Data'!AR354),"")</f>
        <v/>
      </c>
      <c r="P367" s="11" t="str">
        <f>IF('Raw Data'!A354&lt;&gt;"",AVERAGE('Raw Data'!AK354,'Raw Data'!AM354,'Raw Data'!AO354,'Raw Data'!AQ354,'Raw Data'!AS354),"")</f>
        <v/>
      </c>
      <c r="Q367" s="11" t="str">
        <f t="shared" si="61"/>
        <v/>
      </c>
      <c r="R367" s="11" t="str">
        <f>IF('Raw Data'!A354&lt;&gt;"",AVERAGE('Raw Data'!AT354,'Raw Data'!AV354,'Raw Data'!AX354,'Raw Data'!AZ354,'Raw Data'!BB354),"")</f>
        <v/>
      </c>
      <c r="S367" s="11" t="str">
        <f>IF('Raw Data'!A354&lt;&gt;"",AVERAGE('Raw Data'!AU354,'Raw Data'!AW354,'Raw Data'!AY354,'Raw Data'!BA354,'Raw Data'!BC354),"")</f>
        <v/>
      </c>
      <c r="T367" s="11" t="str">
        <f t="shared" si="62"/>
        <v/>
      </c>
      <c r="U367" s="11" t="str">
        <f>IF('Raw Data'!A354&lt;&gt;"",AVERAGE('Raw Data'!BD354,'Raw Data'!BF354,'Raw Data'!BH354,'Raw Data'!BJ354,'Raw Data'!BL354),"")</f>
        <v/>
      </c>
      <c r="V367" s="11" t="str">
        <f>IF('Raw Data'!A354&lt;&gt;"",AVERAGE('Raw Data'!BE354,'Raw Data'!BG354,'Raw Data'!BI354,'Raw Data'!BK354,'Raw Data'!BM354),"")</f>
        <v/>
      </c>
      <c r="W367" s="11" t="str">
        <f t="shared" si="63"/>
        <v/>
      </c>
      <c r="X367" s="11" t="str">
        <f t="shared" si="64"/>
        <v/>
      </c>
      <c r="Y367" s="11" t="str">
        <f t="shared" si="65"/>
        <v/>
      </c>
      <c r="Z367" s="11" t="str">
        <f t="shared" si="66"/>
        <v/>
      </c>
      <c r="AA367" s="11" t="str">
        <f t="shared" si="67"/>
        <v/>
      </c>
      <c r="AB367" s="24" t="str">
        <f t="shared" si="68"/>
        <v/>
      </c>
    </row>
    <row r="368" spans="1:28" x14ac:dyDescent="0.25">
      <c r="A368" s="10" t="str">
        <f>IF('Raw Data'!A355&lt;&gt;"",'Raw Data'!A355,"")</f>
        <v/>
      </c>
      <c r="B368" s="10" t="str">
        <f>IF('Raw Data'!B355&lt;&gt;"",'Raw Data'!B355,"")</f>
        <v/>
      </c>
      <c r="C368" s="10" t="str">
        <f>IF('Raw Data'!C355&lt;&gt;"",'Raw Data'!C355,"")</f>
        <v/>
      </c>
      <c r="D368" s="10" t="str">
        <f>IF('Raw Data'!D355&lt;&gt;"",'Raw Data'!D355,"")</f>
        <v/>
      </c>
      <c r="E368" s="10" t="str">
        <f>IF('Raw Data'!E355&lt;&gt;"",'Raw Data'!E355,"")</f>
        <v/>
      </c>
      <c r="F368" s="14" t="str">
        <f>IF('Raw Data'!A355&lt;&gt;"",AVERAGE('Raw Data'!F355,'Raw Data'!H355,'Raw Data'!J355,'Raw Data'!L355,'Raw Data'!N355),"")</f>
        <v/>
      </c>
      <c r="G368" s="14" t="str">
        <f>IF('Raw Data'!A355&lt;&gt;"",AVERAGE('Raw Data'!G355,'Raw Data'!I355,'Raw Data'!K355,'Raw Data'!M355,'Raw Data'!O355),"")</f>
        <v/>
      </c>
      <c r="H368" s="14" t="str">
        <f t="shared" si="58"/>
        <v/>
      </c>
      <c r="I368" s="14" t="str">
        <f>IF('Raw Data'!A355&lt;&gt;"",AVERAGE('Raw Data'!P355,'Raw Data'!R355,'Raw Data'!T355,'Raw Data'!V355,'Raw Data'!X355),"")</f>
        <v/>
      </c>
      <c r="J368" s="14" t="str">
        <f>IF('Raw Data'!A355&lt;&gt;"",AVERAGE('Raw Data'!Q355,'Raw Data'!S355,'Raw Data'!U355,'Raw Data'!W355,'Raw Data'!Y355),"")</f>
        <v/>
      </c>
      <c r="K368" s="14" t="str">
        <f t="shared" si="59"/>
        <v/>
      </c>
      <c r="L368" s="14" t="str">
        <f>IF('Raw Data'!A355&lt;&gt;"",AVERAGE('Raw Data'!Z355,'Raw Data'!AB355,'Raw Data'!AD355,'Raw Data'!AF355,'Raw Data'!AH355),"")</f>
        <v/>
      </c>
      <c r="M368" s="14" t="str">
        <f>IF('Raw Data'!A355&lt;&gt;"",AVERAGE('Raw Data'!AA355,'Raw Data'!AC355,'Raw Data'!AE355,'Raw Data'!AG355,'Raw Data'!AI355),"")</f>
        <v/>
      </c>
      <c r="N368" s="14" t="str">
        <f t="shared" si="60"/>
        <v/>
      </c>
      <c r="O368" s="14" t="str">
        <f>IF('Raw Data'!A355&lt;&gt;"",AVERAGE('Raw Data'!AJ355,'Raw Data'!AL355,'Raw Data'!AN355,'Raw Data'!AP355,'Raw Data'!AR355),"")</f>
        <v/>
      </c>
      <c r="P368" s="14" t="str">
        <f>IF('Raw Data'!A355&lt;&gt;"",AVERAGE('Raw Data'!AK355,'Raw Data'!AM355,'Raw Data'!AO355,'Raw Data'!AQ355,'Raw Data'!AS355),"")</f>
        <v/>
      </c>
      <c r="Q368" s="14" t="str">
        <f t="shared" si="61"/>
        <v/>
      </c>
      <c r="R368" s="14" t="str">
        <f>IF('Raw Data'!A355&lt;&gt;"",AVERAGE('Raw Data'!AT355,'Raw Data'!AV355,'Raw Data'!AX355,'Raw Data'!AZ355,'Raw Data'!BB355),"")</f>
        <v/>
      </c>
      <c r="S368" s="14" t="str">
        <f>IF('Raw Data'!A355&lt;&gt;"",AVERAGE('Raw Data'!AU355,'Raw Data'!AW355,'Raw Data'!AY355,'Raw Data'!BA355,'Raw Data'!BC355),"")</f>
        <v/>
      </c>
      <c r="T368" s="14" t="str">
        <f t="shared" si="62"/>
        <v/>
      </c>
      <c r="U368" s="14" t="str">
        <f>IF('Raw Data'!A355&lt;&gt;"",AVERAGE('Raw Data'!BD355,'Raw Data'!BF355,'Raw Data'!BH355,'Raw Data'!BJ355,'Raw Data'!BL355),"")</f>
        <v/>
      </c>
      <c r="V368" s="14" t="str">
        <f>IF('Raw Data'!A355&lt;&gt;"",AVERAGE('Raw Data'!BE355,'Raw Data'!BG355,'Raw Data'!BI355,'Raw Data'!BK355,'Raw Data'!BM355),"")</f>
        <v/>
      </c>
      <c r="W368" s="14" t="str">
        <f t="shared" si="63"/>
        <v/>
      </c>
      <c r="X368" s="14" t="str">
        <f t="shared" si="64"/>
        <v/>
      </c>
      <c r="Y368" s="14" t="str">
        <f t="shared" si="65"/>
        <v/>
      </c>
      <c r="Z368" s="14" t="str">
        <f t="shared" si="66"/>
        <v/>
      </c>
      <c r="AA368" s="14" t="str">
        <f t="shared" si="67"/>
        <v/>
      </c>
      <c r="AB368" s="25" t="str">
        <f t="shared" si="68"/>
        <v/>
      </c>
    </row>
    <row r="369" spans="1:28" x14ac:dyDescent="0.25">
      <c r="A369" s="2" t="str">
        <f>IF('Raw Data'!A356&lt;&gt;"",'Raw Data'!A356,"")</f>
        <v/>
      </c>
      <c r="B369" s="2" t="str">
        <f>IF('Raw Data'!B356&lt;&gt;"",'Raw Data'!B356,"")</f>
        <v/>
      </c>
      <c r="C369" s="2" t="str">
        <f>IF('Raw Data'!C356&lt;&gt;"",'Raw Data'!C356,"")</f>
        <v/>
      </c>
      <c r="D369" s="2" t="str">
        <f>IF('Raw Data'!D356&lt;&gt;"",'Raw Data'!D356,"")</f>
        <v/>
      </c>
      <c r="E369" s="2" t="str">
        <f>IF('Raw Data'!E356&lt;&gt;"",'Raw Data'!E356,"")</f>
        <v/>
      </c>
      <c r="F369" s="11" t="str">
        <f>IF('Raw Data'!A356&lt;&gt;"",AVERAGE('Raw Data'!F356,'Raw Data'!H356,'Raw Data'!J356,'Raw Data'!L356,'Raw Data'!N356),"")</f>
        <v/>
      </c>
      <c r="G369" s="11" t="str">
        <f>IF('Raw Data'!A356&lt;&gt;"",AVERAGE('Raw Data'!G356,'Raw Data'!I356,'Raw Data'!K356,'Raw Data'!M356,'Raw Data'!O356),"")</f>
        <v/>
      </c>
      <c r="H369" s="11" t="str">
        <f t="shared" si="58"/>
        <v/>
      </c>
      <c r="I369" s="11" t="str">
        <f>IF('Raw Data'!A356&lt;&gt;"",AVERAGE('Raw Data'!P356,'Raw Data'!R356,'Raw Data'!T356,'Raw Data'!V356,'Raw Data'!X356),"")</f>
        <v/>
      </c>
      <c r="J369" s="11" t="str">
        <f>IF('Raw Data'!A356&lt;&gt;"",AVERAGE('Raw Data'!Q356,'Raw Data'!S356,'Raw Data'!U356,'Raw Data'!W356,'Raw Data'!Y356),"")</f>
        <v/>
      </c>
      <c r="K369" s="11" t="str">
        <f t="shared" si="59"/>
        <v/>
      </c>
      <c r="L369" s="11" t="str">
        <f>IF('Raw Data'!A356&lt;&gt;"",AVERAGE('Raw Data'!Z356,'Raw Data'!AB356,'Raw Data'!AD356,'Raw Data'!AF356,'Raw Data'!AH356),"")</f>
        <v/>
      </c>
      <c r="M369" s="11" t="str">
        <f>IF('Raw Data'!A356&lt;&gt;"",AVERAGE('Raw Data'!AA356,'Raw Data'!AC356,'Raw Data'!AE356,'Raw Data'!AG356,'Raw Data'!AI356),"")</f>
        <v/>
      </c>
      <c r="N369" s="11" t="str">
        <f t="shared" si="60"/>
        <v/>
      </c>
      <c r="O369" s="11" t="str">
        <f>IF('Raw Data'!A356&lt;&gt;"",AVERAGE('Raw Data'!AJ356,'Raw Data'!AL356,'Raw Data'!AN356,'Raw Data'!AP356,'Raw Data'!AR356),"")</f>
        <v/>
      </c>
      <c r="P369" s="11" t="str">
        <f>IF('Raw Data'!A356&lt;&gt;"",AVERAGE('Raw Data'!AK356,'Raw Data'!AM356,'Raw Data'!AO356,'Raw Data'!AQ356,'Raw Data'!AS356),"")</f>
        <v/>
      </c>
      <c r="Q369" s="11" t="str">
        <f t="shared" si="61"/>
        <v/>
      </c>
      <c r="R369" s="11" t="str">
        <f>IF('Raw Data'!A356&lt;&gt;"",AVERAGE('Raw Data'!AT356,'Raw Data'!AV356,'Raw Data'!AX356,'Raw Data'!AZ356,'Raw Data'!BB356),"")</f>
        <v/>
      </c>
      <c r="S369" s="11" t="str">
        <f>IF('Raw Data'!A356&lt;&gt;"",AVERAGE('Raw Data'!AU356,'Raw Data'!AW356,'Raw Data'!AY356,'Raw Data'!BA356,'Raw Data'!BC356),"")</f>
        <v/>
      </c>
      <c r="T369" s="11" t="str">
        <f t="shared" si="62"/>
        <v/>
      </c>
      <c r="U369" s="11" t="str">
        <f>IF('Raw Data'!A356&lt;&gt;"",AVERAGE('Raw Data'!BD356,'Raw Data'!BF356,'Raw Data'!BH356,'Raw Data'!BJ356,'Raw Data'!BL356),"")</f>
        <v/>
      </c>
      <c r="V369" s="11" t="str">
        <f>IF('Raw Data'!A356&lt;&gt;"",AVERAGE('Raw Data'!BE356,'Raw Data'!BG356,'Raw Data'!BI356,'Raw Data'!BK356,'Raw Data'!BM356),"")</f>
        <v/>
      </c>
      <c r="W369" s="11" t="str">
        <f t="shared" si="63"/>
        <v/>
      </c>
      <c r="X369" s="11" t="str">
        <f t="shared" si="64"/>
        <v/>
      </c>
      <c r="Y369" s="11" t="str">
        <f t="shared" si="65"/>
        <v/>
      </c>
      <c r="Z369" s="11" t="str">
        <f t="shared" si="66"/>
        <v/>
      </c>
      <c r="AA369" s="11" t="str">
        <f t="shared" si="67"/>
        <v/>
      </c>
      <c r="AB369" s="24" t="str">
        <f t="shared" si="68"/>
        <v/>
      </c>
    </row>
    <row r="370" spans="1:28" x14ac:dyDescent="0.25">
      <c r="A370" s="10" t="str">
        <f>IF('Raw Data'!A357&lt;&gt;"",'Raw Data'!A357,"")</f>
        <v/>
      </c>
      <c r="B370" s="10" t="str">
        <f>IF('Raw Data'!B357&lt;&gt;"",'Raw Data'!B357,"")</f>
        <v/>
      </c>
      <c r="C370" s="10" t="str">
        <f>IF('Raw Data'!C357&lt;&gt;"",'Raw Data'!C357,"")</f>
        <v/>
      </c>
      <c r="D370" s="10" t="str">
        <f>IF('Raw Data'!D357&lt;&gt;"",'Raw Data'!D357,"")</f>
        <v/>
      </c>
      <c r="E370" s="10" t="str">
        <f>IF('Raw Data'!E357&lt;&gt;"",'Raw Data'!E357,"")</f>
        <v/>
      </c>
      <c r="F370" s="14" t="str">
        <f>IF('Raw Data'!A357&lt;&gt;"",AVERAGE('Raw Data'!F357,'Raw Data'!H357,'Raw Data'!J357,'Raw Data'!L357,'Raw Data'!N357),"")</f>
        <v/>
      </c>
      <c r="G370" s="14" t="str">
        <f>IF('Raw Data'!A357&lt;&gt;"",AVERAGE('Raw Data'!G357,'Raw Data'!I357,'Raw Data'!K357,'Raw Data'!M357,'Raw Data'!O357),"")</f>
        <v/>
      </c>
      <c r="H370" s="14" t="str">
        <f t="shared" si="58"/>
        <v/>
      </c>
      <c r="I370" s="14" t="str">
        <f>IF('Raw Data'!A357&lt;&gt;"",AVERAGE('Raw Data'!P357,'Raw Data'!R357,'Raw Data'!T357,'Raw Data'!V357,'Raw Data'!X357),"")</f>
        <v/>
      </c>
      <c r="J370" s="14" t="str">
        <f>IF('Raw Data'!A357&lt;&gt;"",AVERAGE('Raw Data'!Q357,'Raw Data'!S357,'Raw Data'!U357,'Raw Data'!W357,'Raw Data'!Y357),"")</f>
        <v/>
      </c>
      <c r="K370" s="14" t="str">
        <f t="shared" si="59"/>
        <v/>
      </c>
      <c r="L370" s="14" t="str">
        <f>IF('Raw Data'!A357&lt;&gt;"",AVERAGE('Raw Data'!Z357,'Raw Data'!AB357,'Raw Data'!AD357,'Raw Data'!AF357,'Raw Data'!AH357),"")</f>
        <v/>
      </c>
      <c r="M370" s="14" t="str">
        <f>IF('Raw Data'!A357&lt;&gt;"",AVERAGE('Raw Data'!AA357,'Raw Data'!AC357,'Raw Data'!AE357,'Raw Data'!AG357,'Raw Data'!AI357),"")</f>
        <v/>
      </c>
      <c r="N370" s="14" t="str">
        <f t="shared" si="60"/>
        <v/>
      </c>
      <c r="O370" s="14" t="str">
        <f>IF('Raw Data'!A357&lt;&gt;"",AVERAGE('Raw Data'!AJ357,'Raw Data'!AL357,'Raw Data'!AN357,'Raw Data'!AP357,'Raw Data'!AR357),"")</f>
        <v/>
      </c>
      <c r="P370" s="14" t="str">
        <f>IF('Raw Data'!A357&lt;&gt;"",AVERAGE('Raw Data'!AK357,'Raw Data'!AM357,'Raw Data'!AO357,'Raw Data'!AQ357,'Raw Data'!AS357),"")</f>
        <v/>
      </c>
      <c r="Q370" s="14" t="str">
        <f t="shared" si="61"/>
        <v/>
      </c>
      <c r="R370" s="14" t="str">
        <f>IF('Raw Data'!A357&lt;&gt;"",AVERAGE('Raw Data'!AT357,'Raw Data'!AV357,'Raw Data'!AX357,'Raw Data'!AZ357,'Raw Data'!BB357),"")</f>
        <v/>
      </c>
      <c r="S370" s="14" t="str">
        <f>IF('Raw Data'!A357&lt;&gt;"",AVERAGE('Raw Data'!AU357,'Raw Data'!AW357,'Raw Data'!AY357,'Raw Data'!BA357,'Raw Data'!BC357),"")</f>
        <v/>
      </c>
      <c r="T370" s="14" t="str">
        <f t="shared" si="62"/>
        <v/>
      </c>
      <c r="U370" s="14" t="str">
        <f>IF('Raw Data'!A357&lt;&gt;"",AVERAGE('Raw Data'!BD357,'Raw Data'!BF357,'Raw Data'!BH357,'Raw Data'!BJ357,'Raw Data'!BL357),"")</f>
        <v/>
      </c>
      <c r="V370" s="14" t="str">
        <f>IF('Raw Data'!A357&lt;&gt;"",AVERAGE('Raw Data'!BE357,'Raw Data'!BG357,'Raw Data'!BI357,'Raw Data'!BK357,'Raw Data'!BM357),"")</f>
        <v/>
      </c>
      <c r="W370" s="14" t="str">
        <f t="shared" si="63"/>
        <v/>
      </c>
      <c r="X370" s="14" t="str">
        <f t="shared" si="64"/>
        <v/>
      </c>
      <c r="Y370" s="14" t="str">
        <f t="shared" si="65"/>
        <v/>
      </c>
      <c r="Z370" s="14" t="str">
        <f t="shared" si="66"/>
        <v/>
      </c>
      <c r="AA370" s="14" t="str">
        <f t="shared" si="67"/>
        <v/>
      </c>
      <c r="AB370" s="25" t="str">
        <f t="shared" si="68"/>
        <v/>
      </c>
    </row>
    <row r="371" spans="1:28" x14ac:dyDescent="0.25">
      <c r="A371" s="2" t="str">
        <f>IF('Raw Data'!A358&lt;&gt;"",'Raw Data'!A358,"")</f>
        <v/>
      </c>
      <c r="B371" s="2" t="str">
        <f>IF('Raw Data'!B358&lt;&gt;"",'Raw Data'!B358,"")</f>
        <v/>
      </c>
      <c r="C371" s="2" t="str">
        <f>IF('Raw Data'!C358&lt;&gt;"",'Raw Data'!C358,"")</f>
        <v/>
      </c>
      <c r="D371" s="2" t="str">
        <f>IF('Raw Data'!D358&lt;&gt;"",'Raw Data'!D358,"")</f>
        <v/>
      </c>
      <c r="E371" s="2" t="str">
        <f>IF('Raw Data'!E358&lt;&gt;"",'Raw Data'!E358,"")</f>
        <v/>
      </c>
      <c r="F371" s="11" t="str">
        <f>IF('Raw Data'!A358&lt;&gt;"",AVERAGE('Raw Data'!F358,'Raw Data'!H358,'Raw Data'!J358,'Raw Data'!L358,'Raw Data'!N358),"")</f>
        <v/>
      </c>
      <c r="G371" s="11" t="str">
        <f>IF('Raw Data'!A358&lt;&gt;"",AVERAGE('Raw Data'!G358,'Raw Data'!I358,'Raw Data'!K358,'Raw Data'!M358,'Raw Data'!O358),"")</f>
        <v/>
      </c>
      <c r="H371" s="11" t="str">
        <f t="shared" si="58"/>
        <v/>
      </c>
      <c r="I371" s="11" t="str">
        <f>IF('Raw Data'!A358&lt;&gt;"",AVERAGE('Raw Data'!P358,'Raw Data'!R358,'Raw Data'!T358,'Raw Data'!V358,'Raw Data'!X358),"")</f>
        <v/>
      </c>
      <c r="J371" s="11" t="str">
        <f>IF('Raw Data'!A358&lt;&gt;"",AVERAGE('Raw Data'!Q358,'Raw Data'!S358,'Raw Data'!U358,'Raw Data'!W358,'Raw Data'!Y358),"")</f>
        <v/>
      </c>
      <c r="K371" s="11" t="str">
        <f t="shared" si="59"/>
        <v/>
      </c>
      <c r="L371" s="11" t="str">
        <f>IF('Raw Data'!A358&lt;&gt;"",AVERAGE('Raw Data'!Z358,'Raw Data'!AB358,'Raw Data'!AD358,'Raw Data'!AF358,'Raw Data'!AH358),"")</f>
        <v/>
      </c>
      <c r="M371" s="11" t="str">
        <f>IF('Raw Data'!A358&lt;&gt;"",AVERAGE('Raw Data'!AA358,'Raw Data'!AC358,'Raw Data'!AE358,'Raw Data'!AG358,'Raw Data'!AI358),"")</f>
        <v/>
      </c>
      <c r="N371" s="11" t="str">
        <f t="shared" si="60"/>
        <v/>
      </c>
      <c r="O371" s="11" t="str">
        <f>IF('Raw Data'!A358&lt;&gt;"",AVERAGE('Raw Data'!AJ358,'Raw Data'!AL358,'Raw Data'!AN358,'Raw Data'!AP358,'Raw Data'!AR358),"")</f>
        <v/>
      </c>
      <c r="P371" s="11" t="str">
        <f>IF('Raw Data'!A358&lt;&gt;"",AVERAGE('Raw Data'!AK358,'Raw Data'!AM358,'Raw Data'!AO358,'Raw Data'!AQ358,'Raw Data'!AS358),"")</f>
        <v/>
      </c>
      <c r="Q371" s="11" t="str">
        <f t="shared" si="61"/>
        <v/>
      </c>
      <c r="R371" s="11" t="str">
        <f>IF('Raw Data'!A358&lt;&gt;"",AVERAGE('Raw Data'!AT358,'Raw Data'!AV358,'Raw Data'!AX358,'Raw Data'!AZ358,'Raw Data'!BB358),"")</f>
        <v/>
      </c>
      <c r="S371" s="11" t="str">
        <f>IF('Raw Data'!A358&lt;&gt;"",AVERAGE('Raw Data'!AU358,'Raw Data'!AW358,'Raw Data'!AY358,'Raw Data'!BA358,'Raw Data'!BC358),"")</f>
        <v/>
      </c>
      <c r="T371" s="11" t="str">
        <f t="shared" si="62"/>
        <v/>
      </c>
      <c r="U371" s="11" t="str">
        <f>IF('Raw Data'!A358&lt;&gt;"",AVERAGE('Raw Data'!BD358,'Raw Data'!BF358,'Raw Data'!BH358,'Raw Data'!BJ358,'Raw Data'!BL358),"")</f>
        <v/>
      </c>
      <c r="V371" s="11" t="str">
        <f>IF('Raw Data'!A358&lt;&gt;"",AVERAGE('Raw Data'!BE358,'Raw Data'!BG358,'Raw Data'!BI358,'Raw Data'!BK358,'Raw Data'!BM358),"")</f>
        <v/>
      </c>
      <c r="W371" s="11" t="str">
        <f t="shared" si="63"/>
        <v/>
      </c>
      <c r="X371" s="11" t="str">
        <f t="shared" si="64"/>
        <v/>
      </c>
      <c r="Y371" s="11" t="str">
        <f t="shared" si="65"/>
        <v/>
      </c>
      <c r="Z371" s="11" t="str">
        <f t="shared" si="66"/>
        <v/>
      </c>
      <c r="AA371" s="11" t="str">
        <f t="shared" si="67"/>
        <v/>
      </c>
      <c r="AB371" s="24" t="str">
        <f t="shared" si="68"/>
        <v/>
      </c>
    </row>
    <row r="372" spans="1:28" x14ac:dyDescent="0.25">
      <c r="A372" s="10" t="str">
        <f>IF('Raw Data'!A359&lt;&gt;"",'Raw Data'!A359,"")</f>
        <v/>
      </c>
      <c r="B372" s="10" t="str">
        <f>IF('Raw Data'!B359&lt;&gt;"",'Raw Data'!B359,"")</f>
        <v/>
      </c>
      <c r="C372" s="10" t="str">
        <f>IF('Raw Data'!C359&lt;&gt;"",'Raw Data'!C359,"")</f>
        <v/>
      </c>
      <c r="D372" s="10" t="str">
        <f>IF('Raw Data'!D359&lt;&gt;"",'Raw Data'!D359,"")</f>
        <v/>
      </c>
      <c r="E372" s="10" t="str">
        <f>IF('Raw Data'!E359&lt;&gt;"",'Raw Data'!E359,"")</f>
        <v/>
      </c>
      <c r="F372" s="14" t="str">
        <f>IF('Raw Data'!A359&lt;&gt;"",AVERAGE('Raw Data'!F359,'Raw Data'!H359,'Raw Data'!J359,'Raw Data'!L359,'Raw Data'!N359),"")</f>
        <v/>
      </c>
      <c r="G372" s="14" t="str">
        <f>IF('Raw Data'!A359&lt;&gt;"",AVERAGE('Raw Data'!G359,'Raw Data'!I359,'Raw Data'!K359,'Raw Data'!M359,'Raw Data'!O359),"")</f>
        <v/>
      </c>
      <c r="H372" s="14" t="str">
        <f t="shared" si="58"/>
        <v/>
      </c>
      <c r="I372" s="14" t="str">
        <f>IF('Raw Data'!A359&lt;&gt;"",AVERAGE('Raw Data'!P359,'Raw Data'!R359,'Raw Data'!T359,'Raw Data'!V359,'Raw Data'!X359),"")</f>
        <v/>
      </c>
      <c r="J372" s="14" t="str">
        <f>IF('Raw Data'!A359&lt;&gt;"",AVERAGE('Raw Data'!Q359,'Raw Data'!S359,'Raw Data'!U359,'Raw Data'!W359,'Raw Data'!Y359),"")</f>
        <v/>
      </c>
      <c r="K372" s="14" t="str">
        <f t="shared" si="59"/>
        <v/>
      </c>
      <c r="L372" s="14" t="str">
        <f>IF('Raw Data'!A359&lt;&gt;"",AVERAGE('Raw Data'!Z359,'Raw Data'!AB359,'Raw Data'!AD359,'Raw Data'!AF359,'Raw Data'!AH359),"")</f>
        <v/>
      </c>
      <c r="M372" s="14" t="str">
        <f>IF('Raw Data'!A359&lt;&gt;"",AVERAGE('Raw Data'!AA359,'Raw Data'!AC359,'Raw Data'!AE359,'Raw Data'!AG359,'Raw Data'!AI359),"")</f>
        <v/>
      </c>
      <c r="N372" s="14" t="str">
        <f t="shared" si="60"/>
        <v/>
      </c>
      <c r="O372" s="14" t="str">
        <f>IF('Raw Data'!A359&lt;&gt;"",AVERAGE('Raw Data'!AJ359,'Raw Data'!AL359,'Raw Data'!AN359,'Raw Data'!AP359,'Raw Data'!AR359),"")</f>
        <v/>
      </c>
      <c r="P372" s="14" t="str">
        <f>IF('Raw Data'!A359&lt;&gt;"",AVERAGE('Raw Data'!AK359,'Raw Data'!AM359,'Raw Data'!AO359,'Raw Data'!AQ359,'Raw Data'!AS359),"")</f>
        <v/>
      </c>
      <c r="Q372" s="14" t="str">
        <f t="shared" si="61"/>
        <v/>
      </c>
      <c r="R372" s="14" t="str">
        <f>IF('Raw Data'!A359&lt;&gt;"",AVERAGE('Raw Data'!AT359,'Raw Data'!AV359,'Raw Data'!AX359,'Raw Data'!AZ359,'Raw Data'!BB359),"")</f>
        <v/>
      </c>
      <c r="S372" s="14" t="str">
        <f>IF('Raw Data'!A359&lt;&gt;"",AVERAGE('Raw Data'!AU359,'Raw Data'!AW359,'Raw Data'!AY359,'Raw Data'!BA359,'Raw Data'!BC359),"")</f>
        <v/>
      </c>
      <c r="T372" s="14" t="str">
        <f t="shared" si="62"/>
        <v/>
      </c>
      <c r="U372" s="14" t="str">
        <f>IF('Raw Data'!A359&lt;&gt;"",AVERAGE('Raw Data'!BD359,'Raw Data'!BF359,'Raw Data'!BH359,'Raw Data'!BJ359,'Raw Data'!BL359),"")</f>
        <v/>
      </c>
      <c r="V372" s="14" t="str">
        <f>IF('Raw Data'!A359&lt;&gt;"",AVERAGE('Raw Data'!BE359,'Raw Data'!BG359,'Raw Data'!BI359,'Raw Data'!BK359,'Raw Data'!BM359),"")</f>
        <v/>
      </c>
      <c r="W372" s="14" t="str">
        <f t="shared" si="63"/>
        <v/>
      </c>
      <c r="X372" s="14" t="str">
        <f t="shared" si="64"/>
        <v/>
      </c>
      <c r="Y372" s="14" t="str">
        <f t="shared" si="65"/>
        <v/>
      </c>
      <c r="Z372" s="14" t="str">
        <f t="shared" si="66"/>
        <v/>
      </c>
      <c r="AA372" s="14" t="str">
        <f t="shared" si="67"/>
        <v/>
      </c>
      <c r="AB372" s="25" t="str">
        <f t="shared" si="68"/>
        <v/>
      </c>
    </row>
    <row r="373" spans="1:28" x14ac:dyDescent="0.25">
      <c r="A373" s="2" t="str">
        <f>IF('Raw Data'!A360&lt;&gt;"",'Raw Data'!A360,"")</f>
        <v/>
      </c>
      <c r="B373" s="2" t="str">
        <f>IF('Raw Data'!B360&lt;&gt;"",'Raw Data'!B360,"")</f>
        <v/>
      </c>
      <c r="C373" s="2" t="str">
        <f>IF('Raw Data'!C360&lt;&gt;"",'Raw Data'!C360,"")</f>
        <v/>
      </c>
      <c r="D373" s="2" t="str">
        <f>IF('Raw Data'!D360&lt;&gt;"",'Raw Data'!D360,"")</f>
        <v/>
      </c>
      <c r="E373" s="2" t="str">
        <f>IF('Raw Data'!E360&lt;&gt;"",'Raw Data'!E360,"")</f>
        <v/>
      </c>
      <c r="F373" s="11" t="str">
        <f>IF('Raw Data'!A360&lt;&gt;"",AVERAGE('Raw Data'!F360,'Raw Data'!H360,'Raw Data'!J360,'Raw Data'!L360,'Raw Data'!N360),"")</f>
        <v/>
      </c>
      <c r="G373" s="11" t="str">
        <f>IF('Raw Data'!A360&lt;&gt;"",AVERAGE('Raw Data'!G360,'Raw Data'!I360,'Raw Data'!K360,'Raw Data'!M360,'Raw Data'!O360),"")</f>
        <v/>
      </c>
      <c r="H373" s="11" t="str">
        <f t="shared" si="58"/>
        <v/>
      </c>
      <c r="I373" s="11" t="str">
        <f>IF('Raw Data'!A360&lt;&gt;"",AVERAGE('Raw Data'!P360,'Raw Data'!R360,'Raw Data'!T360,'Raw Data'!V360,'Raw Data'!X360),"")</f>
        <v/>
      </c>
      <c r="J373" s="11" t="str">
        <f>IF('Raw Data'!A360&lt;&gt;"",AVERAGE('Raw Data'!Q360,'Raw Data'!S360,'Raw Data'!U360,'Raw Data'!W360,'Raw Data'!Y360),"")</f>
        <v/>
      </c>
      <c r="K373" s="11" t="str">
        <f t="shared" si="59"/>
        <v/>
      </c>
      <c r="L373" s="11" t="str">
        <f>IF('Raw Data'!A360&lt;&gt;"",AVERAGE('Raw Data'!Z360,'Raw Data'!AB360,'Raw Data'!AD360,'Raw Data'!AF360,'Raw Data'!AH360),"")</f>
        <v/>
      </c>
      <c r="M373" s="11" t="str">
        <f>IF('Raw Data'!A360&lt;&gt;"",AVERAGE('Raw Data'!AA360,'Raw Data'!AC360,'Raw Data'!AE360,'Raw Data'!AG360,'Raw Data'!AI360),"")</f>
        <v/>
      </c>
      <c r="N373" s="11" t="str">
        <f t="shared" si="60"/>
        <v/>
      </c>
      <c r="O373" s="11" t="str">
        <f>IF('Raw Data'!A360&lt;&gt;"",AVERAGE('Raw Data'!AJ360,'Raw Data'!AL360,'Raw Data'!AN360,'Raw Data'!AP360,'Raw Data'!AR360),"")</f>
        <v/>
      </c>
      <c r="P373" s="11" t="str">
        <f>IF('Raw Data'!A360&lt;&gt;"",AVERAGE('Raw Data'!AK360,'Raw Data'!AM360,'Raw Data'!AO360,'Raw Data'!AQ360,'Raw Data'!AS360),"")</f>
        <v/>
      </c>
      <c r="Q373" s="11" t="str">
        <f t="shared" si="61"/>
        <v/>
      </c>
      <c r="R373" s="11" t="str">
        <f>IF('Raw Data'!A360&lt;&gt;"",AVERAGE('Raw Data'!AT360,'Raw Data'!AV360,'Raw Data'!AX360,'Raw Data'!AZ360,'Raw Data'!BB360),"")</f>
        <v/>
      </c>
      <c r="S373" s="11" t="str">
        <f>IF('Raw Data'!A360&lt;&gt;"",AVERAGE('Raw Data'!AU360,'Raw Data'!AW360,'Raw Data'!AY360,'Raw Data'!BA360,'Raw Data'!BC360),"")</f>
        <v/>
      </c>
      <c r="T373" s="11" t="str">
        <f t="shared" si="62"/>
        <v/>
      </c>
      <c r="U373" s="11" t="str">
        <f>IF('Raw Data'!A360&lt;&gt;"",AVERAGE('Raw Data'!BD360,'Raw Data'!BF360,'Raw Data'!BH360,'Raw Data'!BJ360,'Raw Data'!BL360),"")</f>
        <v/>
      </c>
      <c r="V373" s="11" t="str">
        <f>IF('Raw Data'!A360&lt;&gt;"",AVERAGE('Raw Data'!BE360,'Raw Data'!BG360,'Raw Data'!BI360,'Raw Data'!BK360,'Raw Data'!BM360),"")</f>
        <v/>
      </c>
      <c r="W373" s="11" t="str">
        <f t="shared" si="63"/>
        <v/>
      </c>
      <c r="X373" s="11" t="str">
        <f t="shared" si="64"/>
        <v/>
      </c>
      <c r="Y373" s="11" t="str">
        <f t="shared" si="65"/>
        <v/>
      </c>
      <c r="Z373" s="11" t="str">
        <f t="shared" si="66"/>
        <v/>
      </c>
      <c r="AA373" s="11" t="str">
        <f t="shared" si="67"/>
        <v/>
      </c>
      <c r="AB373" s="24" t="str">
        <f t="shared" si="68"/>
        <v/>
      </c>
    </row>
    <row r="374" spans="1:28" x14ac:dyDescent="0.25">
      <c r="A374" s="10" t="str">
        <f>IF('Raw Data'!A361&lt;&gt;"",'Raw Data'!A361,"")</f>
        <v/>
      </c>
      <c r="B374" s="10" t="str">
        <f>IF('Raw Data'!B361&lt;&gt;"",'Raw Data'!B361,"")</f>
        <v/>
      </c>
      <c r="C374" s="10" t="str">
        <f>IF('Raw Data'!C361&lt;&gt;"",'Raw Data'!C361,"")</f>
        <v/>
      </c>
      <c r="D374" s="10" t="str">
        <f>IF('Raw Data'!D361&lt;&gt;"",'Raw Data'!D361,"")</f>
        <v/>
      </c>
      <c r="E374" s="10" t="str">
        <f>IF('Raw Data'!E361&lt;&gt;"",'Raw Data'!E361,"")</f>
        <v/>
      </c>
      <c r="F374" s="14" t="str">
        <f>IF('Raw Data'!A361&lt;&gt;"",AVERAGE('Raw Data'!F361,'Raw Data'!H361,'Raw Data'!J361,'Raw Data'!L361,'Raw Data'!N361),"")</f>
        <v/>
      </c>
      <c r="G374" s="14" t="str">
        <f>IF('Raw Data'!A361&lt;&gt;"",AVERAGE('Raw Data'!G361,'Raw Data'!I361,'Raw Data'!K361,'Raw Data'!M361,'Raw Data'!O361),"")</f>
        <v/>
      </c>
      <c r="H374" s="14" t="str">
        <f t="shared" si="58"/>
        <v/>
      </c>
      <c r="I374" s="14" t="str">
        <f>IF('Raw Data'!A361&lt;&gt;"",AVERAGE('Raw Data'!P361,'Raw Data'!R361,'Raw Data'!T361,'Raw Data'!V361,'Raw Data'!X361),"")</f>
        <v/>
      </c>
      <c r="J374" s="14" t="str">
        <f>IF('Raw Data'!A361&lt;&gt;"",AVERAGE('Raw Data'!Q361,'Raw Data'!S361,'Raw Data'!U361,'Raw Data'!W361,'Raw Data'!Y361),"")</f>
        <v/>
      </c>
      <c r="K374" s="14" t="str">
        <f t="shared" si="59"/>
        <v/>
      </c>
      <c r="L374" s="14" t="str">
        <f>IF('Raw Data'!A361&lt;&gt;"",AVERAGE('Raw Data'!Z361,'Raw Data'!AB361,'Raw Data'!AD361,'Raw Data'!AF361,'Raw Data'!AH361),"")</f>
        <v/>
      </c>
      <c r="M374" s="14" t="str">
        <f>IF('Raw Data'!A361&lt;&gt;"",AVERAGE('Raw Data'!AA361,'Raw Data'!AC361,'Raw Data'!AE361,'Raw Data'!AG361,'Raw Data'!AI361),"")</f>
        <v/>
      </c>
      <c r="N374" s="14" t="str">
        <f t="shared" si="60"/>
        <v/>
      </c>
      <c r="O374" s="14" t="str">
        <f>IF('Raw Data'!A361&lt;&gt;"",AVERAGE('Raw Data'!AJ361,'Raw Data'!AL361,'Raw Data'!AN361,'Raw Data'!AP361,'Raw Data'!AR361),"")</f>
        <v/>
      </c>
      <c r="P374" s="14" t="str">
        <f>IF('Raw Data'!A361&lt;&gt;"",AVERAGE('Raw Data'!AK361,'Raw Data'!AM361,'Raw Data'!AO361,'Raw Data'!AQ361,'Raw Data'!AS361),"")</f>
        <v/>
      </c>
      <c r="Q374" s="14" t="str">
        <f t="shared" si="61"/>
        <v/>
      </c>
      <c r="R374" s="14" t="str">
        <f>IF('Raw Data'!A361&lt;&gt;"",AVERAGE('Raw Data'!AT361,'Raw Data'!AV361,'Raw Data'!AX361,'Raw Data'!AZ361,'Raw Data'!BB361),"")</f>
        <v/>
      </c>
      <c r="S374" s="14" t="str">
        <f>IF('Raw Data'!A361&lt;&gt;"",AVERAGE('Raw Data'!AU361,'Raw Data'!AW361,'Raw Data'!AY361,'Raw Data'!BA361,'Raw Data'!BC361),"")</f>
        <v/>
      </c>
      <c r="T374" s="14" t="str">
        <f t="shared" si="62"/>
        <v/>
      </c>
      <c r="U374" s="14" t="str">
        <f>IF('Raw Data'!A361&lt;&gt;"",AVERAGE('Raw Data'!BD361,'Raw Data'!BF361,'Raw Data'!BH361,'Raw Data'!BJ361,'Raw Data'!BL361),"")</f>
        <v/>
      </c>
      <c r="V374" s="14" t="str">
        <f>IF('Raw Data'!A361&lt;&gt;"",AVERAGE('Raw Data'!BE361,'Raw Data'!BG361,'Raw Data'!BI361,'Raw Data'!BK361,'Raw Data'!BM361),"")</f>
        <v/>
      </c>
      <c r="W374" s="14" t="str">
        <f t="shared" si="63"/>
        <v/>
      </c>
      <c r="X374" s="14" t="str">
        <f t="shared" si="64"/>
        <v/>
      </c>
      <c r="Y374" s="14" t="str">
        <f t="shared" si="65"/>
        <v/>
      </c>
      <c r="Z374" s="14" t="str">
        <f t="shared" si="66"/>
        <v/>
      </c>
      <c r="AA374" s="14" t="str">
        <f t="shared" si="67"/>
        <v/>
      </c>
      <c r="AB374" s="25" t="str">
        <f t="shared" si="68"/>
        <v/>
      </c>
    </row>
    <row r="375" spans="1:28" x14ac:dyDescent="0.25">
      <c r="A375" s="2" t="str">
        <f>IF('Raw Data'!A362&lt;&gt;"",'Raw Data'!A362,"")</f>
        <v/>
      </c>
      <c r="B375" s="2" t="str">
        <f>IF('Raw Data'!B362&lt;&gt;"",'Raw Data'!B362,"")</f>
        <v/>
      </c>
      <c r="C375" s="2" t="str">
        <f>IF('Raw Data'!C362&lt;&gt;"",'Raw Data'!C362,"")</f>
        <v/>
      </c>
      <c r="D375" s="2" t="str">
        <f>IF('Raw Data'!D362&lt;&gt;"",'Raw Data'!D362,"")</f>
        <v/>
      </c>
      <c r="E375" s="2" t="str">
        <f>IF('Raw Data'!E362&lt;&gt;"",'Raw Data'!E362,"")</f>
        <v/>
      </c>
      <c r="F375" s="11" t="str">
        <f>IF('Raw Data'!A362&lt;&gt;"",AVERAGE('Raw Data'!F362,'Raw Data'!H362,'Raw Data'!J362,'Raw Data'!L362,'Raw Data'!N362),"")</f>
        <v/>
      </c>
      <c r="G375" s="11" t="str">
        <f>IF('Raw Data'!A362&lt;&gt;"",AVERAGE('Raw Data'!G362,'Raw Data'!I362,'Raw Data'!K362,'Raw Data'!M362,'Raw Data'!O362),"")</f>
        <v/>
      </c>
      <c r="H375" s="11" t="str">
        <f t="shared" si="58"/>
        <v/>
      </c>
      <c r="I375" s="11" t="str">
        <f>IF('Raw Data'!A362&lt;&gt;"",AVERAGE('Raw Data'!P362,'Raw Data'!R362,'Raw Data'!T362,'Raw Data'!V362,'Raw Data'!X362),"")</f>
        <v/>
      </c>
      <c r="J375" s="11" t="str">
        <f>IF('Raw Data'!A362&lt;&gt;"",AVERAGE('Raw Data'!Q362,'Raw Data'!S362,'Raw Data'!U362,'Raw Data'!W362,'Raw Data'!Y362),"")</f>
        <v/>
      </c>
      <c r="K375" s="11" t="str">
        <f t="shared" si="59"/>
        <v/>
      </c>
      <c r="L375" s="11" t="str">
        <f>IF('Raw Data'!A362&lt;&gt;"",AVERAGE('Raw Data'!Z362,'Raw Data'!AB362,'Raw Data'!AD362,'Raw Data'!AF362,'Raw Data'!AH362),"")</f>
        <v/>
      </c>
      <c r="M375" s="11" t="str">
        <f>IF('Raw Data'!A362&lt;&gt;"",AVERAGE('Raw Data'!AA362,'Raw Data'!AC362,'Raw Data'!AE362,'Raw Data'!AG362,'Raw Data'!AI362),"")</f>
        <v/>
      </c>
      <c r="N375" s="11" t="str">
        <f t="shared" si="60"/>
        <v/>
      </c>
      <c r="O375" s="11" t="str">
        <f>IF('Raw Data'!A362&lt;&gt;"",AVERAGE('Raw Data'!AJ362,'Raw Data'!AL362,'Raw Data'!AN362,'Raw Data'!AP362,'Raw Data'!AR362),"")</f>
        <v/>
      </c>
      <c r="P375" s="11" t="str">
        <f>IF('Raw Data'!A362&lt;&gt;"",AVERAGE('Raw Data'!AK362,'Raw Data'!AM362,'Raw Data'!AO362,'Raw Data'!AQ362,'Raw Data'!AS362),"")</f>
        <v/>
      </c>
      <c r="Q375" s="11" t="str">
        <f t="shared" si="61"/>
        <v/>
      </c>
      <c r="R375" s="11" t="str">
        <f>IF('Raw Data'!A362&lt;&gt;"",AVERAGE('Raw Data'!AT362,'Raw Data'!AV362,'Raw Data'!AX362,'Raw Data'!AZ362,'Raw Data'!BB362),"")</f>
        <v/>
      </c>
      <c r="S375" s="11" t="str">
        <f>IF('Raw Data'!A362&lt;&gt;"",AVERAGE('Raw Data'!AU362,'Raw Data'!AW362,'Raw Data'!AY362,'Raw Data'!BA362,'Raw Data'!BC362),"")</f>
        <v/>
      </c>
      <c r="T375" s="11" t="str">
        <f t="shared" si="62"/>
        <v/>
      </c>
      <c r="U375" s="11" t="str">
        <f>IF('Raw Data'!A362&lt;&gt;"",AVERAGE('Raw Data'!BD362,'Raw Data'!BF362,'Raw Data'!BH362,'Raw Data'!BJ362,'Raw Data'!BL362),"")</f>
        <v/>
      </c>
      <c r="V375" s="11" t="str">
        <f>IF('Raw Data'!A362&lt;&gt;"",AVERAGE('Raw Data'!BE362,'Raw Data'!BG362,'Raw Data'!BI362,'Raw Data'!BK362,'Raw Data'!BM362),"")</f>
        <v/>
      </c>
      <c r="W375" s="11" t="str">
        <f t="shared" si="63"/>
        <v/>
      </c>
      <c r="X375" s="11" t="str">
        <f t="shared" si="64"/>
        <v/>
      </c>
      <c r="Y375" s="11" t="str">
        <f t="shared" si="65"/>
        <v/>
      </c>
      <c r="Z375" s="11" t="str">
        <f t="shared" si="66"/>
        <v/>
      </c>
      <c r="AA375" s="11" t="str">
        <f t="shared" si="67"/>
        <v/>
      </c>
      <c r="AB375" s="24" t="str">
        <f t="shared" si="68"/>
        <v/>
      </c>
    </row>
    <row r="376" spans="1:28" x14ac:dyDescent="0.25">
      <c r="A376" s="10" t="str">
        <f>IF('Raw Data'!A363&lt;&gt;"",'Raw Data'!A363,"")</f>
        <v/>
      </c>
      <c r="B376" s="10" t="str">
        <f>IF('Raw Data'!B363&lt;&gt;"",'Raw Data'!B363,"")</f>
        <v/>
      </c>
      <c r="C376" s="10" t="str">
        <f>IF('Raw Data'!C363&lt;&gt;"",'Raw Data'!C363,"")</f>
        <v/>
      </c>
      <c r="D376" s="10" t="str">
        <f>IF('Raw Data'!D363&lt;&gt;"",'Raw Data'!D363,"")</f>
        <v/>
      </c>
      <c r="E376" s="10" t="str">
        <f>IF('Raw Data'!E363&lt;&gt;"",'Raw Data'!E363,"")</f>
        <v/>
      </c>
      <c r="F376" s="14" t="str">
        <f>IF('Raw Data'!A363&lt;&gt;"",AVERAGE('Raw Data'!F363,'Raw Data'!H363,'Raw Data'!J363,'Raw Data'!L363,'Raw Data'!N363),"")</f>
        <v/>
      </c>
      <c r="G376" s="14" t="str">
        <f>IF('Raw Data'!A363&lt;&gt;"",AVERAGE('Raw Data'!G363,'Raw Data'!I363,'Raw Data'!K363,'Raw Data'!M363,'Raw Data'!O363),"")</f>
        <v/>
      </c>
      <c r="H376" s="14" t="str">
        <f t="shared" si="58"/>
        <v/>
      </c>
      <c r="I376" s="14" t="str">
        <f>IF('Raw Data'!A363&lt;&gt;"",AVERAGE('Raw Data'!P363,'Raw Data'!R363,'Raw Data'!T363,'Raw Data'!V363,'Raw Data'!X363),"")</f>
        <v/>
      </c>
      <c r="J376" s="14" t="str">
        <f>IF('Raw Data'!A363&lt;&gt;"",AVERAGE('Raw Data'!Q363,'Raw Data'!S363,'Raw Data'!U363,'Raw Data'!W363,'Raw Data'!Y363),"")</f>
        <v/>
      </c>
      <c r="K376" s="14" t="str">
        <f t="shared" si="59"/>
        <v/>
      </c>
      <c r="L376" s="14" t="str">
        <f>IF('Raw Data'!A363&lt;&gt;"",AVERAGE('Raw Data'!Z363,'Raw Data'!AB363,'Raw Data'!AD363,'Raw Data'!AF363,'Raw Data'!AH363),"")</f>
        <v/>
      </c>
      <c r="M376" s="14" t="str">
        <f>IF('Raw Data'!A363&lt;&gt;"",AVERAGE('Raw Data'!AA363,'Raw Data'!AC363,'Raw Data'!AE363,'Raw Data'!AG363,'Raw Data'!AI363),"")</f>
        <v/>
      </c>
      <c r="N376" s="14" t="str">
        <f t="shared" si="60"/>
        <v/>
      </c>
      <c r="O376" s="14" t="str">
        <f>IF('Raw Data'!A363&lt;&gt;"",AVERAGE('Raw Data'!AJ363,'Raw Data'!AL363,'Raw Data'!AN363,'Raw Data'!AP363,'Raw Data'!AR363),"")</f>
        <v/>
      </c>
      <c r="P376" s="14" t="str">
        <f>IF('Raw Data'!A363&lt;&gt;"",AVERAGE('Raw Data'!AK363,'Raw Data'!AM363,'Raw Data'!AO363,'Raw Data'!AQ363,'Raw Data'!AS363),"")</f>
        <v/>
      </c>
      <c r="Q376" s="14" t="str">
        <f t="shared" si="61"/>
        <v/>
      </c>
      <c r="R376" s="14" t="str">
        <f>IF('Raw Data'!A363&lt;&gt;"",AVERAGE('Raw Data'!AT363,'Raw Data'!AV363,'Raw Data'!AX363,'Raw Data'!AZ363,'Raw Data'!BB363),"")</f>
        <v/>
      </c>
      <c r="S376" s="14" t="str">
        <f>IF('Raw Data'!A363&lt;&gt;"",AVERAGE('Raw Data'!AU363,'Raw Data'!AW363,'Raw Data'!AY363,'Raw Data'!BA363,'Raw Data'!BC363),"")</f>
        <v/>
      </c>
      <c r="T376" s="14" t="str">
        <f t="shared" si="62"/>
        <v/>
      </c>
      <c r="U376" s="14" t="str">
        <f>IF('Raw Data'!A363&lt;&gt;"",AVERAGE('Raw Data'!BD363,'Raw Data'!BF363,'Raw Data'!BH363,'Raw Data'!BJ363,'Raw Data'!BL363),"")</f>
        <v/>
      </c>
      <c r="V376" s="14" t="str">
        <f>IF('Raw Data'!A363&lt;&gt;"",AVERAGE('Raw Data'!BE363,'Raw Data'!BG363,'Raw Data'!BI363,'Raw Data'!BK363,'Raw Data'!BM363),"")</f>
        <v/>
      </c>
      <c r="W376" s="14" t="str">
        <f t="shared" si="63"/>
        <v/>
      </c>
      <c r="X376" s="14" t="str">
        <f t="shared" si="64"/>
        <v/>
      </c>
      <c r="Y376" s="14" t="str">
        <f t="shared" si="65"/>
        <v/>
      </c>
      <c r="Z376" s="14" t="str">
        <f t="shared" si="66"/>
        <v/>
      </c>
      <c r="AA376" s="14" t="str">
        <f t="shared" si="67"/>
        <v/>
      </c>
      <c r="AB376" s="25" t="str">
        <f t="shared" si="68"/>
        <v/>
      </c>
    </row>
    <row r="377" spans="1:28" x14ac:dyDescent="0.25">
      <c r="A377" s="2" t="str">
        <f>IF('Raw Data'!A364&lt;&gt;"",'Raw Data'!A364,"")</f>
        <v/>
      </c>
      <c r="B377" s="2" t="str">
        <f>IF('Raw Data'!B364&lt;&gt;"",'Raw Data'!B364,"")</f>
        <v/>
      </c>
      <c r="C377" s="2" t="str">
        <f>IF('Raw Data'!C364&lt;&gt;"",'Raw Data'!C364,"")</f>
        <v/>
      </c>
      <c r="D377" s="2" t="str">
        <f>IF('Raw Data'!D364&lt;&gt;"",'Raw Data'!D364,"")</f>
        <v/>
      </c>
      <c r="E377" s="2" t="str">
        <f>IF('Raw Data'!E364&lt;&gt;"",'Raw Data'!E364,"")</f>
        <v/>
      </c>
      <c r="F377" s="11" t="str">
        <f>IF('Raw Data'!A364&lt;&gt;"",AVERAGE('Raw Data'!F364,'Raw Data'!H364,'Raw Data'!J364,'Raw Data'!L364,'Raw Data'!N364),"")</f>
        <v/>
      </c>
      <c r="G377" s="11" t="str">
        <f>IF('Raw Data'!A364&lt;&gt;"",AVERAGE('Raw Data'!G364,'Raw Data'!I364,'Raw Data'!K364,'Raw Data'!M364,'Raw Data'!O364),"")</f>
        <v/>
      </c>
      <c r="H377" s="11" t="str">
        <f t="shared" si="58"/>
        <v/>
      </c>
      <c r="I377" s="11" t="str">
        <f>IF('Raw Data'!A364&lt;&gt;"",AVERAGE('Raw Data'!P364,'Raw Data'!R364,'Raw Data'!T364,'Raw Data'!V364,'Raw Data'!X364),"")</f>
        <v/>
      </c>
      <c r="J377" s="11" t="str">
        <f>IF('Raw Data'!A364&lt;&gt;"",AVERAGE('Raw Data'!Q364,'Raw Data'!S364,'Raw Data'!U364,'Raw Data'!W364,'Raw Data'!Y364),"")</f>
        <v/>
      </c>
      <c r="K377" s="11" t="str">
        <f t="shared" si="59"/>
        <v/>
      </c>
      <c r="L377" s="11" t="str">
        <f>IF('Raw Data'!A364&lt;&gt;"",AVERAGE('Raw Data'!Z364,'Raw Data'!AB364,'Raw Data'!AD364,'Raw Data'!AF364,'Raw Data'!AH364),"")</f>
        <v/>
      </c>
      <c r="M377" s="11" t="str">
        <f>IF('Raw Data'!A364&lt;&gt;"",AVERAGE('Raw Data'!AA364,'Raw Data'!AC364,'Raw Data'!AE364,'Raw Data'!AG364,'Raw Data'!AI364),"")</f>
        <v/>
      </c>
      <c r="N377" s="11" t="str">
        <f t="shared" si="60"/>
        <v/>
      </c>
      <c r="O377" s="11" t="str">
        <f>IF('Raw Data'!A364&lt;&gt;"",AVERAGE('Raw Data'!AJ364,'Raw Data'!AL364,'Raw Data'!AN364,'Raw Data'!AP364,'Raw Data'!AR364),"")</f>
        <v/>
      </c>
      <c r="P377" s="11" t="str">
        <f>IF('Raw Data'!A364&lt;&gt;"",AVERAGE('Raw Data'!AK364,'Raw Data'!AM364,'Raw Data'!AO364,'Raw Data'!AQ364,'Raw Data'!AS364),"")</f>
        <v/>
      </c>
      <c r="Q377" s="11" t="str">
        <f t="shared" si="61"/>
        <v/>
      </c>
      <c r="R377" s="11" t="str">
        <f>IF('Raw Data'!A364&lt;&gt;"",AVERAGE('Raw Data'!AT364,'Raw Data'!AV364,'Raw Data'!AX364,'Raw Data'!AZ364,'Raw Data'!BB364),"")</f>
        <v/>
      </c>
      <c r="S377" s="11" t="str">
        <f>IF('Raw Data'!A364&lt;&gt;"",AVERAGE('Raw Data'!AU364,'Raw Data'!AW364,'Raw Data'!AY364,'Raw Data'!BA364,'Raw Data'!BC364),"")</f>
        <v/>
      </c>
      <c r="T377" s="11" t="str">
        <f t="shared" si="62"/>
        <v/>
      </c>
      <c r="U377" s="11" t="str">
        <f>IF('Raw Data'!A364&lt;&gt;"",AVERAGE('Raw Data'!BD364,'Raw Data'!BF364,'Raw Data'!BH364,'Raw Data'!BJ364,'Raw Data'!BL364),"")</f>
        <v/>
      </c>
      <c r="V377" s="11" t="str">
        <f>IF('Raw Data'!A364&lt;&gt;"",AVERAGE('Raw Data'!BE364,'Raw Data'!BG364,'Raw Data'!BI364,'Raw Data'!BK364,'Raw Data'!BM364),"")</f>
        <v/>
      </c>
      <c r="W377" s="11" t="str">
        <f t="shared" si="63"/>
        <v/>
      </c>
      <c r="X377" s="11" t="str">
        <f t="shared" si="64"/>
        <v/>
      </c>
      <c r="Y377" s="11" t="str">
        <f t="shared" si="65"/>
        <v/>
      </c>
      <c r="Z377" s="11" t="str">
        <f t="shared" si="66"/>
        <v/>
      </c>
      <c r="AA377" s="11" t="str">
        <f t="shared" si="67"/>
        <v/>
      </c>
      <c r="AB377" s="24" t="str">
        <f t="shared" si="68"/>
        <v/>
      </c>
    </row>
    <row r="378" spans="1:28" x14ac:dyDescent="0.25">
      <c r="A378" s="10" t="str">
        <f>IF('Raw Data'!A365&lt;&gt;"",'Raw Data'!A365,"")</f>
        <v/>
      </c>
      <c r="B378" s="10" t="str">
        <f>IF('Raw Data'!B365&lt;&gt;"",'Raw Data'!B365,"")</f>
        <v/>
      </c>
      <c r="C378" s="10" t="str">
        <f>IF('Raw Data'!C365&lt;&gt;"",'Raw Data'!C365,"")</f>
        <v/>
      </c>
      <c r="D378" s="10" t="str">
        <f>IF('Raw Data'!D365&lt;&gt;"",'Raw Data'!D365,"")</f>
        <v/>
      </c>
      <c r="E378" s="10" t="str">
        <f>IF('Raw Data'!E365&lt;&gt;"",'Raw Data'!E365,"")</f>
        <v/>
      </c>
      <c r="F378" s="14" t="str">
        <f>IF('Raw Data'!A365&lt;&gt;"",AVERAGE('Raw Data'!F365,'Raw Data'!H365,'Raw Data'!J365,'Raw Data'!L365,'Raw Data'!N365),"")</f>
        <v/>
      </c>
      <c r="G378" s="14" t="str">
        <f>IF('Raw Data'!A365&lt;&gt;"",AVERAGE('Raw Data'!G365,'Raw Data'!I365,'Raw Data'!K365,'Raw Data'!M365,'Raw Data'!O365),"")</f>
        <v/>
      </c>
      <c r="H378" s="14" t="str">
        <f t="shared" si="58"/>
        <v/>
      </c>
      <c r="I378" s="14" t="str">
        <f>IF('Raw Data'!A365&lt;&gt;"",AVERAGE('Raw Data'!P365,'Raw Data'!R365,'Raw Data'!T365,'Raw Data'!V365,'Raw Data'!X365),"")</f>
        <v/>
      </c>
      <c r="J378" s="14" t="str">
        <f>IF('Raw Data'!A365&lt;&gt;"",AVERAGE('Raw Data'!Q365,'Raw Data'!S365,'Raw Data'!U365,'Raw Data'!W365,'Raw Data'!Y365),"")</f>
        <v/>
      </c>
      <c r="K378" s="14" t="str">
        <f t="shared" si="59"/>
        <v/>
      </c>
      <c r="L378" s="14" t="str">
        <f>IF('Raw Data'!A365&lt;&gt;"",AVERAGE('Raw Data'!Z365,'Raw Data'!AB365,'Raw Data'!AD365,'Raw Data'!AF365,'Raw Data'!AH365),"")</f>
        <v/>
      </c>
      <c r="M378" s="14" t="str">
        <f>IF('Raw Data'!A365&lt;&gt;"",AVERAGE('Raw Data'!AA365,'Raw Data'!AC365,'Raw Data'!AE365,'Raw Data'!AG365,'Raw Data'!AI365),"")</f>
        <v/>
      </c>
      <c r="N378" s="14" t="str">
        <f t="shared" si="60"/>
        <v/>
      </c>
      <c r="O378" s="14" t="str">
        <f>IF('Raw Data'!A365&lt;&gt;"",AVERAGE('Raw Data'!AJ365,'Raw Data'!AL365,'Raw Data'!AN365,'Raw Data'!AP365,'Raw Data'!AR365),"")</f>
        <v/>
      </c>
      <c r="P378" s="14" t="str">
        <f>IF('Raw Data'!A365&lt;&gt;"",AVERAGE('Raw Data'!AK365,'Raw Data'!AM365,'Raw Data'!AO365,'Raw Data'!AQ365,'Raw Data'!AS365),"")</f>
        <v/>
      </c>
      <c r="Q378" s="14" t="str">
        <f t="shared" si="61"/>
        <v/>
      </c>
      <c r="R378" s="14" t="str">
        <f>IF('Raw Data'!A365&lt;&gt;"",AVERAGE('Raw Data'!AT365,'Raw Data'!AV365,'Raw Data'!AX365,'Raw Data'!AZ365,'Raw Data'!BB365),"")</f>
        <v/>
      </c>
      <c r="S378" s="14" t="str">
        <f>IF('Raw Data'!A365&lt;&gt;"",AVERAGE('Raw Data'!AU365,'Raw Data'!AW365,'Raw Data'!AY365,'Raw Data'!BA365,'Raw Data'!BC365),"")</f>
        <v/>
      </c>
      <c r="T378" s="14" t="str">
        <f t="shared" si="62"/>
        <v/>
      </c>
      <c r="U378" s="14" t="str">
        <f>IF('Raw Data'!A365&lt;&gt;"",AVERAGE('Raw Data'!BD365,'Raw Data'!BF365,'Raw Data'!BH365,'Raw Data'!BJ365,'Raw Data'!BL365),"")</f>
        <v/>
      </c>
      <c r="V378" s="14" t="str">
        <f>IF('Raw Data'!A365&lt;&gt;"",AVERAGE('Raw Data'!BE365,'Raw Data'!BG365,'Raw Data'!BI365,'Raw Data'!BK365,'Raw Data'!BM365),"")</f>
        <v/>
      </c>
      <c r="W378" s="14" t="str">
        <f t="shared" si="63"/>
        <v/>
      </c>
      <c r="X378" s="14" t="str">
        <f t="shared" si="64"/>
        <v/>
      </c>
      <c r="Y378" s="14" t="str">
        <f t="shared" si="65"/>
        <v/>
      </c>
      <c r="Z378" s="14" t="str">
        <f t="shared" si="66"/>
        <v/>
      </c>
      <c r="AA378" s="14" t="str">
        <f t="shared" si="67"/>
        <v/>
      </c>
      <c r="AB378" s="25" t="str">
        <f t="shared" si="68"/>
        <v/>
      </c>
    </row>
    <row r="379" spans="1:28" x14ac:dyDescent="0.25">
      <c r="A379" s="2" t="str">
        <f>IF('Raw Data'!A366&lt;&gt;"",'Raw Data'!A366,"")</f>
        <v/>
      </c>
      <c r="B379" s="2" t="str">
        <f>IF('Raw Data'!B366&lt;&gt;"",'Raw Data'!B366,"")</f>
        <v/>
      </c>
      <c r="C379" s="2" t="str">
        <f>IF('Raw Data'!C366&lt;&gt;"",'Raw Data'!C366,"")</f>
        <v/>
      </c>
      <c r="D379" s="2" t="str">
        <f>IF('Raw Data'!D366&lt;&gt;"",'Raw Data'!D366,"")</f>
        <v/>
      </c>
      <c r="E379" s="2" t="str">
        <f>IF('Raw Data'!E366&lt;&gt;"",'Raw Data'!E366,"")</f>
        <v/>
      </c>
      <c r="F379" s="11" t="str">
        <f>IF('Raw Data'!A366&lt;&gt;"",AVERAGE('Raw Data'!F366,'Raw Data'!H366,'Raw Data'!J366,'Raw Data'!L366,'Raw Data'!N366),"")</f>
        <v/>
      </c>
      <c r="G379" s="11" t="str">
        <f>IF('Raw Data'!A366&lt;&gt;"",AVERAGE('Raw Data'!G366,'Raw Data'!I366,'Raw Data'!K366,'Raw Data'!M366,'Raw Data'!O366),"")</f>
        <v/>
      </c>
      <c r="H379" s="11" t="str">
        <f t="shared" si="58"/>
        <v/>
      </c>
      <c r="I379" s="11" t="str">
        <f>IF('Raw Data'!A366&lt;&gt;"",AVERAGE('Raw Data'!P366,'Raw Data'!R366,'Raw Data'!T366,'Raw Data'!V366,'Raw Data'!X366),"")</f>
        <v/>
      </c>
      <c r="J379" s="11" t="str">
        <f>IF('Raw Data'!A366&lt;&gt;"",AVERAGE('Raw Data'!Q366,'Raw Data'!S366,'Raw Data'!U366,'Raw Data'!W366,'Raw Data'!Y366),"")</f>
        <v/>
      </c>
      <c r="K379" s="11" t="str">
        <f t="shared" si="59"/>
        <v/>
      </c>
      <c r="L379" s="11" t="str">
        <f>IF('Raw Data'!A366&lt;&gt;"",AVERAGE('Raw Data'!Z366,'Raw Data'!AB366,'Raw Data'!AD366,'Raw Data'!AF366,'Raw Data'!AH366),"")</f>
        <v/>
      </c>
      <c r="M379" s="11" t="str">
        <f>IF('Raw Data'!A366&lt;&gt;"",AVERAGE('Raw Data'!AA366,'Raw Data'!AC366,'Raw Data'!AE366,'Raw Data'!AG366,'Raw Data'!AI366),"")</f>
        <v/>
      </c>
      <c r="N379" s="11" t="str">
        <f t="shared" si="60"/>
        <v/>
      </c>
      <c r="O379" s="11" t="str">
        <f>IF('Raw Data'!A366&lt;&gt;"",AVERAGE('Raw Data'!AJ366,'Raw Data'!AL366,'Raw Data'!AN366,'Raw Data'!AP366,'Raw Data'!AR366),"")</f>
        <v/>
      </c>
      <c r="P379" s="11" t="str">
        <f>IF('Raw Data'!A366&lt;&gt;"",AVERAGE('Raw Data'!AK366,'Raw Data'!AM366,'Raw Data'!AO366,'Raw Data'!AQ366,'Raw Data'!AS366),"")</f>
        <v/>
      </c>
      <c r="Q379" s="11" t="str">
        <f t="shared" si="61"/>
        <v/>
      </c>
      <c r="R379" s="11" t="str">
        <f>IF('Raw Data'!A366&lt;&gt;"",AVERAGE('Raw Data'!AT366,'Raw Data'!AV366,'Raw Data'!AX366,'Raw Data'!AZ366,'Raw Data'!BB366),"")</f>
        <v/>
      </c>
      <c r="S379" s="11" t="str">
        <f>IF('Raw Data'!A366&lt;&gt;"",AVERAGE('Raw Data'!AU366,'Raw Data'!AW366,'Raw Data'!AY366,'Raw Data'!BA366,'Raw Data'!BC366),"")</f>
        <v/>
      </c>
      <c r="T379" s="11" t="str">
        <f t="shared" si="62"/>
        <v/>
      </c>
      <c r="U379" s="11" t="str">
        <f>IF('Raw Data'!A366&lt;&gt;"",AVERAGE('Raw Data'!BD366,'Raw Data'!BF366,'Raw Data'!BH366,'Raw Data'!BJ366,'Raw Data'!BL366),"")</f>
        <v/>
      </c>
      <c r="V379" s="11" t="str">
        <f>IF('Raw Data'!A366&lt;&gt;"",AVERAGE('Raw Data'!BE366,'Raw Data'!BG366,'Raw Data'!BI366,'Raw Data'!BK366,'Raw Data'!BM366),"")</f>
        <v/>
      </c>
      <c r="W379" s="11" t="str">
        <f t="shared" si="63"/>
        <v/>
      </c>
      <c r="X379" s="11" t="str">
        <f t="shared" si="64"/>
        <v/>
      </c>
      <c r="Y379" s="11" t="str">
        <f t="shared" si="65"/>
        <v/>
      </c>
      <c r="Z379" s="11" t="str">
        <f t="shared" si="66"/>
        <v/>
      </c>
      <c r="AA379" s="11" t="str">
        <f t="shared" si="67"/>
        <v/>
      </c>
      <c r="AB379" s="24" t="str">
        <f t="shared" si="68"/>
        <v/>
      </c>
    </row>
    <row r="380" spans="1:28" x14ac:dyDescent="0.25">
      <c r="A380" s="10" t="str">
        <f>IF('Raw Data'!A367&lt;&gt;"",'Raw Data'!A367,"")</f>
        <v/>
      </c>
      <c r="B380" s="10" t="str">
        <f>IF('Raw Data'!B367&lt;&gt;"",'Raw Data'!B367,"")</f>
        <v/>
      </c>
      <c r="C380" s="10" t="str">
        <f>IF('Raw Data'!C367&lt;&gt;"",'Raw Data'!C367,"")</f>
        <v/>
      </c>
      <c r="D380" s="10" t="str">
        <f>IF('Raw Data'!D367&lt;&gt;"",'Raw Data'!D367,"")</f>
        <v/>
      </c>
      <c r="E380" s="10" t="str">
        <f>IF('Raw Data'!E367&lt;&gt;"",'Raw Data'!E367,"")</f>
        <v/>
      </c>
      <c r="F380" s="14" t="str">
        <f>IF('Raw Data'!A367&lt;&gt;"",AVERAGE('Raw Data'!F367,'Raw Data'!H367,'Raw Data'!J367,'Raw Data'!L367,'Raw Data'!N367),"")</f>
        <v/>
      </c>
      <c r="G380" s="14" t="str">
        <f>IF('Raw Data'!A367&lt;&gt;"",AVERAGE('Raw Data'!G367,'Raw Data'!I367,'Raw Data'!K367,'Raw Data'!M367,'Raw Data'!O367),"")</f>
        <v/>
      </c>
      <c r="H380" s="14" t="str">
        <f t="shared" si="58"/>
        <v/>
      </c>
      <c r="I380" s="14" t="str">
        <f>IF('Raw Data'!A367&lt;&gt;"",AVERAGE('Raw Data'!P367,'Raw Data'!R367,'Raw Data'!T367,'Raw Data'!V367,'Raw Data'!X367),"")</f>
        <v/>
      </c>
      <c r="J380" s="14" t="str">
        <f>IF('Raw Data'!A367&lt;&gt;"",AVERAGE('Raw Data'!Q367,'Raw Data'!S367,'Raw Data'!U367,'Raw Data'!W367,'Raw Data'!Y367),"")</f>
        <v/>
      </c>
      <c r="K380" s="14" t="str">
        <f t="shared" si="59"/>
        <v/>
      </c>
      <c r="L380" s="14" t="str">
        <f>IF('Raw Data'!A367&lt;&gt;"",AVERAGE('Raw Data'!Z367,'Raw Data'!AB367,'Raw Data'!AD367,'Raw Data'!AF367,'Raw Data'!AH367),"")</f>
        <v/>
      </c>
      <c r="M380" s="14" t="str">
        <f>IF('Raw Data'!A367&lt;&gt;"",AVERAGE('Raw Data'!AA367,'Raw Data'!AC367,'Raw Data'!AE367,'Raw Data'!AG367,'Raw Data'!AI367),"")</f>
        <v/>
      </c>
      <c r="N380" s="14" t="str">
        <f t="shared" si="60"/>
        <v/>
      </c>
      <c r="O380" s="14" t="str">
        <f>IF('Raw Data'!A367&lt;&gt;"",AVERAGE('Raw Data'!AJ367,'Raw Data'!AL367,'Raw Data'!AN367,'Raw Data'!AP367,'Raw Data'!AR367),"")</f>
        <v/>
      </c>
      <c r="P380" s="14" t="str">
        <f>IF('Raw Data'!A367&lt;&gt;"",AVERAGE('Raw Data'!AK367,'Raw Data'!AM367,'Raw Data'!AO367,'Raw Data'!AQ367,'Raw Data'!AS367),"")</f>
        <v/>
      </c>
      <c r="Q380" s="14" t="str">
        <f t="shared" si="61"/>
        <v/>
      </c>
      <c r="R380" s="14" t="str">
        <f>IF('Raw Data'!A367&lt;&gt;"",AVERAGE('Raw Data'!AT367,'Raw Data'!AV367,'Raw Data'!AX367,'Raw Data'!AZ367,'Raw Data'!BB367),"")</f>
        <v/>
      </c>
      <c r="S380" s="14" t="str">
        <f>IF('Raw Data'!A367&lt;&gt;"",AVERAGE('Raw Data'!AU367,'Raw Data'!AW367,'Raw Data'!AY367,'Raw Data'!BA367,'Raw Data'!BC367),"")</f>
        <v/>
      </c>
      <c r="T380" s="14" t="str">
        <f t="shared" si="62"/>
        <v/>
      </c>
      <c r="U380" s="14" t="str">
        <f>IF('Raw Data'!A367&lt;&gt;"",AVERAGE('Raw Data'!BD367,'Raw Data'!BF367,'Raw Data'!BH367,'Raw Data'!BJ367,'Raw Data'!BL367),"")</f>
        <v/>
      </c>
      <c r="V380" s="14" t="str">
        <f>IF('Raw Data'!A367&lt;&gt;"",AVERAGE('Raw Data'!BE367,'Raw Data'!BG367,'Raw Data'!BI367,'Raw Data'!BK367,'Raw Data'!BM367),"")</f>
        <v/>
      </c>
      <c r="W380" s="14" t="str">
        <f t="shared" si="63"/>
        <v/>
      </c>
      <c r="X380" s="14" t="str">
        <f t="shared" si="64"/>
        <v/>
      </c>
      <c r="Y380" s="14" t="str">
        <f t="shared" si="65"/>
        <v/>
      </c>
      <c r="Z380" s="14" t="str">
        <f t="shared" si="66"/>
        <v/>
      </c>
      <c r="AA380" s="14" t="str">
        <f t="shared" si="67"/>
        <v/>
      </c>
      <c r="AB380" s="25" t="str">
        <f t="shared" si="68"/>
        <v/>
      </c>
    </row>
    <row r="381" spans="1:28" x14ac:dyDescent="0.25">
      <c r="A381" s="2" t="str">
        <f>IF('Raw Data'!A368&lt;&gt;"",'Raw Data'!A368,"")</f>
        <v/>
      </c>
      <c r="B381" s="2" t="str">
        <f>IF('Raw Data'!B368&lt;&gt;"",'Raw Data'!B368,"")</f>
        <v/>
      </c>
      <c r="C381" s="2" t="str">
        <f>IF('Raw Data'!C368&lt;&gt;"",'Raw Data'!C368,"")</f>
        <v/>
      </c>
      <c r="D381" s="2" t="str">
        <f>IF('Raw Data'!D368&lt;&gt;"",'Raw Data'!D368,"")</f>
        <v/>
      </c>
      <c r="E381" s="2" t="str">
        <f>IF('Raw Data'!E368&lt;&gt;"",'Raw Data'!E368,"")</f>
        <v/>
      </c>
      <c r="F381" s="11" t="str">
        <f>IF('Raw Data'!A368&lt;&gt;"",AVERAGE('Raw Data'!F368,'Raw Data'!H368,'Raw Data'!J368,'Raw Data'!L368,'Raw Data'!N368),"")</f>
        <v/>
      </c>
      <c r="G381" s="11" t="str">
        <f>IF('Raw Data'!A368&lt;&gt;"",AVERAGE('Raw Data'!G368,'Raw Data'!I368,'Raw Data'!K368,'Raw Data'!M368,'Raw Data'!O368),"")</f>
        <v/>
      </c>
      <c r="H381" s="11" t="str">
        <f t="shared" si="58"/>
        <v/>
      </c>
      <c r="I381" s="11" t="str">
        <f>IF('Raw Data'!A368&lt;&gt;"",AVERAGE('Raw Data'!P368,'Raw Data'!R368,'Raw Data'!T368,'Raw Data'!V368,'Raw Data'!X368),"")</f>
        <v/>
      </c>
      <c r="J381" s="11" t="str">
        <f>IF('Raw Data'!A368&lt;&gt;"",AVERAGE('Raw Data'!Q368,'Raw Data'!S368,'Raw Data'!U368,'Raw Data'!W368,'Raw Data'!Y368),"")</f>
        <v/>
      </c>
      <c r="K381" s="11" t="str">
        <f t="shared" si="59"/>
        <v/>
      </c>
      <c r="L381" s="11" t="str">
        <f>IF('Raw Data'!A368&lt;&gt;"",AVERAGE('Raw Data'!Z368,'Raw Data'!AB368,'Raw Data'!AD368,'Raw Data'!AF368,'Raw Data'!AH368),"")</f>
        <v/>
      </c>
      <c r="M381" s="11" t="str">
        <f>IF('Raw Data'!A368&lt;&gt;"",AVERAGE('Raw Data'!AA368,'Raw Data'!AC368,'Raw Data'!AE368,'Raw Data'!AG368,'Raw Data'!AI368),"")</f>
        <v/>
      </c>
      <c r="N381" s="11" t="str">
        <f t="shared" si="60"/>
        <v/>
      </c>
      <c r="O381" s="11" t="str">
        <f>IF('Raw Data'!A368&lt;&gt;"",AVERAGE('Raw Data'!AJ368,'Raw Data'!AL368,'Raw Data'!AN368,'Raw Data'!AP368,'Raw Data'!AR368),"")</f>
        <v/>
      </c>
      <c r="P381" s="11" t="str">
        <f>IF('Raw Data'!A368&lt;&gt;"",AVERAGE('Raw Data'!AK368,'Raw Data'!AM368,'Raw Data'!AO368,'Raw Data'!AQ368,'Raw Data'!AS368),"")</f>
        <v/>
      </c>
      <c r="Q381" s="11" t="str">
        <f t="shared" si="61"/>
        <v/>
      </c>
      <c r="R381" s="11" t="str">
        <f>IF('Raw Data'!A368&lt;&gt;"",AVERAGE('Raw Data'!AT368,'Raw Data'!AV368,'Raw Data'!AX368,'Raw Data'!AZ368,'Raw Data'!BB368),"")</f>
        <v/>
      </c>
      <c r="S381" s="11" t="str">
        <f>IF('Raw Data'!A368&lt;&gt;"",AVERAGE('Raw Data'!AU368,'Raw Data'!AW368,'Raw Data'!AY368,'Raw Data'!BA368,'Raw Data'!BC368),"")</f>
        <v/>
      </c>
      <c r="T381" s="11" t="str">
        <f t="shared" si="62"/>
        <v/>
      </c>
      <c r="U381" s="11" t="str">
        <f>IF('Raw Data'!A368&lt;&gt;"",AVERAGE('Raw Data'!BD368,'Raw Data'!BF368,'Raw Data'!BH368,'Raw Data'!BJ368,'Raw Data'!BL368),"")</f>
        <v/>
      </c>
      <c r="V381" s="11" t="str">
        <f>IF('Raw Data'!A368&lt;&gt;"",AVERAGE('Raw Data'!BE368,'Raw Data'!BG368,'Raw Data'!BI368,'Raw Data'!BK368,'Raw Data'!BM368),"")</f>
        <v/>
      </c>
      <c r="W381" s="11" t="str">
        <f t="shared" si="63"/>
        <v/>
      </c>
      <c r="X381" s="11" t="str">
        <f t="shared" si="64"/>
        <v/>
      </c>
      <c r="Y381" s="11" t="str">
        <f t="shared" si="65"/>
        <v/>
      </c>
      <c r="Z381" s="11" t="str">
        <f t="shared" si="66"/>
        <v/>
      </c>
      <c r="AA381" s="11" t="str">
        <f t="shared" si="67"/>
        <v/>
      </c>
      <c r="AB381" s="24" t="str">
        <f t="shared" si="68"/>
        <v/>
      </c>
    </row>
    <row r="382" spans="1:28" x14ac:dyDescent="0.25">
      <c r="A382" s="10" t="str">
        <f>IF('Raw Data'!A369&lt;&gt;"",'Raw Data'!A369,"")</f>
        <v/>
      </c>
      <c r="B382" s="10" t="str">
        <f>IF('Raw Data'!B369&lt;&gt;"",'Raw Data'!B369,"")</f>
        <v/>
      </c>
      <c r="C382" s="10" t="str">
        <f>IF('Raw Data'!C369&lt;&gt;"",'Raw Data'!C369,"")</f>
        <v/>
      </c>
      <c r="D382" s="10" t="str">
        <f>IF('Raw Data'!D369&lt;&gt;"",'Raw Data'!D369,"")</f>
        <v/>
      </c>
      <c r="E382" s="10" t="str">
        <f>IF('Raw Data'!E369&lt;&gt;"",'Raw Data'!E369,"")</f>
        <v/>
      </c>
      <c r="F382" s="14" t="str">
        <f>IF('Raw Data'!A369&lt;&gt;"",AVERAGE('Raw Data'!F369,'Raw Data'!H369,'Raw Data'!J369,'Raw Data'!L369,'Raw Data'!N369),"")</f>
        <v/>
      </c>
      <c r="G382" s="14" t="str">
        <f>IF('Raw Data'!A369&lt;&gt;"",AVERAGE('Raw Data'!G369,'Raw Data'!I369,'Raw Data'!K369,'Raw Data'!M369,'Raw Data'!O369),"")</f>
        <v/>
      </c>
      <c r="H382" s="14" t="str">
        <f t="shared" si="58"/>
        <v/>
      </c>
      <c r="I382" s="14" t="str">
        <f>IF('Raw Data'!A369&lt;&gt;"",AVERAGE('Raw Data'!P369,'Raw Data'!R369,'Raw Data'!T369,'Raw Data'!V369,'Raw Data'!X369),"")</f>
        <v/>
      </c>
      <c r="J382" s="14" t="str">
        <f>IF('Raw Data'!A369&lt;&gt;"",AVERAGE('Raw Data'!Q369,'Raw Data'!S369,'Raw Data'!U369,'Raw Data'!W369,'Raw Data'!Y369),"")</f>
        <v/>
      </c>
      <c r="K382" s="14" t="str">
        <f t="shared" si="59"/>
        <v/>
      </c>
      <c r="L382" s="14" t="str">
        <f>IF('Raw Data'!A369&lt;&gt;"",AVERAGE('Raw Data'!Z369,'Raw Data'!AB369,'Raw Data'!AD369,'Raw Data'!AF369,'Raw Data'!AH369),"")</f>
        <v/>
      </c>
      <c r="M382" s="14" t="str">
        <f>IF('Raw Data'!A369&lt;&gt;"",AVERAGE('Raw Data'!AA369,'Raw Data'!AC369,'Raw Data'!AE369,'Raw Data'!AG369,'Raw Data'!AI369),"")</f>
        <v/>
      </c>
      <c r="N382" s="14" t="str">
        <f t="shared" si="60"/>
        <v/>
      </c>
      <c r="O382" s="14" t="str">
        <f>IF('Raw Data'!A369&lt;&gt;"",AVERAGE('Raw Data'!AJ369,'Raw Data'!AL369,'Raw Data'!AN369,'Raw Data'!AP369,'Raw Data'!AR369),"")</f>
        <v/>
      </c>
      <c r="P382" s="14" t="str">
        <f>IF('Raw Data'!A369&lt;&gt;"",AVERAGE('Raw Data'!AK369,'Raw Data'!AM369,'Raw Data'!AO369,'Raw Data'!AQ369,'Raw Data'!AS369),"")</f>
        <v/>
      </c>
      <c r="Q382" s="14" t="str">
        <f t="shared" si="61"/>
        <v/>
      </c>
      <c r="R382" s="14" t="str">
        <f>IF('Raw Data'!A369&lt;&gt;"",AVERAGE('Raw Data'!AT369,'Raw Data'!AV369,'Raw Data'!AX369,'Raw Data'!AZ369,'Raw Data'!BB369),"")</f>
        <v/>
      </c>
      <c r="S382" s="14" t="str">
        <f>IF('Raw Data'!A369&lt;&gt;"",AVERAGE('Raw Data'!AU369,'Raw Data'!AW369,'Raw Data'!AY369,'Raw Data'!BA369,'Raw Data'!BC369),"")</f>
        <v/>
      </c>
      <c r="T382" s="14" t="str">
        <f t="shared" si="62"/>
        <v/>
      </c>
      <c r="U382" s="14" t="str">
        <f>IF('Raw Data'!A369&lt;&gt;"",AVERAGE('Raw Data'!BD369,'Raw Data'!BF369,'Raw Data'!BH369,'Raw Data'!BJ369,'Raw Data'!BL369),"")</f>
        <v/>
      </c>
      <c r="V382" s="14" t="str">
        <f>IF('Raw Data'!A369&lt;&gt;"",AVERAGE('Raw Data'!BE369,'Raw Data'!BG369,'Raw Data'!BI369,'Raw Data'!BK369,'Raw Data'!BM369),"")</f>
        <v/>
      </c>
      <c r="W382" s="14" t="str">
        <f t="shared" si="63"/>
        <v/>
      </c>
      <c r="X382" s="14" t="str">
        <f t="shared" si="64"/>
        <v/>
      </c>
      <c r="Y382" s="14" t="str">
        <f t="shared" si="65"/>
        <v/>
      </c>
      <c r="Z382" s="14" t="str">
        <f t="shared" si="66"/>
        <v/>
      </c>
      <c r="AA382" s="14" t="str">
        <f t="shared" si="67"/>
        <v/>
      </c>
      <c r="AB382" s="25" t="str">
        <f t="shared" si="68"/>
        <v/>
      </c>
    </row>
    <row r="383" spans="1:28" x14ac:dyDescent="0.25">
      <c r="A383" s="2" t="str">
        <f>IF('Raw Data'!A370&lt;&gt;"",'Raw Data'!A370,"")</f>
        <v/>
      </c>
      <c r="B383" s="2" t="str">
        <f>IF('Raw Data'!B370&lt;&gt;"",'Raw Data'!B370,"")</f>
        <v/>
      </c>
      <c r="C383" s="2" t="str">
        <f>IF('Raw Data'!C370&lt;&gt;"",'Raw Data'!C370,"")</f>
        <v/>
      </c>
      <c r="D383" s="2" t="str">
        <f>IF('Raw Data'!D370&lt;&gt;"",'Raw Data'!D370,"")</f>
        <v/>
      </c>
      <c r="E383" s="2" t="str">
        <f>IF('Raw Data'!E370&lt;&gt;"",'Raw Data'!E370,"")</f>
        <v/>
      </c>
      <c r="F383" s="11" t="str">
        <f>IF('Raw Data'!A370&lt;&gt;"",AVERAGE('Raw Data'!F370,'Raw Data'!H370,'Raw Data'!J370,'Raw Data'!L370,'Raw Data'!N370),"")</f>
        <v/>
      </c>
      <c r="G383" s="11" t="str">
        <f>IF('Raw Data'!A370&lt;&gt;"",AVERAGE('Raw Data'!G370,'Raw Data'!I370,'Raw Data'!K370,'Raw Data'!M370,'Raw Data'!O370),"")</f>
        <v/>
      </c>
      <c r="H383" s="11" t="str">
        <f t="shared" si="58"/>
        <v/>
      </c>
      <c r="I383" s="11" t="str">
        <f>IF('Raw Data'!A370&lt;&gt;"",AVERAGE('Raw Data'!P370,'Raw Data'!R370,'Raw Data'!T370,'Raw Data'!V370,'Raw Data'!X370),"")</f>
        <v/>
      </c>
      <c r="J383" s="11" t="str">
        <f>IF('Raw Data'!A370&lt;&gt;"",AVERAGE('Raw Data'!Q370,'Raw Data'!S370,'Raw Data'!U370,'Raw Data'!W370,'Raw Data'!Y370),"")</f>
        <v/>
      </c>
      <c r="K383" s="11" t="str">
        <f t="shared" si="59"/>
        <v/>
      </c>
      <c r="L383" s="11" t="str">
        <f>IF('Raw Data'!A370&lt;&gt;"",AVERAGE('Raw Data'!Z370,'Raw Data'!AB370,'Raw Data'!AD370,'Raw Data'!AF370,'Raw Data'!AH370),"")</f>
        <v/>
      </c>
      <c r="M383" s="11" t="str">
        <f>IF('Raw Data'!A370&lt;&gt;"",AVERAGE('Raw Data'!AA370,'Raw Data'!AC370,'Raw Data'!AE370,'Raw Data'!AG370,'Raw Data'!AI370),"")</f>
        <v/>
      </c>
      <c r="N383" s="11" t="str">
        <f t="shared" si="60"/>
        <v/>
      </c>
      <c r="O383" s="11" t="str">
        <f>IF('Raw Data'!A370&lt;&gt;"",AVERAGE('Raw Data'!AJ370,'Raw Data'!AL370,'Raw Data'!AN370,'Raw Data'!AP370,'Raw Data'!AR370),"")</f>
        <v/>
      </c>
      <c r="P383" s="11" t="str">
        <f>IF('Raw Data'!A370&lt;&gt;"",AVERAGE('Raw Data'!AK370,'Raw Data'!AM370,'Raw Data'!AO370,'Raw Data'!AQ370,'Raw Data'!AS370),"")</f>
        <v/>
      </c>
      <c r="Q383" s="11" t="str">
        <f t="shared" si="61"/>
        <v/>
      </c>
      <c r="R383" s="11" t="str">
        <f>IF('Raw Data'!A370&lt;&gt;"",AVERAGE('Raw Data'!AT370,'Raw Data'!AV370,'Raw Data'!AX370,'Raw Data'!AZ370,'Raw Data'!BB370),"")</f>
        <v/>
      </c>
      <c r="S383" s="11" t="str">
        <f>IF('Raw Data'!A370&lt;&gt;"",AVERAGE('Raw Data'!AU370,'Raw Data'!AW370,'Raw Data'!AY370,'Raw Data'!BA370,'Raw Data'!BC370),"")</f>
        <v/>
      </c>
      <c r="T383" s="11" t="str">
        <f t="shared" si="62"/>
        <v/>
      </c>
      <c r="U383" s="11" t="str">
        <f>IF('Raw Data'!A370&lt;&gt;"",AVERAGE('Raw Data'!BD370,'Raw Data'!BF370,'Raw Data'!BH370,'Raw Data'!BJ370,'Raw Data'!BL370),"")</f>
        <v/>
      </c>
      <c r="V383" s="11" t="str">
        <f>IF('Raw Data'!A370&lt;&gt;"",AVERAGE('Raw Data'!BE370,'Raw Data'!BG370,'Raw Data'!BI370,'Raw Data'!BK370,'Raw Data'!BM370),"")</f>
        <v/>
      </c>
      <c r="W383" s="11" t="str">
        <f t="shared" si="63"/>
        <v/>
      </c>
      <c r="X383" s="11" t="str">
        <f t="shared" si="64"/>
        <v/>
      </c>
      <c r="Y383" s="11" t="str">
        <f t="shared" si="65"/>
        <v/>
      </c>
      <c r="Z383" s="11" t="str">
        <f t="shared" si="66"/>
        <v/>
      </c>
      <c r="AA383" s="11" t="str">
        <f t="shared" si="67"/>
        <v/>
      </c>
      <c r="AB383" s="24" t="str">
        <f t="shared" si="68"/>
        <v/>
      </c>
    </row>
    <row r="384" spans="1:28" x14ac:dyDescent="0.25">
      <c r="A384" s="10" t="str">
        <f>IF('Raw Data'!A371&lt;&gt;"",'Raw Data'!A371,"")</f>
        <v/>
      </c>
      <c r="B384" s="10" t="str">
        <f>IF('Raw Data'!B371&lt;&gt;"",'Raw Data'!B371,"")</f>
        <v/>
      </c>
      <c r="C384" s="10" t="str">
        <f>IF('Raw Data'!C371&lt;&gt;"",'Raw Data'!C371,"")</f>
        <v/>
      </c>
      <c r="D384" s="10" t="str">
        <f>IF('Raw Data'!D371&lt;&gt;"",'Raw Data'!D371,"")</f>
        <v/>
      </c>
      <c r="E384" s="10" t="str">
        <f>IF('Raw Data'!E371&lt;&gt;"",'Raw Data'!E371,"")</f>
        <v/>
      </c>
      <c r="F384" s="14" t="str">
        <f>IF('Raw Data'!A371&lt;&gt;"",AVERAGE('Raw Data'!F371,'Raw Data'!H371,'Raw Data'!J371,'Raw Data'!L371,'Raw Data'!N371),"")</f>
        <v/>
      </c>
      <c r="G384" s="14" t="str">
        <f>IF('Raw Data'!A371&lt;&gt;"",AVERAGE('Raw Data'!G371,'Raw Data'!I371,'Raw Data'!K371,'Raw Data'!M371,'Raw Data'!O371),"")</f>
        <v/>
      </c>
      <c r="H384" s="14" t="str">
        <f t="shared" si="58"/>
        <v/>
      </c>
      <c r="I384" s="14" t="str">
        <f>IF('Raw Data'!A371&lt;&gt;"",AVERAGE('Raw Data'!P371,'Raw Data'!R371,'Raw Data'!T371,'Raw Data'!V371,'Raw Data'!X371),"")</f>
        <v/>
      </c>
      <c r="J384" s="14" t="str">
        <f>IF('Raw Data'!A371&lt;&gt;"",AVERAGE('Raw Data'!Q371,'Raw Data'!S371,'Raw Data'!U371,'Raw Data'!W371,'Raw Data'!Y371),"")</f>
        <v/>
      </c>
      <c r="K384" s="14" t="str">
        <f t="shared" si="59"/>
        <v/>
      </c>
      <c r="L384" s="14" t="str">
        <f>IF('Raw Data'!A371&lt;&gt;"",AVERAGE('Raw Data'!Z371,'Raw Data'!AB371,'Raw Data'!AD371,'Raw Data'!AF371,'Raw Data'!AH371),"")</f>
        <v/>
      </c>
      <c r="M384" s="14" t="str">
        <f>IF('Raw Data'!A371&lt;&gt;"",AVERAGE('Raw Data'!AA371,'Raw Data'!AC371,'Raw Data'!AE371,'Raw Data'!AG371,'Raw Data'!AI371),"")</f>
        <v/>
      </c>
      <c r="N384" s="14" t="str">
        <f t="shared" si="60"/>
        <v/>
      </c>
      <c r="O384" s="14" t="str">
        <f>IF('Raw Data'!A371&lt;&gt;"",AVERAGE('Raw Data'!AJ371,'Raw Data'!AL371,'Raw Data'!AN371,'Raw Data'!AP371,'Raw Data'!AR371),"")</f>
        <v/>
      </c>
      <c r="P384" s="14" t="str">
        <f>IF('Raw Data'!A371&lt;&gt;"",AVERAGE('Raw Data'!AK371,'Raw Data'!AM371,'Raw Data'!AO371,'Raw Data'!AQ371,'Raw Data'!AS371),"")</f>
        <v/>
      </c>
      <c r="Q384" s="14" t="str">
        <f t="shared" si="61"/>
        <v/>
      </c>
      <c r="R384" s="14" t="str">
        <f>IF('Raw Data'!A371&lt;&gt;"",AVERAGE('Raw Data'!AT371,'Raw Data'!AV371,'Raw Data'!AX371,'Raw Data'!AZ371,'Raw Data'!BB371),"")</f>
        <v/>
      </c>
      <c r="S384" s="14" t="str">
        <f>IF('Raw Data'!A371&lt;&gt;"",AVERAGE('Raw Data'!AU371,'Raw Data'!AW371,'Raw Data'!AY371,'Raw Data'!BA371,'Raw Data'!BC371),"")</f>
        <v/>
      </c>
      <c r="T384" s="14" t="str">
        <f t="shared" si="62"/>
        <v/>
      </c>
      <c r="U384" s="14" t="str">
        <f>IF('Raw Data'!A371&lt;&gt;"",AVERAGE('Raw Data'!BD371,'Raw Data'!BF371,'Raw Data'!BH371,'Raw Data'!BJ371,'Raw Data'!BL371),"")</f>
        <v/>
      </c>
      <c r="V384" s="14" t="str">
        <f>IF('Raw Data'!A371&lt;&gt;"",AVERAGE('Raw Data'!BE371,'Raw Data'!BG371,'Raw Data'!BI371,'Raw Data'!BK371,'Raw Data'!BM371),"")</f>
        <v/>
      </c>
      <c r="W384" s="14" t="str">
        <f t="shared" si="63"/>
        <v/>
      </c>
      <c r="X384" s="14" t="str">
        <f t="shared" si="64"/>
        <v/>
      </c>
      <c r="Y384" s="14" t="str">
        <f t="shared" si="65"/>
        <v/>
      </c>
      <c r="Z384" s="14" t="str">
        <f t="shared" si="66"/>
        <v/>
      </c>
      <c r="AA384" s="14" t="str">
        <f t="shared" si="67"/>
        <v/>
      </c>
      <c r="AB384" s="25" t="str">
        <f t="shared" si="68"/>
        <v/>
      </c>
    </row>
    <row r="385" spans="1:28" x14ac:dyDescent="0.25">
      <c r="A385" s="2" t="str">
        <f>IF('Raw Data'!A372&lt;&gt;"",'Raw Data'!A372,"")</f>
        <v/>
      </c>
      <c r="B385" s="2" t="str">
        <f>IF('Raw Data'!B372&lt;&gt;"",'Raw Data'!B372,"")</f>
        <v/>
      </c>
      <c r="C385" s="2" t="str">
        <f>IF('Raw Data'!C372&lt;&gt;"",'Raw Data'!C372,"")</f>
        <v/>
      </c>
      <c r="D385" s="2" t="str">
        <f>IF('Raw Data'!D372&lt;&gt;"",'Raw Data'!D372,"")</f>
        <v/>
      </c>
      <c r="E385" s="2" t="str">
        <f>IF('Raw Data'!E372&lt;&gt;"",'Raw Data'!E372,"")</f>
        <v/>
      </c>
      <c r="F385" s="11" t="str">
        <f>IF('Raw Data'!A372&lt;&gt;"",AVERAGE('Raw Data'!F372,'Raw Data'!H372,'Raw Data'!J372,'Raw Data'!L372,'Raw Data'!N372),"")</f>
        <v/>
      </c>
      <c r="G385" s="11" t="str">
        <f>IF('Raw Data'!A372&lt;&gt;"",AVERAGE('Raw Data'!G372,'Raw Data'!I372,'Raw Data'!K372,'Raw Data'!M372,'Raw Data'!O372),"")</f>
        <v/>
      </c>
      <c r="H385" s="11" t="str">
        <f t="shared" si="58"/>
        <v/>
      </c>
      <c r="I385" s="11" t="str">
        <f>IF('Raw Data'!A372&lt;&gt;"",AVERAGE('Raw Data'!P372,'Raw Data'!R372,'Raw Data'!T372,'Raw Data'!V372,'Raw Data'!X372),"")</f>
        <v/>
      </c>
      <c r="J385" s="11" t="str">
        <f>IF('Raw Data'!A372&lt;&gt;"",AVERAGE('Raw Data'!Q372,'Raw Data'!S372,'Raw Data'!U372,'Raw Data'!W372,'Raw Data'!Y372),"")</f>
        <v/>
      </c>
      <c r="K385" s="11" t="str">
        <f t="shared" si="59"/>
        <v/>
      </c>
      <c r="L385" s="11" t="str">
        <f>IF('Raw Data'!A372&lt;&gt;"",AVERAGE('Raw Data'!Z372,'Raw Data'!AB372,'Raw Data'!AD372,'Raw Data'!AF372,'Raw Data'!AH372),"")</f>
        <v/>
      </c>
      <c r="M385" s="11" t="str">
        <f>IF('Raw Data'!A372&lt;&gt;"",AVERAGE('Raw Data'!AA372,'Raw Data'!AC372,'Raw Data'!AE372,'Raw Data'!AG372,'Raw Data'!AI372),"")</f>
        <v/>
      </c>
      <c r="N385" s="11" t="str">
        <f t="shared" si="60"/>
        <v/>
      </c>
      <c r="O385" s="11" t="str">
        <f>IF('Raw Data'!A372&lt;&gt;"",AVERAGE('Raw Data'!AJ372,'Raw Data'!AL372,'Raw Data'!AN372,'Raw Data'!AP372,'Raw Data'!AR372),"")</f>
        <v/>
      </c>
      <c r="P385" s="11" t="str">
        <f>IF('Raw Data'!A372&lt;&gt;"",AVERAGE('Raw Data'!AK372,'Raw Data'!AM372,'Raw Data'!AO372,'Raw Data'!AQ372,'Raw Data'!AS372),"")</f>
        <v/>
      </c>
      <c r="Q385" s="11" t="str">
        <f t="shared" si="61"/>
        <v/>
      </c>
      <c r="R385" s="11" t="str">
        <f>IF('Raw Data'!A372&lt;&gt;"",AVERAGE('Raw Data'!AT372,'Raw Data'!AV372,'Raw Data'!AX372,'Raw Data'!AZ372,'Raw Data'!BB372),"")</f>
        <v/>
      </c>
      <c r="S385" s="11" t="str">
        <f>IF('Raw Data'!A372&lt;&gt;"",AVERAGE('Raw Data'!AU372,'Raw Data'!AW372,'Raw Data'!AY372,'Raw Data'!BA372,'Raw Data'!BC372),"")</f>
        <v/>
      </c>
      <c r="T385" s="11" t="str">
        <f t="shared" si="62"/>
        <v/>
      </c>
      <c r="U385" s="11" t="str">
        <f>IF('Raw Data'!A372&lt;&gt;"",AVERAGE('Raw Data'!BD372,'Raw Data'!BF372,'Raw Data'!BH372,'Raw Data'!BJ372,'Raw Data'!BL372),"")</f>
        <v/>
      </c>
      <c r="V385" s="11" t="str">
        <f>IF('Raw Data'!A372&lt;&gt;"",AVERAGE('Raw Data'!BE372,'Raw Data'!BG372,'Raw Data'!BI372,'Raw Data'!BK372,'Raw Data'!BM372),"")</f>
        <v/>
      </c>
      <c r="W385" s="11" t="str">
        <f t="shared" si="63"/>
        <v/>
      </c>
      <c r="X385" s="11" t="str">
        <f t="shared" si="64"/>
        <v/>
      </c>
      <c r="Y385" s="11" t="str">
        <f t="shared" si="65"/>
        <v/>
      </c>
      <c r="Z385" s="11" t="str">
        <f t="shared" si="66"/>
        <v/>
      </c>
      <c r="AA385" s="11" t="str">
        <f t="shared" si="67"/>
        <v/>
      </c>
      <c r="AB385" s="24" t="str">
        <f t="shared" si="68"/>
        <v/>
      </c>
    </row>
    <row r="386" spans="1:28" x14ac:dyDescent="0.25">
      <c r="A386" s="10" t="str">
        <f>IF('Raw Data'!A373&lt;&gt;"",'Raw Data'!A373,"")</f>
        <v/>
      </c>
      <c r="B386" s="10" t="str">
        <f>IF('Raw Data'!B373&lt;&gt;"",'Raw Data'!B373,"")</f>
        <v/>
      </c>
      <c r="C386" s="10" t="str">
        <f>IF('Raw Data'!C373&lt;&gt;"",'Raw Data'!C373,"")</f>
        <v/>
      </c>
      <c r="D386" s="10" t="str">
        <f>IF('Raw Data'!D373&lt;&gt;"",'Raw Data'!D373,"")</f>
        <v/>
      </c>
      <c r="E386" s="10" t="str">
        <f>IF('Raw Data'!E373&lt;&gt;"",'Raw Data'!E373,"")</f>
        <v/>
      </c>
      <c r="F386" s="14" t="str">
        <f>IF('Raw Data'!A373&lt;&gt;"",AVERAGE('Raw Data'!F373,'Raw Data'!H373,'Raw Data'!J373,'Raw Data'!L373,'Raw Data'!N373),"")</f>
        <v/>
      </c>
      <c r="G386" s="14" t="str">
        <f>IF('Raw Data'!A373&lt;&gt;"",AVERAGE('Raw Data'!G373,'Raw Data'!I373,'Raw Data'!K373,'Raw Data'!M373,'Raw Data'!O373),"")</f>
        <v/>
      </c>
      <c r="H386" s="14" t="str">
        <f t="shared" si="58"/>
        <v/>
      </c>
      <c r="I386" s="14" t="str">
        <f>IF('Raw Data'!A373&lt;&gt;"",AVERAGE('Raw Data'!P373,'Raw Data'!R373,'Raw Data'!T373,'Raw Data'!V373,'Raw Data'!X373),"")</f>
        <v/>
      </c>
      <c r="J386" s="14" t="str">
        <f>IF('Raw Data'!A373&lt;&gt;"",AVERAGE('Raw Data'!Q373,'Raw Data'!S373,'Raw Data'!U373,'Raw Data'!W373,'Raw Data'!Y373),"")</f>
        <v/>
      </c>
      <c r="K386" s="14" t="str">
        <f t="shared" si="59"/>
        <v/>
      </c>
      <c r="L386" s="14" t="str">
        <f>IF('Raw Data'!A373&lt;&gt;"",AVERAGE('Raw Data'!Z373,'Raw Data'!AB373,'Raw Data'!AD373,'Raw Data'!AF373,'Raw Data'!AH373),"")</f>
        <v/>
      </c>
      <c r="M386" s="14" t="str">
        <f>IF('Raw Data'!A373&lt;&gt;"",AVERAGE('Raw Data'!AA373,'Raw Data'!AC373,'Raw Data'!AE373,'Raw Data'!AG373,'Raw Data'!AI373),"")</f>
        <v/>
      </c>
      <c r="N386" s="14" t="str">
        <f t="shared" si="60"/>
        <v/>
      </c>
      <c r="O386" s="14" t="str">
        <f>IF('Raw Data'!A373&lt;&gt;"",AVERAGE('Raw Data'!AJ373,'Raw Data'!AL373,'Raw Data'!AN373,'Raw Data'!AP373,'Raw Data'!AR373),"")</f>
        <v/>
      </c>
      <c r="P386" s="14" t="str">
        <f>IF('Raw Data'!A373&lt;&gt;"",AVERAGE('Raw Data'!AK373,'Raw Data'!AM373,'Raw Data'!AO373,'Raw Data'!AQ373,'Raw Data'!AS373),"")</f>
        <v/>
      </c>
      <c r="Q386" s="14" t="str">
        <f t="shared" si="61"/>
        <v/>
      </c>
      <c r="R386" s="14" t="str">
        <f>IF('Raw Data'!A373&lt;&gt;"",AVERAGE('Raw Data'!AT373,'Raw Data'!AV373,'Raw Data'!AX373,'Raw Data'!AZ373,'Raw Data'!BB373),"")</f>
        <v/>
      </c>
      <c r="S386" s="14" t="str">
        <f>IF('Raw Data'!A373&lt;&gt;"",AVERAGE('Raw Data'!AU373,'Raw Data'!AW373,'Raw Data'!AY373,'Raw Data'!BA373,'Raw Data'!BC373),"")</f>
        <v/>
      </c>
      <c r="T386" s="14" t="str">
        <f t="shared" si="62"/>
        <v/>
      </c>
      <c r="U386" s="14" t="str">
        <f>IF('Raw Data'!A373&lt;&gt;"",AVERAGE('Raw Data'!BD373,'Raw Data'!BF373,'Raw Data'!BH373,'Raw Data'!BJ373,'Raw Data'!BL373),"")</f>
        <v/>
      </c>
      <c r="V386" s="14" t="str">
        <f>IF('Raw Data'!A373&lt;&gt;"",AVERAGE('Raw Data'!BE373,'Raw Data'!BG373,'Raw Data'!BI373,'Raw Data'!BK373,'Raw Data'!BM373),"")</f>
        <v/>
      </c>
      <c r="W386" s="14" t="str">
        <f t="shared" si="63"/>
        <v/>
      </c>
      <c r="X386" s="14" t="str">
        <f t="shared" si="64"/>
        <v/>
      </c>
      <c r="Y386" s="14" t="str">
        <f t="shared" si="65"/>
        <v/>
      </c>
      <c r="Z386" s="14" t="str">
        <f t="shared" si="66"/>
        <v/>
      </c>
      <c r="AA386" s="14" t="str">
        <f t="shared" si="67"/>
        <v/>
      </c>
      <c r="AB386" s="25" t="str">
        <f t="shared" si="68"/>
        <v/>
      </c>
    </row>
    <row r="387" spans="1:28" x14ac:dyDescent="0.25">
      <c r="A387" s="2" t="str">
        <f>IF('Raw Data'!A374&lt;&gt;"",'Raw Data'!A374,"")</f>
        <v/>
      </c>
      <c r="B387" s="2" t="str">
        <f>IF('Raw Data'!B374&lt;&gt;"",'Raw Data'!B374,"")</f>
        <v/>
      </c>
      <c r="C387" s="2" t="str">
        <f>IF('Raw Data'!C374&lt;&gt;"",'Raw Data'!C374,"")</f>
        <v/>
      </c>
      <c r="D387" s="2" t="str">
        <f>IF('Raw Data'!D374&lt;&gt;"",'Raw Data'!D374,"")</f>
        <v/>
      </c>
      <c r="E387" s="2" t="str">
        <f>IF('Raw Data'!E374&lt;&gt;"",'Raw Data'!E374,"")</f>
        <v/>
      </c>
      <c r="F387" s="11" t="str">
        <f>IF('Raw Data'!A374&lt;&gt;"",AVERAGE('Raw Data'!F374,'Raw Data'!H374,'Raw Data'!J374,'Raw Data'!L374,'Raw Data'!N374),"")</f>
        <v/>
      </c>
      <c r="G387" s="11" t="str">
        <f>IF('Raw Data'!A374&lt;&gt;"",AVERAGE('Raw Data'!G374,'Raw Data'!I374,'Raw Data'!K374,'Raw Data'!M374,'Raw Data'!O374),"")</f>
        <v/>
      </c>
      <c r="H387" s="11" t="str">
        <f t="shared" si="58"/>
        <v/>
      </c>
      <c r="I387" s="11" t="str">
        <f>IF('Raw Data'!A374&lt;&gt;"",AVERAGE('Raw Data'!P374,'Raw Data'!R374,'Raw Data'!T374,'Raw Data'!V374,'Raw Data'!X374),"")</f>
        <v/>
      </c>
      <c r="J387" s="11" t="str">
        <f>IF('Raw Data'!A374&lt;&gt;"",AVERAGE('Raw Data'!Q374,'Raw Data'!S374,'Raw Data'!U374,'Raw Data'!W374,'Raw Data'!Y374),"")</f>
        <v/>
      </c>
      <c r="K387" s="11" t="str">
        <f t="shared" si="59"/>
        <v/>
      </c>
      <c r="L387" s="11" t="str">
        <f>IF('Raw Data'!A374&lt;&gt;"",AVERAGE('Raw Data'!Z374,'Raw Data'!AB374,'Raw Data'!AD374,'Raw Data'!AF374,'Raw Data'!AH374),"")</f>
        <v/>
      </c>
      <c r="M387" s="11" t="str">
        <f>IF('Raw Data'!A374&lt;&gt;"",AVERAGE('Raw Data'!AA374,'Raw Data'!AC374,'Raw Data'!AE374,'Raw Data'!AG374,'Raw Data'!AI374),"")</f>
        <v/>
      </c>
      <c r="N387" s="11" t="str">
        <f t="shared" si="60"/>
        <v/>
      </c>
      <c r="O387" s="11" t="str">
        <f>IF('Raw Data'!A374&lt;&gt;"",AVERAGE('Raw Data'!AJ374,'Raw Data'!AL374,'Raw Data'!AN374,'Raw Data'!AP374,'Raw Data'!AR374),"")</f>
        <v/>
      </c>
      <c r="P387" s="11" t="str">
        <f>IF('Raw Data'!A374&lt;&gt;"",AVERAGE('Raw Data'!AK374,'Raw Data'!AM374,'Raw Data'!AO374,'Raw Data'!AQ374,'Raw Data'!AS374),"")</f>
        <v/>
      </c>
      <c r="Q387" s="11" t="str">
        <f t="shared" si="61"/>
        <v/>
      </c>
      <c r="R387" s="11" t="str">
        <f>IF('Raw Data'!A374&lt;&gt;"",AVERAGE('Raw Data'!AT374,'Raw Data'!AV374,'Raw Data'!AX374,'Raw Data'!AZ374,'Raw Data'!BB374),"")</f>
        <v/>
      </c>
      <c r="S387" s="11" t="str">
        <f>IF('Raw Data'!A374&lt;&gt;"",AVERAGE('Raw Data'!AU374,'Raw Data'!AW374,'Raw Data'!AY374,'Raw Data'!BA374,'Raw Data'!BC374),"")</f>
        <v/>
      </c>
      <c r="T387" s="11" t="str">
        <f t="shared" si="62"/>
        <v/>
      </c>
      <c r="U387" s="11" t="str">
        <f>IF('Raw Data'!A374&lt;&gt;"",AVERAGE('Raw Data'!BD374,'Raw Data'!BF374,'Raw Data'!BH374,'Raw Data'!BJ374,'Raw Data'!BL374),"")</f>
        <v/>
      </c>
      <c r="V387" s="11" t="str">
        <f>IF('Raw Data'!A374&lt;&gt;"",AVERAGE('Raw Data'!BE374,'Raw Data'!BG374,'Raw Data'!BI374,'Raw Data'!BK374,'Raw Data'!BM374),"")</f>
        <v/>
      </c>
      <c r="W387" s="11" t="str">
        <f t="shared" si="63"/>
        <v/>
      </c>
      <c r="X387" s="11" t="str">
        <f t="shared" si="64"/>
        <v/>
      </c>
      <c r="Y387" s="11" t="str">
        <f t="shared" si="65"/>
        <v/>
      </c>
      <c r="Z387" s="11" t="str">
        <f t="shared" si="66"/>
        <v/>
      </c>
      <c r="AA387" s="11" t="str">
        <f t="shared" si="67"/>
        <v/>
      </c>
      <c r="AB387" s="24" t="str">
        <f t="shared" si="68"/>
        <v/>
      </c>
    </row>
    <row r="388" spans="1:28" x14ac:dyDescent="0.25">
      <c r="A388" s="10" t="str">
        <f>IF('Raw Data'!A375&lt;&gt;"",'Raw Data'!A375,"")</f>
        <v/>
      </c>
      <c r="B388" s="10" t="str">
        <f>IF('Raw Data'!B375&lt;&gt;"",'Raw Data'!B375,"")</f>
        <v/>
      </c>
      <c r="C388" s="10" t="str">
        <f>IF('Raw Data'!C375&lt;&gt;"",'Raw Data'!C375,"")</f>
        <v/>
      </c>
      <c r="D388" s="10" t="str">
        <f>IF('Raw Data'!D375&lt;&gt;"",'Raw Data'!D375,"")</f>
        <v/>
      </c>
      <c r="E388" s="10" t="str">
        <f>IF('Raw Data'!E375&lt;&gt;"",'Raw Data'!E375,"")</f>
        <v/>
      </c>
      <c r="F388" s="14" t="str">
        <f>IF('Raw Data'!A375&lt;&gt;"",AVERAGE('Raw Data'!F375,'Raw Data'!H375,'Raw Data'!J375,'Raw Data'!L375,'Raw Data'!N375),"")</f>
        <v/>
      </c>
      <c r="G388" s="14" t="str">
        <f>IF('Raw Data'!A375&lt;&gt;"",AVERAGE('Raw Data'!G375,'Raw Data'!I375,'Raw Data'!K375,'Raw Data'!M375,'Raw Data'!O375),"")</f>
        <v/>
      </c>
      <c r="H388" s="14" t="str">
        <f t="shared" si="58"/>
        <v/>
      </c>
      <c r="I388" s="14" t="str">
        <f>IF('Raw Data'!A375&lt;&gt;"",AVERAGE('Raw Data'!P375,'Raw Data'!R375,'Raw Data'!T375,'Raw Data'!V375,'Raw Data'!X375),"")</f>
        <v/>
      </c>
      <c r="J388" s="14" t="str">
        <f>IF('Raw Data'!A375&lt;&gt;"",AVERAGE('Raw Data'!Q375,'Raw Data'!S375,'Raw Data'!U375,'Raw Data'!W375,'Raw Data'!Y375),"")</f>
        <v/>
      </c>
      <c r="K388" s="14" t="str">
        <f t="shared" si="59"/>
        <v/>
      </c>
      <c r="L388" s="14" t="str">
        <f>IF('Raw Data'!A375&lt;&gt;"",AVERAGE('Raw Data'!Z375,'Raw Data'!AB375,'Raw Data'!AD375,'Raw Data'!AF375,'Raw Data'!AH375),"")</f>
        <v/>
      </c>
      <c r="M388" s="14" t="str">
        <f>IF('Raw Data'!A375&lt;&gt;"",AVERAGE('Raw Data'!AA375,'Raw Data'!AC375,'Raw Data'!AE375,'Raw Data'!AG375,'Raw Data'!AI375),"")</f>
        <v/>
      </c>
      <c r="N388" s="14" t="str">
        <f t="shared" si="60"/>
        <v/>
      </c>
      <c r="O388" s="14" t="str">
        <f>IF('Raw Data'!A375&lt;&gt;"",AVERAGE('Raw Data'!AJ375,'Raw Data'!AL375,'Raw Data'!AN375,'Raw Data'!AP375,'Raw Data'!AR375),"")</f>
        <v/>
      </c>
      <c r="P388" s="14" t="str">
        <f>IF('Raw Data'!A375&lt;&gt;"",AVERAGE('Raw Data'!AK375,'Raw Data'!AM375,'Raw Data'!AO375,'Raw Data'!AQ375,'Raw Data'!AS375),"")</f>
        <v/>
      </c>
      <c r="Q388" s="14" t="str">
        <f t="shared" si="61"/>
        <v/>
      </c>
      <c r="R388" s="14" t="str">
        <f>IF('Raw Data'!A375&lt;&gt;"",AVERAGE('Raw Data'!AT375,'Raw Data'!AV375,'Raw Data'!AX375,'Raw Data'!AZ375,'Raw Data'!BB375),"")</f>
        <v/>
      </c>
      <c r="S388" s="14" t="str">
        <f>IF('Raw Data'!A375&lt;&gt;"",AVERAGE('Raw Data'!AU375,'Raw Data'!AW375,'Raw Data'!AY375,'Raw Data'!BA375,'Raw Data'!BC375),"")</f>
        <v/>
      </c>
      <c r="T388" s="14" t="str">
        <f t="shared" si="62"/>
        <v/>
      </c>
      <c r="U388" s="14" t="str">
        <f>IF('Raw Data'!A375&lt;&gt;"",AVERAGE('Raw Data'!BD375,'Raw Data'!BF375,'Raw Data'!BH375,'Raw Data'!BJ375,'Raw Data'!BL375),"")</f>
        <v/>
      </c>
      <c r="V388" s="14" t="str">
        <f>IF('Raw Data'!A375&lt;&gt;"",AVERAGE('Raw Data'!BE375,'Raw Data'!BG375,'Raw Data'!BI375,'Raw Data'!BK375,'Raw Data'!BM375),"")</f>
        <v/>
      </c>
      <c r="W388" s="14" t="str">
        <f t="shared" si="63"/>
        <v/>
      </c>
      <c r="X388" s="14" t="str">
        <f t="shared" si="64"/>
        <v/>
      </c>
      <c r="Y388" s="14" t="str">
        <f t="shared" si="65"/>
        <v/>
      </c>
      <c r="Z388" s="14" t="str">
        <f t="shared" si="66"/>
        <v/>
      </c>
      <c r="AA388" s="14" t="str">
        <f t="shared" si="67"/>
        <v/>
      </c>
      <c r="AB388" s="25" t="str">
        <f t="shared" si="68"/>
        <v/>
      </c>
    </row>
    <row r="389" spans="1:28" x14ac:dyDescent="0.25">
      <c r="A389" s="2" t="str">
        <f>IF('Raw Data'!A376&lt;&gt;"",'Raw Data'!A376,"")</f>
        <v/>
      </c>
      <c r="B389" s="2" t="str">
        <f>IF('Raw Data'!B376&lt;&gt;"",'Raw Data'!B376,"")</f>
        <v/>
      </c>
      <c r="C389" s="2" t="str">
        <f>IF('Raw Data'!C376&lt;&gt;"",'Raw Data'!C376,"")</f>
        <v/>
      </c>
      <c r="D389" s="2" t="str">
        <f>IF('Raw Data'!D376&lt;&gt;"",'Raw Data'!D376,"")</f>
        <v/>
      </c>
      <c r="E389" s="2" t="str">
        <f>IF('Raw Data'!E376&lt;&gt;"",'Raw Data'!E376,"")</f>
        <v/>
      </c>
      <c r="F389" s="11" t="str">
        <f>IF('Raw Data'!A376&lt;&gt;"",AVERAGE('Raw Data'!F376,'Raw Data'!H376,'Raw Data'!J376,'Raw Data'!L376,'Raw Data'!N376),"")</f>
        <v/>
      </c>
      <c r="G389" s="11" t="str">
        <f>IF('Raw Data'!A376&lt;&gt;"",AVERAGE('Raw Data'!G376,'Raw Data'!I376,'Raw Data'!K376,'Raw Data'!M376,'Raw Data'!O376),"")</f>
        <v/>
      </c>
      <c r="H389" s="11" t="str">
        <f t="shared" si="58"/>
        <v/>
      </c>
      <c r="I389" s="11" t="str">
        <f>IF('Raw Data'!A376&lt;&gt;"",AVERAGE('Raw Data'!P376,'Raw Data'!R376,'Raw Data'!T376,'Raw Data'!V376,'Raw Data'!X376),"")</f>
        <v/>
      </c>
      <c r="J389" s="11" t="str">
        <f>IF('Raw Data'!A376&lt;&gt;"",AVERAGE('Raw Data'!Q376,'Raw Data'!S376,'Raw Data'!U376,'Raw Data'!W376,'Raw Data'!Y376),"")</f>
        <v/>
      </c>
      <c r="K389" s="11" t="str">
        <f t="shared" si="59"/>
        <v/>
      </c>
      <c r="L389" s="11" t="str">
        <f>IF('Raw Data'!A376&lt;&gt;"",AVERAGE('Raw Data'!Z376,'Raw Data'!AB376,'Raw Data'!AD376,'Raw Data'!AF376,'Raw Data'!AH376),"")</f>
        <v/>
      </c>
      <c r="M389" s="11" t="str">
        <f>IF('Raw Data'!A376&lt;&gt;"",AVERAGE('Raw Data'!AA376,'Raw Data'!AC376,'Raw Data'!AE376,'Raw Data'!AG376,'Raw Data'!AI376),"")</f>
        <v/>
      </c>
      <c r="N389" s="11" t="str">
        <f t="shared" si="60"/>
        <v/>
      </c>
      <c r="O389" s="11" t="str">
        <f>IF('Raw Data'!A376&lt;&gt;"",AVERAGE('Raw Data'!AJ376,'Raw Data'!AL376,'Raw Data'!AN376,'Raw Data'!AP376,'Raw Data'!AR376),"")</f>
        <v/>
      </c>
      <c r="P389" s="11" t="str">
        <f>IF('Raw Data'!A376&lt;&gt;"",AVERAGE('Raw Data'!AK376,'Raw Data'!AM376,'Raw Data'!AO376,'Raw Data'!AQ376,'Raw Data'!AS376),"")</f>
        <v/>
      </c>
      <c r="Q389" s="11" t="str">
        <f t="shared" si="61"/>
        <v/>
      </c>
      <c r="R389" s="11" t="str">
        <f>IF('Raw Data'!A376&lt;&gt;"",AVERAGE('Raw Data'!AT376,'Raw Data'!AV376,'Raw Data'!AX376,'Raw Data'!AZ376,'Raw Data'!BB376),"")</f>
        <v/>
      </c>
      <c r="S389" s="11" t="str">
        <f>IF('Raw Data'!A376&lt;&gt;"",AVERAGE('Raw Data'!AU376,'Raw Data'!AW376,'Raw Data'!AY376,'Raw Data'!BA376,'Raw Data'!BC376),"")</f>
        <v/>
      </c>
      <c r="T389" s="11" t="str">
        <f t="shared" si="62"/>
        <v/>
      </c>
      <c r="U389" s="11" t="str">
        <f>IF('Raw Data'!A376&lt;&gt;"",AVERAGE('Raw Data'!BD376,'Raw Data'!BF376,'Raw Data'!BH376,'Raw Data'!BJ376,'Raw Data'!BL376),"")</f>
        <v/>
      </c>
      <c r="V389" s="11" t="str">
        <f>IF('Raw Data'!A376&lt;&gt;"",AVERAGE('Raw Data'!BE376,'Raw Data'!BG376,'Raw Data'!BI376,'Raw Data'!BK376,'Raw Data'!BM376),"")</f>
        <v/>
      </c>
      <c r="W389" s="11" t="str">
        <f t="shared" si="63"/>
        <v/>
      </c>
      <c r="X389" s="11" t="str">
        <f t="shared" si="64"/>
        <v/>
      </c>
      <c r="Y389" s="11" t="str">
        <f t="shared" si="65"/>
        <v/>
      </c>
      <c r="Z389" s="11" t="str">
        <f t="shared" si="66"/>
        <v/>
      </c>
      <c r="AA389" s="11" t="str">
        <f t="shared" si="67"/>
        <v/>
      </c>
      <c r="AB389" s="24" t="str">
        <f t="shared" si="68"/>
        <v/>
      </c>
    </row>
    <row r="390" spans="1:28" x14ac:dyDescent="0.25">
      <c r="A390" s="10" t="str">
        <f>IF('Raw Data'!A377&lt;&gt;"",'Raw Data'!A377,"")</f>
        <v/>
      </c>
      <c r="B390" s="10" t="str">
        <f>IF('Raw Data'!B377&lt;&gt;"",'Raw Data'!B377,"")</f>
        <v/>
      </c>
      <c r="C390" s="10" t="str">
        <f>IF('Raw Data'!C377&lt;&gt;"",'Raw Data'!C377,"")</f>
        <v/>
      </c>
      <c r="D390" s="10" t="str">
        <f>IF('Raw Data'!D377&lt;&gt;"",'Raw Data'!D377,"")</f>
        <v/>
      </c>
      <c r="E390" s="10" t="str">
        <f>IF('Raw Data'!E377&lt;&gt;"",'Raw Data'!E377,"")</f>
        <v/>
      </c>
      <c r="F390" s="14" t="str">
        <f>IF('Raw Data'!A377&lt;&gt;"",AVERAGE('Raw Data'!F377,'Raw Data'!H377,'Raw Data'!J377,'Raw Data'!L377,'Raw Data'!N377),"")</f>
        <v/>
      </c>
      <c r="G390" s="14" t="str">
        <f>IF('Raw Data'!A377&lt;&gt;"",AVERAGE('Raw Data'!G377,'Raw Data'!I377,'Raw Data'!K377,'Raw Data'!M377,'Raw Data'!O377),"")</f>
        <v/>
      </c>
      <c r="H390" s="14" t="str">
        <f t="shared" si="58"/>
        <v/>
      </c>
      <c r="I390" s="14" t="str">
        <f>IF('Raw Data'!A377&lt;&gt;"",AVERAGE('Raw Data'!P377,'Raw Data'!R377,'Raw Data'!T377,'Raw Data'!V377,'Raw Data'!X377),"")</f>
        <v/>
      </c>
      <c r="J390" s="14" t="str">
        <f>IF('Raw Data'!A377&lt;&gt;"",AVERAGE('Raw Data'!Q377,'Raw Data'!S377,'Raw Data'!U377,'Raw Data'!W377,'Raw Data'!Y377),"")</f>
        <v/>
      </c>
      <c r="K390" s="14" t="str">
        <f t="shared" si="59"/>
        <v/>
      </c>
      <c r="L390" s="14" t="str">
        <f>IF('Raw Data'!A377&lt;&gt;"",AVERAGE('Raw Data'!Z377,'Raw Data'!AB377,'Raw Data'!AD377,'Raw Data'!AF377,'Raw Data'!AH377),"")</f>
        <v/>
      </c>
      <c r="M390" s="14" t="str">
        <f>IF('Raw Data'!A377&lt;&gt;"",AVERAGE('Raw Data'!AA377,'Raw Data'!AC377,'Raw Data'!AE377,'Raw Data'!AG377,'Raw Data'!AI377),"")</f>
        <v/>
      </c>
      <c r="N390" s="14" t="str">
        <f t="shared" si="60"/>
        <v/>
      </c>
      <c r="O390" s="14" t="str">
        <f>IF('Raw Data'!A377&lt;&gt;"",AVERAGE('Raw Data'!AJ377,'Raw Data'!AL377,'Raw Data'!AN377,'Raw Data'!AP377,'Raw Data'!AR377),"")</f>
        <v/>
      </c>
      <c r="P390" s="14" t="str">
        <f>IF('Raw Data'!A377&lt;&gt;"",AVERAGE('Raw Data'!AK377,'Raw Data'!AM377,'Raw Data'!AO377,'Raw Data'!AQ377,'Raw Data'!AS377),"")</f>
        <v/>
      </c>
      <c r="Q390" s="14" t="str">
        <f t="shared" si="61"/>
        <v/>
      </c>
      <c r="R390" s="14" t="str">
        <f>IF('Raw Data'!A377&lt;&gt;"",AVERAGE('Raw Data'!AT377,'Raw Data'!AV377,'Raw Data'!AX377,'Raw Data'!AZ377,'Raw Data'!BB377),"")</f>
        <v/>
      </c>
      <c r="S390" s="14" t="str">
        <f>IF('Raw Data'!A377&lt;&gt;"",AVERAGE('Raw Data'!AU377,'Raw Data'!AW377,'Raw Data'!AY377,'Raw Data'!BA377,'Raw Data'!BC377),"")</f>
        <v/>
      </c>
      <c r="T390" s="14" t="str">
        <f t="shared" si="62"/>
        <v/>
      </c>
      <c r="U390" s="14" t="str">
        <f>IF('Raw Data'!A377&lt;&gt;"",AVERAGE('Raw Data'!BD377,'Raw Data'!BF377,'Raw Data'!BH377,'Raw Data'!BJ377,'Raw Data'!BL377),"")</f>
        <v/>
      </c>
      <c r="V390" s="14" t="str">
        <f>IF('Raw Data'!A377&lt;&gt;"",AVERAGE('Raw Data'!BE377,'Raw Data'!BG377,'Raw Data'!BI377,'Raw Data'!BK377,'Raw Data'!BM377),"")</f>
        <v/>
      </c>
      <c r="W390" s="14" t="str">
        <f t="shared" si="63"/>
        <v/>
      </c>
      <c r="X390" s="14" t="str">
        <f t="shared" si="64"/>
        <v/>
      </c>
      <c r="Y390" s="14" t="str">
        <f t="shared" si="65"/>
        <v/>
      </c>
      <c r="Z390" s="14" t="str">
        <f t="shared" si="66"/>
        <v/>
      </c>
      <c r="AA390" s="14" t="str">
        <f t="shared" si="67"/>
        <v/>
      </c>
      <c r="AB390" s="25" t="str">
        <f t="shared" si="68"/>
        <v/>
      </c>
    </row>
    <row r="391" spans="1:28" x14ac:dyDescent="0.25">
      <c r="A391" s="2" t="str">
        <f>IF('Raw Data'!A378&lt;&gt;"",'Raw Data'!A378,"")</f>
        <v/>
      </c>
      <c r="B391" s="2" t="str">
        <f>IF('Raw Data'!B378&lt;&gt;"",'Raw Data'!B378,"")</f>
        <v/>
      </c>
      <c r="C391" s="2" t="str">
        <f>IF('Raw Data'!C378&lt;&gt;"",'Raw Data'!C378,"")</f>
        <v/>
      </c>
      <c r="D391" s="2" t="str">
        <f>IF('Raw Data'!D378&lt;&gt;"",'Raw Data'!D378,"")</f>
        <v/>
      </c>
      <c r="E391" s="2" t="str">
        <f>IF('Raw Data'!E378&lt;&gt;"",'Raw Data'!E378,"")</f>
        <v/>
      </c>
      <c r="F391" s="11" t="str">
        <f>IF('Raw Data'!A378&lt;&gt;"",AVERAGE('Raw Data'!F378,'Raw Data'!H378,'Raw Data'!J378,'Raw Data'!L378,'Raw Data'!N378),"")</f>
        <v/>
      </c>
      <c r="G391" s="11" t="str">
        <f>IF('Raw Data'!A378&lt;&gt;"",AVERAGE('Raw Data'!G378,'Raw Data'!I378,'Raw Data'!K378,'Raw Data'!M378,'Raw Data'!O378),"")</f>
        <v/>
      </c>
      <c r="H391" s="11" t="str">
        <f t="shared" si="58"/>
        <v/>
      </c>
      <c r="I391" s="11" t="str">
        <f>IF('Raw Data'!A378&lt;&gt;"",AVERAGE('Raw Data'!P378,'Raw Data'!R378,'Raw Data'!T378,'Raw Data'!V378,'Raw Data'!X378),"")</f>
        <v/>
      </c>
      <c r="J391" s="11" t="str">
        <f>IF('Raw Data'!A378&lt;&gt;"",AVERAGE('Raw Data'!Q378,'Raw Data'!S378,'Raw Data'!U378,'Raw Data'!W378,'Raw Data'!Y378),"")</f>
        <v/>
      </c>
      <c r="K391" s="11" t="str">
        <f t="shared" si="59"/>
        <v/>
      </c>
      <c r="L391" s="11" t="str">
        <f>IF('Raw Data'!A378&lt;&gt;"",AVERAGE('Raw Data'!Z378,'Raw Data'!AB378,'Raw Data'!AD378,'Raw Data'!AF378,'Raw Data'!AH378),"")</f>
        <v/>
      </c>
      <c r="M391" s="11" t="str">
        <f>IF('Raw Data'!A378&lt;&gt;"",AVERAGE('Raw Data'!AA378,'Raw Data'!AC378,'Raw Data'!AE378,'Raw Data'!AG378,'Raw Data'!AI378),"")</f>
        <v/>
      </c>
      <c r="N391" s="11" t="str">
        <f t="shared" si="60"/>
        <v/>
      </c>
      <c r="O391" s="11" t="str">
        <f>IF('Raw Data'!A378&lt;&gt;"",AVERAGE('Raw Data'!AJ378,'Raw Data'!AL378,'Raw Data'!AN378,'Raw Data'!AP378,'Raw Data'!AR378),"")</f>
        <v/>
      </c>
      <c r="P391" s="11" t="str">
        <f>IF('Raw Data'!A378&lt;&gt;"",AVERAGE('Raw Data'!AK378,'Raw Data'!AM378,'Raw Data'!AO378,'Raw Data'!AQ378,'Raw Data'!AS378),"")</f>
        <v/>
      </c>
      <c r="Q391" s="11" t="str">
        <f t="shared" si="61"/>
        <v/>
      </c>
      <c r="R391" s="11" t="str">
        <f>IF('Raw Data'!A378&lt;&gt;"",AVERAGE('Raw Data'!AT378,'Raw Data'!AV378,'Raw Data'!AX378,'Raw Data'!AZ378,'Raw Data'!BB378),"")</f>
        <v/>
      </c>
      <c r="S391" s="11" t="str">
        <f>IF('Raw Data'!A378&lt;&gt;"",AVERAGE('Raw Data'!AU378,'Raw Data'!AW378,'Raw Data'!AY378,'Raw Data'!BA378,'Raw Data'!BC378),"")</f>
        <v/>
      </c>
      <c r="T391" s="11" t="str">
        <f t="shared" si="62"/>
        <v/>
      </c>
      <c r="U391" s="11" t="str">
        <f>IF('Raw Data'!A378&lt;&gt;"",AVERAGE('Raw Data'!BD378,'Raw Data'!BF378,'Raw Data'!BH378,'Raw Data'!BJ378,'Raw Data'!BL378),"")</f>
        <v/>
      </c>
      <c r="V391" s="11" t="str">
        <f>IF('Raw Data'!A378&lt;&gt;"",AVERAGE('Raw Data'!BE378,'Raw Data'!BG378,'Raw Data'!BI378,'Raw Data'!BK378,'Raw Data'!BM378),"")</f>
        <v/>
      </c>
      <c r="W391" s="11" t="str">
        <f t="shared" si="63"/>
        <v/>
      </c>
      <c r="X391" s="11" t="str">
        <f t="shared" si="64"/>
        <v/>
      </c>
      <c r="Y391" s="11" t="str">
        <f t="shared" si="65"/>
        <v/>
      </c>
      <c r="Z391" s="11" t="str">
        <f t="shared" si="66"/>
        <v/>
      </c>
      <c r="AA391" s="11" t="str">
        <f t="shared" si="67"/>
        <v/>
      </c>
      <c r="AB391" s="24" t="str">
        <f t="shared" si="68"/>
        <v/>
      </c>
    </row>
    <row r="392" spans="1:28" x14ac:dyDescent="0.25">
      <c r="A392" s="10" t="str">
        <f>IF('Raw Data'!A379&lt;&gt;"",'Raw Data'!A379,"")</f>
        <v/>
      </c>
      <c r="B392" s="10" t="str">
        <f>IF('Raw Data'!B379&lt;&gt;"",'Raw Data'!B379,"")</f>
        <v/>
      </c>
      <c r="C392" s="10" t="str">
        <f>IF('Raw Data'!C379&lt;&gt;"",'Raw Data'!C379,"")</f>
        <v/>
      </c>
      <c r="D392" s="10" t="str">
        <f>IF('Raw Data'!D379&lt;&gt;"",'Raw Data'!D379,"")</f>
        <v/>
      </c>
      <c r="E392" s="10" t="str">
        <f>IF('Raw Data'!E379&lt;&gt;"",'Raw Data'!E379,"")</f>
        <v/>
      </c>
      <c r="F392" s="14" t="str">
        <f>IF('Raw Data'!A379&lt;&gt;"",AVERAGE('Raw Data'!F379,'Raw Data'!H379,'Raw Data'!J379,'Raw Data'!L379,'Raw Data'!N379),"")</f>
        <v/>
      </c>
      <c r="G392" s="14" t="str">
        <f>IF('Raw Data'!A379&lt;&gt;"",AVERAGE('Raw Data'!G379,'Raw Data'!I379,'Raw Data'!K379,'Raw Data'!M379,'Raw Data'!O379),"")</f>
        <v/>
      </c>
      <c r="H392" s="14" t="str">
        <f t="shared" si="58"/>
        <v/>
      </c>
      <c r="I392" s="14" t="str">
        <f>IF('Raw Data'!A379&lt;&gt;"",AVERAGE('Raw Data'!P379,'Raw Data'!R379,'Raw Data'!T379,'Raw Data'!V379,'Raw Data'!X379),"")</f>
        <v/>
      </c>
      <c r="J392" s="14" t="str">
        <f>IF('Raw Data'!A379&lt;&gt;"",AVERAGE('Raw Data'!Q379,'Raw Data'!S379,'Raw Data'!U379,'Raw Data'!W379,'Raw Data'!Y379),"")</f>
        <v/>
      </c>
      <c r="K392" s="14" t="str">
        <f t="shared" si="59"/>
        <v/>
      </c>
      <c r="L392" s="14" t="str">
        <f>IF('Raw Data'!A379&lt;&gt;"",AVERAGE('Raw Data'!Z379,'Raw Data'!AB379,'Raw Data'!AD379,'Raw Data'!AF379,'Raw Data'!AH379),"")</f>
        <v/>
      </c>
      <c r="M392" s="14" t="str">
        <f>IF('Raw Data'!A379&lt;&gt;"",AVERAGE('Raw Data'!AA379,'Raw Data'!AC379,'Raw Data'!AE379,'Raw Data'!AG379,'Raw Data'!AI379),"")</f>
        <v/>
      </c>
      <c r="N392" s="14" t="str">
        <f t="shared" si="60"/>
        <v/>
      </c>
      <c r="O392" s="14" t="str">
        <f>IF('Raw Data'!A379&lt;&gt;"",AVERAGE('Raw Data'!AJ379,'Raw Data'!AL379,'Raw Data'!AN379,'Raw Data'!AP379,'Raw Data'!AR379),"")</f>
        <v/>
      </c>
      <c r="P392" s="14" t="str">
        <f>IF('Raw Data'!A379&lt;&gt;"",AVERAGE('Raw Data'!AK379,'Raw Data'!AM379,'Raw Data'!AO379,'Raw Data'!AQ379,'Raw Data'!AS379),"")</f>
        <v/>
      </c>
      <c r="Q392" s="14" t="str">
        <f t="shared" si="61"/>
        <v/>
      </c>
      <c r="R392" s="14" t="str">
        <f>IF('Raw Data'!A379&lt;&gt;"",AVERAGE('Raw Data'!AT379,'Raw Data'!AV379,'Raw Data'!AX379,'Raw Data'!AZ379,'Raw Data'!BB379),"")</f>
        <v/>
      </c>
      <c r="S392" s="14" t="str">
        <f>IF('Raw Data'!A379&lt;&gt;"",AVERAGE('Raw Data'!AU379,'Raw Data'!AW379,'Raw Data'!AY379,'Raw Data'!BA379,'Raw Data'!BC379),"")</f>
        <v/>
      </c>
      <c r="T392" s="14" t="str">
        <f t="shared" si="62"/>
        <v/>
      </c>
      <c r="U392" s="14" t="str">
        <f>IF('Raw Data'!A379&lt;&gt;"",AVERAGE('Raw Data'!BD379,'Raw Data'!BF379,'Raw Data'!BH379,'Raw Data'!BJ379,'Raw Data'!BL379),"")</f>
        <v/>
      </c>
      <c r="V392" s="14" t="str">
        <f>IF('Raw Data'!A379&lt;&gt;"",AVERAGE('Raw Data'!BE379,'Raw Data'!BG379,'Raw Data'!BI379,'Raw Data'!BK379,'Raw Data'!BM379),"")</f>
        <v/>
      </c>
      <c r="W392" s="14" t="str">
        <f t="shared" si="63"/>
        <v/>
      </c>
      <c r="X392" s="14" t="str">
        <f t="shared" si="64"/>
        <v/>
      </c>
      <c r="Y392" s="14" t="str">
        <f t="shared" si="65"/>
        <v/>
      </c>
      <c r="Z392" s="14" t="str">
        <f t="shared" si="66"/>
        <v/>
      </c>
      <c r="AA392" s="14" t="str">
        <f t="shared" si="67"/>
        <v/>
      </c>
      <c r="AB392" s="25" t="str">
        <f t="shared" si="68"/>
        <v/>
      </c>
    </row>
    <row r="393" spans="1:28" x14ac:dyDescent="0.25">
      <c r="A393" s="2" t="str">
        <f>IF('Raw Data'!A380&lt;&gt;"",'Raw Data'!A380,"")</f>
        <v/>
      </c>
      <c r="B393" s="2" t="str">
        <f>IF('Raw Data'!B380&lt;&gt;"",'Raw Data'!B380,"")</f>
        <v/>
      </c>
      <c r="C393" s="2" t="str">
        <f>IF('Raw Data'!C380&lt;&gt;"",'Raw Data'!C380,"")</f>
        <v/>
      </c>
      <c r="D393" s="2" t="str">
        <f>IF('Raw Data'!D380&lt;&gt;"",'Raw Data'!D380,"")</f>
        <v/>
      </c>
      <c r="E393" s="2" t="str">
        <f>IF('Raw Data'!E380&lt;&gt;"",'Raw Data'!E380,"")</f>
        <v/>
      </c>
      <c r="F393" s="11" t="str">
        <f>IF('Raw Data'!A380&lt;&gt;"",AVERAGE('Raw Data'!F380,'Raw Data'!H380,'Raw Data'!J380,'Raw Data'!L380,'Raw Data'!N380),"")</f>
        <v/>
      </c>
      <c r="G393" s="11" t="str">
        <f>IF('Raw Data'!A380&lt;&gt;"",AVERAGE('Raw Data'!G380,'Raw Data'!I380,'Raw Data'!K380,'Raw Data'!M380,'Raw Data'!O380),"")</f>
        <v/>
      </c>
      <c r="H393" s="11" t="str">
        <f t="shared" si="58"/>
        <v/>
      </c>
      <c r="I393" s="11" t="str">
        <f>IF('Raw Data'!A380&lt;&gt;"",AVERAGE('Raw Data'!P380,'Raw Data'!R380,'Raw Data'!T380,'Raw Data'!V380,'Raw Data'!X380),"")</f>
        <v/>
      </c>
      <c r="J393" s="11" t="str">
        <f>IF('Raw Data'!A380&lt;&gt;"",AVERAGE('Raw Data'!Q380,'Raw Data'!S380,'Raw Data'!U380,'Raw Data'!W380,'Raw Data'!Y380),"")</f>
        <v/>
      </c>
      <c r="K393" s="11" t="str">
        <f t="shared" si="59"/>
        <v/>
      </c>
      <c r="L393" s="11" t="str">
        <f>IF('Raw Data'!A380&lt;&gt;"",AVERAGE('Raw Data'!Z380,'Raw Data'!AB380,'Raw Data'!AD380,'Raw Data'!AF380,'Raw Data'!AH380),"")</f>
        <v/>
      </c>
      <c r="M393" s="11" t="str">
        <f>IF('Raw Data'!A380&lt;&gt;"",AVERAGE('Raw Data'!AA380,'Raw Data'!AC380,'Raw Data'!AE380,'Raw Data'!AG380,'Raw Data'!AI380),"")</f>
        <v/>
      </c>
      <c r="N393" s="11" t="str">
        <f t="shared" si="60"/>
        <v/>
      </c>
      <c r="O393" s="11" t="str">
        <f>IF('Raw Data'!A380&lt;&gt;"",AVERAGE('Raw Data'!AJ380,'Raw Data'!AL380,'Raw Data'!AN380,'Raw Data'!AP380,'Raw Data'!AR380),"")</f>
        <v/>
      </c>
      <c r="P393" s="11" t="str">
        <f>IF('Raw Data'!A380&lt;&gt;"",AVERAGE('Raw Data'!AK380,'Raw Data'!AM380,'Raw Data'!AO380,'Raw Data'!AQ380,'Raw Data'!AS380),"")</f>
        <v/>
      </c>
      <c r="Q393" s="11" t="str">
        <f t="shared" si="61"/>
        <v/>
      </c>
      <c r="R393" s="11" t="str">
        <f>IF('Raw Data'!A380&lt;&gt;"",AVERAGE('Raw Data'!AT380,'Raw Data'!AV380,'Raw Data'!AX380,'Raw Data'!AZ380,'Raw Data'!BB380),"")</f>
        <v/>
      </c>
      <c r="S393" s="11" t="str">
        <f>IF('Raw Data'!A380&lt;&gt;"",AVERAGE('Raw Data'!AU380,'Raw Data'!AW380,'Raw Data'!AY380,'Raw Data'!BA380,'Raw Data'!BC380),"")</f>
        <v/>
      </c>
      <c r="T393" s="11" t="str">
        <f t="shared" si="62"/>
        <v/>
      </c>
      <c r="U393" s="11" t="str">
        <f>IF('Raw Data'!A380&lt;&gt;"",AVERAGE('Raw Data'!BD380,'Raw Data'!BF380,'Raw Data'!BH380,'Raw Data'!BJ380,'Raw Data'!BL380),"")</f>
        <v/>
      </c>
      <c r="V393" s="11" t="str">
        <f>IF('Raw Data'!A380&lt;&gt;"",AVERAGE('Raw Data'!BE380,'Raw Data'!BG380,'Raw Data'!BI380,'Raw Data'!BK380,'Raw Data'!BM380),"")</f>
        <v/>
      </c>
      <c r="W393" s="11" t="str">
        <f t="shared" si="63"/>
        <v/>
      </c>
      <c r="X393" s="11" t="str">
        <f t="shared" si="64"/>
        <v/>
      </c>
      <c r="Y393" s="11" t="str">
        <f t="shared" si="65"/>
        <v/>
      </c>
      <c r="Z393" s="11" t="str">
        <f t="shared" si="66"/>
        <v/>
      </c>
      <c r="AA393" s="11" t="str">
        <f t="shared" si="67"/>
        <v/>
      </c>
      <c r="AB393" s="24" t="str">
        <f t="shared" si="68"/>
        <v/>
      </c>
    </row>
    <row r="394" spans="1:28" x14ac:dyDescent="0.25">
      <c r="A394" s="10" t="str">
        <f>IF('Raw Data'!A381&lt;&gt;"",'Raw Data'!A381,"")</f>
        <v/>
      </c>
      <c r="B394" s="10" t="str">
        <f>IF('Raw Data'!B381&lt;&gt;"",'Raw Data'!B381,"")</f>
        <v/>
      </c>
      <c r="C394" s="10" t="str">
        <f>IF('Raw Data'!C381&lt;&gt;"",'Raw Data'!C381,"")</f>
        <v/>
      </c>
      <c r="D394" s="10" t="str">
        <f>IF('Raw Data'!D381&lt;&gt;"",'Raw Data'!D381,"")</f>
        <v/>
      </c>
      <c r="E394" s="10" t="str">
        <f>IF('Raw Data'!E381&lt;&gt;"",'Raw Data'!E381,"")</f>
        <v/>
      </c>
      <c r="F394" s="14" t="str">
        <f>IF('Raw Data'!A381&lt;&gt;"",AVERAGE('Raw Data'!F381,'Raw Data'!H381,'Raw Data'!J381,'Raw Data'!L381,'Raw Data'!N381),"")</f>
        <v/>
      </c>
      <c r="G394" s="14" t="str">
        <f>IF('Raw Data'!A381&lt;&gt;"",AVERAGE('Raw Data'!G381,'Raw Data'!I381,'Raw Data'!K381,'Raw Data'!M381,'Raw Data'!O381),"")</f>
        <v/>
      </c>
      <c r="H394" s="14" t="str">
        <f t="shared" si="58"/>
        <v/>
      </c>
      <c r="I394" s="14" t="str">
        <f>IF('Raw Data'!A381&lt;&gt;"",AVERAGE('Raw Data'!P381,'Raw Data'!R381,'Raw Data'!T381,'Raw Data'!V381,'Raw Data'!X381),"")</f>
        <v/>
      </c>
      <c r="J394" s="14" t="str">
        <f>IF('Raw Data'!A381&lt;&gt;"",AVERAGE('Raw Data'!Q381,'Raw Data'!S381,'Raw Data'!U381,'Raw Data'!W381,'Raw Data'!Y381),"")</f>
        <v/>
      </c>
      <c r="K394" s="14" t="str">
        <f t="shared" si="59"/>
        <v/>
      </c>
      <c r="L394" s="14" t="str">
        <f>IF('Raw Data'!A381&lt;&gt;"",AVERAGE('Raw Data'!Z381,'Raw Data'!AB381,'Raw Data'!AD381,'Raw Data'!AF381,'Raw Data'!AH381),"")</f>
        <v/>
      </c>
      <c r="M394" s="14" t="str">
        <f>IF('Raw Data'!A381&lt;&gt;"",AVERAGE('Raw Data'!AA381,'Raw Data'!AC381,'Raw Data'!AE381,'Raw Data'!AG381,'Raw Data'!AI381),"")</f>
        <v/>
      </c>
      <c r="N394" s="14" t="str">
        <f t="shared" si="60"/>
        <v/>
      </c>
      <c r="O394" s="14" t="str">
        <f>IF('Raw Data'!A381&lt;&gt;"",AVERAGE('Raw Data'!AJ381,'Raw Data'!AL381,'Raw Data'!AN381,'Raw Data'!AP381,'Raw Data'!AR381),"")</f>
        <v/>
      </c>
      <c r="P394" s="14" t="str">
        <f>IF('Raw Data'!A381&lt;&gt;"",AVERAGE('Raw Data'!AK381,'Raw Data'!AM381,'Raw Data'!AO381,'Raw Data'!AQ381,'Raw Data'!AS381),"")</f>
        <v/>
      </c>
      <c r="Q394" s="14" t="str">
        <f t="shared" si="61"/>
        <v/>
      </c>
      <c r="R394" s="14" t="str">
        <f>IF('Raw Data'!A381&lt;&gt;"",AVERAGE('Raw Data'!AT381,'Raw Data'!AV381,'Raw Data'!AX381,'Raw Data'!AZ381,'Raw Data'!BB381),"")</f>
        <v/>
      </c>
      <c r="S394" s="14" t="str">
        <f>IF('Raw Data'!A381&lt;&gt;"",AVERAGE('Raw Data'!AU381,'Raw Data'!AW381,'Raw Data'!AY381,'Raw Data'!BA381,'Raw Data'!BC381),"")</f>
        <v/>
      </c>
      <c r="T394" s="14" t="str">
        <f t="shared" si="62"/>
        <v/>
      </c>
      <c r="U394" s="14" t="str">
        <f>IF('Raw Data'!A381&lt;&gt;"",AVERAGE('Raw Data'!BD381,'Raw Data'!BF381,'Raw Data'!BH381,'Raw Data'!BJ381,'Raw Data'!BL381),"")</f>
        <v/>
      </c>
      <c r="V394" s="14" t="str">
        <f>IF('Raw Data'!A381&lt;&gt;"",AVERAGE('Raw Data'!BE381,'Raw Data'!BG381,'Raw Data'!BI381,'Raw Data'!BK381,'Raw Data'!BM381),"")</f>
        <v/>
      </c>
      <c r="W394" s="14" t="str">
        <f t="shared" si="63"/>
        <v/>
      </c>
      <c r="X394" s="14" t="str">
        <f t="shared" si="64"/>
        <v/>
      </c>
      <c r="Y394" s="14" t="str">
        <f t="shared" si="65"/>
        <v/>
      </c>
      <c r="Z394" s="14" t="str">
        <f t="shared" si="66"/>
        <v/>
      </c>
      <c r="AA394" s="14" t="str">
        <f t="shared" si="67"/>
        <v/>
      </c>
      <c r="AB394" s="25" t="str">
        <f t="shared" si="68"/>
        <v/>
      </c>
    </row>
    <row r="395" spans="1:28" x14ac:dyDescent="0.25">
      <c r="A395" s="2" t="str">
        <f>IF('Raw Data'!A382&lt;&gt;"",'Raw Data'!A382,"")</f>
        <v/>
      </c>
      <c r="B395" s="2" t="str">
        <f>IF('Raw Data'!B382&lt;&gt;"",'Raw Data'!B382,"")</f>
        <v/>
      </c>
      <c r="C395" s="2" t="str">
        <f>IF('Raw Data'!C382&lt;&gt;"",'Raw Data'!C382,"")</f>
        <v/>
      </c>
      <c r="D395" s="2" t="str">
        <f>IF('Raw Data'!D382&lt;&gt;"",'Raw Data'!D382,"")</f>
        <v/>
      </c>
      <c r="E395" s="2" t="str">
        <f>IF('Raw Data'!E382&lt;&gt;"",'Raw Data'!E382,"")</f>
        <v/>
      </c>
      <c r="F395" s="11" t="str">
        <f>IF('Raw Data'!A382&lt;&gt;"",AVERAGE('Raw Data'!F382,'Raw Data'!H382,'Raw Data'!J382,'Raw Data'!L382,'Raw Data'!N382),"")</f>
        <v/>
      </c>
      <c r="G395" s="11" t="str">
        <f>IF('Raw Data'!A382&lt;&gt;"",AVERAGE('Raw Data'!G382,'Raw Data'!I382,'Raw Data'!K382,'Raw Data'!M382,'Raw Data'!O382),"")</f>
        <v/>
      </c>
      <c r="H395" s="11" t="str">
        <f t="shared" si="58"/>
        <v/>
      </c>
      <c r="I395" s="11" t="str">
        <f>IF('Raw Data'!A382&lt;&gt;"",AVERAGE('Raw Data'!P382,'Raw Data'!R382,'Raw Data'!T382,'Raw Data'!V382,'Raw Data'!X382),"")</f>
        <v/>
      </c>
      <c r="J395" s="11" t="str">
        <f>IF('Raw Data'!A382&lt;&gt;"",AVERAGE('Raw Data'!Q382,'Raw Data'!S382,'Raw Data'!U382,'Raw Data'!W382,'Raw Data'!Y382),"")</f>
        <v/>
      </c>
      <c r="K395" s="11" t="str">
        <f t="shared" si="59"/>
        <v/>
      </c>
      <c r="L395" s="11" t="str">
        <f>IF('Raw Data'!A382&lt;&gt;"",AVERAGE('Raw Data'!Z382,'Raw Data'!AB382,'Raw Data'!AD382,'Raw Data'!AF382,'Raw Data'!AH382),"")</f>
        <v/>
      </c>
      <c r="M395" s="11" t="str">
        <f>IF('Raw Data'!A382&lt;&gt;"",AVERAGE('Raw Data'!AA382,'Raw Data'!AC382,'Raw Data'!AE382,'Raw Data'!AG382,'Raw Data'!AI382),"")</f>
        <v/>
      </c>
      <c r="N395" s="11" t="str">
        <f t="shared" si="60"/>
        <v/>
      </c>
      <c r="O395" s="11" t="str">
        <f>IF('Raw Data'!A382&lt;&gt;"",AVERAGE('Raw Data'!AJ382,'Raw Data'!AL382,'Raw Data'!AN382,'Raw Data'!AP382,'Raw Data'!AR382),"")</f>
        <v/>
      </c>
      <c r="P395" s="11" t="str">
        <f>IF('Raw Data'!A382&lt;&gt;"",AVERAGE('Raw Data'!AK382,'Raw Data'!AM382,'Raw Data'!AO382,'Raw Data'!AQ382,'Raw Data'!AS382),"")</f>
        <v/>
      </c>
      <c r="Q395" s="11" t="str">
        <f t="shared" si="61"/>
        <v/>
      </c>
      <c r="R395" s="11" t="str">
        <f>IF('Raw Data'!A382&lt;&gt;"",AVERAGE('Raw Data'!AT382,'Raw Data'!AV382,'Raw Data'!AX382,'Raw Data'!AZ382,'Raw Data'!BB382),"")</f>
        <v/>
      </c>
      <c r="S395" s="11" t="str">
        <f>IF('Raw Data'!A382&lt;&gt;"",AVERAGE('Raw Data'!AU382,'Raw Data'!AW382,'Raw Data'!AY382,'Raw Data'!BA382,'Raw Data'!BC382),"")</f>
        <v/>
      </c>
      <c r="T395" s="11" t="str">
        <f t="shared" si="62"/>
        <v/>
      </c>
      <c r="U395" s="11" t="str">
        <f>IF('Raw Data'!A382&lt;&gt;"",AVERAGE('Raw Data'!BD382,'Raw Data'!BF382,'Raw Data'!BH382,'Raw Data'!BJ382,'Raw Data'!BL382),"")</f>
        <v/>
      </c>
      <c r="V395" s="11" t="str">
        <f>IF('Raw Data'!A382&lt;&gt;"",AVERAGE('Raw Data'!BE382,'Raw Data'!BG382,'Raw Data'!BI382,'Raw Data'!BK382,'Raw Data'!BM382),"")</f>
        <v/>
      </c>
      <c r="W395" s="11" t="str">
        <f t="shared" si="63"/>
        <v/>
      </c>
      <c r="X395" s="11" t="str">
        <f t="shared" si="64"/>
        <v/>
      </c>
      <c r="Y395" s="11" t="str">
        <f t="shared" si="65"/>
        <v/>
      </c>
      <c r="Z395" s="11" t="str">
        <f t="shared" si="66"/>
        <v/>
      </c>
      <c r="AA395" s="11" t="str">
        <f t="shared" si="67"/>
        <v/>
      </c>
      <c r="AB395" s="24" t="str">
        <f t="shared" si="68"/>
        <v/>
      </c>
    </row>
    <row r="396" spans="1:28" x14ac:dyDescent="0.25">
      <c r="A396" s="10" t="str">
        <f>IF('Raw Data'!A383&lt;&gt;"",'Raw Data'!A383,"")</f>
        <v/>
      </c>
      <c r="B396" s="10" t="str">
        <f>IF('Raw Data'!B383&lt;&gt;"",'Raw Data'!B383,"")</f>
        <v/>
      </c>
      <c r="C396" s="10" t="str">
        <f>IF('Raw Data'!C383&lt;&gt;"",'Raw Data'!C383,"")</f>
        <v/>
      </c>
      <c r="D396" s="10" t="str">
        <f>IF('Raw Data'!D383&lt;&gt;"",'Raw Data'!D383,"")</f>
        <v/>
      </c>
      <c r="E396" s="10" t="str">
        <f>IF('Raw Data'!E383&lt;&gt;"",'Raw Data'!E383,"")</f>
        <v/>
      </c>
      <c r="F396" s="14" t="str">
        <f>IF('Raw Data'!A383&lt;&gt;"",AVERAGE('Raw Data'!F383,'Raw Data'!H383,'Raw Data'!J383,'Raw Data'!L383,'Raw Data'!N383),"")</f>
        <v/>
      </c>
      <c r="G396" s="14" t="str">
        <f>IF('Raw Data'!A383&lt;&gt;"",AVERAGE('Raw Data'!G383,'Raw Data'!I383,'Raw Data'!K383,'Raw Data'!M383,'Raw Data'!O383),"")</f>
        <v/>
      </c>
      <c r="H396" s="14" t="str">
        <f t="shared" si="58"/>
        <v/>
      </c>
      <c r="I396" s="14" t="str">
        <f>IF('Raw Data'!A383&lt;&gt;"",AVERAGE('Raw Data'!P383,'Raw Data'!R383,'Raw Data'!T383,'Raw Data'!V383,'Raw Data'!X383),"")</f>
        <v/>
      </c>
      <c r="J396" s="14" t="str">
        <f>IF('Raw Data'!A383&lt;&gt;"",AVERAGE('Raw Data'!Q383,'Raw Data'!S383,'Raw Data'!U383,'Raw Data'!W383,'Raw Data'!Y383),"")</f>
        <v/>
      </c>
      <c r="K396" s="14" t="str">
        <f t="shared" si="59"/>
        <v/>
      </c>
      <c r="L396" s="14" t="str">
        <f>IF('Raw Data'!A383&lt;&gt;"",AVERAGE('Raw Data'!Z383,'Raw Data'!AB383,'Raw Data'!AD383,'Raw Data'!AF383,'Raw Data'!AH383),"")</f>
        <v/>
      </c>
      <c r="M396" s="14" t="str">
        <f>IF('Raw Data'!A383&lt;&gt;"",AVERAGE('Raw Data'!AA383,'Raw Data'!AC383,'Raw Data'!AE383,'Raw Data'!AG383,'Raw Data'!AI383),"")</f>
        <v/>
      </c>
      <c r="N396" s="14" t="str">
        <f t="shared" si="60"/>
        <v/>
      </c>
      <c r="O396" s="14" t="str">
        <f>IF('Raw Data'!A383&lt;&gt;"",AVERAGE('Raw Data'!AJ383,'Raw Data'!AL383,'Raw Data'!AN383,'Raw Data'!AP383,'Raw Data'!AR383),"")</f>
        <v/>
      </c>
      <c r="P396" s="14" t="str">
        <f>IF('Raw Data'!A383&lt;&gt;"",AVERAGE('Raw Data'!AK383,'Raw Data'!AM383,'Raw Data'!AO383,'Raw Data'!AQ383,'Raw Data'!AS383),"")</f>
        <v/>
      </c>
      <c r="Q396" s="14" t="str">
        <f t="shared" si="61"/>
        <v/>
      </c>
      <c r="R396" s="14" t="str">
        <f>IF('Raw Data'!A383&lt;&gt;"",AVERAGE('Raw Data'!AT383,'Raw Data'!AV383,'Raw Data'!AX383,'Raw Data'!AZ383,'Raw Data'!BB383),"")</f>
        <v/>
      </c>
      <c r="S396" s="14" t="str">
        <f>IF('Raw Data'!A383&lt;&gt;"",AVERAGE('Raw Data'!AU383,'Raw Data'!AW383,'Raw Data'!AY383,'Raw Data'!BA383,'Raw Data'!BC383),"")</f>
        <v/>
      </c>
      <c r="T396" s="14" t="str">
        <f t="shared" si="62"/>
        <v/>
      </c>
      <c r="U396" s="14" t="str">
        <f>IF('Raw Data'!A383&lt;&gt;"",AVERAGE('Raw Data'!BD383,'Raw Data'!BF383,'Raw Data'!BH383,'Raw Data'!BJ383,'Raw Data'!BL383),"")</f>
        <v/>
      </c>
      <c r="V396" s="14" t="str">
        <f>IF('Raw Data'!A383&lt;&gt;"",AVERAGE('Raw Data'!BE383,'Raw Data'!BG383,'Raw Data'!BI383,'Raw Data'!BK383,'Raw Data'!BM383),"")</f>
        <v/>
      </c>
      <c r="W396" s="14" t="str">
        <f t="shared" si="63"/>
        <v/>
      </c>
      <c r="X396" s="14" t="str">
        <f t="shared" si="64"/>
        <v/>
      </c>
      <c r="Y396" s="14" t="str">
        <f t="shared" si="65"/>
        <v/>
      </c>
      <c r="Z396" s="14" t="str">
        <f t="shared" si="66"/>
        <v/>
      </c>
      <c r="AA396" s="14" t="str">
        <f t="shared" si="67"/>
        <v/>
      </c>
      <c r="AB396" s="25" t="str">
        <f t="shared" si="68"/>
        <v/>
      </c>
    </row>
    <row r="397" spans="1:28" x14ac:dyDescent="0.25">
      <c r="A397" s="2" t="str">
        <f>IF('Raw Data'!A384&lt;&gt;"",'Raw Data'!A384,"")</f>
        <v/>
      </c>
      <c r="B397" s="2" t="str">
        <f>IF('Raw Data'!B384&lt;&gt;"",'Raw Data'!B384,"")</f>
        <v/>
      </c>
      <c r="C397" s="2" t="str">
        <f>IF('Raw Data'!C384&lt;&gt;"",'Raw Data'!C384,"")</f>
        <v/>
      </c>
      <c r="D397" s="2" t="str">
        <f>IF('Raw Data'!D384&lt;&gt;"",'Raw Data'!D384,"")</f>
        <v/>
      </c>
      <c r="E397" s="2" t="str">
        <f>IF('Raw Data'!E384&lt;&gt;"",'Raw Data'!E384,"")</f>
        <v/>
      </c>
      <c r="F397" s="11" t="str">
        <f>IF('Raw Data'!A384&lt;&gt;"",AVERAGE('Raw Data'!F384,'Raw Data'!H384,'Raw Data'!J384,'Raw Data'!L384,'Raw Data'!N384),"")</f>
        <v/>
      </c>
      <c r="G397" s="11" t="str">
        <f>IF('Raw Data'!A384&lt;&gt;"",AVERAGE('Raw Data'!G384,'Raw Data'!I384,'Raw Data'!K384,'Raw Data'!M384,'Raw Data'!O384),"")</f>
        <v/>
      </c>
      <c r="H397" s="11" t="str">
        <f t="shared" si="58"/>
        <v/>
      </c>
      <c r="I397" s="11" t="str">
        <f>IF('Raw Data'!A384&lt;&gt;"",AVERAGE('Raw Data'!P384,'Raw Data'!R384,'Raw Data'!T384,'Raw Data'!V384,'Raw Data'!X384),"")</f>
        <v/>
      </c>
      <c r="J397" s="11" t="str">
        <f>IF('Raw Data'!A384&lt;&gt;"",AVERAGE('Raw Data'!Q384,'Raw Data'!S384,'Raw Data'!U384,'Raw Data'!W384,'Raw Data'!Y384),"")</f>
        <v/>
      </c>
      <c r="K397" s="11" t="str">
        <f t="shared" si="59"/>
        <v/>
      </c>
      <c r="L397" s="11" t="str">
        <f>IF('Raw Data'!A384&lt;&gt;"",AVERAGE('Raw Data'!Z384,'Raw Data'!AB384,'Raw Data'!AD384,'Raw Data'!AF384,'Raw Data'!AH384),"")</f>
        <v/>
      </c>
      <c r="M397" s="11" t="str">
        <f>IF('Raw Data'!A384&lt;&gt;"",AVERAGE('Raw Data'!AA384,'Raw Data'!AC384,'Raw Data'!AE384,'Raw Data'!AG384,'Raw Data'!AI384),"")</f>
        <v/>
      </c>
      <c r="N397" s="11" t="str">
        <f t="shared" si="60"/>
        <v/>
      </c>
      <c r="O397" s="11" t="str">
        <f>IF('Raw Data'!A384&lt;&gt;"",AVERAGE('Raw Data'!AJ384,'Raw Data'!AL384,'Raw Data'!AN384,'Raw Data'!AP384,'Raw Data'!AR384),"")</f>
        <v/>
      </c>
      <c r="P397" s="11" t="str">
        <f>IF('Raw Data'!A384&lt;&gt;"",AVERAGE('Raw Data'!AK384,'Raw Data'!AM384,'Raw Data'!AO384,'Raw Data'!AQ384,'Raw Data'!AS384),"")</f>
        <v/>
      </c>
      <c r="Q397" s="11" t="str">
        <f t="shared" si="61"/>
        <v/>
      </c>
      <c r="R397" s="11" t="str">
        <f>IF('Raw Data'!A384&lt;&gt;"",AVERAGE('Raw Data'!AT384,'Raw Data'!AV384,'Raw Data'!AX384,'Raw Data'!AZ384,'Raw Data'!BB384),"")</f>
        <v/>
      </c>
      <c r="S397" s="11" t="str">
        <f>IF('Raw Data'!A384&lt;&gt;"",AVERAGE('Raw Data'!AU384,'Raw Data'!AW384,'Raw Data'!AY384,'Raw Data'!BA384,'Raw Data'!BC384),"")</f>
        <v/>
      </c>
      <c r="T397" s="11" t="str">
        <f t="shared" si="62"/>
        <v/>
      </c>
      <c r="U397" s="11" t="str">
        <f>IF('Raw Data'!A384&lt;&gt;"",AVERAGE('Raw Data'!BD384,'Raw Data'!BF384,'Raw Data'!BH384,'Raw Data'!BJ384,'Raw Data'!BL384),"")</f>
        <v/>
      </c>
      <c r="V397" s="11" t="str">
        <f>IF('Raw Data'!A384&lt;&gt;"",AVERAGE('Raw Data'!BE384,'Raw Data'!BG384,'Raw Data'!BI384,'Raw Data'!BK384,'Raw Data'!BM384),"")</f>
        <v/>
      </c>
      <c r="W397" s="11" t="str">
        <f t="shared" si="63"/>
        <v/>
      </c>
      <c r="X397" s="11" t="str">
        <f t="shared" si="64"/>
        <v/>
      </c>
      <c r="Y397" s="11" t="str">
        <f t="shared" si="65"/>
        <v/>
      </c>
      <c r="Z397" s="11" t="str">
        <f t="shared" si="66"/>
        <v/>
      </c>
      <c r="AA397" s="11" t="str">
        <f t="shared" si="67"/>
        <v/>
      </c>
      <c r="AB397" s="24" t="str">
        <f t="shared" si="68"/>
        <v/>
      </c>
    </row>
    <row r="398" spans="1:28" x14ac:dyDescent="0.25">
      <c r="A398" s="10" t="str">
        <f>IF('Raw Data'!A385&lt;&gt;"",'Raw Data'!A385,"")</f>
        <v/>
      </c>
      <c r="B398" s="10" t="str">
        <f>IF('Raw Data'!B385&lt;&gt;"",'Raw Data'!B385,"")</f>
        <v/>
      </c>
      <c r="C398" s="10" t="str">
        <f>IF('Raw Data'!C385&lt;&gt;"",'Raw Data'!C385,"")</f>
        <v/>
      </c>
      <c r="D398" s="10" t="str">
        <f>IF('Raw Data'!D385&lt;&gt;"",'Raw Data'!D385,"")</f>
        <v/>
      </c>
      <c r="E398" s="10" t="str">
        <f>IF('Raw Data'!E385&lt;&gt;"",'Raw Data'!E385,"")</f>
        <v/>
      </c>
      <c r="F398" s="14" t="str">
        <f>IF('Raw Data'!A385&lt;&gt;"",AVERAGE('Raw Data'!F385,'Raw Data'!H385,'Raw Data'!J385,'Raw Data'!L385,'Raw Data'!N385),"")</f>
        <v/>
      </c>
      <c r="G398" s="14" t="str">
        <f>IF('Raw Data'!A385&lt;&gt;"",AVERAGE('Raw Data'!G385,'Raw Data'!I385,'Raw Data'!K385,'Raw Data'!M385,'Raw Data'!O385),"")</f>
        <v/>
      </c>
      <c r="H398" s="14" t="str">
        <f t="shared" si="58"/>
        <v/>
      </c>
      <c r="I398" s="14" t="str">
        <f>IF('Raw Data'!A385&lt;&gt;"",AVERAGE('Raw Data'!P385,'Raw Data'!R385,'Raw Data'!T385,'Raw Data'!V385,'Raw Data'!X385),"")</f>
        <v/>
      </c>
      <c r="J398" s="14" t="str">
        <f>IF('Raw Data'!A385&lt;&gt;"",AVERAGE('Raw Data'!Q385,'Raw Data'!S385,'Raw Data'!U385,'Raw Data'!W385,'Raw Data'!Y385),"")</f>
        <v/>
      </c>
      <c r="K398" s="14" t="str">
        <f t="shared" si="59"/>
        <v/>
      </c>
      <c r="L398" s="14" t="str">
        <f>IF('Raw Data'!A385&lt;&gt;"",AVERAGE('Raw Data'!Z385,'Raw Data'!AB385,'Raw Data'!AD385,'Raw Data'!AF385,'Raw Data'!AH385),"")</f>
        <v/>
      </c>
      <c r="M398" s="14" t="str">
        <f>IF('Raw Data'!A385&lt;&gt;"",AVERAGE('Raw Data'!AA385,'Raw Data'!AC385,'Raw Data'!AE385,'Raw Data'!AG385,'Raw Data'!AI385),"")</f>
        <v/>
      </c>
      <c r="N398" s="14" t="str">
        <f t="shared" si="60"/>
        <v/>
      </c>
      <c r="O398" s="14" t="str">
        <f>IF('Raw Data'!A385&lt;&gt;"",AVERAGE('Raw Data'!AJ385,'Raw Data'!AL385,'Raw Data'!AN385,'Raw Data'!AP385,'Raw Data'!AR385),"")</f>
        <v/>
      </c>
      <c r="P398" s="14" t="str">
        <f>IF('Raw Data'!A385&lt;&gt;"",AVERAGE('Raw Data'!AK385,'Raw Data'!AM385,'Raw Data'!AO385,'Raw Data'!AQ385,'Raw Data'!AS385),"")</f>
        <v/>
      </c>
      <c r="Q398" s="14" t="str">
        <f t="shared" si="61"/>
        <v/>
      </c>
      <c r="R398" s="14" t="str">
        <f>IF('Raw Data'!A385&lt;&gt;"",AVERAGE('Raw Data'!AT385,'Raw Data'!AV385,'Raw Data'!AX385,'Raw Data'!AZ385,'Raw Data'!BB385),"")</f>
        <v/>
      </c>
      <c r="S398" s="14" t="str">
        <f>IF('Raw Data'!A385&lt;&gt;"",AVERAGE('Raw Data'!AU385,'Raw Data'!AW385,'Raw Data'!AY385,'Raw Data'!BA385,'Raw Data'!BC385),"")</f>
        <v/>
      </c>
      <c r="T398" s="14" t="str">
        <f t="shared" si="62"/>
        <v/>
      </c>
      <c r="U398" s="14" t="str">
        <f>IF('Raw Data'!A385&lt;&gt;"",AVERAGE('Raw Data'!BD385,'Raw Data'!BF385,'Raw Data'!BH385,'Raw Data'!BJ385,'Raw Data'!BL385),"")</f>
        <v/>
      </c>
      <c r="V398" s="14" t="str">
        <f>IF('Raw Data'!A385&lt;&gt;"",AVERAGE('Raw Data'!BE385,'Raw Data'!BG385,'Raw Data'!BI385,'Raw Data'!BK385,'Raw Data'!BM385),"")</f>
        <v/>
      </c>
      <c r="W398" s="14" t="str">
        <f t="shared" si="63"/>
        <v/>
      </c>
      <c r="X398" s="14" t="str">
        <f t="shared" si="64"/>
        <v/>
      </c>
      <c r="Y398" s="14" t="str">
        <f t="shared" si="65"/>
        <v/>
      </c>
      <c r="Z398" s="14" t="str">
        <f t="shared" si="66"/>
        <v/>
      </c>
      <c r="AA398" s="14" t="str">
        <f t="shared" si="67"/>
        <v/>
      </c>
      <c r="AB398" s="25" t="str">
        <f t="shared" si="68"/>
        <v/>
      </c>
    </row>
    <row r="399" spans="1:28" x14ac:dyDescent="0.25">
      <c r="A399" s="2" t="str">
        <f>IF('Raw Data'!A386&lt;&gt;"",'Raw Data'!A386,"")</f>
        <v/>
      </c>
      <c r="B399" s="2" t="str">
        <f>IF('Raw Data'!B386&lt;&gt;"",'Raw Data'!B386,"")</f>
        <v/>
      </c>
      <c r="C399" s="2" t="str">
        <f>IF('Raw Data'!C386&lt;&gt;"",'Raw Data'!C386,"")</f>
        <v/>
      </c>
      <c r="D399" s="2" t="str">
        <f>IF('Raw Data'!D386&lt;&gt;"",'Raw Data'!D386,"")</f>
        <v/>
      </c>
      <c r="E399" s="2" t="str">
        <f>IF('Raw Data'!E386&lt;&gt;"",'Raw Data'!E386,"")</f>
        <v/>
      </c>
      <c r="F399" s="11" t="str">
        <f>IF('Raw Data'!A386&lt;&gt;"",AVERAGE('Raw Data'!F386,'Raw Data'!H386,'Raw Data'!J386,'Raw Data'!L386,'Raw Data'!N386),"")</f>
        <v/>
      </c>
      <c r="G399" s="11" t="str">
        <f>IF('Raw Data'!A386&lt;&gt;"",AVERAGE('Raw Data'!G386,'Raw Data'!I386,'Raw Data'!K386,'Raw Data'!M386,'Raw Data'!O386),"")</f>
        <v/>
      </c>
      <c r="H399" s="11" t="str">
        <f t="shared" si="58"/>
        <v/>
      </c>
      <c r="I399" s="11" t="str">
        <f>IF('Raw Data'!A386&lt;&gt;"",AVERAGE('Raw Data'!P386,'Raw Data'!R386,'Raw Data'!T386,'Raw Data'!V386,'Raw Data'!X386),"")</f>
        <v/>
      </c>
      <c r="J399" s="11" t="str">
        <f>IF('Raw Data'!A386&lt;&gt;"",AVERAGE('Raw Data'!Q386,'Raw Data'!S386,'Raw Data'!U386,'Raw Data'!W386,'Raw Data'!Y386),"")</f>
        <v/>
      </c>
      <c r="K399" s="11" t="str">
        <f t="shared" si="59"/>
        <v/>
      </c>
      <c r="L399" s="11" t="str">
        <f>IF('Raw Data'!A386&lt;&gt;"",AVERAGE('Raw Data'!Z386,'Raw Data'!AB386,'Raw Data'!AD386,'Raw Data'!AF386,'Raw Data'!AH386),"")</f>
        <v/>
      </c>
      <c r="M399" s="11" t="str">
        <f>IF('Raw Data'!A386&lt;&gt;"",AVERAGE('Raw Data'!AA386,'Raw Data'!AC386,'Raw Data'!AE386,'Raw Data'!AG386,'Raw Data'!AI386),"")</f>
        <v/>
      </c>
      <c r="N399" s="11" t="str">
        <f t="shared" si="60"/>
        <v/>
      </c>
      <c r="O399" s="11" t="str">
        <f>IF('Raw Data'!A386&lt;&gt;"",AVERAGE('Raw Data'!AJ386,'Raw Data'!AL386,'Raw Data'!AN386,'Raw Data'!AP386,'Raw Data'!AR386),"")</f>
        <v/>
      </c>
      <c r="P399" s="11" t="str">
        <f>IF('Raw Data'!A386&lt;&gt;"",AVERAGE('Raw Data'!AK386,'Raw Data'!AM386,'Raw Data'!AO386,'Raw Data'!AQ386,'Raw Data'!AS386),"")</f>
        <v/>
      </c>
      <c r="Q399" s="11" t="str">
        <f t="shared" si="61"/>
        <v/>
      </c>
      <c r="R399" s="11" t="str">
        <f>IF('Raw Data'!A386&lt;&gt;"",AVERAGE('Raw Data'!AT386,'Raw Data'!AV386,'Raw Data'!AX386,'Raw Data'!AZ386,'Raw Data'!BB386),"")</f>
        <v/>
      </c>
      <c r="S399" s="11" t="str">
        <f>IF('Raw Data'!A386&lt;&gt;"",AVERAGE('Raw Data'!AU386,'Raw Data'!AW386,'Raw Data'!AY386,'Raw Data'!BA386,'Raw Data'!BC386),"")</f>
        <v/>
      </c>
      <c r="T399" s="11" t="str">
        <f t="shared" si="62"/>
        <v/>
      </c>
      <c r="U399" s="11" t="str">
        <f>IF('Raw Data'!A386&lt;&gt;"",AVERAGE('Raw Data'!BD386,'Raw Data'!BF386,'Raw Data'!BH386,'Raw Data'!BJ386,'Raw Data'!BL386),"")</f>
        <v/>
      </c>
      <c r="V399" s="11" t="str">
        <f>IF('Raw Data'!A386&lt;&gt;"",AVERAGE('Raw Data'!BE386,'Raw Data'!BG386,'Raw Data'!BI386,'Raw Data'!BK386,'Raw Data'!BM386),"")</f>
        <v/>
      </c>
      <c r="W399" s="11" t="str">
        <f t="shared" si="63"/>
        <v/>
      </c>
      <c r="X399" s="11" t="str">
        <f t="shared" si="64"/>
        <v/>
      </c>
      <c r="Y399" s="11" t="str">
        <f t="shared" si="65"/>
        <v/>
      </c>
      <c r="Z399" s="11" t="str">
        <f t="shared" si="66"/>
        <v/>
      </c>
      <c r="AA399" s="11" t="str">
        <f t="shared" si="67"/>
        <v/>
      </c>
      <c r="AB399" s="24" t="str">
        <f t="shared" si="68"/>
        <v/>
      </c>
    </row>
    <row r="400" spans="1:28" x14ac:dyDescent="0.25">
      <c r="A400" s="10" t="str">
        <f>IF('Raw Data'!A387&lt;&gt;"",'Raw Data'!A387,"")</f>
        <v/>
      </c>
      <c r="B400" s="10" t="str">
        <f>IF('Raw Data'!B387&lt;&gt;"",'Raw Data'!B387,"")</f>
        <v/>
      </c>
      <c r="C400" s="10" t="str">
        <f>IF('Raw Data'!C387&lt;&gt;"",'Raw Data'!C387,"")</f>
        <v/>
      </c>
      <c r="D400" s="10" t="str">
        <f>IF('Raw Data'!D387&lt;&gt;"",'Raw Data'!D387,"")</f>
        <v/>
      </c>
      <c r="E400" s="10" t="str">
        <f>IF('Raw Data'!E387&lt;&gt;"",'Raw Data'!E387,"")</f>
        <v/>
      </c>
      <c r="F400" s="14" t="str">
        <f>IF('Raw Data'!A387&lt;&gt;"",AVERAGE('Raw Data'!F387,'Raw Data'!H387,'Raw Data'!J387,'Raw Data'!L387,'Raw Data'!N387),"")</f>
        <v/>
      </c>
      <c r="G400" s="14" t="str">
        <f>IF('Raw Data'!A387&lt;&gt;"",AVERAGE('Raw Data'!G387,'Raw Data'!I387,'Raw Data'!K387,'Raw Data'!M387,'Raw Data'!O387),"")</f>
        <v/>
      </c>
      <c r="H400" s="14" t="str">
        <f t="shared" si="58"/>
        <v/>
      </c>
      <c r="I400" s="14" t="str">
        <f>IF('Raw Data'!A387&lt;&gt;"",AVERAGE('Raw Data'!P387,'Raw Data'!R387,'Raw Data'!T387,'Raw Data'!V387,'Raw Data'!X387),"")</f>
        <v/>
      </c>
      <c r="J400" s="14" t="str">
        <f>IF('Raw Data'!A387&lt;&gt;"",AVERAGE('Raw Data'!Q387,'Raw Data'!S387,'Raw Data'!U387,'Raw Data'!W387,'Raw Data'!Y387),"")</f>
        <v/>
      </c>
      <c r="K400" s="14" t="str">
        <f t="shared" si="59"/>
        <v/>
      </c>
      <c r="L400" s="14" t="str">
        <f>IF('Raw Data'!A387&lt;&gt;"",AVERAGE('Raw Data'!Z387,'Raw Data'!AB387,'Raw Data'!AD387,'Raw Data'!AF387,'Raw Data'!AH387),"")</f>
        <v/>
      </c>
      <c r="M400" s="14" t="str">
        <f>IF('Raw Data'!A387&lt;&gt;"",AVERAGE('Raw Data'!AA387,'Raw Data'!AC387,'Raw Data'!AE387,'Raw Data'!AG387,'Raw Data'!AI387),"")</f>
        <v/>
      </c>
      <c r="N400" s="14" t="str">
        <f t="shared" si="60"/>
        <v/>
      </c>
      <c r="O400" s="14" t="str">
        <f>IF('Raw Data'!A387&lt;&gt;"",AVERAGE('Raw Data'!AJ387,'Raw Data'!AL387,'Raw Data'!AN387,'Raw Data'!AP387,'Raw Data'!AR387),"")</f>
        <v/>
      </c>
      <c r="P400" s="14" t="str">
        <f>IF('Raw Data'!A387&lt;&gt;"",AVERAGE('Raw Data'!AK387,'Raw Data'!AM387,'Raw Data'!AO387,'Raw Data'!AQ387,'Raw Data'!AS387),"")</f>
        <v/>
      </c>
      <c r="Q400" s="14" t="str">
        <f t="shared" si="61"/>
        <v/>
      </c>
      <c r="R400" s="14" t="str">
        <f>IF('Raw Data'!A387&lt;&gt;"",AVERAGE('Raw Data'!AT387,'Raw Data'!AV387,'Raw Data'!AX387,'Raw Data'!AZ387,'Raw Data'!BB387),"")</f>
        <v/>
      </c>
      <c r="S400" s="14" t="str">
        <f>IF('Raw Data'!A387&lt;&gt;"",AVERAGE('Raw Data'!AU387,'Raw Data'!AW387,'Raw Data'!AY387,'Raw Data'!BA387,'Raw Data'!BC387),"")</f>
        <v/>
      </c>
      <c r="T400" s="14" t="str">
        <f t="shared" si="62"/>
        <v/>
      </c>
      <c r="U400" s="14" t="str">
        <f>IF('Raw Data'!A387&lt;&gt;"",AVERAGE('Raw Data'!BD387,'Raw Data'!BF387,'Raw Data'!BH387,'Raw Data'!BJ387,'Raw Data'!BL387),"")</f>
        <v/>
      </c>
      <c r="V400" s="14" t="str">
        <f>IF('Raw Data'!A387&lt;&gt;"",AVERAGE('Raw Data'!BE387,'Raw Data'!BG387,'Raw Data'!BI387,'Raw Data'!BK387,'Raw Data'!BM387),"")</f>
        <v/>
      </c>
      <c r="W400" s="14" t="str">
        <f t="shared" si="63"/>
        <v/>
      </c>
      <c r="X400" s="14" t="str">
        <f t="shared" si="64"/>
        <v/>
      </c>
      <c r="Y400" s="14" t="str">
        <f t="shared" si="65"/>
        <v/>
      </c>
      <c r="Z400" s="14" t="str">
        <f t="shared" si="66"/>
        <v/>
      </c>
      <c r="AA400" s="14" t="str">
        <f t="shared" si="67"/>
        <v/>
      </c>
      <c r="AB400" s="25" t="str">
        <f t="shared" si="68"/>
        <v/>
      </c>
    </row>
    <row r="401" spans="1:28" x14ac:dyDescent="0.25">
      <c r="A401" s="2" t="str">
        <f>IF('Raw Data'!A388&lt;&gt;"",'Raw Data'!A388,"")</f>
        <v/>
      </c>
      <c r="B401" s="2" t="str">
        <f>IF('Raw Data'!B388&lt;&gt;"",'Raw Data'!B388,"")</f>
        <v/>
      </c>
      <c r="C401" s="2" t="str">
        <f>IF('Raw Data'!C388&lt;&gt;"",'Raw Data'!C388,"")</f>
        <v/>
      </c>
      <c r="D401" s="2" t="str">
        <f>IF('Raw Data'!D388&lt;&gt;"",'Raw Data'!D388,"")</f>
        <v/>
      </c>
      <c r="E401" s="2" t="str">
        <f>IF('Raw Data'!E388&lt;&gt;"",'Raw Data'!E388,"")</f>
        <v/>
      </c>
      <c r="F401" s="11" t="str">
        <f>IF('Raw Data'!A388&lt;&gt;"",AVERAGE('Raw Data'!F388,'Raw Data'!H388,'Raw Data'!J388,'Raw Data'!L388,'Raw Data'!N388),"")</f>
        <v/>
      </c>
      <c r="G401" s="11" t="str">
        <f>IF('Raw Data'!A388&lt;&gt;"",AVERAGE('Raw Data'!G388,'Raw Data'!I388,'Raw Data'!K388,'Raw Data'!M388,'Raw Data'!O388),"")</f>
        <v/>
      </c>
      <c r="H401" s="11" t="str">
        <f t="shared" ref="H401:H464" si="69">IF(F401&lt;&gt;"",F401-G401,"")</f>
        <v/>
      </c>
      <c r="I401" s="11" t="str">
        <f>IF('Raw Data'!A388&lt;&gt;"",AVERAGE('Raw Data'!P388,'Raw Data'!R388,'Raw Data'!T388,'Raw Data'!V388,'Raw Data'!X388),"")</f>
        <v/>
      </c>
      <c r="J401" s="11" t="str">
        <f>IF('Raw Data'!A388&lt;&gt;"",AVERAGE('Raw Data'!Q388,'Raw Data'!S388,'Raw Data'!U388,'Raw Data'!W388,'Raw Data'!Y388),"")</f>
        <v/>
      </c>
      <c r="K401" s="11" t="str">
        <f t="shared" ref="K401:K464" si="70">IF(I401&lt;&gt;"",I401-J401,"")</f>
        <v/>
      </c>
      <c r="L401" s="11" t="str">
        <f>IF('Raw Data'!A388&lt;&gt;"",AVERAGE('Raw Data'!Z388,'Raw Data'!AB388,'Raw Data'!AD388,'Raw Data'!AF388,'Raw Data'!AH388),"")</f>
        <v/>
      </c>
      <c r="M401" s="11" t="str">
        <f>IF('Raw Data'!A388&lt;&gt;"",AVERAGE('Raw Data'!AA388,'Raw Data'!AC388,'Raw Data'!AE388,'Raw Data'!AG388,'Raw Data'!AI388),"")</f>
        <v/>
      </c>
      <c r="N401" s="11" t="str">
        <f t="shared" ref="N401:N464" si="71">IF(L401&lt;&gt;"",L401-M401,"")</f>
        <v/>
      </c>
      <c r="O401" s="11" t="str">
        <f>IF('Raw Data'!A388&lt;&gt;"",AVERAGE('Raw Data'!AJ388,'Raw Data'!AL388,'Raw Data'!AN388,'Raw Data'!AP388,'Raw Data'!AR388),"")</f>
        <v/>
      </c>
      <c r="P401" s="11" t="str">
        <f>IF('Raw Data'!A388&lt;&gt;"",AVERAGE('Raw Data'!AK388,'Raw Data'!AM388,'Raw Data'!AO388,'Raw Data'!AQ388,'Raw Data'!AS388),"")</f>
        <v/>
      </c>
      <c r="Q401" s="11" t="str">
        <f t="shared" ref="Q401:Q464" si="72">IF(O401&lt;&gt;"",O401-P401,"")</f>
        <v/>
      </c>
      <c r="R401" s="11" t="str">
        <f>IF('Raw Data'!A388&lt;&gt;"",AVERAGE('Raw Data'!AT388,'Raw Data'!AV388,'Raw Data'!AX388,'Raw Data'!AZ388,'Raw Data'!BB388),"")</f>
        <v/>
      </c>
      <c r="S401" s="11" t="str">
        <f>IF('Raw Data'!A388&lt;&gt;"",AVERAGE('Raw Data'!AU388,'Raw Data'!AW388,'Raw Data'!AY388,'Raw Data'!BA388,'Raw Data'!BC388),"")</f>
        <v/>
      </c>
      <c r="T401" s="11" t="str">
        <f t="shared" ref="T401:T464" si="73">IF(R401&lt;&gt;"",R401-S401,"")</f>
        <v/>
      </c>
      <c r="U401" s="11" t="str">
        <f>IF('Raw Data'!A388&lt;&gt;"",AVERAGE('Raw Data'!BD388,'Raw Data'!BF388,'Raw Data'!BH388,'Raw Data'!BJ388,'Raw Data'!BL388),"")</f>
        <v/>
      </c>
      <c r="V401" s="11" t="str">
        <f>IF('Raw Data'!A388&lt;&gt;"",AVERAGE('Raw Data'!BE388,'Raw Data'!BG388,'Raw Data'!BI388,'Raw Data'!BK388,'Raw Data'!BM388),"")</f>
        <v/>
      </c>
      <c r="W401" s="11" t="str">
        <f t="shared" ref="W401:W464" si="74">IF(U401&lt;&gt;"",U401-V401,"")</f>
        <v/>
      </c>
      <c r="X401" s="11" t="str">
        <f t="shared" ref="X401:X464" si="75">IF(A401&lt;&gt;"",AVERAGE(F401,I401,L401,O401,R401,U401),"")</f>
        <v/>
      </c>
      <c r="Y401" s="11" t="str">
        <f t="shared" ref="Y401:Y464" si="76">IF(A401&lt;&gt;"",AVERAGE(G401,J401,M401,P401,S401,V401),"")</f>
        <v/>
      </c>
      <c r="Z401" s="11" t="str">
        <f t="shared" ref="Z401:Z464" si="77">IF(A401&lt;&gt;"",X401-Y401,"")</f>
        <v/>
      </c>
      <c r="AA401" s="11" t="str">
        <f t="shared" ref="AA401:AA464" si="78">IF(A401&lt;&gt;"",(K401*0.25)+(Q401*0.2)+(W401*0.2)+(H401*0.15)+(N401*0.1)+(T401*0.1),"")</f>
        <v/>
      </c>
      <c r="AB401" s="24" t="str">
        <f t="shared" ref="AB401:AB464" si="79">IF(A401&lt;&gt;"",(AA401*0.5)+(0.3*K401)+(0.2*Q401),"")</f>
        <v/>
      </c>
    </row>
    <row r="402" spans="1:28" x14ac:dyDescent="0.25">
      <c r="A402" s="10" t="str">
        <f>IF('Raw Data'!A389&lt;&gt;"",'Raw Data'!A389,"")</f>
        <v/>
      </c>
      <c r="B402" s="10" t="str">
        <f>IF('Raw Data'!B389&lt;&gt;"",'Raw Data'!B389,"")</f>
        <v/>
      </c>
      <c r="C402" s="10" t="str">
        <f>IF('Raw Data'!C389&lt;&gt;"",'Raw Data'!C389,"")</f>
        <v/>
      </c>
      <c r="D402" s="10" t="str">
        <f>IF('Raw Data'!D389&lt;&gt;"",'Raw Data'!D389,"")</f>
        <v/>
      </c>
      <c r="E402" s="10" t="str">
        <f>IF('Raw Data'!E389&lt;&gt;"",'Raw Data'!E389,"")</f>
        <v/>
      </c>
      <c r="F402" s="14" t="str">
        <f>IF('Raw Data'!A389&lt;&gt;"",AVERAGE('Raw Data'!F389,'Raw Data'!H389,'Raw Data'!J389,'Raw Data'!L389,'Raw Data'!N389),"")</f>
        <v/>
      </c>
      <c r="G402" s="14" t="str">
        <f>IF('Raw Data'!A389&lt;&gt;"",AVERAGE('Raw Data'!G389,'Raw Data'!I389,'Raw Data'!K389,'Raw Data'!M389,'Raw Data'!O389),"")</f>
        <v/>
      </c>
      <c r="H402" s="14" t="str">
        <f t="shared" si="69"/>
        <v/>
      </c>
      <c r="I402" s="14" t="str">
        <f>IF('Raw Data'!A389&lt;&gt;"",AVERAGE('Raw Data'!P389,'Raw Data'!R389,'Raw Data'!T389,'Raw Data'!V389,'Raw Data'!X389),"")</f>
        <v/>
      </c>
      <c r="J402" s="14" t="str">
        <f>IF('Raw Data'!A389&lt;&gt;"",AVERAGE('Raw Data'!Q389,'Raw Data'!S389,'Raw Data'!U389,'Raw Data'!W389,'Raw Data'!Y389),"")</f>
        <v/>
      </c>
      <c r="K402" s="14" t="str">
        <f t="shared" si="70"/>
        <v/>
      </c>
      <c r="L402" s="14" t="str">
        <f>IF('Raw Data'!A389&lt;&gt;"",AVERAGE('Raw Data'!Z389,'Raw Data'!AB389,'Raw Data'!AD389,'Raw Data'!AF389,'Raw Data'!AH389),"")</f>
        <v/>
      </c>
      <c r="M402" s="14" t="str">
        <f>IF('Raw Data'!A389&lt;&gt;"",AVERAGE('Raw Data'!AA389,'Raw Data'!AC389,'Raw Data'!AE389,'Raw Data'!AG389,'Raw Data'!AI389),"")</f>
        <v/>
      </c>
      <c r="N402" s="14" t="str">
        <f t="shared" si="71"/>
        <v/>
      </c>
      <c r="O402" s="14" t="str">
        <f>IF('Raw Data'!A389&lt;&gt;"",AVERAGE('Raw Data'!AJ389,'Raw Data'!AL389,'Raw Data'!AN389,'Raw Data'!AP389,'Raw Data'!AR389),"")</f>
        <v/>
      </c>
      <c r="P402" s="14" t="str">
        <f>IF('Raw Data'!A389&lt;&gt;"",AVERAGE('Raw Data'!AK389,'Raw Data'!AM389,'Raw Data'!AO389,'Raw Data'!AQ389,'Raw Data'!AS389),"")</f>
        <v/>
      </c>
      <c r="Q402" s="14" t="str">
        <f t="shared" si="72"/>
        <v/>
      </c>
      <c r="R402" s="14" t="str">
        <f>IF('Raw Data'!A389&lt;&gt;"",AVERAGE('Raw Data'!AT389,'Raw Data'!AV389,'Raw Data'!AX389,'Raw Data'!AZ389,'Raw Data'!BB389),"")</f>
        <v/>
      </c>
      <c r="S402" s="14" t="str">
        <f>IF('Raw Data'!A389&lt;&gt;"",AVERAGE('Raw Data'!AU389,'Raw Data'!AW389,'Raw Data'!AY389,'Raw Data'!BA389,'Raw Data'!BC389),"")</f>
        <v/>
      </c>
      <c r="T402" s="14" t="str">
        <f t="shared" si="73"/>
        <v/>
      </c>
      <c r="U402" s="14" t="str">
        <f>IF('Raw Data'!A389&lt;&gt;"",AVERAGE('Raw Data'!BD389,'Raw Data'!BF389,'Raw Data'!BH389,'Raw Data'!BJ389,'Raw Data'!BL389),"")</f>
        <v/>
      </c>
      <c r="V402" s="14" t="str">
        <f>IF('Raw Data'!A389&lt;&gt;"",AVERAGE('Raw Data'!BE389,'Raw Data'!BG389,'Raw Data'!BI389,'Raw Data'!BK389,'Raw Data'!BM389),"")</f>
        <v/>
      </c>
      <c r="W402" s="14" t="str">
        <f t="shared" si="74"/>
        <v/>
      </c>
      <c r="X402" s="14" t="str">
        <f t="shared" si="75"/>
        <v/>
      </c>
      <c r="Y402" s="14" t="str">
        <f t="shared" si="76"/>
        <v/>
      </c>
      <c r="Z402" s="14" t="str">
        <f t="shared" si="77"/>
        <v/>
      </c>
      <c r="AA402" s="14" t="str">
        <f t="shared" si="78"/>
        <v/>
      </c>
      <c r="AB402" s="25" t="str">
        <f t="shared" si="79"/>
        <v/>
      </c>
    </row>
    <row r="403" spans="1:28" x14ac:dyDescent="0.25">
      <c r="A403" s="2" t="str">
        <f>IF('Raw Data'!A390&lt;&gt;"",'Raw Data'!A390,"")</f>
        <v/>
      </c>
      <c r="B403" s="2" t="str">
        <f>IF('Raw Data'!B390&lt;&gt;"",'Raw Data'!B390,"")</f>
        <v/>
      </c>
      <c r="C403" s="2" t="str">
        <f>IF('Raw Data'!C390&lt;&gt;"",'Raw Data'!C390,"")</f>
        <v/>
      </c>
      <c r="D403" s="2" t="str">
        <f>IF('Raw Data'!D390&lt;&gt;"",'Raw Data'!D390,"")</f>
        <v/>
      </c>
      <c r="E403" s="2" t="str">
        <f>IF('Raw Data'!E390&lt;&gt;"",'Raw Data'!E390,"")</f>
        <v/>
      </c>
      <c r="F403" s="11" t="str">
        <f>IF('Raw Data'!A390&lt;&gt;"",AVERAGE('Raw Data'!F390,'Raw Data'!H390,'Raw Data'!J390,'Raw Data'!L390,'Raw Data'!N390),"")</f>
        <v/>
      </c>
      <c r="G403" s="11" t="str">
        <f>IF('Raw Data'!A390&lt;&gt;"",AVERAGE('Raw Data'!G390,'Raw Data'!I390,'Raw Data'!K390,'Raw Data'!M390,'Raw Data'!O390),"")</f>
        <v/>
      </c>
      <c r="H403" s="11" t="str">
        <f t="shared" si="69"/>
        <v/>
      </c>
      <c r="I403" s="11" t="str">
        <f>IF('Raw Data'!A390&lt;&gt;"",AVERAGE('Raw Data'!P390,'Raw Data'!R390,'Raw Data'!T390,'Raw Data'!V390,'Raw Data'!X390),"")</f>
        <v/>
      </c>
      <c r="J403" s="11" t="str">
        <f>IF('Raw Data'!A390&lt;&gt;"",AVERAGE('Raw Data'!Q390,'Raw Data'!S390,'Raw Data'!U390,'Raw Data'!W390,'Raw Data'!Y390),"")</f>
        <v/>
      </c>
      <c r="K403" s="11" t="str">
        <f t="shared" si="70"/>
        <v/>
      </c>
      <c r="L403" s="11" t="str">
        <f>IF('Raw Data'!A390&lt;&gt;"",AVERAGE('Raw Data'!Z390,'Raw Data'!AB390,'Raw Data'!AD390,'Raw Data'!AF390,'Raw Data'!AH390),"")</f>
        <v/>
      </c>
      <c r="M403" s="11" t="str">
        <f>IF('Raw Data'!A390&lt;&gt;"",AVERAGE('Raw Data'!AA390,'Raw Data'!AC390,'Raw Data'!AE390,'Raw Data'!AG390,'Raw Data'!AI390),"")</f>
        <v/>
      </c>
      <c r="N403" s="11" t="str">
        <f t="shared" si="71"/>
        <v/>
      </c>
      <c r="O403" s="11" t="str">
        <f>IF('Raw Data'!A390&lt;&gt;"",AVERAGE('Raw Data'!AJ390,'Raw Data'!AL390,'Raw Data'!AN390,'Raw Data'!AP390,'Raw Data'!AR390),"")</f>
        <v/>
      </c>
      <c r="P403" s="11" t="str">
        <f>IF('Raw Data'!A390&lt;&gt;"",AVERAGE('Raw Data'!AK390,'Raw Data'!AM390,'Raw Data'!AO390,'Raw Data'!AQ390,'Raw Data'!AS390),"")</f>
        <v/>
      </c>
      <c r="Q403" s="11" t="str">
        <f t="shared" si="72"/>
        <v/>
      </c>
      <c r="R403" s="11" t="str">
        <f>IF('Raw Data'!A390&lt;&gt;"",AVERAGE('Raw Data'!AT390,'Raw Data'!AV390,'Raw Data'!AX390,'Raw Data'!AZ390,'Raw Data'!BB390),"")</f>
        <v/>
      </c>
      <c r="S403" s="11" t="str">
        <f>IF('Raw Data'!A390&lt;&gt;"",AVERAGE('Raw Data'!AU390,'Raw Data'!AW390,'Raw Data'!AY390,'Raw Data'!BA390,'Raw Data'!BC390),"")</f>
        <v/>
      </c>
      <c r="T403" s="11" t="str">
        <f t="shared" si="73"/>
        <v/>
      </c>
      <c r="U403" s="11" t="str">
        <f>IF('Raw Data'!A390&lt;&gt;"",AVERAGE('Raw Data'!BD390,'Raw Data'!BF390,'Raw Data'!BH390,'Raw Data'!BJ390,'Raw Data'!BL390),"")</f>
        <v/>
      </c>
      <c r="V403" s="11" t="str">
        <f>IF('Raw Data'!A390&lt;&gt;"",AVERAGE('Raw Data'!BE390,'Raw Data'!BG390,'Raw Data'!BI390,'Raw Data'!BK390,'Raw Data'!BM390),"")</f>
        <v/>
      </c>
      <c r="W403" s="11" t="str">
        <f t="shared" si="74"/>
        <v/>
      </c>
      <c r="X403" s="11" t="str">
        <f t="shared" si="75"/>
        <v/>
      </c>
      <c r="Y403" s="11" t="str">
        <f t="shared" si="76"/>
        <v/>
      </c>
      <c r="Z403" s="11" t="str">
        <f t="shared" si="77"/>
        <v/>
      </c>
      <c r="AA403" s="11" t="str">
        <f t="shared" si="78"/>
        <v/>
      </c>
      <c r="AB403" s="24" t="str">
        <f t="shared" si="79"/>
        <v/>
      </c>
    </row>
    <row r="404" spans="1:28" x14ac:dyDescent="0.25">
      <c r="A404" s="10" t="str">
        <f>IF('Raw Data'!A391&lt;&gt;"",'Raw Data'!A391,"")</f>
        <v/>
      </c>
      <c r="B404" s="10" t="str">
        <f>IF('Raw Data'!B391&lt;&gt;"",'Raw Data'!B391,"")</f>
        <v/>
      </c>
      <c r="C404" s="10" t="str">
        <f>IF('Raw Data'!C391&lt;&gt;"",'Raw Data'!C391,"")</f>
        <v/>
      </c>
      <c r="D404" s="10" t="str">
        <f>IF('Raw Data'!D391&lt;&gt;"",'Raw Data'!D391,"")</f>
        <v/>
      </c>
      <c r="E404" s="10" t="str">
        <f>IF('Raw Data'!E391&lt;&gt;"",'Raw Data'!E391,"")</f>
        <v/>
      </c>
      <c r="F404" s="14" t="str">
        <f>IF('Raw Data'!A391&lt;&gt;"",AVERAGE('Raw Data'!F391,'Raw Data'!H391,'Raw Data'!J391,'Raw Data'!L391,'Raw Data'!N391),"")</f>
        <v/>
      </c>
      <c r="G404" s="14" t="str">
        <f>IF('Raw Data'!A391&lt;&gt;"",AVERAGE('Raw Data'!G391,'Raw Data'!I391,'Raw Data'!K391,'Raw Data'!M391,'Raw Data'!O391),"")</f>
        <v/>
      </c>
      <c r="H404" s="14" t="str">
        <f t="shared" si="69"/>
        <v/>
      </c>
      <c r="I404" s="14" t="str">
        <f>IF('Raw Data'!A391&lt;&gt;"",AVERAGE('Raw Data'!P391,'Raw Data'!R391,'Raw Data'!T391,'Raw Data'!V391,'Raw Data'!X391),"")</f>
        <v/>
      </c>
      <c r="J404" s="14" t="str">
        <f>IF('Raw Data'!A391&lt;&gt;"",AVERAGE('Raw Data'!Q391,'Raw Data'!S391,'Raw Data'!U391,'Raw Data'!W391,'Raw Data'!Y391),"")</f>
        <v/>
      </c>
      <c r="K404" s="14" t="str">
        <f t="shared" si="70"/>
        <v/>
      </c>
      <c r="L404" s="14" t="str">
        <f>IF('Raw Data'!A391&lt;&gt;"",AVERAGE('Raw Data'!Z391,'Raw Data'!AB391,'Raw Data'!AD391,'Raw Data'!AF391,'Raw Data'!AH391),"")</f>
        <v/>
      </c>
      <c r="M404" s="14" t="str">
        <f>IF('Raw Data'!A391&lt;&gt;"",AVERAGE('Raw Data'!AA391,'Raw Data'!AC391,'Raw Data'!AE391,'Raw Data'!AG391,'Raw Data'!AI391),"")</f>
        <v/>
      </c>
      <c r="N404" s="14" t="str">
        <f t="shared" si="71"/>
        <v/>
      </c>
      <c r="O404" s="14" t="str">
        <f>IF('Raw Data'!A391&lt;&gt;"",AVERAGE('Raw Data'!AJ391,'Raw Data'!AL391,'Raw Data'!AN391,'Raw Data'!AP391,'Raw Data'!AR391),"")</f>
        <v/>
      </c>
      <c r="P404" s="14" t="str">
        <f>IF('Raw Data'!A391&lt;&gt;"",AVERAGE('Raw Data'!AK391,'Raw Data'!AM391,'Raw Data'!AO391,'Raw Data'!AQ391,'Raw Data'!AS391),"")</f>
        <v/>
      </c>
      <c r="Q404" s="14" t="str">
        <f t="shared" si="72"/>
        <v/>
      </c>
      <c r="R404" s="14" t="str">
        <f>IF('Raw Data'!A391&lt;&gt;"",AVERAGE('Raw Data'!AT391,'Raw Data'!AV391,'Raw Data'!AX391,'Raw Data'!AZ391,'Raw Data'!BB391),"")</f>
        <v/>
      </c>
      <c r="S404" s="14" t="str">
        <f>IF('Raw Data'!A391&lt;&gt;"",AVERAGE('Raw Data'!AU391,'Raw Data'!AW391,'Raw Data'!AY391,'Raw Data'!BA391,'Raw Data'!BC391),"")</f>
        <v/>
      </c>
      <c r="T404" s="14" t="str">
        <f t="shared" si="73"/>
        <v/>
      </c>
      <c r="U404" s="14" t="str">
        <f>IF('Raw Data'!A391&lt;&gt;"",AVERAGE('Raw Data'!BD391,'Raw Data'!BF391,'Raw Data'!BH391,'Raw Data'!BJ391,'Raw Data'!BL391),"")</f>
        <v/>
      </c>
      <c r="V404" s="14" t="str">
        <f>IF('Raw Data'!A391&lt;&gt;"",AVERAGE('Raw Data'!BE391,'Raw Data'!BG391,'Raw Data'!BI391,'Raw Data'!BK391,'Raw Data'!BM391),"")</f>
        <v/>
      </c>
      <c r="W404" s="14" t="str">
        <f t="shared" si="74"/>
        <v/>
      </c>
      <c r="X404" s="14" t="str">
        <f t="shared" si="75"/>
        <v/>
      </c>
      <c r="Y404" s="14" t="str">
        <f t="shared" si="76"/>
        <v/>
      </c>
      <c r="Z404" s="14" t="str">
        <f t="shared" si="77"/>
        <v/>
      </c>
      <c r="AA404" s="14" t="str">
        <f t="shared" si="78"/>
        <v/>
      </c>
      <c r="AB404" s="25" t="str">
        <f t="shared" si="79"/>
        <v/>
      </c>
    </row>
    <row r="405" spans="1:28" x14ac:dyDescent="0.25">
      <c r="A405" s="2" t="str">
        <f>IF('Raw Data'!A392&lt;&gt;"",'Raw Data'!A392,"")</f>
        <v/>
      </c>
      <c r="B405" s="2" t="str">
        <f>IF('Raw Data'!B392&lt;&gt;"",'Raw Data'!B392,"")</f>
        <v/>
      </c>
      <c r="C405" s="2" t="str">
        <f>IF('Raw Data'!C392&lt;&gt;"",'Raw Data'!C392,"")</f>
        <v/>
      </c>
      <c r="D405" s="2" t="str">
        <f>IF('Raw Data'!D392&lt;&gt;"",'Raw Data'!D392,"")</f>
        <v/>
      </c>
      <c r="E405" s="2" t="str">
        <f>IF('Raw Data'!E392&lt;&gt;"",'Raw Data'!E392,"")</f>
        <v/>
      </c>
      <c r="F405" s="11" t="str">
        <f>IF('Raw Data'!A392&lt;&gt;"",AVERAGE('Raw Data'!F392,'Raw Data'!H392,'Raw Data'!J392,'Raw Data'!L392,'Raw Data'!N392),"")</f>
        <v/>
      </c>
      <c r="G405" s="11" t="str">
        <f>IF('Raw Data'!A392&lt;&gt;"",AVERAGE('Raw Data'!G392,'Raw Data'!I392,'Raw Data'!K392,'Raw Data'!M392,'Raw Data'!O392),"")</f>
        <v/>
      </c>
      <c r="H405" s="11" t="str">
        <f t="shared" si="69"/>
        <v/>
      </c>
      <c r="I405" s="11" t="str">
        <f>IF('Raw Data'!A392&lt;&gt;"",AVERAGE('Raw Data'!P392,'Raw Data'!R392,'Raw Data'!T392,'Raw Data'!V392,'Raw Data'!X392),"")</f>
        <v/>
      </c>
      <c r="J405" s="11" t="str">
        <f>IF('Raw Data'!A392&lt;&gt;"",AVERAGE('Raw Data'!Q392,'Raw Data'!S392,'Raw Data'!U392,'Raw Data'!W392,'Raw Data'!Y392),"")</f>
        <v/>
      </c>
      <c r="K405" s="11" t="str">
        <f t="shared" si="70"/>
        <v/>
      </c>
      <c r="L405" s="11" t="str">
        <f>IF('Raw Data'!A392&lt;&gt;"",AVERAGE('Raw Data'!Z392,'Raw Data'!AB392,'Raw Data'!AD392,'Raw Data'!AF392,'Raw Data'!AH392),"")</f>
        <v/>
      </c>
      <c r="M405" s="11" t="str">
        <f>IF('Raw Data'!A392&lt;&gt;"",AVERAGE('Raw Data'!AA392,'Raw Data'!AC392,'Raw Data'!AE392,'Raw Data'!AG392,'Raw Data'!AI392),"")</f>
        <v/>
      </c>
      <c r="N405" s="11" t="str">
        <f t="shared" si="71"/>
        <v/>
      </c>
      <c r="O405" s="11" t="str">
        <f>IF('Raw Data'!A392&lt;&gt;"",AVERAGE('Raw Data'!AJ392,'Raw Data'!AL392,'Raw Data'!AN392,'Raw Data'!AP392,'Raw Data'!AR392),"")</f>
        <v/>
      </c>
      <c r="P405" s="11" t="str">
        <f>IF('Raw Data'!A392&lt;&gt;"",AVERAGE('Raw Data'!AK392,'Raw Data'!AM392,'Raw Data'!AO392,'Raw Data'!AQ392,'Raw Data'!AS392),"")</f>
        <v/>
      </c>
      <c r="Q405" s="11" t="str">
        <f t="shared" si="72"/>
        <v/>
      </c>
      <c r="R405" s="11" t="str">
        <f>IF('Raw Data'!A392&lt;&gt;"",AVERAGE('Raw Data'!AT392,'Raw Data'!AV392,'Raw Data'!AX392,'Raw Data'!AZ392,'Raw Data'!BB392),"")</f>
        <v/>
      </c>
      <c r="S405" s="11" t="str">
        <f>IF('Raw Data'!A392&lt;&gt;"",AVERAGE('Raw Data'!AU392,'Raw Data'!AW392,'Raw Data'!AY392,'Raw Data'!BA392,'Raw Data'!BC392),"")</f>
        <v/>
      </c>
      <c r="T405" s="11" t="str">
        <f t="shared" si="73"/>
        <v/>
      </c>
      <c r="U405" s="11" t="str">
        <f>IF('Raw Data'!A392&lt;&gt;"",AVERAGE('Raw Data'!BD392,'Raw Data'!BF392,'Raw Data'!BH392,'Raw Data'!BJ392,'Raw Data'!BL392),"")</f>
        <v/>
      </c>
      <c r="V405" s="11" t="str">
        <f>IF('Raw Data'!A392&lt;&gt;"",AVERAGE('Raw Data'!BE392,'Raw Data'!BG392,'Raw Data'!BI392,'Raw Data'!BK392,'Raw Data'!BM392),"")</f>
        <v/>
      </c>
      <c r="W405" s="11" t="str">
        <f t="shared" si="74"/>
        <v/>
      </c>
      <c r="X405" s="11" t="str">
        <f t="shared" si="75"/>
        <v/>
      </c>
      <c r="Y405" s="11" t="str">
        <f t="shared" si="76"/>
        <v/>
      </c>
      <c r="Z405" s="11" t="str">
        <f t="shared" si="77"/>
        <v/>
      </c>
      <c r="AA405" s="11" t="str">
        <f t="shared" si="78"/>
        <v/>
      </c>
      <c r="AB405" s="24" t="str">
        <f t="shared" si="79"/>
        <v/>
      </c>
    </row>
    <row r="406" spans="1:28" x14ac:dyDescent="0.25">
      <c r="A406" s="10" t="str">
        <f>IF('Raw Data'!A393&lt;&gt;"",'Raw Data'!A393,"")</f>
        <v/>
      </c>
      <c r="B406" s="10" t="str">
        <f>IF('Raw Data'!B393&lt;&gt;"",'Raw Data'!B393,"")</f>
        <v/>
      </c>
      <c r="C406" s="10" t="str">
        <f>IF('Raw Data'!C393&lt;&gt;"",'Raw Data'!C393,"")</f>
        <v/>
      </c>
      <c r="D406" s="10" t="str">
        <f>IF('Raw Data'!D393&lt;&gt;"",'Raw Data'!D393,"")</f>
        <v/>
      </c>
      <c r="E406" s="10" t="str">
        <f>IF('Raw Data'!E393&lt;&gt;"",'Raw Data'!E393,"")</f>
        <v/>
      </c>
      <c r="F406" s="14" t="str">
        <f>IF('Raw Data'!A393&lt;&gt;"",AVERAGE('Raw Data'!F393,'Raw Data'!H393,'Raw Data'!J393,'Raw Data'!L393,'Raw Data'!N393),"")</f>
        <v/>
      </c>
      <c r="G406" s="14" t="str">
        <f>IF('Raw Data'!A393&lt;&gt;"",AVERAGE('Raw Data'!G393,'Raw Data'!I393,'Raw Data'!K393,'Raw Data'!M393,'Raw Data'!O393),"")</f>
        <v/>
      </c>
      <c r="H406" s="14" t="str">
        <f t="shared" si="69"/>
        <v/>
      </c>
      <c r="I406" s="14" t="str">
        <f>IF('Raw Data'!A393&lt;&gt;"",AVERAGE('Raw Data'!P393,'Raw Data'!R393,'Raw Data'!T393,'Raw Data'!V393,'Raw Data'!X393),"")</f>
        <v/>
      </c>
      <c r="J406" s="14" t="str">
        <f>IF('Raw Data'!A393&lt;&gt;"",AVERAGE('Raw Data'!Q393,'Raw Data'!S393,'Raw Data'!U393,'Raw Data'!W393,'Raw Data'!Y393),"")</f>
        <v/>
      </c>
      <c r="K406" s="14" t="str">
        <f t="shared" si="70"/>
        <v/>
      </c>
      <c r="L406" s="14" t="str">
        <f>IF('Raw Data'!A393&lt;&gt;"",AVERAGE('Raw Data'!Z393,'Raw Data'!AB393,'Raw Data'!AD393,'Raw Data'!AF393,'Raw Data'!AH393),"")</f>
        <v/>
      </c>
      <c r="M406" s="14" t="str">
        <f>IF('Raw Data'!A393&lt;&gt;"",AVERAGE('Raw Data'!AA393,'Raw Data'!AC393,'Raw Data'!AE393,'Raw Data'!AG393,'Raw Data'!AI393),"")</f>
        <v/>
      </c>
      <c r="N406" s="14" t="str">
        <f t="shared" si="71"/>
        <v/>
      </c>
      <c r="O406" s="14" t="str">
        <f>IF('Raw Data'!A393&lt;&gt;"",AVERAGE('Raw Data'!AJ393,'Raw Data'!AL393,'Raw Data'!AN393,'Raw Data'!AP393,'Raw Data'!AR393),"")</f>
        <v/>
      </c>
      <c r="P406" s="14" t="str">
        <f>IF('Raw Data'!A393&lt;&gt;"",AVERAGE('Raw Data'!AK393,'Raw Data'!AM393,'Raw Data'!AO393,'Raw Data'!AQ393,'Raw Data'!AS393),"")</f>
        <v/>
      </c>
      <c r="Q406" s="14" t="str">
        <f t="shared" si="72"/>
        <v/>
      </c>
      <c r="R406" s="14" t="str">
        <f>IF('Raw Data'!A393&lt;&gt;"",AVERAGE('Raw Data'!AT393,'Raw Data'!AV393,'Raw Data'!AX393,'Raw Data'!AZ393,'Raw Data'!BB393),"")</f>
        <v/>
      </c>
      <c r="S406" s="14" t="str">
        <f>IF('Raw Data'!A393&lt;&gt;"",AVERAGE('Raw Data'!AU393,'Raw Data'!AW393,'Raw Data'!AY393,'Raw Data'!BA393,'Raw Data'!BC393),"")</f>
        <v/>
      </c>
      <c r="T406" s="14" t="str">
        <f t="shared" si="73"/>
        <v/>
      </c>
      <c r="U406" s="14" t="str">
        <f>IF('Raw Data'!A393&lt;&gt;"",AVERAGE('Raw Data'!BD393,'Raw Data'!BF393,'Raw Data'!BH393,'Raw Data'!BJ393,'Raw Data'!BL393),"")</f>
        <v/>
      </c>
      <c r="V406" s="14" t="str">
        <f>IF('Raw Data'!A393&lt;&gt;"",AVERAGE('Raw Data'!BE393,'Raw Data'!BG393,'Raw Data'!BI393,'Raw Data'!BK393,'Raw Data'!BM393),"")</f>
        <v/>
      </c>
      <c r="W406" s="14" t="str">
        <f t="shared" si="74"/>
        <v/>
      </c>
      <c r="X406" s="14" t="str">
        <f t="shared" si="75"/>
        <v/>
      </c>
      <c r="Y406" s="14" t="str">
        <f t="shared" si="76"/>
        <v/>
      </c>
      <c r="Z406" s="14" t="str">
        <f t="shared" si="77"/>
        <v/>
      </c>
      <c r="AA406" s="14" t="str">
        <f t="shared" si="78"/>
        <v/>
      </c>
      <c r="AB406" s="25" t="str">
        <f t="shared" si="79"/>
        <v/>
      </c>
    </row>
    <row r="407" spans="1:28" x14ac:dyDescent="0.25">
      <c r="A407" s="2" t="str">
        <f>IF('Raw Data'!A394&lt;&gt;"",'Raw Data'!A394,"")</f>
        <v/>
      </c>
      <c r="B407" s="2" t="str">
        <f>IF('Raw Data'!B394&lt;&gt;"",'Raw Data'!B394,"")</f>
        <v/>
      </c>
      <c r="C407" s="2" t="str">
        <f>IF('Raw Data'!C394&lt;&gt;"",'Raw Data'!C394,"")</f>
        <v/>
      </c>
      <c r="D407" s="2" t="str">
        <f>IF('Raw Data'!D394&lt;&gt;"",'Raw Data'!D394,"")</f>
        <v/>
      </c>
      <c r="E407" s="2" t="str">
        <f>IF('Raw Data'!E394&lt;&gt;"",'Raw Data'!E394,"")</f>
        <v/>
      </c>
      <c r="F407" s="11" t="str">
        <f>IF('Raw Data'!A394&lt;&gt;"",AVERAGE('Raw Data'!F394,'Raw Data'!H394,'Raw Data'!J394,'Raw Data'!L394,'Raw Data'!N394),"")</f>
        <v/>
      </c>
      <c r="G407" s="11" t="str">
        <f>IF('Raw Data'!A394&lt;&gt;"",AVERAGE('Raw Data'!G394,'Raw Data'!I394,'Raw Data'!K394,'Raw Data'!M394,'Raw Data'!O394),"")</f>
        <v/>
      </c>
      <c r="H407" s="11" t="str">
        <f t="shared" si="69"/>
        <v/>
      </c>
      <c r="I407" s="11" t="str">
        <f>IF('Raw Data'!A394&lt;&gt;"",AVERAGE('Raw Data'!P394,'Raw Data'!R394,'Raw Data'!T394,'Raw Data'!V394,'Raw Data'!X394),"")</f>
        <v/>
      </c>
      <c r="J407" s="11" t="str">
        <f>IF('Raw Data'!A394&lt;&gt;"",AVERAGE('Raw Data'!Q394,'Raw Data'!S394,'Raw Data'!U394,'Raw Data'!W394,'Raw Data'!Y394),"")</f>
        <v/>
      </c>
      <c r="K407" s="11" t="str">
        <f t="shared" si="70"/>
        <v/>
      </c>
      <c r="L407" s="11" t="str">
        <f>IF('Raw Data'!A394&lt;&gt;"",AVERAGE('Raw Data'!Z394,'Raw Data'!AB394,'Raw Data'!AD394,'Raw Data'!AF394,'Raw Data'!AH394),"")</f>
        <v/>
      </c>
      <c r="M407" s="11" t="str">
        <f>IF('Raw Data'!A394&lt;&gt;"",AVERAGE('Raw Data'!AA394,'Raw Data'!AC394,'Raw Data'!AE394,'Raw Data'!AG394,'Raw Data'!AI394),"")</f>
        <v/>
      </c>
      <c r="N407" s="11" t="str">
        <f t="shared" si="71"/>
        <v/>
      </c>
      <c r="O407" s="11" t="str">
        <f>IF('Raw Data'!A394&lt;&gt;"",AVERAGE('Raw Data'!AJ394,'Raw Data'!AL394,'Raw Data'!AN394,'Raw Data'!AP394,'Raw Data'!AR394),"")</f>
        <v/>
      </c>
      <c r="P407" s="11" t="str">
        <f>IF('Raw Data'!A394&lt;&gt;"",AVERAGE('Raw Data'!AK394,'Raw Data'!AM394,'Raw Data'!AO394,'Raw Data'!AQ394,'Raw Data'!AS394),"")</f>
        <v/>
      </c>
      <c r="Q407" s="11" t="str">
        <f t="shared" si="72"/>
        <v/>
      </c>
      <c r="R407" s="11" t="str">
        <f>IF('Raw Data'!A394&lt;&gt;"",AVERAGE('Raw Data'!AT394,'Raw Data'!AV394,'Raw Data'!AX394,'Raw Data'!AZ394,'Raw Data'!BB394),"")</f>
        <v/>
      </c>
      <c r="S407" s="11" t="str">
        <f>IF('Raw Data'!A394&lt;&gt;"",AVERAGE('Raw Data'!AU394,'Raw Data'!AW394,'Raw Data'!AY394,'Raw Data'!BA394,'Raw Data'!BC394),"")</f>
        <v/>
      </c>
      <c r="T407" s="11" t="str">
        <f t="shared" si="73"/>
        <v/>
      </c>
      <c r="U407" s="11" t="str">
        <f>IF('Raw Data'!A394&lt;&gt;"",AVERAGE('Raw Data'!BD394,'Raw Data'!BF394,'Raw Data'!BH394,'Raw Data'!BJ394,'Raw Data'!BL394),"")</f>
        <v/>
      </c>
      <c r="V407" s="11" t="str">
        <f>IF('Raw Data'!A394&lt;&gt;"",AVERAGE('Raw Data'!BE394,'Raw Data'!BG394,'Raw Data'!BI394,'Raw Data'!BK394,'Raw Data'!BM394),"")</f>
        <v/>
      </c>
      <c r="W407" s="11" t="str">
        <f t="shared" si="74"/>
        <v/>
      </c>
      <c r="X407" s="11" t="str">
        <f t="shared" si="75"/>
        <v/>
      </c>
      <c r="Y407" s="11" t="str">
        <f t="shared" si="76"/>
        <v/>
      </c>
      <c r="Z407" s="11" t="str">
        <f t="shared" si="77"/>
        <v/>
      </c>
      <c r="AA407" s="11" t="str">
        <f t="shared" si="78"/>
        <v/>
      </c>
      <c r="AB407" s="24" t="str">
        <f t="shared" si="79"/>
        <v/>
      </c>
    </row>
    <row r="408" spans="1:28" x14ac:dyDescent="0.25">
      <c r="A408" s="10" t="str">
        <f>IF('Raw Data'!A395&lt;&gt;"",'Raw Data'!A395,"")</f>
        <v/>
      </c>
      <c r="B408" s="10" t="str">
        <f>IF('Raw Data'!B395&lt;&gt;"",'Raw Data'!B395,"")</f>
        <v/>
      </c>
      <c r="C408" s="10" t="str">
        <f>IF('Raw Data'!C395&lt;&gt;"",'Raw Data'!C395,"")</f>
        <v/>
      </c>
      <c r="D408" s="10" t="str">
        <f>IF('Raw Data'!D395&lt;&gt;"",'Raw Data'!D395,"")</f>
        <v/>
      </c>
      <c r="E408" s="10" t="str">
        <f>IF('Raw Data'!E395&lt;&gt;"",'Raw Data'!E395,"")</f>
        <v/>
      </c>
      <c r="F408" s="14" t="str">
        <f>IF('Raw Data'!A395&lt;&gt;"",AVERAGE('Raw Data'!F395,'Raw Data'!H395,'Raw Data'!J395,'Raw Data'!L395,'Raw Data'!N395),"")</f>
        <v/>
      </c>
      <c r="G408" s="14" t="str">
        <f>IF('Raw Data'!A395&lt;&gt;"",AVERAGE('Raw Data'!G395,'Raw Data'!I395,'Raw Data'!K395,'Raw Data'!M395,'Raw Data'!O395),"")</f>
        <v/>
      </c>
      <c r="H408" s="14" t="str">
        <f t="shared" si="69"/>
        <v/>
      </c>
      <c r="I408" s="14" t="str">
        <f>IF('Raw Data'!A395&lt;&gt;"",AVERAGE('Raw Data'!P395,'Raw Data'!R395,'Raw Data'!T395,'Raw Data'!V395,'Raw Data'!X395),"")</f>
        <v/>
      </c>
      <c r="J408" s="14" t="str">
        <f>IF('Raw Data'!A395&lt;&gt;"",AVERAGE('Raw Data'!Q395,'Raw Data'!S395,'Raw Data'!U395,'Raw Data'!W395,'Raw Data'!Y395),"")</f>
        <v/>
      </c>
      <c r="K408" s="14" t="str">
        <f t="shared" si="70"/>
        <v/>
      </c>
      <c r="L408" s="14" t="str">
        <f>IF('Raw Data'!A395&lt;&gt;"",AVERAGE('Raw Data'!Z395,'Raw Data'!AB395,'Raw Data'!AD395,'Raw Data'!AF395,'Raw Data'!AH395),"")</f>
        <v/>
      </c>
      <c r="M408" s="14" t="str">
        <f>IF('Raw Data'!A395&lt;&gt;"",AVERAGE('Raw Data'!AA395,'Raw Data'!AC395,'Raw Data'!AE395,'Raw Data'!AG395,'Raw Data'!AI395),"")</f>
        <v/>
      </c>
      <c r="N408" s="14" t="str">
        <f t="shared" si="71"/>
        <v/>
      </c>
      <c r="O408" s="14" t="str">
        <f>IF('Raw Data'!A395&lt;&gt;"",AVERAGE('Raw Data'!AJ395,'Raw Data'!AL395,'Raw Data'!AN395,'Raw Data'!AP395,'Raw Data'!AR395),"")</f>
        <v/>
      </c>
      <c r="P408" s="14" t="str">
        <f>IF('Raw Data'!A395&lt;&gt;"",AVERAGE('Raw Data'!AK395,'Raw Data'!AM395,'Raw Data'!AO395,'Raw Data'!AQ395,'Raw Data'!AS395),"")</f>
        <v/>
      </c>
      <c r="Q408" s="14" t="str">
        <f t="shared" si="72"/>
        <v/>
      </c>
      <c r="R408" s="14" t="str">
        <f>IF('Raw Data'!A395&lt;&gt;"",AVERAGE('Raw Data'!AT395,'Raw Data'!AV395,'Raw Data'!AX395,'Raw Data'!AZ395,'Raw Data'!BB395),"")</f>
        <v/>
      </c>
      <c r="S408" s="14" t="str">
        <f>IF('Raw Data'!A395&lt;&gt;"",AVERAGE('Raw Data'!AU395,'Raw Data'!AW395,'Raw Data'!AY395,'Raw Data'!BA395,'Raw Data'!BC395),"")</f>
        <v/>
      </c>
      <c r="T408" s="14" t="str">
        <f t="shared" si="73"/>
        <v/>
      </c>
      <c r="U408" s="14" t="str">
        <f>IF('Raw Data'!A395&lt;&gt;"",AVERAGE('Raw Data'!BD395,'Raw Data'!BF395,'Raw Data'!BH395,'Raw Data'!BJ395,'Raw Data'!BL395),"")</f>
        <v/>
      </c>
      <c r="V408" s="14" t="str">
        <f>IF('Raw Data'!A395&lt;&gt;"",AVERAGE('Raw Data'!BE395,'Raw Data'!BG395,'Raw Data'!BI395,'Raw Data'!BK395,'Raw Data'!BM395),"")</f>
        <v/>
      </c>
      <c r="W408" s="14" t="str">
        <f t="shared" si="74"/>
        <v/>
      </c>
      <c r="X408" s="14" t="str">
        <f t="shared" si="75"/>
        <v/>
      </c>
      <c r="Y408" s="14" t="str">
        <f t="shared" si="76"/>
        <v/>
      </c>
      <c r="Z408" s="14" t="str">
        <f t="shared" si="77"/>
        <v/>
      </c>
      <c r="AA408" s="14" t="str">
        <f t="shared" si="78"/>
        <v/>
      </c>
      <c r="AB408" s="25" t="str">
        <f t="shared" si="79"/>
        <v/>
      </c>
    </row>
    <row r="409" spans="1:28" x14ac:dyDescent="0.25">
      <c r="A409" s="2" t="str">
        <f>IF('Raw Data'!A396&lt;&gt;"",'Raw Data'!A396,"")</f>
        <v/>
      </c>
      <c r="B409" s="2" t="str">
        <f>IF('Raw Data'!B396&lt;&gt;"",'Raw Data'!B396,"")</f>
        <v/>
      </c>
      <c r="C409" s="2" t="str">
        <f>IF('Raw Data'!C396&lt;&gt;"",'Raw Data'!C396,"")</f>
        <v/>
      </c>
      <c r="D409" s="2" t="str">
        <f>IF('Raw Data'!D396&lt;&gt;"",'Raw Data'!D396,"")</f>
        <v/>
      </c>
      <c r="E409" s="2" t="str">
        <f>IF('Raw Data'!E396&lt;&gt;"",'Raw Data'!E396,"")</f>
        <v/>
      </c>
      <c r="F409" s="11" t="str">
        <f>IF('Raw Data'!A396&lt;&gt;"",AVERAGE('Raw Data'!F396,'Raw Data'!H396,'Raw Data'!J396,'Raw Data'!L396,'Raw Data'!N396),"")</f>
        <v/>
      </c>
      <c r="G409" s="11" t="str">
        <f>IF('Raw Data'!A396&lt;&gt;"",AVERAGE('Raw Data'!G396,'Raw Data'!I396,'Raw Data'!K396,'Raw Data'!M396,'Raw Data'!O396),"")</f>
        <v/>
      </c>
      <c r="H409" s="11" t="str">
        <f t="shared" si="69"/>
        <v/>
      </c>
      <c r="I409" s="11" t="str">
        <f>IF('Raw Data'!A396&lt;&gt;"",AVERAGE('Raw Data'!P396,'Raw Data'!R396,'Raw Data'!T396,'Raw Data'!V396,'Raw Data'!X396),"")</f>
        <v/>
      </c>
      <c r="J409" s="11" t="str">
        <f>IF('Raw Data'!A396&lt;&gt;"",AVERAGE('Raw Data'!Q396,'Raw Data'!S396,'Raw Data'!U396,'Raw Data'!W396,'Raw Data'!Y396),"")</f>
        <v/>
      </c>
      <c r="K409" s="11" t="str">
        <f t="shared" si="70"/>
        <v/>
      </c>
      <c r="L409" s="11" t="str">
        <f>IF('Raw Data'!A396&lt;&gt;"",AVERAGE('Raw Data'!Z396,'Raw Data'!AB396,'Raw Data'!AD396,'Raw Data'!AF396,'Raw Data'!AH396),"")</f>
        <v/>
      </c>
      <c r="M409" s="11" t="str">
        <f>IF('Raw Data'!A396&lt;&gt;"",AVERAGE('Raw Data'!AA396,'Raw Data'!AC396,'Raw Data'!AE396,'Raw Data'!AG396,'Raw Data'!AI396),"")</f>
        <v/>
      </c>
      <c r="N409" s="11" t="str">
        <f t="shared" si="71"/>
        <v/>
      </c>
      <c r="O409" s="11" t="str">
        <f>IF('Raw Data'!A396&lt;&gt;"",AVERAGE('Raw Data'!AJ396,'Raw Data'!AL396,'Raw Data'!AN396,'Raw Data'!AP396,'Raw Data'!AR396),"")</f>
        <v/>
      </c>
      <c r="P409" s="11" t="str">
        <f>IF('Raw Data'!A396&lt;&gt;"",AVERAGE('Raw Data'!AK396,'Raw Data'!AM396,'Raw Data'!AO396,'Raw Data'!AQ396,'Raw Data'!AS396),"")</f>
        <v/>
      </c>
      <c r="Q409" s="11" t="str">
        <f t="shared" si="72"/>
        <v/>
      </c>
      <c r="R409" s="11" t="str">
        <f>IF('Raw Data'!A396&lt;&gt;"",AVERAGE('Raw Data'!AT396,'Raw Data'!AV396,'Raw Data'!AX396,'Raw Data'!AZ396,'Raw Data'!BB396),"")</f>
        <v/>
      </c>
      <c r="S409" s="11" t="str">
        <f>IF('Raw Data'!A396&lt;&gt;"",AVERAGE('Raw Data'!AU396,'Raw Data'!AW396,'Raw Data'!AY396,'Raw Data'!BA396,'Raw Data'!BC396),"")</f>
        <v/>
      </c>
      <c r="T409" s="11" t="str">
        <f t="shared" si="73"/>
        <v/>
      </c>
      <c r="U409" s="11" t="str">
        <f>IF('Raw Data'!A396&lt;&gt;"",AVERAGE('Raw Data'!BD396,'Raw Data'!BF396,'Raw Data'!BH396,'Raw Data'!BJ396,'Raw Data'!BL396),"")</f>
        <v/>
      </c>
      <c r="V409" s="11" t="str">
        <f>IF('Raw Data'!A396&lt;&gt;"",AVERAGE('Raw Data'!BE396,'Raw Data'!BG396,'Raw Data'!BI396,'Raw Data'!BK396,'Raw Data'!BM396),"")</f>
        <v/>
      </c>
      <c r="W409" s="11" t="str">
        <f t="shared" si="74"/>
        <v/>
      </c>
      <c r="X409" s="11" t="str">
        <f t="shared" si="75"/>
        <v/>
      </c>
      <c r="Y409" s="11" t="str">
        <f t="shared" si="76"/>
        <v/>
      </c>
      <c r="Z409" s="11" t="str">
        <f t="shared" si="77"/>
        <v/>
      </c>
      <c r="AA409" s="11" t="str">
        <f t="shared" si="78"/>
        <v/>
      </c>
      <c r="AB409" s="24" t="str">
        <f t="shared" si="79"/>
        <v/>
      </c>
    </row>
    <row r="410" spans="1:28" x14ac:dyDescent="0.25">
      <c r="A410" s="10" t="str">
        <f>IF('Raw Data'!A397&lt;&gt;"",'Raw Data'!A397,"")</f>
        <v/>
      </c>
      <c r="B410" s="10" t="str">
        <f>IF('Raw Data'!B397&lt;&gt;"",'Raw Data'!B397,"")</f>
        <v/>
      </c>
      <c r="C410" s="10" t="str">
        <f>IF('Raw Data'!C397&lt;&gt;"",'Raw Data'!C397,"")</f>
        <v/>
      </c>
      <c r="D410" s="10" t="str">
        <f>IF('Raw Data'!D397&lt;&gt;"",'Raw Data'!D397,"")</f>
        <v/>
      </c>
      <c r="E410" s="10" t="str">
        <f>IF('Raw Data'!E397&lt;&gt;"",'Raw Data'!E397,"")</f>
        <v/>
      </c>
      <c r="F410" s="14" t="str">
        <f>IF('Raw Data'!A397&lt;&gt;"",AVERAGE('Raw Data'!F397,'Raw Data'!H397,'Raw Data'!J397,'Raw Data'!L397,'Raw Data'!N397),"")</f>
        <v/>
      </c>
      <c r="G410" s="14" t="str">
        <f>IF('Raw Data'!A397&lt;&gt;"",AVERAGE('Raw Data'!G397,'Raw Data'!I397,'Raw Data'!K397,'Raw Data'!M397,'Raw Data'!O397),"")</f>
        <v/>
      </c>
      <c r="H410" s="14" t="str">
        <f t="shared" si="69"/>
        <v/>
      </c>
      <c r="I410" s="14" t="str">
        <f>IF('Raw Data'!A397&lt;&gt;"",AVERAGE('Raw Data'!P397,'Raw Data'!R397,'Raw Data'!T397,'Raw Data'!V397,'Raw Data'!X397),"")</f>
        <v/>
      </c>
      <c r="J410" s="14" t="str">
        <f>IF('Raw Data'!A397&lt;&gt;"",AVERAGE('Raw Data'!Q397,'Raw Data'!S397,'Raw Data'!U397,'Raw Data'!W397,'Raw Data'!Y397),"")</f>
        <v/>
      </c>
      <c r="K410" s="14" t="str">
        <f t="shared" si="70"/>
        <v/>
      </c>
      <c r="L410" s="14" t="str">
        <f>IF('Raw Data'!A397&lt;&gt;"",AVERAGE('Raw Data'!Z397,'Raw Data'!AB397,'Raw Data'!AD397,'Raw Data'!AF397,'Raw Data'!AH397),"")</f>
        <v/>
      </c>
      <c r="M410" s="14" t="str">
        <f>IF('Raw Data'!A397&lt;&gt;"",AVERAGE('Raw Data'!AA397,'Raw Data'!AC397,'Raw Data'!AE397,'Raw Data'!AG397,'Raw Data'!AI397),"")</f>
        <v/>
      </c>
      <c r="N410" s="14" t="str">
        <f t="shared" si="71"/>
        <v/>
      </c>
      <c r="O410" s="14" t="str">
        <f>IF('Raw Data'!A397&lt;&gt;"",AVERAGE('Raw Data'!AJ397,'Raw Data'!AL397,'Raw Data'!AN397,'Raw Data'!AP397,'Raw Data'!AR397),"")</f>
        <v/>
      </c>
      <c r="P410" s="14" t="str">
        <f>IF('Raw Data'!A397&lt;&gt;"",AVERAGE('Raw Data'!AK397,'Raw Data'!AM397,'Raw Data'!AO397,'Raw Data'!AQ397,'Raw Data'!AS397),"")</f>
        <v/>
      </c>
      <c r="Q410" s="14" t="str">
        <f t="shared" si="72"/>
        <v/>
      </c>
      <c r="R410" s="14" t="str">
        <f>IF('Raw Data'!A397&lt;&gt;"",AVERAGE('Raw Data'!AT397,'Raw Data'!AV397,'Raw Data'!AX397,'Raw Data'!AZ397,'Raw Data'!BB397),"")</f>
        <v/>
      </c>
      <c r="S410" s="14" t="str">
        <f>IF('Raw Data'!A397&lt;&gt;"",AVERAGE('Raw Data'!AU397,'Raw Data'!AW397,'Raw Data'!AY397,'Raw Data'!BA397,'Raw Data'!BC397),"")</f>
        <v/>
      </c>
      <c r="T410" s="14" t="str">
        <f t="shared" si="73"/>
        <v/>
      </c>
      <c r="U410" s="14" t="str">
        <f>IF('Raw Data'!A397&lt;&gt;"",AVERAGE('Raw Data'!BD397,'Raw Data'!BF397,'Raw Data'!BH397,'Raw Data'!BJ397,'Raw Data'!BL397),"")</f>
        <v/>
      </c>
      <c r="V410" s="14" t="str">
        <f>IF('Raw Data'!A397&lt;&gt;"",AVERAGE('Raw Data'!BE397,'Raw Data'!BG397,'Raw Data'!BI397,'Raw Data'!BK397,'Raw Data'!BM397),"")</f>
        <v/>
      </c>
      <c r="W410" s="14" t="str">
        <f t="shared" si="74"/>
        <v/>
      </c>
      <c r="X410" s="14" t="str">
        <f t="shared" si="75"/>
        <v/>
      </c>
      <c r="Y410" s="14" t="str">
        <f t="shared" si="76"/>
        <v/>
      </c>
      <c r="Z410" s="14" t="str">
        <f t="shared" si="77"/>
        <v/>
      </c>
      <c r="AA410" s="14" t="str">
        <f t="shared" si="78"/>
        <v/>
      </c>
      <c r="AB410" s="25" t="str">
        <f t="shared" si="79"/>
        <v/>
      </c>
    </row>
    <row r="411" spans="1:28" x14ac:dyDescent="0.25">
      <c r="A411" s="2" t="str">
        <f>IF('Raw Data'!A398&lt;&gt;"",'Raw Data'!A398,"")</f>
        <v/>
      </c>
      <c r="B411" s="2" t="str">
        <f>IF('Raw Data'!B398&lt;&gt;"",'Raw Data'!B398,"")</f>
        <v/>
      </c>
      <c r="C411" s="2" t="str">
        <f>IF('Raw Data'!C398&lt;&gt;"",'Raw Data'!C398,"")</f>
        <v/>
      </c>
      <c r="D411" s="2" t="str">
        <f>IF('Raw Data'!D398&lt;&gt;"",'Raw Data'!D398,"")</f>
        <v/>
      </c>
      <c r="E411" s="2" t="str">
        <f>IF('Raw Data'!E398&lt;&gt;"",'Raw Data'!E398,"")</f>
        <v/>
      </c>
      <c r="F411" s="11" t="str">
        <f>IF('Raw Data'!A398&lt;&gt;"",AVERAGE('Raw Data'!F398,'Raw Data'!H398,'Raw Data'!J398,'Raw Data'!L398,'Raw Data'!N398),"")</f>
        <v/>
      </c>
      <c r="G411" s="11" t="str">
        <f>IF('Raw Data'!A398&lt;&gt;"",AVERAGE('Raw Data'!G398,'Raw Data'!I398,'Raw Data'!K398,'Raw Data'!M398,'Raw Data'!O398),"")</f>
        <v/>
      </c>
      <c r="H411" s="11" t="str">
        <f t="shared" si="69"/>
        <v/>
      </c>
      <c r="I411" s="11" t="str">
        <f>IF('Raw Data'!A398&lt;&gt;"",AVERAGE('Raw Data'!P398,'Raw Data'!R398,'Raw Data'!T398,'Raw Data'!V398,'Raw Data'!X398),"")</f>
        <v/>
      </c>
      <c r="J411" s="11" t="str">
        <f>IF('Raw Data'!A398&lt;&gt;"",AVERAGE('Raw Data'!Q398,'Raw Data'!S398,'Raw Data'!U398,'Raw Data'!W398,'Raw Data'!Y398),"")</f>
        <v/>
      </c>
      <c r="K411" s="11" t="str">
        <f t="shared" si="70"/>
        <v/>
      </c>
      <c r="L411" s="11" t="str">
        <f>IF('Raw Data'!A398&lt;&gt;"",AVERAGE('Raw Data'!Z398,'Raw Data'!AB398,'Raw Data'!AD398,'Raw Data'!AF398,'Raw Data'!AH398),"")</f>
        <v/>
      </c>
      <c r="M411" s="11" t="str">
        <f>IF('Raw Data'!A398&lt;&gt;"",AVERAGE('Raw Data'!AA398,'Raw Data'!AC398,'Raw Data'!AE398,'Raw Data'!AG398,'Raw Data'!AI398),"")</f>
        <v/>
      </c>
      <c r="N411" s="11" t="str">
        <f t="shared" si="71"/>
        <v/>
      </c>
      <c r="O411" s="11" t="str">
        <f>IF('Raw Data'!A398&lt;&gt;"",AVERAGE('Raw Data'!AJ398,'Raw Data'!AL398,'Raw Data'!AN398,'Raw Data'!AP398,'Raw Data'!AR398),"")</f>
        <v/>
      </c>
      <c r="P411" s="11" t="str">
        <f>IF('Raw Data'!A398&lt;&gt;"",AVERAGE('Raw Data'!AK398,'Raw Data'!AM398,'Raw Data'!AO398,'Raw Data'!AQ398,'Raw Data'!AS398),"")</f>
        <v/>
      </c>
      <c r="Q411" s="11" t="str">
        <f t="shared" si="72"/>
        <v/>
      </c>
      <c r="R411" s="11" t="str">
        <f>IF('Raw Data'!A398&lt;&gt;"",AVERAGE('Raw Data'!AT398,'Raw Data'!AV398,'Raw Data'!AX398,'Raw Data'!AZ398,'Raw Data'!BB398),"")</f>
        <v/>
      </c>
      <c r="S411" s="11" t="str">
        <f>IF('Raw Data'!A398&lt;&gt;"",AVERAGE('Raw Data'!AU398,'Raw Data'!AW398,'Raw Data'!AY398,'Raw Data'!BA398,'Raw Data'!BC398),"")</f>
        <v/>
      </c>
      <c r="T411" s="11" t="str">
        <f t="shared" si="73"/>
        <v/>
      </c>
      <c r="U411" s="11" t="str">
        <f>IF('Raw Data'!A398&lt;&gt;"",AVERAGE('Raw Data'!BD398,'Raw Data'!BF398,'Raw Data'!BH398,'Raw Data'!BJ398,'Raw Data'!BL398),"")</f>
        <v/>
      </c>
      <c r="V411" s="11" t="str">
        <f>IF('Raw Data'!A398&lt;&gt;"",AVERAGE('Raw Data'!BE398,'Raw Data'!BG398,'Raw Data'!BI398,'Raw Data'!BK398,'Raw Data'!BM398),"")</f>
        <v/>
      </c>
      <c r="W411" s="11" t="str">
        <f t="shared" si="74"/>
        <v/>
      </c>
      <c r="X411" s="11" t="str">
        <f t="shared" si="75"/>
        <v/>
      </c>
      <c r="Y411" s="11" t="str">
        <f t="shared" si="76"/>
        <v/>
      </c>
      <c r="Z411" s="11" t="str">
        <f t="shared" si="77"/>
        <v/>
      </c>
      <c r="AA411" s="11" t="str">
        <f t="shared" si="78"/>
        <v/>
      </c>
      <c r="AB411" s="24" t="str">
        <f t="shared" si="79"/>
        <v/>
      </c>
    </row>
    <row r="412" spans="1:28" x14ac:dyDescent="0.25">
      <c r="A412" s="10" t="str">
        <f>IF('Raw Data'!A399&lt;&gt;"",'Raw Data'!A399,"")</f>
        <v/>
      </c>
      <c r="B412" s="10" t="str">
        <f>IF('Raw Data'!B399&lt;&gt;"",'Raw Data'!B399,"")</f>
        <v/>
      </c>
      <c r="C412" s="10" t="str">
        <f>IF('Raw Data'!C399&lt;&gt;"",'Raw Data'!C399,"")</f>
        <v/>
      </c>
      <c r="D412" s="10" t="str">
        <f>IF('Raw Data'!D399&lt;&gt;"",'Raw Data'!D399,"")</f>
        <v/>
      </c>
      <c r="E412" s="10" t="str">
        <f>IF('Raw Data'!E399&lt;&gt;"",'Raw Data'!E399,"")</f>
        <v/>
      </c>
      <c r="F412" s="14" t="str">
        <f>IF('Raw Data'!A399&lt;&gt;"",AVERAGE('Raw Data'!F399,'Raw Data'!H399,'Raw Data'!J399,'Raw Data'!L399,'Raw Data'!N399),"")</f>
        <v/>
      </c>
      <c r="G412" s="14" t="str">
        <f>IF('Raw Data'!A399&lt;&gt;"",AVERAGE('Raw Data'!G399,'Raw Data'!I399,'Raw Data'!K399,'Raw Data'!M399,'Raw Data'!O399),"")</f>
        <v/>
      </c>
      <c r="H412" s="14" t="str">
        <f t="shared" si="69"/>
        <v/>
      </c>
      <c r="I412" s="14" t="str">
        <f>IF('Raw Data'!A399&lt;&gt;"",AVERAGE('Raw Data'!P399,'Raw Data'!R399,'Raw Data'!T399,'Raw Data'!V399,'Raw Data'!X399),"")</f>
        <v/>
      </c>
      <c r="J412" s="14" t="str">
        <f>IF('Raw Data'!A399&lt;&gt;"",AVERAGE('Raw Data'!Q399,'Raw Data'!S399,'Raw Data'!U399,'Raw Data'!W399,'Raw Data'!Y399),"")</f>
        <v/>
      </c>
      <c r="K412" s="14" t="str">
        <f t="shared" si="70"/>
        <v/>
      </c>
      <c r="L412" s="14" t="str">
        <f>IF('Raw Data'!A399&lt;&gt;"",AVERAGE('Raw Data'!Z399,'Raw Data'!AB399,'Raw Data'!AD399,'Raw Data'!AF399,'Raw Data'!AH399),"")</f>
        <v/>
      </c>
      <c r="M412" s="14" t="str">
        <f>IF('Raw Data'!A399&lt;&gt;"",AVERAGE('Raw Data'!AA399,'Raw Data'!AC399,'Raw Data'!AE399,'Raw Data'!AG399,'Raw Data'!AI399),"")</f>
        <v/>
      </c>
      <c r="N412" s="14" t="str">
        <f t="shared" si="71"/>
        <v/>
      </c>
      <c r="O412" s="14" t="str">
        <f>IF('Raw Data'!A399&lt;&gt;"",AVERAGE('Raw Data'!AJ399,'Raw Data'!AL399,'Raw Data'!AN399,'Raw Data'!AP399,'Raw Data'!AR399),"")</f>
        <v/>
      </c>
      <c r="P412" s="14" t="str">
        <f>IF('Raw Data'!A399&lt;&gt;"",AVERAGE('Raw Data'!AK399,'Raw Data'!AM399,'Raw Data'!AO399,'Raw Data'!AQ399,'Raw Data'!AS399),"")</f>
        <v/>
      </c>
      <c r="Q412" s="14" t="str">
        <f t="shared" si="72"/>
        <v/>
      </c>
      <c r="R412" s="14" t="str">
        <f>IF('Raw Data'!A399&lt;&gt;"",AVERAGE('Raw Data'!AT399,'Raw Data'!AV399,'Raw Data'!AX399,'Raw Data'!AZ399,'Raw Data'!BB399),"")</f>
        <v/>
      </c>
      <c r="S412" s="14" t="str">
        <f>IF('Raw Data'!A399&lt;&gt;"",AVERAGE('Raw Data'!AU399,'Raw Data'!AW399,'Raw Data'!AY399,'Raw Data'!BA399,'Raw Data'!BC399),"")</f>
        <v/>
      </c>
      <c r="T412" s="14" t="str">
        <f t="shared" si="73"/>
        <v/>
      </c>
      <c r="U412" s="14" t="str">
        <f>IF('Raw Data'!A399&lt;&gt;"",AVERAGE('Raw Data'!BD399,'Raw Data'!BF399,'Raw Data'!BH399,'Raw Data'!BJ399,'Raw Data'!BL399),"")</f>
        <v/>
      </c>
      <c r="V412" s="14" t="str">
        <f>IF('Raw Data'!A399&lt;&gt;"",AVERAGE('Raw Data'!BE399,'Raw Data'!BG399,'Raw Data'!BI399,'Raw Data'!BK399,'Raw Data'!BM399),"")</f>
        <v/>
      </c>
      <c r="W412" s="14" t="str">
        <f t="shared" si="74"/>
        <v/>
      </c>
      <c r="X412" s="14" t="str">
        <f t="shared" si="75"/>
        <v/>
      </c>
      <c r="Y412" s="14" t="str">
        <f t="shared" si="76"/>
        <v/>
      </c>
      <c r="Z412" s="14" t="str">
        <f t="shared" si="77"/>
        <v/>
      </c>
      <c r="AA412" s="14" t="str">
        <f t="shared" si="78"/>
        <v/>
      </c>
      <c r="AB412" s="25" t="str">
        <f t="shared" si="79"/>
        <v/>
      </c>
    </row>
    <row r="413" spans="1:28" x14ac:dyDescent="0.25">
      <c r="A413" s="2" t="str">
        <f>IF('Raw Data'!A400&lt;&gt;"",'Raw Data'!A400,"")</f>
        <v/>
      </c>
      <c r="B413" s="2" t="str">
        <f>IF('Raw Data'!B400&lt;&gt;"",'Raw Data'!B400,"")</f>
        <v/>
      </c>
      <c r="C413" s="2" t="str">
        <f>IF('Raw Data'!C400&lt;&gt;"",'Raw Data'!C400,"")</f>
        <v/>
      </c>
      <c r="D413" s="2" t="str">
        <f>IF('Raw Data'!D400&lt;&gt;"",'Raw Data'!D400,"")</f>
        <v/>
      </c>
      <c r="E413" s="2" t="str">
        <f>IF('Raw Data'!E400&lt;&gt;"",'Raw Data'!E400,"")</f>
        <v/>
      </c>
      <c r="F413" s="11" t="str">
        <f>IF('Raw Data'!A400&lt;&gt;"",AVERAGE('Raw Data'!F400,'Raw Data'!H400,'Raw Data'!J400,'Raw Data'!L400,'Raw Data'!N400),"")</f>
        <v/>
      </c>
      <c r="G413" s="11" t="str">
        <f>IF('Raw Data'!A400&lt;&gt;"",AVERAGE('Raw Data'!G400,'Raw Data'!I400,'Raw Data'!K400,'Raw Data'!M400,'Raw Data'!O400),"")</f>
        <v/>
      </c>
      <c r="H413" s="11" t="str">
        <f t="shared" si="69"/>
        <v/>
      </c>
      <c r="I413" s="11" t="str">
        <f>IF('Raw Data'!A400&lt;&gt;"",AVERAGE('Raw Data'!P400,'Raw Data'!R400,'Raw Data'!T400,'Raw Data'!V400,'Raw Data'!X400),"")</f>
        <v/>
      </c>
      <c r="J413" s="11" t="str">
        <f>IF('Raw Data'!A400&lt;&gt;"",AVERAGE('Raw Data'!Q400,'Raw Data'!S400,'Raw Data'!U400,'Raw Data'!W400,'Raw Data'!Y400),"")</f>
        <v/>
      </c>
      <c r="K413" s="11" t="str">
        <f t="shared" si="70"/>
        <v/>
      </c>
      <c r="L413" s="11" t="str">
        <f>IF('Raw Data'!A400&lt;&gt;"",AVERAGE('Raw Data'!Z400,'Raw Data'!AB400,'Raw Data'!AD400,'Raw Data'!AF400,'Raw Data'!AH400),"")</f>
        <v/>
      </c>
      <c r="M413" s="11" t="str">
        <f>IF('Raw Data'!A400&lt;&gt;"",AVERAGE('Raw Data'!AA400,'Raw Data'!AC400,'Raw Data'!AE400,'Raw Data'!AG400,'Raw Data'!AI400),"")</f>
        <v/>
      </c>
      <c r="N413" s="11" t="str">
        <f t="shared" si="71"/>
        <v/>
      </c>
      <c r="O413" s="11" t="str">
        <f>IF('Raw Data'!A400&lt;&gt;"",AVERAGE('Raw Data'!AJ400,'Raw Data'!AL400,'Raw Data'!AN400,'Raw Data'!AP400,'Raw Data'!AR400),"")</f>
        <v/>
      </c>
      <c r="P413" s="11" t="str">
        <f>IF('Raw Data'!A400&lt;&gt;"",AVERAGE('Raw Data'!AK400,'Raw Data'!AM400,'Raw Data'!AO400,'Raw Data'!AQ400,'Raw Data'!AS400),"")</f>
        <v/>
      </c>
      <c r="Q413" s="11" t="str">
        <f t="shared" si="72"/>
        <v/>
      </c>
      <c r="R413" s="11" t="str">
        <f>IF('Raw Data'!A400&lt;&gt;"",AVERAGE('Raw Data'!AT400,'Raw Data'!AV400,'Raw Data'!AX400,'Raw Data'!AZ400,'Raw Data'!BB400),"")</f>
        <v/>
      </c>
      <c r="S413" s="11" t="str">
        <f>IF('Raw Data'!A400&lt;&gt;"",AVERAGE('Raw Data'!AU400,'Raw Data'!AW400,'Raw Data'!AY400,'Raw Data'!BA400,'Raw Data'!BC400),"")</f>
        <v/>
      </c>
      <c r="T413" s="11" t="str">
        <f t="shared" si="73"/>
        <v/>
      </c>
      <c r="U413" s="11" t="str">
        <f>IF('Raw Data'!A400&lt;&gt;"",AVERAGE('Raw Data'!BD400,'Raw Data'!BF400,'Raw Data'!BH400,'Raw Data'!BJ400,'Raw Data'!BL400),"")</f>
        <v/>
      </c>
      <c r="V413" s="11" t="str">
        <f>IF('Raw Data'!A400&lt;&gt;"",AVERAGE('Raw Data'!BE400,'Raw Data'!BG400,'Raw Data'!BI400,'Raw Data'!BK400,'Raw Data'!BM400),"")</f>
        <v/>
      </c>
      <c r="W413" s="11" t="str">
        <f t="shared" si="74"/>
        <v/>
      </c>
      <c r="X413" s="11" t="str">
        <f t="shared" si="75"/>
        <v/>
      </c>
      <c r="Y413" s="11" t="str">
        <f t="shared" si="76"/>
        <v/>
      </c>
      <c r="Z413" s="11" t="str">
        <f t="shared" si="77"/>
        <v/>
      </c>
      <c r="AA413" s="11" t="str">
        <f t="shared" si="78"/>
        <v/>
      </c>
      <c r="AB413" s="24" t="str">
        <f t="shared" si="79"/>
        <v/>
      </c>
    </row>
    <row r="414" spans="1:28" x14ac:dyDescent="0.25">
      <c r="A414" s="10" t="str">
        <f>IF('Raw Data'!A401&lt;&gt;"",'Raw Data'!A401,"")</f>
        <v/>
      </c>
      <c r="B414" s="10" t="str">
        <f>IF('Raw Data'!B401&lt;&gt;"",'Raw Data'!B401,"")</f>
        <v/>
      </c>
      <c r="C414" s="10" t="str">
        <f>IF('Raw Data'!C401&lt;&gt;"",'Raw Data'!C401,"")</f>
        <v/>
      </c>
      <c r="D414" s="10" t="str">
        <f>IF('Raw Data'!D401&lt;&gt;"",'Raw Data'!D401,"")</f>
        <v/>
      </c>
      <c r="E414" s="10" t="str">
        <f>IF('Raw Data'!E401&lt;&gt;"",'Raw Data'!E401,"")</f>
        <v/>
      </c>
      <c r="F414" s="14" t="str">
        <f>IF('Raw Data'!A401&lt;&gt;"",AVERAGE('Raw Data'!F401,'Raw Data'!H401,'Raw Data'!J401,'Raw Data'!L401,'Raw Data'!N401),"")</f>
        <v/>
      </c>
      <c r="G414" s="14" t="str">
        <f>IF('Raw Data'!A401&lt;&gt;"",AVERAGE('Raw Data'!G401,'Raw Data'!I401,'Raw Data'!K401,'Raw Data'!M401,'Raw Data'!O401),"")</f>
        <v/>
      </c>
      <c r="H414" s="14" t="str">
        <f t="shared" si="69"/>
        <v/>
      </c>
      <c r="I414" s="14" t="str">
        <f>IF('Raw Data'!A401&lt;&gt;"",AVERAGE('Raw Data'!P401,'Raw Data'!R401,'Raw Data'!T401,'Raw Data'!V401,'Raw Data'!X401),"")</f>
        <v/>
      </c>
      <c r="J414" s="14" t="str">
        <f>IF('Raw Data'!A401&lt;&gt;"",AVERAGE('Raw Data'!Q401,'Raw Data'!S401,'Raw Data'!U401,'Raw Data'!W401,'Raw Data'!Y401),"")</f>
        <v/>
      </c>
      <c r="K414" s="14" t="str">
        <f t="shared" si="70"/>
        <v/>
      </c>
      <c r="L414" s="14" t="str">
        <f>IF('Raw Data'!A401&lt;&gt;"",AVERAGE('Raw Data'!Z401,'Raw Data'!AB401,'Raw Data'!AD401,'Raw Data'!AF401,'Raw Data'!AH401),"")</f>
        <v/>
      </c>
      <c r="M414" s="14" t="str">
        <f>IF('Raw Data'!A401&lt;&gt;"",AVERAGE('Raw Data'!AA401,'Raw Data'!AC401,'Raw Data'!AE401,'Raw Data'!AG401,'Raw Data'!AI401),"")</f>
        <v/>
      </c>
      <c r="N414" s="14" t="str">
        <f t="shared" si="71"/>
        <v/>
      </c>
      <c r="O414" s="14" t="str">
        <f>IF('Raw Data'!A401&lt;&gt;"",AVERAGE('Raw Data'!AJ401,'Raw Data'!AL401,'Raw Data'!AN401,'Raw Data'!AP401,'Raw Data'!AR401),"")</f>
        <v/>
      </c>
      <c r="P414" s="14" t="str">
        <f>IF('Raw Data'!A401&lt;&gt;"",AVERAGE('Raw Data'!AK401,'Raw Data'!AM401,'Raw Data'!AO401,'Raw Data'!AQ401,'Raw Data'!AS401),"")</f>
        <v/>
      </c>
      <c r="Q414" s="14" t="str">
        <f t="shared" si="72"/>
        <v/>
      </c>
      <c r="R414" s="14" t="str">
        <f>IF('Raw Data'!A401&lt;&gt;"",AVERAGE('Raw Data'!AT401,'Raw Data'!AV401,'Raw Data'!AX401,'Raw Data'!AZ401,'Raw Data'!BB401),"")</f>
        <v/>
      </c>
      <c r="S414" s="14" t="str">
        <f>IF('Raw Data'!A401&lt;&gt;"",AVERAGE('Raw Data'!AU401,'Raw Data'!AW401,'Raw Data'!AY401,'Raw Data'!BA401,'Raw Data'!BC401),"")</f>
        <v/>
      </c>
      <c r="T414" s="14" t="str">
        <f t="shared" si="73"/>
        <v/>
      </c>
      <c r="U414" s="14" t="str">
        <f>IF('Raw Data'!A401&lt;&gt;"",AVERAGE('Raw Data'!BD401,'Raw Data'!BF401,'Raw Data'!BH401,'Raw Data'!BJ401,'Raw Data'!BL401),"")</f>
        <v/>
      </c>
      <c r="V414" s="14" t="str">
        <f>IF('Raw Data'!A401&lt;&gt;"",AVERAGE('Raw Data'!BE401,'Raw Data'!BG401,'Raw Data'!BI401,'Raw Data'!BK401,'Raw Data'!BM401),"")</f>
        <v/>
      </c>
      <c r="W414" s="14" t="str">
        <f t="shared" si="74"/>
        <v/>
      </c>
      <c r="X414" s="14" t="str">
        <f t="shared" si="75"/>
        <v/>
      </c>
      <c r="Y414" s="14" t="str">
        <f t="shared" si="76"/>
        <v/>
      </c>
      <c r="Z414" s="14" t="str">
        <f t="shared" si="77"/>
        <v/>
      </c>
      <c r="AA414" s="14" t="str">
        <f t="shared" si="78"/>
        <v/>
      </c>
      <c r="AB414" s="25" t="str">
        <f t="shared" si="79"/>
        <v/>
      </c>
    </row>
    <row r="415" spans="1:28" x14ac:dyDescent="0.25">
      <c r="A415" s="2" t="str">
        <f>IF('Raw Data'!A402&lt;&gt;"",'Raw Data'!A402,"")</f>
        <v/>
      </c>
      <c r="B415" s="2" t="str">
        <f>IF('Raw Data'!B402&lt;&gt;"",'Raw Data'!B402,"")</f>
        <v/>
      </c>
      <c r="C415" s="2" t="str">
        <f>IF('Raw Data'!C402&lt;&gt;"",'Raw Data'!C402,"")</f>
        <v/>
      </c>
      <c r="D415" s="2" t="str">
        <f>IF('Raw Data'!D402&lt;&gt;"",'Raw Data'!D402,"")</f>
        <v/>
      </c>
      <c r="E415" s="2" t="str">
        <f>IF('Raw Data'!E402&lt;&gt;"",'Raw Data'!E402,"")</f>
        <v/>
      </c>
      <c r="F415" s="11" t="str">
        <f>IF('Raw Data'!A402&lt;&gt;"",AVERAGE('Raw Data'!F402,'Raw Data'!H402,'Raw Data'!J402,'Raw Data'!L402,'Raw Data'!N402),"")</f>
        <v/>
      </c>
      <c r="G415" s="11" t="str">
        <f>IF('Raw Data'!A402&lt;&gt;"",AVERAGE('Raw Data'!G402,'Raw Data'!I402,'Raw Data'!K402,'Raw Data'!M402,'Raw Data'!O402),"")</f>
        <v/>
      </c>
      <c r="H415" s="11" t="str">
        <f t="shared" si="69"/>
        <v/>
      </c>
      <c r="I415" s="11" t="str">
        <f>IF('Raw Data'!A402&lt;&gt;"",AVERAGE('Raw Data'!P402,'Raw Data'!R402,'Raw Data'!T402,'Raw Data'!V402,'Raw Data'!X402),"")</f>
        <v/>
      </c>
      <c r="J415" s="11" t="str">
        <f>IF('Raw Data'!A402&lt;&gt;"",AVERAGE('Raw Data'!Q402,'Raw Data'!S402,'Raw Data'!U402,'Raw Data'!W402,'Raw Data'!Y402),"")</f>
        <v/>
      </c>
      <c r="K415" s="11" t="str">
        <f t="shared" si="70"/>
        <v/>
      </c>
      <c r="L415" s="11" t="str">
        <f>IF('Raw Data'!A402&lt;&gt;"",AVERAGE('Raw Data'!Z402,'Raw Data'!AB402,'Raw Data'!AD402,'Raw Data'!AF402,'Raw Data'!AH402),"")</f>
        <v/>
      </c>
      <c r="M415" s="11" t="str">
        <f>IF('Raw Data'!A402&lt;&gt;"",AVERAGE('Raw Data'!AA402,'Raw Data'!AC402,'Raw Data'!AE402,'Raw Data'!AG402,'Raw Data'!AI402),"")</f>
        <v/>
      </c>
      <c r="N415" s="11" t="str">
        <f t="shared" si="71"/>
        <v/>
      </c>
      <c r="O415" s="11" t="str">
        <f>IF('Raw Data'!A402&lt;&gt;"",AVERAGE('Raw Data'!AJ402,'Raw Data'!AL402,'Raw Data'!AN402,'Raw Data'!AP402,'Raw Data'!AR402),"")</f>
        <v/>
      </c>
      <c r="P415" s="11" t="str">
        <f>IF('Raw Data'!A402&lt;&gt;"",AVERAGE('Raw Data'!AK402,'Raw Data'!AM402,'Raw Data'!AO402,'Raw Data'!AQ402,'Raw Data'!AS402),"")</f>
        <v/>
      </c>
      <c r="Q415" s="11" t="str">
        <f t="shared" si="72"/>
        <v/>
      </c>
      <c r="R415" s="11" t="str">
        <f>IF('Raw Data'!A402&lt;&gt;"",AVERAGE('Raw Data'!AT402,'Raw Data'!AV402,'Raw Data'!AX402,'Raw Data'!AZ402,'Raw Data'!BB402),"")</f>
        <v/>
      </c>
      <c r="S415" s="11" t="str">
        <f>IF('Raw Data'!A402&lt;&gt;"",AVERAGE('Raw Data'!AU402,'Raw Data'!AW402,'Raw Data'!AY402,'Raw Data'!BA402,'Raw Data'!BC402),"")</f>
        <v/>
      </c>
      <c r="T415" s="11" t="str">
        <f t="shared" si="73"/>
        <v/>
      </c>
      <c r="U415" s="11" t="str">
        <f>IF('Raw Data'!A402&lt;&gt;"",AVERAGE('Raw Data'!BD402,'Raw Data'!BF402,'Raw Data'!BH402,'Raw Data'!BJ402,'Raw Data'!BL402),"")</f>
        <v/>
      </c>
      <c r="V415" s="11" t="str">
        <f>IF('Raw Data'!A402&lt;&gt;"",AVERAGE('Raw Data'!BE402,'Raw Data'!BG402,'Raw Data'!BI402,'Raw Data'!BK402,'Raw Data'!BM402),"")</f>
        <v/>
      </c>
      <c r="W415" s="11" t="str">
        <f t="shared" si="74"/>
        <v/>
      </c>
      <c r="X415" s="11" t="str">
        <f t="shared" si="75"/>
        <v/>
      </c>
      <c r="Y415" s="11" t="str">
        <f t="shared" si="76"/>
        <v/>
      </c>
      <c r="Z415" s="11" t="str">
        <f t="shared" si="77"/>
        <v/>
      </c>
      <c r="AA415" s="11" t="str">
        <f t="shared" si="78"/>
        <v/>
      </c>
      <c r="AB415" s="24" t="str">
        <f t="shared" si="79"/>
        <v/>
      </c>
    </row>
    <row r="416" spans="1:28" x14ac:dyDescent="0.25">
      <c r="A416" s="10" t="str">
        <f>IF('Raw Data'!A403&lt;&gt;"",'Raw Data'!A403,"")</f>
        <v/>
      </c>
      <c r="B416" s="10" t="str">
        <f>IF('Raw Data'!B403&lt;&gt;"",'Raw Data'!B403,"")</f>
        <v/>
      </c>
      <c r="C416" s="10" t="str">
        <f>IF('Raw Data'!C403&lt;&gt;"",'Raw Data'!C403,"")</f>
        <v/>
      </c>
      <c r="D416" s="10" t="str">
        <f>IF('Raw Data'!D403&lt;&gt;"",'Raw Data'!D403,"")</f>
        <v/>
      </c>
      <c r="E416" s="10" t="str">
        <f>IF('Raw Data'!E403&lt;&gt;"",'Raw Data'!E403,"")</f>
        <v/>
      </c>
      <c r="F416" s="14" t="str">
        <f>IF('Raw Data'!A403&lt;&gt;"",AVERAGE('Raw Data'!F403,'Raw Data'!H403,'Raw Data'!J403,'Raw Data'!L403,'Raw Data'!N403),"")</f>
        <v/>
      </c>
      <c r="G416" s="14" t="str">
        <f>IF('Raw Data'!A403&lt;&gt;"",AVERAGE('Raw Data'!G403,'Raw Data'!I403,'Raw Data'!K403,'Raw Data'!M403,'Raw Data'!O403),"")</f>
        <v/>
      </c>
      <c r="H416" s="14" t="str">
        <f t="shared" si="69"/>
        <v/>
      </c>
      <c r="I416" s="14" t="str">
        <f>IF('Raw Data'!A403&lt;&gt;"",AVERAGE('Raw Data'!P403,'Raw Data'!R403,'Raw Data'!T403,'Raw Data'!V403,'Raw Data'!X403),"")</f>
        <v/>
      </c>
      <c r="J416" s="14" t="str">
        <f>IF('Raw Data'!A403&lt;&gt;"",AVERAGE('Raw Data'!Q403,'Raw Data'!S403,'Raw Data'!U403,'Raw Data'!W403,'Raw Data'!Y403),"")</f>
        <v/>
      </c>
      <c r="K416" s="14" t="str">
        <f t="shared" si="70"/>
        <v/>
      </c>
      <c r="L416" s="14" t="str">
        <f>IF('Raw Data'!A403&lt;&gt;"",AVERAGE('Raw Data'!Z403,'Raw Data'!AB403,'Raw Data'!AD403,'Raw Data'!AF403,'Raw Data'!AH403),"")</f>
        <v/>
      </c>
      <c r="M416" s="14" t="str">
        <f>IF('Raw Data'!A403&lt;&gt;"",AVERAGE('Raw Data'!AA403,'Raw Data'!AC403,'Raw Data'!AE403,'Raw Data'!AG403,'Raw Data'!AI403),"")</f>
        <v/>
      </c>
      <c r="N416" s="14" t="str">
        <f t="shared" si="71"/>
        <v/>
      </c>
      <c r="O416" s="14" t="str">
        <f>IF('Raw Data'!A403&lt;&gt;"",AVERAGE('Raw Data'!AJ403,'Raw Data'!AL403,'Raw Data'!AN403,'Raw Data'!AP403,'Raw Data'!AR403),"")</f>
        <v/>
      </c>
      <c r="P416" s="14" t="str">
        <f>IF('Raw Data'!A403&lt;&gt;"",AVERAGE('Raw Data'!AK403,'Raw Data'!AM403,'Raw Data'!AO403,'Raw Data'!AQ403,'Raw Data'!AS403),"")</f>
        <v/>
      </c>
      <c r="Q416" s="14" t="str">
        <f t="shared" si="72"/>
        <v/>
      </c>
      <c r="R416" s="14" t="str">
        <f>IF('Raw Data'!A403&lt;&gt;"",AVERAGE('Raw Data'!AT403,'Raw Data'!AV403,'Raw Data'!AX403,'Raw Data'!AZ403,'Raw Data'!BB403),"")</f>
        <v/>
      </c>
      <c r="S416" s="14" t="str">
        <f>IF('Raw Data'!A403&lt;&gt;"",AVERAGE('Raw Data'!AU403,'Raw Data'!AW403,'Raw Data'!AY403,'Raw Data'!BA403,'Raw Data'!BC403),"")</f>
        <v/>
      </c>
      <c r="T416" s="14" t="str">
        <f t="shared" si="73"/>
        <v/>
      </c>
      <c r="U416" s="14" t="str">
        <f>IF('Raw Data'!A403&lt;&gt;"",AVERAGE('Raw Data'!BD403,'Raw Data'!BF403,'Raw Data'!BH403,'Raw Data'!BJ403,'Raw Data'!BL403),"")</f>
        <v/>
      </c>
      <c r="V416" s="14" t="str">
        <f>IF('Raw Data'!A403&lt;&gt;"",AVERAGE('Raw Data'!BE403,'Raw Data'!BG403,'Raw Data'!BI403,'Raw Data'!BK403,'Raw Data'!BM403),"")</f>
        <v/>
      </c>
      <c r="W416" s="14" t="str">
        <f t="shared" si="74"/>
        <v/>
      </c>
      <c r="X416" s="14" t="str">
        <f t="shared" si="75"/>
        <v/>
      </c>
      <c r="Y416" s="14" t="str">
        <f t="shared" si="76"/>
        <v/>
      </c>
      <c r="Z416" s="14" t="str">
        <f t="shared" si="77"/>
        <v/>
      </c>
      <c r="AA416" s="14" t="str">
        <f t="shared" si="78"/>
        <v/>
      </c>
      <c r="AB416" s="25" t="str">
        <f t="shared" si="79"/>
        <v/>
      </c>
    </row>
    <row r="417" spans="1:28" x14ac:dyDescent="0.25">
      <c r="A417" s="2" t="str">
        <f>IF('Raw Data'!A404&lt;&gt;"",'Raw Data'!A404,"")</f>
        <v/>
      </c>
      <c r="B417" s="2" t="str">
        <f>IF('Raw Data'!B404&lt;&gt;"",'Raw Data'!B404,"")</f>
        <v/>
      </c>
      <c r="C417" s="2" t="str">
        <f>IF('Raw Data'!C404&lt;&gt;"",'Raw Data'!C404,"")</f>
        <v/>
      </c>
      <c r="D417" s="2" t="str">
        <f>IF('Raw Data'!D404&lt;&gt;"",'Raw Data'!D404,"")</f>
        <v/>
      </c>
      <c r="E417" s="2" t="str">
        <f>IF('Raw Data'!E404&lt;&gt;"",'Raw Data'!E404,"")</f>
        <v/>
      </c>
      <c r="F417" s="11" t="str">
        <f>IF('Raw Data'!A404&lt;&gt;"",AVERAGE('Raw Data'!F404,'Raw Data'!H404,'Raw Data'!J404,'Raw Data'!L404,'Raw Data'!N404),"")</f>
        <v/>
      </c>
      <c r="G417" s="11" t="str">
        <f>IF('Raw Data'!A404&lt;&gt;"",AVERAGE('Raw Data'!G404,'Raw Data'!I404,'Raw Data'!K404,'Raw Data'!M404,'Raw Data'!O404),"")</f>
        <v/>
      </c>
      <c r="H417" s="11" t="str">
        <f t="shared" si="69"/>
        <v/>
      </c>
      <c r="I417" s="11" t="str">
        <f>IF('Raw Data'!A404&lt;&gt;"",AVERAGE('Raw Data'!P404,'Raw Data'!R404,'Raw Data'!T404,'Raw Data'!V404,'Raw Data'!X404),"")</f>
        <v/>
      </c>
      <c r="J417" s="11" t="str">
        <f>IF('Raw Data'!A404&lt;&gt;"",AVERAGE('Raw Data'!Q404,'Raw Data'!S404,'Raw Data'!U404,'Raw Data'!W404,'Raw Data'!Y404),"")</f>
        <v/>
      </c>
      <c r="K417" s="11" t="str">
        <f t="shared" si="70"/>
        <v/>
      </c>
      <c r="L417" s="11" t="str">
        <f>IF('Raw Data'!A404&lt;&gt;"",AVERAGE('Raw Data'!Z404,'Raw Data'!AB404,'Raw Data'!AD404,'Raw Data'!AF404,'Raw Data'!AH404),"")</f>
        <v/>
      </c>
      <c r="M417" s="11" t="str">
        <f>IF('Raw Data'!A404&lt;&gt;"",AVERAGE('Raw Data'!AA404,'Raw Data'!AC404,'Raw Data'!AE404,'Raw Data'!AG404,'Raw Data'!AI404),"")</f>
        <v/>
      </c>
      <c r="N417" s="11" t="str">
        <f t="shared" si="71"/>
        <v/>
      </c>
      <c r="O417" s="11" t="str">
        <f>IF('Raw Data'!A404&lt;&gt;"",AVERAGE('Raw Data'!AJ404,'Raw Data'!AL404,'Raw Data'!AN404,'Raw Data'!AP404,'Raw Data'!AR404),"")</f>
        <v/>
      </c>
      <c r="P417" s="11" t="str">
        <f>IF('Raw Data'!A404&lt;&gt;"",AVERAGE('Raw Data'!AK404,'Raw Data'!AM404,'Raw Data'!AO404,'Raw Data'!AQ404,'Raw Data'!AS404),"")</f>
        <v/>
      </c>
      <c r="Q417" s="11" t="str">
        <f t="shared" si="72"/>
        <v/>
      </c>
      <c r="R417" s="11" t="str">
        <f>IF('Raw Data'!A404&lt;&gt;"",AVERAGE('Raw Data'!AT404,'Raw Data'!AV404,'Raw Data'!AX404,'Raw Data'!AZ404,'Raw Data'!BB404),"")</f>
        <v/>
      </c>
      <c r="S417" s="11" t="str">
        <f>IF('Raw Data'!A404&lt;&gt;"",AVERAGE('Raw Data'!AU404,'Raw Data'!AW404,'Raw Data'!AY404,'Raw Data'!BA404,'Raw Data'!BC404),"")</f>
        <v/>
      </c>
      <c r="T417" s="11" t="str">
        <f t="shared" si="73"/>
        <v/>
      </c>
      <c r="U417" s="11" t="str">
        <f>IF('Raw Data'!A404&lt;&gt;"",AVERAGE('Raw Data'!BD404,'Raw Data'!BF404,'Raw Data'!BH404,'Raw Data'!BJ404,'Raw Data'!BL404),"")</f>
        <v/>
      </c>
      <c r="V417" s="11" t="str">
        <f>IF('Raw Data'!A404&lt;&gt;"",AVERAGE('Raw Data'!BE404,'Raw Data'!BG404,'Raw Data'!BI404,'Raw Data'!BK404,'Raw Data'!BM404),"")</f>
        <v/>
      </c>
      <c r="W417" s="11" t="str">
        <f t="shared" si="74"/>
        <v/>
      </c>
      <c r="X417" s="11" t="str">
        <f t="shared" si="75"/>
        <v/>
      </c>
      <c r="Y417" s="11" t="str">
        <f t="shared" si="76"/>
        <v/>
      </c>
      <c r="Z417" s="11" t="str">
        <f t="shared" si="77"/>
        <v/>
      </c>
      <c r="AA417" s="11" t="str">
        <f t="shared" si="78"/>
        <v/>
      </c>
      <c r="AB417" s="24" t="str">
        <f t="shared" si="79"/>
        <v/>
      </c>
    </row>
    <row r="418" spans="1:28" x14ac:dyDescent="0.25">
      <c r="A418" s="10" t="str">
        <f>IF('Raw Data'!A405&lt;&gt;"",'Raw Data'!A405,"")</f>
        <v/>
      </c>
      <c r="B418" s="10" t="str">
        <f>IF('Raw Data'!B405&lt;&gt;"",'Raw Data'!B405,"")</f>
        <v/>
      </c>
      <c r="C418" s="10" t="str">
        <f>IF('Raw Data'!C405&lt;&gt;"",'Raw Data'!C405,"")</f>
        <v/>
      </c>
      <c r="D418" s="10" t="str">
        <f>IF('Raw Data'!D405&lt;&gt;"",'Raw Data'!D405,"")</f>
        <v/>
      </c>
      <c r="E418" s="10" t="str">
        <f>IF('Raw Data'!E405&lt;&gt;"",'Raw Data'!E405,"")</f>
        <v/>
      </c>
      <c r="F418" s="14" t="str">
        <f>IF('Raw Data'!A405&lt;&gt;"",AVERAGE('Raw Data'!F405,'Raw Data'!H405,'Raw Data'!J405,'Raw Data'!L405,'Raw Data'!N405),"")</f>
        <v/>
      </c>
      <c r="G418" s="14" t="str">
        <f>IF('Raw Data'!A405&lt;&gt;"",AVERAGE('Raw Data'!G405,'Raw Data'!I405,'Raw Data'!K405,'Raw Data'!M405,'Raw Data'!O405),"")</f>
        <v/>
      </c>
      <c r="H418" s="14" t="str">
        <f t="shared" si="69"/>
        <v/>
      </c>
      <c r="I418" s="14" t="str">
        <f>IF('Raw Data'!A405&lt;&gt;"",AVERAGE('Raw Data'!P405,'Raw Data'!R405,'Raw Data'!T405,'Raw Data'!V405,'Raw Data'!X405),"")</f>
        <v/>
      </c>
      <c r="J418" s="14" t="str">
        <f>IF('Raw Data'!A405&lt;&gt;"",AVERAGE('Raw Data'!Q405,'Raw Data'!S405,'Raw Data'!U405,'Raw Data'!W405,'Raw Data'!Y405),"")</f>
        <v/>
      </c>
      <c r="K418" s="14" t="str">
        <f t="shared" si="70"/>
        <v/>
      </c>
      <c r="L418" s="14" t="str">
        <f>IF('Raw Data'!A405&lt;&gt;"",AVERAGE('Raw Data'!Z405,'Raw Data'!AB405,'Raw Data'!AD405,'Raw Data'!AF405,'Raw Data'!AH405),"")</f>
        <v/>
      </c>
      <c r="M418" s="14" t="str">
        <f>IF('Raw Data'!A405&lt;&gt;"",AVERAGE('Raw Data'!AA405,'Raw Data'!AC405,'Raw Data'!AE405,'Raw Data'!AG405,'Raw Data'!AI405),"")</f>
        <v/>
      </c>
      <c r="N418" s="14" t="str">
        <f t="shared" si="71"/>
        <v/>
      </c>
      <c r="O418" s="14" t="str">
        <f>IF('Raw Data'!A405&lt;&gt;"",AVERAGE('Raw Data'!AJ405,'Raw Data'!AL405,'Raw Data'!AN405,'Raw Data'!AP405,'Raw Data'!AR405),"")</f>
        <v/>
      </c>
      <c r="P418" s="14" t="str">
        <f>IF('Raw Data'!A405&lt;&gt;"",AVERAGE('Raw Data'!AK405,'Raw Data'!AM405,'Raw Data'!AO405,'Raw Data'!AQ405,'Raw Data'!AS405),"")</f>
        <v/>
      </c>
      <c r="Q418" s="14" t="str">
        <f t="shared" si="72"/>
        <v/>
      </c>
      <c r="R418" s="14" t="str">
        <f>IF('Raw Data'!A405&lt;&gt;"",AVERAGE('Raw Data'!AT405,'Raw Data'!AV405,'Raw Data'!AX405,'Raw Data'!AZ405,'Raw Data'!BB405),"")</f>
        <v/>
      </c>
      <c r="S418" s="14" t="str">
        <f>IF('Raw Data'!A405&lt;&gt;"",AVERAGE('Raw Data'!AU405,'Raw Data'!AW405,'Raw Data'!AY405,'Raw Data'!BA405,'Raw Data'!BC405),"")</f>
        <v/>
      </c>
      <c r="T418" s="14" t="str">
        <f t="shared" si="73"/>
        <v/>
      </c>
      <c r="U418" s="14" t="str">
        <f>IF('Raw Data'!A405&lt;&gt;"",AVERAGE('Raw Data'!BD405,'Raw Data'!BF405,'Raw Data'!BH405,'Raw Data'!BJ405,'Raw Data'!BL405),"")</f>
        <v/>
      </c>
      <c r="V418" s="14" t="str">
        <f>IF('Raw Data'!A405&lt;&gt;"",AVERAGE('Raw Data'!BE405,'Raw Data'!BG405,'Raw Data'!BI405,'Raw Data'!BK405,'Raw Data'!BM405),"")</f>
        <v/>
      </c>
      <c r="W418" s="14" t="str">
        <f t="shared" si="74"/>
        <v/>
      </c>
      <c r="X418" s="14" t="str">
        <f t="shared" si="75"/>
        <v/>
      </c>
      <c r="Y418" s="14" t="str">
        <f t="shared" si="76"/>
        <v/>
      </c>
      <c r="Z418" s="14" t="str">
        <f t="shared" si="77"/>
        <v/>
      </c>
      <c r="AA418" s="14" t="str">
        <f t="shared" si="78"/>
        <v/>
      </c>
      <c r="AB418" s="25" t="str">
        <f t="shared" si="79"/>
        <v/>
      </c>
    </row>
    <row r="419" spans="1:28" x14ac:dyDescent="0.25">
      <c r="A419" s="2" t="str">
        <f>IF('Raw Data'!A406&lt;&gt;"",'Raw Data'!A406,"")</f>
        <v/>
      </c>
      <c r="B419" s="2" t="str">
        <f>IF('Raw Data'!B406&lt;&gt;"",'Raw Data'!B406,"")</f>
        <v/>
      </c>
      <c r="C419" s="2" t="str">
        <f>IF('Raw Data'!C406&lt;&gt;"",'Raw Data'!C406,"")</f>
        <v/>
      </c>
      <c r="D419" s="2" t="str">
        <f>IF('Raw Data'!D406&lt;&gt;"",'Raw Data'!D406,"")</f>
        <v/>
      </c>
      <c r="E419" s="2" t="str">
        <f>IF('Raw Data'!E406&lt;&gt;"",'Raw Data'!E406,"")</f>
        <v/>
      </c>
      <c r="F419" s="11" t="str">
        <f>IF('Raw Data'!A406&lt;&gt;"",AVERAGE('Raw Data'!F406,'Raw Data'!H406,'Raw Data'!J406,'Raw Data'!L406,'Raw Data'!N406),"")</f>
        <v/>
      </c>
      <c r="G419" s="11" t="str">
        <f>IF('Raw Data'!A406&lt;&gt;"",AVERAGE('Raw Data'!G406,'Raw Data'!I406,'Raw Data'!K406,'Raw Data'!M406,'Raw Data'!O406),"")</f>
        <v/>
      </c>
      <c r="H419" s="11" t="str">
        <f t="shared" si="69"/>
        <v/>
      </c>
      <c r="I419" s="11" t="str">
        <f>IF('Raw Data'!A406&lt;&gt;"",AVERAGE('Raw Data'!P406,'Raw Data'!R406,'Raw Data'!T406,'Raw Data'!V406,'Raw Data'!X406),"")</f>
        <v/>
      </c>
      <c r="J419" s="11" t="str">
        <f>IF('Raw Data'!A406&lt;&gt;"",AVERAGE('Raw Data'!Q406,'Raw Data'!S406,'Raw Data'!U406,'Raw Data'!W406,'Raw Data'!Y406),"")</f>
        <v/>
      </c>
      <c r="K419" s="11" t="str">
        <f t="shared" si="70"/>
        <v/>
      </c>
      <c r="L419" s="11" t="str">
        <f>IF('Raw Data'!A406&lt;&gt;"",AVERAGE('Raw Data'!Z406,'Raw Data'!AB406,'Raw Data'!AD406,'Raw Data'!AF406,'Raw Data'!AH406),"")</f>
        <v/>
      </c>
      <c r="M419" s="11" t="str">
        <f>IF('Raw Data'!A406&lt;&gt;"",AVERAGE('Raw Data'!AA406,'Raw Data'!AC406,'Raw Data'!AE406,'Raw Data'!AG406,'Raw Data'!AI406),"")</f>
        <v/>
      </c>
      <c r="N419" s="11" t="str">
        <f t="shared" si="71"/>
        <v/>
      </c>
      <c r="O419" s="11" t="str">
        <f>IF('Raw Data'!A406&lt;&gt;"",AVERAGE('Raw Data'!AJ406,'Raw Data'!AL406,'Raw Data'!AN406,'Raw Data'!AP406,'Raw Data'!AR406),"")</f>
        <v/>
      </c>
      <c r="P419" s="11" t="str">
        <f>IF('Raw Data'!A406&lt;&gt;"",AVERAGE('Raw Data'!AK406,'Raw Data'!AM406,'Raw Data'!AO406,'Raw Data'!AQ406,'Raw Data'!AS406),"")</f>
        <v/>
      </c>
      <c r="Q419" s="11" t="str">
        <f t="shared" si="72"/>
        <v/>
      </c>
      <c r="R419" s="11" t="str">
        <f>IF('Raw Data'!A406&lt;&gt;"",AVERAGE('Raw Data'!AT406,'Raw Data'!AV406,'Raw Data'!AX406,'Raw Data'!AZ406,'Raw Data'!BB406),"")</f>
        <v/>
      </c>
      <c r="S419" s="11" t="str">
        <f>IF('Raw Data'!A406&lt;&gt;"",AVERAGE('Raw Data'!AU406,'Raw Data'!AW406,'Raw Data'!AY406,'Raw Data'!BA406,'Raw Data'!BC406),"")</f>
        <v/>
      </c>
      <c r="T419" s="11" t="str">
        <f t="shared" si="73"/>
        <v/>
      </c>
      <c r="U419" s="11" t="str">
        <f>IF('Raw Data'!A406&lt;&gt;"",AVERAGE('Raw Data'!BD406,'Raw Data'!BF406,'Raw Data'!BH406,'Raw Data'!BJ406,'Raw Data'!BL406),"")</f>
        <v/>
      </c>
      <c r="V419" s="11" t="str">
        <f>IF('Raw Data'!A406&lt;&gt;"",AVERAGE('Raw Data'!BE406,'Raw Data'!BG406,'Raw Data'!BI406,'Raw Data'!BK406,'Raw Data'!BM406),"")</f>
        <v/>
      </c>
      <c r="W419" s="11" t="str">
        <f t="shared" si="74"/>
        <v/>
      </c>
      <c r="X419" s="11" t="str">
        <f t="shared" si="75"/>
        <v/>
      </c>
      <c r="Y419" s="11" t="str">
        <f t="shared" si="76"/>
        <v/>
      </c>
      <c r="Z419" s="11" t="str">
        <f t="shared" si="77"/>
        <v/>
      </c>
      <c r="AA419" s="11" t="str">
        <f t="shared" si="78"/>
        <v/>
      </c>
      <c r="AB419" s="24" t="str">
        <f t="shared" si="79"/>
        <v/>
      </c>
    </row>
    <row r="420" spans="1:28" x14ac:dyDescent="0.25">
      <c r="A420" s="10" t="str">
        <f>IF('Raw Data'!A407&lt;&gt;"",'Raw Data'!A407,"")</f>
        <v/>
      </c>
      <c r="B420" s="10" t="str">
        <f>IF('Raw Data'!B407&lt;&gt;"",'Raw Data'!B407,"")</f>
        <v/>
      </c>
      <c r="C420" s="10" t="str">
        <f>IF('Raw Data'!C407&lt;&gt;"",'Raw Data'!C407,"")</f>
        <v/>
      </c>
      <c r="D420" s="10" t="str">
        <f>IF('Raw Data'!D407&lt;&gt;"",'Raw Data'!D407,"")</f>
        <v/>
      </c>
      <c r="E420" s="10" t="str">
        <f>IF('Raw Data'!E407&lt;&gt;"",'Raw Data'!E407,"")</f>
        <v/>
      </c>
      <c r="F420" s="14" t="str">
        <f>IF('Raw Data'!A407&lt;&gt;"",AVERAGE('Raw Data'!F407,'Raw Data'!H407,'Raw Data'!J407,'Raw Data'!L407,'Raw Data'!N407),"")</f>
        <v/>
      </c>
      <c r="G420" s="14" t="str">
        <f>IF('Raw Data'!A407&lt;&gt;"",AVERAGE('Raw Data'!G407,'Raw Data'!I407,'Raw Data'!K407,'Raw Data'!M407,'Raw Data'!O407),"")</f>
        <v/>
      </c>
      <c r="H420" s="14" t="str">
        <f t="shared" si="69"/>
        <v/>
      </c>
      <c r="I420" s="14" t="str">
        <f>IF('Raw Data'!A407&lt;&gt;"",AVERAGE('Raw Data'!P407,'Raw Data'!R407,'Raw Data'!T407,'Raw Data'!V407,'Raw Data'!X407),"")</f>
        <v/>
      </c>
      <c r="J420" s="14" t="str">
        <f>IF('Raw Data'!A407&lt;&gt;"",AVERAGE('Raw Data'!Q407,'Raw Data'!S407,'Raw Data'!U407,'Raw Data'!W407,'Raw Data'!Y407),"")</f>
        <v/>
      </c>
      <c r="K420" s="14" t="str">
        <f t="shared" si="70"/>
        <v/>
      </c>
      <c r="L420" s="14" t="str">
        <f>IF('Raw Data'!A407&lt;&gt;"",AVERAGE('Raw Data'!Z407,'Raw Data'!AB407,'Raw Data'!AD407,'Raw Data'!AF407,'Raw Data'!AH407),"")</f>
        <v/>
      </c>
      <c r="M420" s="14" t="str">
        <f>IF('Raw Data'!A407&lt;&gt;"",AVERAGE('Raw Data'!AA407,'Raw Data'!AC407,'Raw Data'!AE407,'Raw Data'!AG407,'Raw Data'!AI407),"")</f>
        <v/>
      </c>
      <c r="N420" s="14" t="str">
        <f t="shared" si="71"/>
        <v/>
      </c>
      <c r="O420" s="14" t="str">
        <f>IF('Raw Data'!A407&lt;&gt;"",AVERAGE('Raw Data'!AJ407,'Raw Data'!AL407,'Raw Data'!AN407,'Raw Data'!AP407,'Raw Data'!AR407),"")</f>
        <v/>
      </c>
      <c r="P420" s="14" t="str">
        <f>IF('Raw Data'!A407&lt;&gt;"",AVERAGE('Raw Data'!AK407,'Raw Data'!AM407,'Raw Data'!AO407,'Raw Data'!AQ407,'Raw Data'!AS407),"")</f>
        <v/>
      </c>
      <c r="Q420" s="14" t="str">
        <f t="shared" si="72"/>
        <v/>
      </c>
      <c r="R420" s="14" t="str">
        <f>IF('Raw Data'!A407&lt;&gt;"",AVERAGE('Raw Data'!AT407,'Raw Data'!AV407,'Raw Data'!AX407,'Raw Data'!AZ407,'Raw Data'!BB407),"")</f>
        <v/>
      </c>
      <c r="S420" s="14" t="str">
        <f>IF('Raw Data'!A407&lt;&gt;"",AVERAGE('Raw Data'!AU407,'Raw Data'!AW407,'Raw Data'!AY407,'Raw Data'!BA407,'Raw Data'!BC407),"")</f>
        <v/>
      </c>
      <c r="T420" s="14" t="str">
        <f t="shared" si="73"/>
        <v/>
      </c>
      <c r="U420" s="14" t="str">
        <f>IF('Raw Data'!A407&lt;&gt;"",AVERAGE('Raw Data'!BD407,'Raw Data'!BF407,'Raw Data'!BH407,'Raw Data'!BJ407,'Raw Data'!BL407),"")</f>
        <v/>
      </c>
      <c r="V420" s="14" t="str">
        <f>IF('Raw Data'!A407&lt;&gt;"",AVERAGE('Raw Data'!BE407,'Raw Data'!BG407,'Raw Data'!BI407,'Raw Data'!BK407,'Raw Data'!BM407),"")</f>
        <v/>
      </c>
      <c r="W420" s="14" t="str">
        <f t="shared" si="74"/>
        <v/>
      </c>
      <c r="X420" s="14" t="str">
        <f t="shared" si="75"/>
        <v/>
      </c>
      <c r="Y420" s="14" t="str">
        <f t="shared" si="76"/>
        <v/>
      </c>
      <c r="Z420" s="14" t="str">
        <f t="shared" si="77"/>
        <v/>
      </c>
      <c r="AA420" s="14" t="str">
        <f t="shared" si="78"/>
        <v/>
      </c>
      <c r="AB420" s="25" t="str">
        <f t="shared" si="79"/>
        <v/>
      </c>
    </row>
    <row r="421" spans="1:28" x14ac:dyDescent="0.25">
      <c r="A421" s="2" t="str">
        <f>IF('Raw Data'!A408&lt;&gt;"",'Raw Data'!A408,"")</f>
        <v/>
      </c>
      <c r="B421" s="2" t="str">
        <f>IF('Raw Data'!B408&lt;&gt;"",'Raw Data'!B408,"")</f>
        <v/>
      </c>
      <c r="C421" s="2" t="str">
        <f>IF('Raw Data'!C408&lt;&gt;"",'Raw Data'!C408,"")</f>
        <v/>
      </c>
      <c r="D421" s="2" t="str">
        <f>IF('Raw Data'!D408&lt;&gt;"",'Raw Data'!D408,"")</f>
        <v/>
      </c>
      <c r="E421" s="2" t="str">
        <f>IF('Raw Data'!E408&lt;&gt;"",'Raw Data'!E408,"")</f>
        <v/>
      </c>
      <c r="F421" s="11" t="str">
        <f>IF('Raw Data'!A408&lt;&gt;"",AVERAGE('Raw Data'!F408,'Raw Data'!H408,'Raw Data'!J408,'Raw Data'!L408,'Raw Data'!N408),"")</f>
        <v/>
      </c>
      <c r="G421" s="11" t="str">
        <f>IF('Raw Data'!A408&lt;&gt;"",AVERAGE('Raw Data'!G408,'Raw Data'!I408,'Raw Data'!K408,'Raw Data'!M408,'Raw Data'!O408),"")</f>
        <v/>
      </c>
      <c r="H421" s="11" t="str">
        <f t="shared" si="69"/>
        <v/>
      </c>
      <c r="I421" s="11" t="str">
        <f>IF('Raw Data'!A408&lt;&gt;"",AVERAGE('Raw Data'!P408,'Raw Data'!R408,'Raw Data'!T408,'Raw Data'!V408,'Raw Data'!X408),"")</f>
        <v/>
      </c>
      <c r="J421" s="11" t="str">
        <f>IF('Raw Data'!A408&lt;&gt;"",AVERAGE('Raw Data'!Q408,'Raw Data'!S408,'Raw Data'!U408,'Raw Data'!W408,'Raw Data'!Y408),"")</f>
        <v/>
      </c>
      <c r="K421" s="11" t="str">
        <f t="shared" si="70"/>
        <v/>
      </c>
      <c r="L421" s="11" t="str">
        <f>IF('Raw Data'!A408&lt;&gt;"",AVERAGE('Raw Data'!Z408,'Raw Data'!AB408,'Raw Data'!AD408,'Raw Data'!AF408,'Raw Data'!AH408),"")</f>
        <v/>
      </c>
      <c r="M421" s="11" t="str">
        <f>IF('Raw Data'!A408&lt;&gt;"",AVERAGE('Raw Data'!AA408,'Raw Data'!AC408,'Raw Data'!AE408,'Raw Data'!AG408,'Raw Data'!AI408),"")</f>
        <v/>
      </c>
      <c r="N421" s="11" t="str">
        <f t="shared" si="71"/>
        <v/>
      </c>
      <c r="O421" s="11" t="str">
        <f>IF('Raw Data'!A408&lt;&gt;"",AVERAGE('Raw Data'!AJ408,'Raw Data'!AL408,'Raw Data'!AN408,'Raw Data'!AP408,'Raw Data'!AR408),"")</f>
        <v/>
      </c>
      <c r="P421" s="11" t="str">
        <f>IF('Raw Data'!A408&lt;&gt;"",AVERAGE('Raw Data'!AK408,'Raw Data'!AM408,'Raw Data'!AO408,'Raw Data'!AQ408,'Raw Data'!AS408),"")</f>
        <v/>
      </c>
      <c r="Q421" s="11" t="str">
        <f t="shared" si="72"/>
        <v/>
      </c>
      <c r="R421" s="11" t="str">
        <f>IF('Raw Data'!A408&lt;&gt;"",AVERAGE('Raw Data'!AT408,'Raw Data'!AV408,'Raw Data'!AX408,'Raw Data'!AZ408,'Raw Data'!BB408),"")</f>
        <v/>
      </c>
      <c r="S421" s="11" t="str">
        <f>IF('Raw Data'!A408&lt;&gt;"",AVERAGE('Raw Data'!AU408,'Raw Data'!AW408,'Raw Data'!AY408,'Raw Data'!BA408,'Raw Data'!BC408),"")</f>
        <v/>
      </c>
      <c r="T421" s="11" t="str">
        <f t="shared" si="73"/>
        <v/>
      </c>
      <c r="U421" s="11" t="str">
        <f>IF('Raw Data'!A408&lt;&gt;"",AVERAGE('Raw Data'!BD408,'Raw Data'!BF408,'Raw Data'!BH408,'Raw Data'!BJ408,'Raw Data'!BL408),"")</f>
        <v/>
      </c>
      <c r="V421" s="11" t="str">
        <f>IF('Raw Data'!A408&lt;&gt;"",AVERAGE('Raw Data'!BE408,'Raw Data'!BG408,'Raw Data'!BI408,'Raw Data'!BK408,'Raw Data'!BM408),"")</f>
        <v/>
      </c>
      <c r="W421" s="11" t="str">
        <f t="shared" si="74"/>
        <v/>
      </c>
      <c r="X421" s="11" t="str">
        <f t="shared" si="75"/>
        <v/>
      </c>
      <c r="Y421" s="11" t="str">
        <f t="shared" si="76"/>
        <v/>
      </c>
      <c r="Z421" s="11" t="str">
        <f t="shared" si="77"/>
        <v/>
      </c>
      <c r="AA421" s="11" t="str">
        <f t="shared" si="78"/>
        <v/>
      </c>
      <c r="AB421" s="24" t="str">
        <f t="shared" si="79"/>
        <v/>
      </c>
    </row>
    <row r="422" spans="1:28" x14ac:dyDescent="0.25">
      <c r="A422" s="10" t="str">
        <f>IF('Raw Data'!A409&lt;&gt;"",'Raw Data'!A409,"")</f>
        <v/>
      </c>
      <c r="B422" s="10" t="str">
        <f>IF('Raw Data'!B409&lt;&gt;"",'Raw Data'!B409,"")</f>
        <v/>
      </c>
      <c r="C422" s="10" t="str">
        <f>IF('Raw Data'!C409&lt;&gt;"",'Raw Data'!C409,"")</f>
        <v/>
      </c>
      <c r="D422" s="10" t="str">
        <f>IF('Raw Data'!D409&lt;&gt;"",'Raw Data'!D409,"")</f>
        <v/>
      </c>
      <c r="E422" s="10" t="str">
        <f>IF('Raw Data'!E409&lt;&gt;"",'Raw Data'!E409,"")</f>
        <v/>
      </c>
      <c r="F422" s="14" t="str">
        <f>IF('Raw Data'!A409&lt;&gt;"",AVERAGE('Raw Data'!F409,'Raw Data'!H409,'Raw Data'!J409,'Raw Data'!L409,'Raw Data'!N409),"")</f>
        <v/>
      </c>
      <c r="G422" s="14" t="str">
        <f>IF('Raw Data'!A409&lt;&gt;"",AVERAGE('Raw Data'!G409,'Raw Data'!I409,'Raw Data'!K409,'Raw Data'!M409,'Raw Data'!O409),"")</f>
        <v/>
      </c>
      <c r="H422" s="14" t="str">
        <f t="shared" si="69"/>
        <v/>
      </c>
      <c r="I422" s="14" t="str">
        <f>IF('Raw Data'!A409&lt;&gt;"",AVERAGE('Raw Data'!P409,'Raw Data'!R409,'Raw Data'!T409,'Raw Data'!V409,'Raw Data'!X409),"")</f>
        <v/>
      </c>
      <c r="J422" s="14" t="str">
        <f>IF('Raw Data'!A409&lt;&gt;"",AVERAGE('Raw Data'!Q409,'Raw Data'!S409,'Raw Data'!U409,'Raw Data'!W409,'Raw Data'!Y409),"")</f>
        <v/>
      </c>
      <c r="K422" s="14" t="str">
        <f t="shared" si="70"/>
        <v/>
      </c>
      <c r="L422" s="14" t="str">
        <f>IF('Raw Data'!A409&lt;&gt;"",AVERAGE('Raw Data'!Z409,'Raw Data'!AB409,'Raw Data'!AD409,'Raw Data'!AF409,'Raw Data'!AH409),"")</f>
        <v/>
      </c>
      <c r="M422" s="14" t="str">
        <f>IF('Raw Data'!A409&lt;&gt;"",AVERAGE('Raw Data'!AA409,'Raw Data'!AC409,'Raw Data'!AE409,'Raw Data'!AG409,'Raw Data'!AI409),"")</f>
        <v/>
      </c>
      <c r="N422" s="14" t="str">
        <f t="shared" si="71"/>
        <v/>
      </c>
      <c r="O422" s="14" t="str">
        <f>IF('Raw Data'!A409&lt;&gt;"",AVERAGE('Raw Data'!AJ409,'Raw Data'!AL409,'Raw Data'!AN409,'Raw Data'!AP409,'Raw Data'!AR409),"")</f>
        <v/>
      </c>
      <c r="P422" s="14" t="str">
        <f>IF('Raw Data'!A409&lt;&gt;"",AVERAGE('Raw Data'!AK409,'Raw Data'!AM409,'Raw Data'!AO409,'Raw Data'!AQ409,'Raw Data'!AS409),"")</f>
        <v/>
      </c>
      <c r="Q422" s="14" t="str">
        <f t="shared" si="72"/>
        <v/>
      </c>
      <c r="R422" s="14" t="str">
        <f>IF('Raw Data'!A409&lt;&gt;"",AVERAGE('Raw Data'!AT409,'Raw Data'!AV409,'Raw Data'!AX409,'Raw Data'!AZ409,'Raw Data'!BB409),"")</f>
        <v/>
      </c>
      <c r="S422" s="14" t="str">
        <f>IF('Raw Data'!A409&lt;&gt;"",AVERAGE('Raw Data'!AU409,'Raw Data'!AW409,'Raw Data'!AY409,'Raw Data'!BA409,'Raw Data'!BC409),"")</f>
        <v/>
      </c>
      <c r="T422" s="14" t="str">
        <f t="shared" si="73"/>
        <v/>
      </c>
      <c r="U422" s="14" t="str">
        <f>IF('Raw Data'!A409&lt;&gt;"",AVERAGE('Raw Data'!BD409,'Raw Data'!BF409,'Raw Data'!BH409,'Raw Data'!BJ409,'Raw Data'!BL409),"")</f>
        <v/>
      </c>
      <c r="V422" s="14" t="str">
        <f>IF('Raw Data'!A409&lt;&gt;"",AVERAGE('Raw Data'!BE409,'Raw Data'!BG409,'Raw Data'!BI409,'Raw Data'!BK409,'Raw Data'!BM409),"")</f>
        <v/>
      </c>
      <c r="W422" s="14" t="str">
        <f t="shared" si="74"/>
        <v/>
      </c>
      <c r="X422" s="14" t="str">
        <f t="shared" si="75"/>
        <v/>
      </c>
      <c r="Y422" s="14" t="str">
        <f t="shared" si="76"/>
        <v/>
      </c>
      <c r="Z422" s="14" t="str">
        <f t="shared" si="77"/>
        <v/>
      </c>
      <c r="AA422" s="14" t="str">
        <f t="shared" si="78"/>
        <v/>
      </c>
      <c r="AB422" s="25" t="str">
        <f t="shared" si="79"/>
        <v/>
      </c>
    </row>
    <row r="423" spans="1:28" x14ac:dyDescent="0.25">
      <c r="A423" s="2" t="str">
        <f>IF('Raw Data'!A410&lt;&gt;"",'Raw Data'!A410,"")</f>
        <v/>
      </c>
      <c r="B423" s="2" t="str">
        <f>IF('Raw Data'!B410&lt;&gt;"",'Raw Data'!B410,"")</f>
        <v/>
      </c>
      <c r="C423" s="2" t="str">
        <f>IF('Raw Data'!C410&lt;&gt;"",'Raw Data'!C410,"")</f>
        <v/>
      </c>
      <c r="D423" s="2" t="str">
        <f>IF('Raw Data'!D410&lt;&gt;"",'Raw Data'!D410,"")</f>
        <v/>
      </c>
      <c r="E423" s="2" t="str">
        <f>IF('Raw Data'!E410&lt;&gt;"",'Raw Data'!E410,"")</f>
        <v/>
      </c>
      <c r="F423" s="11" t="str">
        <f>IF('Raw Data'!A410&lt;&gt;"",AVERAGE('Raw Data'!F410,'Raw Data'!H410,'Raw Data'!J410,'Raw Data'!L410,'Raw Data'!N410),"")</f>
        <v/>
      </c>
      <c r="G423" s="11" t="str">
        <f>IF('Raw Data'!A410&lt;&gt;"",AVERAGE('Raw Data'!G410,'Raw Data'!I410,'Raw Data'!K410,'Raw Data'!M410,'Raw Data'!O410),"")</f>
        <v/>
      </c>
      <c r="H423" s="11" t="str">
        <f t="shared" si="69"/>
        <v/>
      </c>
      <c r="I423" s="11" t="str">
        <f>IF('Raw Data'!A410&lt;&gt;"",AVERAGE('Raw Data'!P410,'Raw Data'!R410,'Raw Data'!T410,'Raw Data'!V410,'Raw Data'!X410),"")</f>
        <v/>
      </c>
      <c r="J423" s="11" t="str">
        <f>IF('Raw Data'!A410&lt;&gt;"",AVERAGE('Raw Data'!Q410,'Raw Data'!S410,'Raw Data'!U410,'Raw Data'!W410,'Raw Data'!Y410),"")</f>
        <v/>
      </c>
      <c r="K423" s="11" t="str">
        <f t="shared" si="70"/>
        <v/>
      </c>
      <c r="L423" s="11" t="str">
        <f>IF('Raw Data'!A410&lt;&gt;"",AVERAGE('Raw Data'!Z410,'Raw Data'!AB410,'Raw Data'!AD410,'Raw Data'!AF410,'Raw Data'!AH410),"")</f>
        <v/>
      </c>
      <c r="M423" s="11" t="str">
        <f>IF('Raw Data'!A410&lt;&gt;"",AVERAGE('Raw Data'!AA410,'Raw Data'!AC410,'Raw Data'!AE410,'Raw Data'!AG410,'Raw Data'!AI410),"")</f>
        <v/>
      </c>
      <c r="N423" s="11" t="str">
        <f t="shared" si="71"/>
        <v/>
      </c>
      <c r="O423" s="11" t="str">
        <f>IF('Raw Data'!A410&lt;&gt;"",AVERAGE('Raw Data'!AJ410,'Raw Data'!AL410,'Raw Data'!AN410,'Raw Data'!AP410,'Raw Data'!AR410),"")</f>
        <v/>
      </c>
      <c r="P423" s="11" t="str">
        <f>IF('Raw Data'!A410&lt;&gt;"",AVERAGE('Raw Data'!AK410,'Raw Data'!AM410,'Raw Data'!AO410,'Raw Data'!AQ410,'Raw Data'!AS410),"")</f>
        <v/>
      </c>
      <c r="Q423" s="11" t="str">
        <f t="shared" si="72"/>
        <v/>
      </c>
      <c r="R423" s="11" t="str">
        <f>IF('Raw Data'!A410&lt;&gt;"",AVERAGE('Raw Data'!AT410,'Raw Data'!AV410,'Raw Data'!AX410,'Raw Data'!AZ410,'Raw Data'!BB410),"")</f>
        <v/>
      </c>
      <c r="S423" s="11" t="str">
        <f>IF('Raw Data'!A410&lt;&gt;"",AVERAGE('Raw Data'!AU410,'Raw Data'!AW410,'Raw Data'!AY410,'Raw Data'!BA410,'Raw Data'!BC410),"")</f>
        <v/>
      </c>
      <c r="T423" s="11" t="str">
        <f t="shared" si="73"/>
        <v/>
      </c>
      <c r="U423" s="11" t="str">
        <f>IF('Raw Data'!A410&lt;&gt;"",AVERAGE('Raw Data'!BD410,'Raw Data'!BF410,'Raw Data'!BH410,'Raw Data'!BJ410,'Raw Data'!BL410),"")</f>
        <v/>
      </c>
      <c r="V423" s="11" t="str">
        <f>IF('Raw Data'!A410&lt;&gt;"",AVERAGE('Raw Data'!BE410,'Raw Data'!BG410,'Raw Data'!BI410,'Raw Data'!BK410,'Raw Data'!BM410),"")</f>
        <v/>
      </c>
      <c r="W423" s="11" t="str">
        <f t="shared" si="74"/>
        <v/>
      </c>
      <c r="X423" s="11" t="str">
        <f t="shared" si="75"/>
        <v/>
      </c>
      <c r="Y423" s="11" t="str">
        <f t="shared" si="76"/>
        <v/>
      </c>
      <c r="Z423" s="11" t="str">
        <f t="shared" si="77"/>
        <v/>
      </c>
      <c r="AA423" s="11" t="str">
        <f t="shared" si="78"/>
        <v/>
      </c>
      <c r="AB423" s="24" t="str">
        <f t="shared" si="79"/>
        <v/>
      </c>
    </row>
    <row r="424" spans="1:28" x14ac:dyDescent="0.25">
      <c r="A424" s="10" t="str">
        <f>IF('Raw Data'!A411&lt;&gt;"",'Raw Data'!A411,"")</f>
        <v/>
      </c>
      <c r="B424" s="10" t="str">
        <f>IF('Raw Data'!B411&lt;&gt;"",'Raw Data'!B411,"")</f>
        <v/>
      </c>
      <c r="C424" s="10" t="str">
        <f>IF('Raw Data'!C411&lt;&gt;"",'Raw Data'!C411,"")</f>
        <v/>
      </c>
      <c r="D424" s="10" t="str">
        <f>IF('Raw Data'!D411&lt;&gt;"",'Raw Data'!D411,"")</f>
        <v/>
      </c>
      <c r="E424" s="10" t="str">
        <f>IF('Raw Data'!E411&lt;&gt;"",'Raw Data'!E411,"")</f>
        <v/>
      </c>
      <c r="F424" s="14" t="str">
        <f>IF('Raw Data'!A411&lt;&gt;"",AVERAGE('Raw Data'!F411,'Raw Data'!H411,'Raw Data'!J411,'Raw Data'!L411,'Raw Data'!N411),"")</f>
        <v/>
      </c>
      <c r="G424" s="14" t="str">
        <f>IF('Raw Data'!A411&lt;&gt;"",AVERAGE('Raw Data'!G411,'Raw Data'!I411,'Raw Data'!K411,'Raw Data'!M411,'Raw Data'!O411),"")</f>
        <v/>
      </c>
      <c r="H424" s="14" t="str">
        <f t="shared" si="69"/>
        <v/>
      </c>
      <c r="I424" s="14" t="str">
        <f>IF('Raw Data'!A411&lt;&gt;"",AVERAGE('Raw Data'!P411,'Raw Data'!R411,'Raw Data'!T411,'Raw Data'!V411,'Raw Data'!X411),"")</f>
        <v/>
      </c>
      <c r="J424" s="14" t="str">
        <f>IF('Raw Data'!A411&lt;&gt;"",AVERAGE('Raw Data'!Q411,'Raw Data'!S411,'Raw Data'!U411,'Raw Data'!W411,'Raw Data'!Y411),"")</f>
        <v/>
      </c>
      <c r="K424" s="14" t="str">
        <f t="shared" si="70"/>
        <v/>
      </c>
      <c r="L424" s="14" t="str">
        <f>IF('Raw Data'!A411&lt;&gt;"",AVERAGE('Raw Data'!Z411,'Raw Data'!AB411,'Raw Data'!AD411,'Raw Data'!AF411,'Raw Data'!AH411),"")</f>
        <v/>
      </c>
      <c r="M424" s="14" t="str">
        <f>IF('Raw Data'!A411&lt;&gt;"",AVERAGE('Raw Data'!AA411,'Raw Data'!AC411,'Raw Data'!AE411,'Raw Data'!AG411,'Raw Data'!AI411),"")</f>
        <v/>
      </c>
      <c r="N424" s="14" t="str">
        <f t="shared" si="71"/>
        <v/>
      </c>
      <c r="O424" s="14" t="str">
        <f>IF('Raw Data'!A411&lt;&gt;"",AVERAGE('Raw Data'!AJ411,'Raw Data'!AL411,'Raw Data'!AN411,'Raw Data'!AP411,'Raw Data'!AR411),"")</f>
        <v/>
      </c>
      <c r="P424" s="14" t="str">
        <f>IF('Raw Data'!A411&lt;&gt;"",AVERAGE('Raw Data'!AK411,'Raw Data'!AM411,'Raw Data'!AO411,'Raw Data'!AQ411,'Raw Data'!AS411),"")</f>
        <v/>
      </c>
      <c r="Q424" s="14" t="str">
        <f t="shared" si="72"/>
        <v/>
      </c>
      <c r="R424" s="14" t="str">
        <f>IF('Raw Data'!A411&lt;&gt;"",AVERAGE('Raw Data'!AT411,'Raw Data'!AV411,'Raw Data'!AX411,'Raw Data'!AZ411,'Raw Data'!BB411),"")</f>
        <v/>
      </c>
      <c r="S424" s="14" t="str">
        <f>IF('Raw Data'!A411&lt;&gt;"",AVERAGE('Raw Data'!AU411,'Raw Data'!AW411,'Raw Data'!AY411,'Raw Data'!BA411,'Raw Data'!BC411),"")</f>
        <v/>
      </c>
      <c r="T424" s="14" t="str">
        <f t="shared" si="73"/>
        <v/>
      </c>
      <c r="U424" s="14" t="str">
        <f>IF('Raw Data'!A411&lt;&gt;"",AVERAGE('Raw Data'!BD411,'Raw Data'!BF411,'Raw Data'!BH411,'Raw Data'!BJ411,'Raw Data'!BL411),"")</f>
        <v/>
      </c>
      <c r="V424" s="14" t="str">
        <f>IF('Raw Data'!A411&lt;&gt;"",AVERAGE('Raw Data'!BE411,'Raw Data'!BG411,'Raw Data'!BI411,'Raw Data'!BK411,'Raw Data'!BM411),"")</f>
        <v/>
      </c>
      <c r="W424" s="14" t="str">
        <f t="shared" si="74"/>
        <v/>
      </c>
      <c r="X424" s="14" t="str">
        <f t="shared" si="75"/>
        <v/>
      </c>
      <c r="Y424" s="14" t="str">
        <f t="shared" si="76"/>
        <v/>
      </c>
      <c r="Z424" s="14" t="str">
        <f t="shared" si="77"/>
        <v/>
      </c>
      <c r="AA424" s="14" t="str">
        <f t="shared" si="78"/>
        <v/>
      </c>
      <c r="AB424" s="25" t="str">
        <f t="shared" si="79"/>
        <v/>
      </c>
    </row>
    <row r="425" spans="1:28" x14ac:dyDescent="0.25">
      <c r="A425" s="2" t="str">
        <f>IF('Raw Data'!A412&lt;&gt;"",'Raw Data'!A412,"")</f>
        <v/>
      </c>
      <c r="B425" s="2" t="str">
        <f>IF('Raw Data'!B412&lt;&gt;"",'Raw Data'!B412,"")</f>
        <v/>
      </c>
      <c r="C425" s="2" t="str">
        <f>IF('Raw Data'!C412&lt;&gt;"",'Raw Data'!C412,"")</f>
        <v/>
      </c>
      <c r="D425" s="2" t="str">
        <f>IF('Raw Data'!D412&lt;&gt;"",'Raw Data'!D412,"")</f>
        <v/>
      </c>
      <c r="E425" s="2" t="str">
        <f>IF('Raw Data'!E412&lt;&gt;"",'Raw Data'!E412,"")</f>
        <v/>
      </c>
      <c r="F425" s="11" t="str">
        <f>IF('Raw Data'!A412&lt;&gt;"",AVERAGE('Raw Data'!F412,'Raw Data'!H412,'Raw Data'!J412,'Raw Data'!L412,'Raw Data'!N412),"")</f>
        <v/>
      </c>
      <c r="G425" s="11" t="str">
        <f>IF('Raw Data'!A412&lt;&gt;"",AVERAGE('Raw Data'!G412,'Raw Data'!I412,'Raw Data'!K412,'Raw Data'!M412,'Raw Data'!O412),"")</f>
        <v/>
      </c>
      <c r="H425" s="11" t="str">
        <f t="shared" si="69"/>
        <v/>
      </c>
      <c r="I425" s="11" t="str">
        <f>IF('Raw Data'!A412&lt;&gt;"",AVERAGE('Raw Data'!P412,'Raw Data'!R412,'Raw Data'!T412,'Raw Data'!V412,'Raw Data'!X412),"")</f>
        <v/>
      </c>
      <c r="J425" s="11" t="str">
        <f>IF('Raw Data'!A412&lt;&gt;"",AVERAGE('Raw Data'!Q412,'Raw Data'!S412,'Raw Data'!U412,'Raw Data'!W412,'Raw Data'!Y412),"")</f>
        <v/>
      </c>
      <c r="K425" s="11" t="str">
        <f t="shared" si="70"/>
        <v/>
      </c>
      <c r="L425" s="11" t="str">
        <f>IF('Raw Data'!A412&lt;&gt;"",AVERAGE('Raw Data'!Z412,'Raw Data'!AB412,'Raw Data'!AD412,'Raw Data'!AF412,'Raw Data'!AH412),"")</f>
        <v/>
      </c>
      <c r="M425" s="11" t="str">
        <f>IF('Raw Data'!A412&lt;&gt;"",AVERAGE('Raw Data'!AA412,'Raw Data'!AC412,'Raw Data'!AE412,'Raw Data'!AG412,'Raw Data'!AI412),"")</f>
        <v/>
      </c>
      <c r="N425" s="11" t="str">
        <f t="shared" si="71"/>
        <v/>
      </c>
      <c r="O425" s="11" t="str">
        <f>IF('Raw Data'!A412&lt;&gt;"",AVERAGE('Raw Data'!AJ412,'Raw Data'!AL412,'Raw Data'!AN412,'Raw Data'!AP412,'Raw Data'!AR412),"")</f>
        <v/>
      </c>
      <c r="P425" s="11" t="str">
        <f>IF('Raw Data'!A412&lt;&gt;"",AVERAGE('Raw Data'!AK412,'Raw Data'!AM412,'Raw Data'!AO412,'Raw Data'!AQ412,'Raw Data'!AS412),"")</f>
        <v/>
      </c>
      <c r="Q425" s="11" t="str">
        <f t="shared" si="72"/>
        <v/>
      </c>
      <c r="R425" s="11" t="str">
        <f>IF('Raw Data'!A412&lt;&gt;"",AVERAGE('Raw Data'!AT412,'Raw Data'!AV412,'Raw Data'!AX412,'Raw Data'!AZ412,'Raw Data'!BB412),"")</f>
        <v/>
      </c>
      <c r="S425" s="11" t="str">
        <f>IF('Raw Data'!A412&lt;&gt;"",AVERAGE('Raw Data'!AU412,'Raw Data'!AW412,'Raw Data'!AY412,'Raw Data'!BA412,'Raw Data'!BC412),"")</f>
        <v/>
      </c>
      <c r="T425" s="11" t="str">
        <f t="shared" si="73"/>
        <v/>
      </c>
      <c r="U425" s="11" t="str">
        <f>IF('Raw Data'!A412&lt;&gt;"",AVERAGE('Raw Data'!BD412,'Raw Data'!BF412,'Raw Data'!BH412,'Raw Data'!BJ412,'Raw Data'!BL412),"")</f>
        <v/>
      </c>
      <c r="V425" s="11" t="str">
        <f>IF('Raw Data'!A412&lt;&gt;"",AVERAGE('Raw Data'!BE412,'Raw Data'!BG412,'Raw Data'!BI412,'Raw Data'!BK412,'Raw Data'!BM412),"")</f>
        <v/>
      </c>
      <c r="W425" s="11" t="str">
        <f t="shared" si="74"/>
        <v/>
      </c>
      <c r="X425" s="11" t="str">
        <f t="shared" si="75"/>
        <v/>
      </c>
      <c r="Y425" s="11" t="str">
        <f t="shared" si="76"/>
        <v/>
      </c>
      <c r="Z425" s="11" t="str">
        <f t="shared" si="77"/>
        <v/>
      </c>
      <c r="AA425" s="11" t="str">
        <f t="shared" si="78"/>
        <v/>
      </c>
      <c r="AB425" s="24" t="str">
        <f t="shared" si="79"/>
        <v/>
      </c>
    </row>
    <row r="426" spans="1:28" x14ac:dyDescent="0.25">
      <c r="A426" s="10" t="str">
        <f>IF('Raw Data'!A413&lt;&gt;"",'Raw Data'!A413,"")</f>
        <v/>
      </c>
      <c r="B426" s="10" t="str">
        <f>IF('Raw Data'!B413&lt;&gt;"",'Raw Data'!B413,"")</f>
        <v/>
      </c>
      <c r="C426" s="10" t="str">
        <f>IF('Raw Data'!C413&lt;&gt;"",'Raw Data'!C413,"")</f>
        <v/>
      </c>
      <c r="D426" s="10" t="str">
        <f>IF('Raw Data'!D413&lt;&gt;"",'Raw Data'!D413,"")</f>
        <v/>
      </c>
      <c r="E426" s="10" t="str">
        <f>IF('Raw Data'!E413&lt;&gt;"",'Raw Data'!E413,"")</f>
        <v/>
      </c>
      <c r="F426" s="14" t="str">
        <f>IF('Raw Data'!A413&lt;&gt;"",AVERAGE('Raw Data'!F413,'Raw Data'!H413,'Raw Data'!J413,'Raw Data'!L413,'Raw Data'!N413),"")</f>
        <v/>
      </c>
      <c r="G426" s="14" t="str">
        <f>IF('Raw Data'!A413&lt;&gt;"",AVERAGE('Raw Data'!G413,'Raw Data'!I413,'Raw Data'!K413,'Raw Data'!M413,'Raw Data'!O413),"")</f>
        <v/>
      </c>
      <c r="H426" s="14" t="str">
        <f t="shared" si="69"/>
        <v/>
      </c>
      <c r="I426" s="14" t="str">
        <f>IF('Raw Data'!A413&lt;&gt;"",AVERAGE('Raw Data'!P413,'Raw Data'!R413,'Raw Data'!T413,'Raw Data'!V413,'Raw Data'!X413),"")</f>
        <v/>
      </c>
      <c r="J426" s="14" t="str">
        <f>IF('Raw Data'!A413&lt;&gt;"",AVERAGE('Raw Data'!Q413,'Raw Data'!S413,'Raw Data'!U413,'Raw Data'!W413,'Raw Data'!Y413),"")</f>
        <v/>
      </c>
      <c r="K426" s="14" t="str">
        <f t="shared" si="70"/>
        <v/>
      </c>
      <c r="L426" s="14" t="str">
        <f>IF('Raw Data'!A413&lt;&gt;"",AVERAGE('Raw Data'!Z413,'Raw Data'!AB413,'Raw Data'!AD413,'Raw Data'!AF413,'Raw Data'!AH413),"")</f>
        <v/>
      </c>
      <c r="M426" s="14" t="str">
        <f>IF('Raw Data'!A413&lt;&gt;"",AVERAGE('Raw Data'!AA413,'Raw Data'!AC413,'Raw Data'!AE413,'Raw Data'!AG413,'Raw Data'!AI413),"")</f>
        <v/>
      </c>
      <c r="N426" s="14" t="str">
        <f t="shared" si="71"/>
        <v/>
      </c>
      <c r="O426" s="14" t="str">
        <f>IF('Raw Data'!A413&lt;&gt;"",AVERAGE('Raw Data'!AJ413,'Raw Data'!AL413,'Raw Data'!AN413,'Raw Data'!AP413,'Raw Data'!AR413),"")</f>
        <v/>
      </c>
      <c r="P426" s="14" t="str">
        <f>IF('Raw Data'!A413&lt;&gt;"",AVERAGE('Raw Data'!AK413,'Raw Data'!AM413,'Raw Data'!AO413,'Raw Data'!AQ413,'Raw Data'!AS413),"")</f>
        <v/>
      </c>
      <c r="Q426" s="14" t="str">
        <f t="shared" si="72"/>
        <v/>
      </c>
      <c r="R426" s="14" t="str">
        <f>IF('Raw Data'!A413&lt;&gt;"",AVERAGE('Raw Data'!AT413,'Raw Data'!AV413,'Raw Data'!AX413,'Raw Data'!AZ413,'Raw Data'!BB413),"")</f>
        <v/>
      </c>
      <c r="S426" s="14" t="str">
        <f>IF('Raw Data'!A413&lt;&gt;"",AVERAGE('Raw Data'!AU413,'Raw Data'!AW413,'Raw Data'!AY413,'Raw Data'!BA413,'Raw Data'!BC413),"")</f>
        <v/>
      </c>
      <c r="T426" s="14" t="str">
        <f t="shared" si="73"/>
        <v/>
      </c>
      <c r="U426" s="14" t="str">
        <f>IF('Raw Data'!A413&lt;&gt;"",AVERAGE('Raw Data'!BD413,'Raw Data'!BF413,'Raw Data'!BH413,'Raw Data'!BJ413,'Raw Data'!BL413),"")</f>
        <v/>
      </c>
      <c r="V426" s="14" t="str">
        <f>IF('Raw Data'!A413&lt;&gt;"",AVERAGE('Raw Data'!BE413,'Raw Data'!BG413,'Raw Data'!BI413,'Raw Data'!BK413,'Raw Data'!BM413),"")</f>
        <v/>
      </c>
      <c r="W426" s="14" t="str">
        <f t="shared" si="74"/>
        <v/>
      </c>
      <c r="X426" s="14" t="str">
        <f t="shared" si="75"/>
        <v/>
      </c>
      <c r="Y426" s="14" t="str">
        <f t="shared" si="76"/>
        <v/>
      </c>
      <c r="Z426" s="14" t="str">
        <f t="shared" si="77"/>
        <v/>
      </c>
      <c r="AA426" s="14" t="str">
        <f t="shared" si="78"/>
        <v/>
      </c>
      <c r="AB426" s="25" t="str">
        <f t="shared" si="79"/>
        <v/>
      </c>
    </row>
    <row r="427" spans="1:28" x14ac:dyDescent="0.25">
      <c r="A427" s="2" t="str">
        <f>IF('Raw Data'!A414&lt;&gt;"",'Raw Data'!A414,"")</f>
        <v/>
      </c>
      <c r="B427" s="2" t="str">
        <f>IF('Raw Data'!B414&lt;&gt;"",'Raw Data'!B414,"")</f>
        <v/>
      </c>
      <c r="C427" s="2" t="str">
        <f>IF('Raw Data'!C414&lt;&gt;"",'Raw Data'!C414,"")</f>
        <v/>
      </c>
      <c r="D427" s="2" t="str">
        <f>IF('Raw Data'!D414&lt;&gt;"",'Raw Data'!D414,"")</f>
        <v/>
      </c>
      <c r="E427" s="2" t="str">
        <f>IF('Raw Data'!E414&lt;&gt;"",'Raw Data'!E414,"")</f>
        <v/>
      </c>
      <c r="F427" s="11" t="str">
        <f>IF('Raw Data'!A414&lt;&gt;"",AVERAGE('Raw Data'!F414,'Raw Data'!H414,'Raw Data'!J414,'Raw Data'!L414,'Raw Data'!N414),"")</f>
        <v/>
      </c>
      <c r="G427" s="11" t="str">
        <f>IF('Raw Data'!A414&lt;&gt;"",AVERAGE('Raw Data'!G414,'Raw Data'!I414,'Raw Data'!K414,'Raw Data'!M414,'Raw Data'!O414),"")</f>
        <v/>
      </c>
      <c r="H427" s="11" t="str">
        <f t="shared" si="69"/>
        <v/>
      </c>
      <c r="I427" s="11" t="str">
        <f>IF('Raw Data'!A414&lt;&gt;"",AVERAGE('Raw Data'!P414,'Raw Data'!R414,'Raw Data'!T414,'Raw Data'!V414,'Raw Data'!X414),"")</f>
        <v/>
      </c>
      <c r="J427" s="11" t="str">
        <f>IF('Raw Data'!A414&lt;&gt;"",AVERAGE('Raw Data'!Q414,'Raw Data'!S414,'Raw Data'!U414,'Raw Data'!W414,'Raw Data'!Y414),"")</f>
        <v/>
      </c>
      <c r="K427" s="11" t="str">
        <f t="shared" si="70"/>
        <v/>
      </c>
      <c r="L427" s="11" t="str">
        <f>IF('Raw Data'!A414&lt;&gt;"",AVERAGE('Raw Data'!Z414,'Raw Data'!AB414,'Raw Data'!AD414,'Raw Data'!AF414,'Raw Data'!AH414),"")</f>
        <v/>
      </c>
      <c r="M427" s="11" t="str">
        <f>IF('Raw Data'!A414&lt;&gt;"",AVERAGE('Raw Data'!AA414,'Raw Data'!AC414,'Raw Data'!AE414,'Raw Data'!AG414,'Raw Data'!AI414),"")</f>
        <v/>
      </c>
      <c r="N427" s="11" t="str">
        <f t="shared" si="71"/>
        <v/>
      </c>
      <c r="O427" s="11" t="str">
        <f>IF('Raw Data'!A414&lt;&gt;"",AVERAGE('Raw Data'!AJ414,'Raw Data'!AL414,'Raw Data'!AN414,'Raw Data'!AP414,'Raw Data'!AR414),"")</f>
        <v/>
      </c>
      <c r="P427" s="11" t="str">
        <f>IF('Raw Data'!A414&lt;&gt;"",AVERAGE('Raw Data'!AK414,'Raw Data'!AM414,'Raw Data'!AO414,'Raw Data'!AQ414,'Raw Data'!AS414),"")</f>
        <v/>
      </c>
      <c r="Q427" s="11" t="str">
        <f t="shared" si="72"/>
        <v/>
      </c>
      <c r="R427" s="11" t="str">
        <f>IF('Raw Data'!A414&lt;&gt;"",AVERAGE('Raw Data'!AT414,'Raw Data'!AV414,'Raw Data'!AX414,'Raw Data'!AZ414,'Raw Data'!BB414),"")</f>
        <v/>
      </c>
      <c r="S427" s="11" t="str">
        <f>IF('Raw Data'!A414&lt;&gt;"",AVERAGE('Raw Data'!AU414,'Raw Data'!AW414,'Raw Data'!AY414,'Raw Data'!BA414,'Raw Data'!BC414),"")</f>
        <v/>
      </c>
      <c r="T427" s="11" t="str">
        <f t="shared" si="73"/>
        <v/>
      </c>
      <c r="U427" s="11" t="str">
        <f>IF('Raw Data'!A414&lt;&gt;"",AVERAGE('Raw Data'!BD414,'Raw Data'!BF414,'Raw Data'!BH414,'Raw Data'!BJ414,'Raw Data'!BL414),"")</f>
        <v/>
      </c>
      <c r="V427" s="11" t="str">
        <f>IF('Raw Data'!A414&lt;&gt;"",AVERAGE('Raw Data'!BE414,'Raw Data'!BG414,'Raw Data'!BI414,'Raw Data'!BK414,'Raw Data'!BM414),"")</f>
        <v/>
      </c>
      <c r="W427" s="11" t="str">
        <f t="shared" si="74"/>
        <v/>
      </c>
      <c r="X427" s="11" t="str">
        <f t="shared" si="75"/>
        <v/>
      </c>
      <c r="Y427" s="11" t="str">
        <f t="shared" si="76"/>
        <v/>
      </c>
      <c r="Z427" s="11" t="str">
        <f t="shared" si="77"/>
        <v/>
      </c>
      <c r="AA427" s="11" t="str">
        <f t="shared" si="78"/>
        <v/>
      </c>
      <c r="AB427" s="24" t="str">
        <f t="shared" si="79"/>
        <v/>
      </c>
    </row>
    <row r="428" spans="1:28" x14ac:dyDescent="0.25">
      <c r="A428" s="10" t="str">
        <f>IF('Raw Data'!A415&lt;&gt;"",'Raw Data'!A415,"")</f>
        <v/>
      </c>
      <c r="B428" s="10" t="str">
        <f>IF('Raw Data'!B415&lt;&gt;"",'Raw Data'!B415,"")</f>
        <v/>
      </c>
      <c r="C428" s="10" t="str">
        <f>IF('Raw Data'!C415&lt;&gt;"",'Raw Data'!C415,"")</f>
        <v/>
      </c>
      <c r="D428" s="10" t="str">
        <f>IF('Raw Data'!D415&lt;&gt;"",'Raw Data'!D415,"")</f>
        <v/>
      </c>
      <c r="E428" s="10" t="str">
        <f>IF('Raw Data'!E415&lt;&gt;"",'Raw Data'!E415,"")</f>
        <v/>
      </c>
      <c r="F428" s="14" t="str">
        <f>IF('Raw Data'!A415&lt;&gt;"",AVERAGE('Raw Data'!F415,'Raw Data'!H415,'Raw Data'!J415,'Raw Data'!L415,'Raw Data'!N415),"")</f>
        <v/>
      </c>
      <c r="G428" s="14" t="str">
        <f>IF('Raw Data'!A415&lt;&gt;"",AVERAGE('Raw Data'!G415,'Raw Data'!I415,'Raw Data'!K415,'Raw Data'!M415,'Raw Data'!O415),"")</f>
        <v/>
      </c>
      <c r="H428" s="14" t="str">
        <f t="shared" si="69"/>
        <v/>
      </c>
      <c r="I428" s="14" t="str">
        <f>IF('Raw Data'!A415&lt;&gt;"",AVERAGE('Raw Data'!P415,'Raw Data'!R415,'Raw Data'!T415,'Raw Data'!V415,'Raw Data'!X415),"")</f>
        <v/>
      </c>
      <c r="J428" s="14" t="str">
        <f>IF('Raw Data'!A415&lt;&gt;"",AVERAGE('Raw Data'!Q415,'Raw Data'!S415,'Raw Data'!U415,'Raw Data'!W415,'Raw Data'!Y415),"")</f>
        <v/>
      </c>
      <c r="K428" s="14" t="str">
        <f t="shared" si="70"/>
        <v/>
      </c>
      <c r="L428" s="14" t="str">
        <f>IF('Raw Data'!A415&lt;&gt;"",AVERAGE('Raw Data'!Z415,'Raw Data'!AB415,'Raw Data'!AD415,'Raw Data'!AF415,'Raw Data'!AH415),"")</f>
        <v/>
      </c>
      <c r="M428" s="14" t="str">
        <f>IF('Raw Data'!A415&lt;&gt;"",AVERAGE('Raw Data'!AA415,'Raw Data'!AC415,'Raw Data'!AE415,'Raw Data'!AG415,'Raw Data'!AI415),"")</f>
        <v/>
      </c>
      <c r="N428" s="14" t="str">
        <f t="shared" si="71"/>
        <v/>
      </c>
      <c r="O428" s="14" t="str">
        <f>IF('Raw Data'!A415&lt;&gt;"",AVERAGE('Raw Data'!AJ415,'Raw Data'!AL415,'Raw Data'!AN415,'Raw Data'!AP415,'Raw Data'!AR415),"")</f>
        <v/>
      </c>
      <c r="P428" s="14" t="str">
        <f>IF('Raw Data'!A415&lt;&gt;"",AVERAGE('Raw Data'!AK415,'Raw Data'!AM415,'Raw Data'!AO415,'Raw Data'!AQ415,'Raw Data'!AS415),"")</f>
        <v/>
      </c>
      <c r="Q428" s="14" t="str">
        <f t="shared" si="72"/>
        <v/>
      </c>
      <c r="R428" s="14" t="str">
        <f>IF('Raw Data'!A415&lt;&gt;"",AVERAGE('Raw Data'!AT415,'Raw Data'!AV415,'Raw Data'!AX415,'Raw Data'!AZ415,'Raw Data'!BB415),"")</f>
        <v/>
      </c>
      <c r="S428" s="14" t="str">
        <f>IF('Raw Data'!A415&lt;&gt;"",AVERAGE('Raw Data'!AU415,'Raw Data'!AW415,'Raw Data'!AY415,'Raw Data'!BA415,'Raw Data'!BC415),"")</f>
        <v/>
      </c>
      <c r="T428" s="14" t="str">
        <f t="shared" si="73"/>
        <v/>
      </c>
      <c r="U428" s="14" t="str">
        <f>IF('Raw Data'!A415&lt;&gt;"",AVERAGE('Raw Data'!BD415,'Raw Data'!BF415,'Raw Data'!BH415,'Raw Data'!BJ415,'Raw Data'!BL415),"")</f>
        <v/>
      </c>
      <c r="V428" s="14" t="str">
        <f>IF('Raw Data'!A415&lt;&gt;"",AVERAGE('Raw Data'!BE415,'Raw Data'!BG415,'Raw Data'!BI415,'Raw Data'!BK415,'Raw Data'!BM415),"")</f>
        <v/>
      </c>
      <c r="W428" s="14" t="str">
        <f t="shared" si="74"/>
        <v/>
      </c>
      <c r="X428" s="14" t="str">
        <f t="shared" si="75"/>
        <v/>
      </c>
      <c r="Y428" s="14" t="str">
        <f t="shared" si="76"/>
        <v/>
      </c>
      <c r="Z428" s="14" t="str">
        <f t="shared" si="77"/>
        <v/>
      </c>
      <c r="AA428" s="14" t="str">
        <f t="shared" si="78"/>
        <v/>
      </c>
      <c r="AB428" s="25" t="str">
        <f t="shared" si="79"/>
        <v/>
      </c>
    </row>
    <row r="429" spans="1:28" x14ac:dyDescent="0.25">
      <c r="A429" s="2" t="str">
        <f>IF('Raw Data'!A416&lt;&gt;"",'Raw Data'!A416,"")</f>
        <v/>
      </c>
      <c r="B429" s="2" t="str">
        <f>IF('Raw Data'!B416&lt;&gt;"",'Raw Data'!B416,"")</f>
        <v/>
      </c>
      <c r="C429" s="2" t="str">
        <f>IF('Raw Data'!C416&lt;&gt;"",'Raw Data'!C416,"")</f>
        <v/>
      </c>
      <c r="D429" s="2" t="str">
        <f>IF('Raw Data'!D416&lt;&gt;"",'Raw Data'!D416,"")</f>
        <v/>
      </c>
      <c r="E429" s="2" t="str">
        <f>IF('Raw Data'!E416&lt;&gt;"",'Raw Data'!E416,"")</f>
        <v/>
      </c>
      <c r="F429" s="11" t="str">
        <f>IF('Raw Data'!A416&lt;&gt;"",AVERAGE('Raw Data'!F416,'Raw Data'!H416,'Raw Data'!J416,'Raw Data'!L416,'Raw Data'!N416),"")</f>
        <v/>
      </c>
      <c r="G429" s="11" t="str">
        <f>IF('Raw Data'!A416&lt;&gt;"",AVERAGE('Raw Data'!G416,'Raw Data'!I416,'Raw Data'!K416,'Raw Data'!M416,'Raw Data'!O416),"")</f>
        <v/>
      </c>
      <c r="H429" s="11" t="str">
        <f t="shared" si="69"/>
        <v/>
      </c>
      <c r="I429" s="11" t="str">
        <f>IF('Raw Data'!A416&lt;&gt;"",AVERAGE('Raw Data'!P416,'Raw Data'!R416,'Raw Data'!T416,'Raw Data'!V416,'Raw Data'!X416),"")</f>
        <v/>
      </c>
      <c r="J429" s="11" t="str">
        <f>IF('Raw Data'!A416&lt;&gt;"",AVERAGE('Raw Data'!Q416,'Raw Data'!S416,'Raw Data'!U416,'Raw Data'!W416,'Raw Data'!Y416),"")</f>
        <v/>
      </c>
      <c r="K429" s="11" t="str">
        <f t="shared" si="70"/>
        <v/>
      </c>
      <c r="L429" s="11" t="str">
        <f>IF('Raw Data'!A416&lt;&gt;"",AVERAGE('Raw Data'!Z416,'Raw Data'!AB416,'Raw Data'!AD416,'Raw Data'!AF416,'Raw Data'!AH416),"")</f>
        <v/>
      </c>
      <c r="M429" s="11" t="str">
        <f>IF('Raw Data'!A416&lt;&gt;"",AVERAGE('Raw Data'!AA416,'Raw Data'!AC416,'Raw Data'!AE416,'Raw Data'!AG416,'Raw Data'!AI416),"")</f>
        <v/>
      </c>
      <c r="N429" s="11" t="str">
        <f t="shared" si="71"/>
        <v/>
      </c>
      <c r="O429" s="11" t="str">
        <f>IF('Raw Data'!A416&lt;&gt;"",AVERAGE('Raw Data'!AJ416,'Raw Data'!AL416,'Raw Data'!AN416,'Raw Data'!AP416,'Raw Data'!AR416),"")</f>
        <v/>
      </c>
      <c r="P429" s="11" t="str">
        <f>IF('Raw Data'!A416&lt;&gt;"",AVERAGE('Raw Data'!AK416,'Raw Data'!AM416,'Raw Data'!AO416,'Raw Data'!AQ416,'Raw Data'!AS416),"")</f>
        <v/>
      </c>
      <c r="Q429" s="11" t="str">
        <f t="shared" si="72"/>
        <v/>
      </c>
      <c r="R429" s="11" t="str">
        <f>IF('Raw Data'!A416&lt;&gt;"",AVERAGE('Raw Data'!AT416,'Raw Data'!AV416,'Raw Data'!AX416,'Raw Data'!AZ416,'Raw Data'!BB416),"")</f>
        <v/>
      </c>
      <c r="S429" s="11" t="str">
        <f>IF('Raw Data'!A416&lt;&gt;"",AVERAGE('Raw Data'!AU416,'Raw Data'!AW416,'Raw Data'!AY416,'Raw Data'!BA416,'Raw Data'!BC416),"")</f>
        <v/>
      </c>
      <c r="T429" s="11" t="str">
        <f t="shared" si="73"/>
        <v/>
      </c>
      <c r="U429" s="11" t="str">
        <f>IF('Raw Data'!A416&lt;&gt;"",AVERAGE('Raw Data'!BD416,'Raw Data'!BF416,'Raw Data'!BH416,'Raw Data'!BJ416,'Raw Data'!BL416),"")</f>
        <v/>
      </c>
      <c r="V429" s="11" t="str">
        <f>IF('Raw Data'!A416&lt;&gt;"",AVERAGE('Raw Data'!BE416,'Raw Data'!BG416,'Raw Data'!BI416,'Raw Data'!BK416,'Raw Data'!BM416),"")</f>
        <v/>
      </c>
      <c r="W429" s="11" t="str">
        <f t="shared" si="74"/>
        <v/>
      </c>
      <c r="X429" s="11" t="str">
        <f t="shared" si="75"/>
        <v/>
      </c>
      <c r="Y429" s="11" t="str">
        <f t="shared" si="76"/>
        <v/>
      </c>
      <c r="Z429" s="11" t="str">
        <f t="shared" si="77"/>
        <v/>
      </c>
      <c r="AA429" s="11" t="str">
        <f t="shared" si="78"/>
        <v/>
      </c>
      <c r="AB429" s="24" t="str">
        <f t="shared" si="79"/>
        <v/>
      </c>
    </row>
    <row r="430" spans="1:28" x14ac:dyDescent="0.25">
      <c r="A430" s="10" t="str">
        <f>IF('Raw Data'!A417&lt;&gt;"",'Raw Data'!A417,"")</f>
        <v/>
      </c>
      <c r="B430" s="10" t="str">
        <f>IF('Raw Data'!B417&lt;&gt;"",'Raw Data'!B417,"")</f>
        <v/>
      </c>
      <c r="C430" s="10" t="str">
        <f>IF('Raw Data'!C417&lt;&gt;"",'Raw Data'!C417,"")</f>
        <v/>
      </c>
      <c r="D430" s="10" t="str">
        <f>IF('Raw Data'!D417&lt;&gt;"",'Raw Data'!D417,"")</f>
        <v/>
      </c>
      <c r="E430" s="10" t="str">
        <f>IF('Raw Data'!E417&lt;&gt;"",'Raw Data'!E417,"")</f>
        <v/>
      </c>
      <c r="F430" s="14" t="str">
        <f>IF('Raw Data'!A417&lt;&gt;"",AVERAGE('Raw Data'!F417,'Raw Data'!H417,'Raw Data'!J417,'Raw Data'!L417,'Raw Data'!N417),"")</f>
        <v/>
      </c>
      <c r="G430" s="14" t="str">
        <f>IF('Raw Data'!A417&lt;&gt;"",AVERAGE('Raw Data'!G417,'Raw Data'!I417,'Raw Data'!K417,'Raw Data'!M417,'Raw Data'!O417),"")</f>
        <v/>
      </c>
      <c r="H430" s="14" t="str">
        <f t="shared" si="69"/>
        <v/>
      </c>
      <c r="I430" s="14" t="str">
        <f>IF('Raw Data'!A417&lt;&gt;"",AVERAGE('Raw Data'!P417,'Raw Data'!R417,'Raw Data'!T417,'Raw Data'!V417,'Raw Data'!X417),"")</f>
        <v/>
      </c>
      <c r="J430" s="14" t="str">
        <f>IF('Raw Data'!A417&lt;&gt;"",AVERAGE('Raw Data'!Q417,'Raw Data'!S417,'Raw Data'!U417,'Raw Data'!W417,'Raw Data'!Y417),"")</f>
        <v/>
      </c>
      <c r="K430" s="14" t="str">
        <f t="shared" si="70"/>
        <v/>
      </c>
      <c r="L430" s="14" t="str">
        <f>IF('Raw Data'!A417&lt;&gt;"",AVERAGE('Raw Data'!Z417,'Raw Data'!AB417,'Raw Data'!AD417,'Raw Data'!AF417,'Raw Data'!AH417),"")</f>
        <v/>
      </c>
      <c r="M430" s="14" t="str">
        <f>IF('Raw Data'!A417&lt;&gt;"",AVERAGE('Raw Data'!AA417,'Raw Data'!AC417,'Raw Data'!AE417,'Raw Data'!AG417,'Raw Data'!AI417),"")</f>
        <v/>
      </c>
      <c r="N430" s="14" t="str">
        <f t="shared" si="71"/>
        <v/>
      </c>
      <c r="O430" s="14" t="str">
        <f>IF('Raw Data'!A417&lt;&gt;"",AVERAGE('Raw Data'!AJ417,'Raw Data'!AL417,'Raw Data'!AN417,'Raw Data'!AP417,'Raw Data'!AR417),"")</f>
        <v/>
      </c>
      <c r="P430" s="14" t="str">
        <f>IF('Raw Data'!A417&lt;&gt;"",AVERAGE('Raw Data'!AK417,'Raw Data'!AM417,'Raw Data'!AO417,'Raw Data'!AQ417,'Raw Data'!AS417),"")</f>
        <v/>
      </c>
      <c r="Q430" s="14" t="str">
        <f t="shared" si="72"/>
        <v/>
      </c>
      <c r="R430" s="14" t="str">
        <f>IF('Raw Data'!A417&lt;&gt;"",AVERAGE('Raw Data'!AT417,'Raw Data'!AV417,'Raw Data'!AX417,'Raw Data'!AZ417,'Raw Data'!BB417),"")</f>
        <v/>
      </c>
      <c r="S430" s="14" t="str">
        <f>IF('Raw Data'!A417&lt;&gt;"",AVERAGE('Raw Data'!AU417,'Raw Data'!AW417,'Raw Data'!AY417,'Raw Data'!BA417,'Raw Data'!BC417),"")</f>
        <v/>
      </c>
      <c r="T430" s="14" t="str">
        <f t="shared" si="73"/>
        <v/>
      </c>
      <c r="U430" s="14" t="str">
        <f>IF('Raw Data'!A417&lt;&gt;"",AVERAGE('Raw Data'!BD417,'Raw Data'!BF417,'Raw Data'!BH417,'Raw Data'!BJ417,'Raw Data'!BL417),"")</f>
        <v/>
      </c>
      <c r="V430" s="14" t="str">
        <f>IF('Raw Data'!A417&lt;&gt;"",AVERAGE('Raw Data'!BE417,'Raw Data'!BG417,'Raw Data'!BI417,'Raw Data'!BK417,'Raw Data'!BM417),"")</f>
        <v/>
      </c>
      <c r="W430" s="14" t="str">
        <f t="shared" si="74"/>
        <v/>
      </c>
      <c r="X430" s="14" t="str">
        <f t="shared" si="75"/>
        <v/>
      </c>
      <c r="Y430" s="14" t="str">
        <f t="shared" si="76"/>
        <v/>
      </c>
      <c r="Z430" s="14" t="str">
        <f t="shared" si="77"/>
        <v/>
      </c>
      <c r="AA430" s="14" t="str">
        <f t="shared" si="78"/>
        <v/>
      </c>
      <c r="AB430" s="25" t="str">
        <f t="shared" si="79"/>
        <v/>
      </c>
    </row>
    <row r="431" spans="1:28" x14ac:dyDescent="0.25">
      <c r="A431" s="2" t="str">
        <f>IF('Raw Data'!A418&lt;&gt;"",'Raw Data'!A418,"")</f>
        <v/>
      </c>
      <c r="B431" s="2" t="str">
        <f>IF('Raw Data'!B418&lt;&gt;"",'Raw Data'!B418,"")</f>
        <v/>
      </c>
      <c r="C431" s="2" t="str">
        <f>IF('Raw Data'!C418&lt;&gt;"",'Raw Data'!C418,"")</f>
        <v/>
      </c>
      <c r="D431" s="2" t="str">
        <f>IF('Raw Data'!D418&lt;&gt;"",'Raw Data'!D418,"")</f>
        <v/>
      </c>
      <c r="E431" s="2" t="str">
        <f>IF('Raw Data'!E418&lt;&gt;"",'Raw Data'!E418,"")</f>
        <v/>
      </c>
      <c r="F431" s="11" t="str">
        <f>IF('Raw Data'!A418&lt;&gt;"",AVERAGE('Raw Data'!F418,'Raw Data'!H418,'Raw Data'!J418,'Raw Data'!L418,'Raw Data'!N418),"")</f>
        <v/>
      </c>
      <c r="G431" s="11" t="str">
        <f>IF('Raw Data'!A418&lt;&gt;"",AVERAGE('Raw Data'!G418,'Raw Data'!I418,'Raw Data'!K418,'Raw Data'!M418,'Raw Data'!O418),"")</f>
        <v/>
      </c>
      <c r="H431" s="11" t="str">
        <f t="shared" si="69"/>
        <v/>
      </c>
      <c r="I431" s="11" t="str">
        <f>IF('Raw Data'!A418&lt;&gt;"",AVERAGE('Raw Data'!P418,'Raw Data'!R418,'Raw Data'!T418,'Raw Data'!V418,'Raw Data'!X418),"")</f>
        <v/>
      </c>
      <c r="J431" s="11" t="str">
        <f>IF('Raw Data'!A418&lt;&gt;"",AVERAGE('Raw Data'!Q418,'Raw Data'!S418,'Raw Data'!U418,'Raw Data'!W418,'Raw Data'!Y418),"")</f>
        <v/>
      </c>
      <c r="K431" s="11" t="str">
        <f t="shared" si="70"/>
        <v/>
      </c>
      <c r="L431" s="11" t="str">
        <f>IF('Raw Data'!A418&lt;&gt;"",AVERAGE('Raw Data'!Z418,'Raw Data'!AB418,'Raw Data'!AD418,'Raw Data'!AF418,'Raw Data'!AH418),"")</f>
        <v/>
      </c>
      <c r="M431" s="11" t="str">
        <f>IF('Raw Data'!A418&lt;&gt;"",AVERAGE('Raw Data'!AA418,'Raw Data'!AC418,'Raw Data'!AE418,'Raw Data'!AG418,'Raw Data'!AI418),"")</f>
        <v/>
      </c>
      <c r="N431" s="11" t="str">
        <f t="shared" si="71"/>
        <v/>
      </c>
      <c r="O431" s="11" t="str">
        <f>IF('Raw Data'!A418&lt;&gt;"",AVERAGE('Raw Data'!AJ418,'Raw Data'!AL418,'Raw Data'!AN418,'Raw Data'!AP418,'Raw Data'!AR418),"")</f>
        <v/>
      </c>
      <c r="P431" s="11" t="str">
        <f>IF('Raw Data'!A418&lt;&gt;"",AVERAGE('Raw Data'!AK418,'Raw Data'!AM418,'Raw Data'!AO418,'Raw Data'!AQ418,'Raw Data'!AS418),"")</f>
        <v/>
      </c>
      <c r="Q431" s="11" t="str">
        <f t="shared" si="72"/>
        <v/>
      </c>
      <c r="R431" s="11" t="str">
        <f>IF('Raw Data'!A418&lt;&gt;"",AVERAGE('Raw Data'!AT418,'Raw Data'!AV418,'Raw Data'!AX418,'Raw Data'!AZ418,'Raw Data'!BB418),"")</f>
        <v/>
      </c>
      <c r="S431" s="11" t="str">
        <f>IF('Raw Data'!A418&lt;&gt;"",AVERAGE('Raw Data'!AU418,'Raw Data'!AW418,'Raw Data'!AY418,'Raw Data'!BA418,'Raw Data'!BC418),"")</f>
        <v/>
      </c>
      <c r="T431" s="11" t="str">
        <f t="shared" si="73"/>
        <v/>
      </c>
      <c r="U431" s="11" t="str">
        <f>IF('Raw Data'!A418&lt;&gt;"",AVERAGE('Raw Data'!BD418,'Raw Data'!BF418,'Raw Data'!BH418,'Raw Data'!BJ418,'Raw Data'!BL418),"")</f>
        <v/>
      </c>
      <c r="V431" s="11" t="str">
        <f>IF('Raw Data'!A418&lt;&gt;"",AVERAGE('Raw Data'!BE418,'Raw Data'!BG418,'Raw Data'!BI418,'Raw Data'!BK418,'Raw Data'!BM418),"")</f>
        <v/>
      </c>
      <c r="W431" s="11" t="str">
        <f t="shared" si="74"/>
        <v/>
      </c>
      <c r="X431" s="11" t="str">
        <f t="shared" si="75"/>
        <v/>
      </c>
      <c r="Y431" s="11" t="str">
        <f t="shared" si="76"/>
        <v/>
      </c>
      <c r="Z431" s="11" t="str">
        <f t="shared" si="77"/>
        <v/>
      </c>
      <c r="AA431" s="11" t="str">
        <f t="shared" si="78"/>
        <v/>
      </c>
      <c r="AB431" s="24" t="str">
        <f t="shared" si="79"/>
        <v/>
      </c>
    </row>
    <row r="432" spans="1:28" x14ac:dyDescent="0.25">
      <c r="A432" s="10" t="str">
        <f>IF('Raw Data'!A419&lt;&gt;"",'Raw Data'!A419,"")</f>
        <v/>
      </c>
      <c r="B432" s="10" t="str">
        <f>IF('Raw Data'!B419&lt;&gt;"",'Raw Data'!B419,"")</f>
        <v/>
      </c>
      <c r="C432" s="10" t="str">
        <f>IF('Raw Data'!C419&lt;&gt;"",'Raw Data'!C419,"")</f>
        <v/>
      </c>
      <c r="D432" s="10" t="str">
        <f>IF('Raw Data'!D419&lt;&gt;"",'Raw Data'!D419,"")</f>
        <v/>
      </c>
      <c r="E432" s="10" t="str">
        <f>IF('Raw Data'!E419&lt;&gt;"",'Raw Data'!E419,"")</f>
        <v/>
      </c>
      <c r="F432" s="14" t="str">
        <f>IF('Raw Data'!A419&lt;&gt;"",AVERAGE('Raw Data'!F419,'Raw Data'!H419,'Raw Data'!J419,'Raw Data'!L419,'Raw Data'!N419),"")</f>
        <v/>
      </c>
      <c r="G432" s="14" t="str">
        <f>IF('Raw Data'!A419&lt;&gt;"",AVERAGE('Raw Data'!G419,'Raw Data'!I419,'Raw Data'!K419,'Raw Data'!M419,'Raw Data'!O419),"")</f>
        <v/>
      </c>
      <c r="H432" s="14" t="str">
        <f t="shared" si="69"/>
        <v/>
      </c>
      <c r="I432" s="14" t="str">
        <f>IF('Raw Data'!A419&lt;&gt;"",AVERAGE('Raw Data'!P419,'Raw Data'!R419,'Raw Data'!T419,'Raw Data'!V419,'Raw Data'!X419),"")</f>
        <v/>
      </c>
      <c r="J432" s="14" t="str">
        <f>IF('Raw Data'!A419&lt;&gt;"",AVERAGE('Raw Data'!Q419,'Raw Data'!S419,'Raw Data'!U419,'Raw Data'!W419,'Raw Data'!Y419),"")</f>
        <v/>
      </c>
      <c r="K432" s="14" t="str">
        <f t="shared" si="70"/>
        <v/>
      </c>
      <c r="L432" s="14" t="str">
        <f>IF('Raw Data'!A419&lt;&gt;"",AVERAGE('Raw Data'!Z419,'Raw Data'!AB419,'Raw Data'!AD419,'Raw Data'!AF419,'Raw Data'!AH419),"")</f>
        <v/>
      </c>
      <c r="M432" s="14" t="str">
        <f>IF('Raw Data'!A419&lt;&gt;"",AVERAGE('Raw Data'!AA419,'Raw Data'!AC419,'Raw Data'!AE419,'Raw Data'!AG419,'Raw Data'!AI419),"")</f>
        <v/>
      </c>
      <c r="N432" s="14" t="str">
        <f t="shared" si="71"/>
        <v/>
      </c>
      <c r="O432" s="14" t="str">
        <f>IF('Raw Data'!A419&lt;&gt;"",AVERAGE('Raw Data'!AJ419,'Raw Data'!AL419,'Raw Data'!AN419,'Raw Data'!AP419,'Raw Data'!AR419),"")</f>
        <v/>
      </c>
      <c r="P432" s="14" t="str">
        <f>IF('Raw Data'!A419&lt;&gt;"",AVERAGE('Raw Data'!AK419,'Raw Data'!AM419,'Raw Data'!AO419,'Raw Data'!AQ419,'Raw Data'!AS419),"")</f>
        <v/>
      </c>
      <c r="Q432" s="14" t="str">
        <f t="shared" si="72"/>
        <v/>
      </c>
      <c r="R432" s="14" t="str">
        <f>IF('Raw Data'!A419&lt;&gt;"",AVERAGE('Raw Data'!AT419,'Raw Data'!AV419,'Raw Data'!AX419,'Raw Data'!AZ419,'Raw Data'!BB419),"")</f>
        <v/>
      </c>
      <c r="S432" s="14" t="str">
        <f>IF('Raw Data'!A419&lt;&gt;"",AVERAGE('Raw Data'!AU419,'Raw Data'!AW419,'Raw Data'!AY419,'Raw Data'!BA419,'Raw Data'!BC419),"")</f>
        <v/>
      </c>
      <c r="T432" s="14" t="str">
        <f t="shared" si="73"/>
        <v/>
      </c>
      <c r="U432" s="14" t="str">
        <f>IF('Raw Data'!A419&lt;&gt;"",AVERAGE('Raw Data'!BD419,'Raw Data'!BF419,'Raw Data'!BH419,'Raw Data'!BJ419,'Raw Data'!BL419),"")</f>
        <v/>
      </c>
      <c r="V432" s="14" t="str">
        <f>IF('Raw Data'!A419&lt;&gt;"",AVERAGE('Raw Data'!BE419,'Raw Data'!BG419,'Raw Data'!BI419,'Raw Data'!BK419,'Raw Data'!BM419),"")</f>
        <v/>
      </c>
      <c r="W432" s="14" t="str">
        <f t="shared" si="74"/>
        <v/>
      </c>
      <c r="X432" s="14" t="str">
        <f t="shared" si="75"/>
        <v/>
      </c>
      <c r="Y432" s="14" t="str">
        <f t="shared" si="76"/>
        <v/>
      </c>
      <c r="Z432" s="14" t="str">
        <f t="shared" si="77"/>
        <v/>
      </c>
      <c r="AA432" s="14" t="str">
        <f t="shared" si="78"/>
        <v/>
      </c>
      <c r="AB432" s="25" t="str">
        <f t="shared" si="79"/>
        <v/>
      </c>
    </row>
    <row r="433" spans="1:28" x14ac:dyDescent="0.25">
      <c r="A433" s="2" t="str">
        <f>IF('Raw Data'!A420&lt;&gt;"",'Raw Data'!A420,"")</f>
        <v/>
      </c>
      <c r="B433" s="2" t="str">
        <f>IF('Raw Data'!B420&lt;&gt;"",'Raw Data'!B420,"")</f>
        <v/>
      </c>
      <c r="C433" s="2" t="str">
        <f>IF('Raw Data'!C420&lt;&gt;"",'Raw Data'!C420,"")</f>
        <v/>
      </c>
      <c r="D433" s="2" t="str">
        <f>IF('Raw Data'!D420&lt;&gt;"",'Raw Data'!D420,"")</f>
        <v/>
      </c>
      <c r="E433" s="2" t="str">
        <f>IF('Raw Data'!E420&lt;&gt;"",'Raw Data'!E420,"")</f>
        <v/>
      </c>
      <c r="F433" s="11" t="str">
        <f>IF('Raw Data'!A420&lt;&gt;"",AVERAGE('Raw Data'!F420,'Raw Data'!H420,'Raw Data'!J420,'Raw Data'!L420,'Raw Data'!N420),"")</f>
        <v/>
      </c>
      <c r="G433" s="11" t="str">
        <f>IF('Raw Data'!A420&lt;&gt;"",AVERAGE('Raw Data'!G420,'Raw Data'!I420,'Raw Data'!K420,'Raw Data'!M420,'Raw Data'!O420),"")</f>
        <v/>
      </c>
      <c r="H433" s="11" t="str">
        <f t="shared" si="69"/>
        <v/>
      </c>
      <c r="I433" s="11" t="str">
        <f>IF('Raw Data'!A420&lt;&gt;"",AVERAGE('Raw Data'!P420,'Raw Data'!R420,'Raw Data'!T420,'Raw Data'!V420,'Raw Data'!X420),"")</f>
        <v/>
      </c>
      <c r="J433" s="11" t="str">
        <f>IF('Raw Data'!A420&lt;&gt;"",AVERAGE('Raw Data'!Q420,'Raw Data'!S420,'Raw Data'!U420,'Raw Data'!W420,'Raw Data'!Y420),"")</f>
        <v/>
      </c>
      <c r="K433" s="11" t="str">
        <f t="shared" si="70"/>
        <v/>
      </c>
      <c r="L433" s="11" t="str">
        <f>IF('Raw Data'!A420&lt;&gt;"",AVERAGE('Raw Data'!Z420,'Raw Data'!AB420,'Raw Data'!AD420,'Raw Data'!AF420,'Raw Data'!AH420),"")</f>
        <v/>
      </c>
      <c r="M433" s="11" t="str">
        <f>IF('Raw Data'!A420&lt;&gt;"",AVERAGE('Raw Data'!AA420,'Raw Data'!AC420,'Raw Data'!AE420,'Raw Data'!AG420,'Raw Data'!AI420),"")</f>
        <v/>
      </c>
      <c r="N433" s="11" t="str">
        <f t="shared" si="71"/>
        <v/>
      </c>
      <c r="O433" s="11" t="str">
        <f>IF('Raw Data'!A420&lt;&gt;"",AVERAGE('Raw Data'!AJ420,'Raw Data'!AL420,'Raw Data'!AN420,'Raw Data'!AP420,'Raw Data'!AR420),"")</f>
        <v/>
      </c>
      <c r="P433" s="11" t="str">
        <f>IF('Raw Data'!A420&lt;&gt;"",AVERAGE('Raw Data'!AK420,'Raw Data'!AM420,'Raw Data'!AO420,'Raw Data'!AQ420,'Raw Data'!AS420),"")</f>
        <v/>
      </c>
      <c r="Q433" s="11" t="str">
        <f t="shared" si="72"/>
        <v/>
      </c>
      <c r="R433" s="11" t="str">
        <f>IF('Raw Data'!A420&lt;&gt;"",AVERAGE('Raw Data'!AT420,'Raw Data'!AV420,'Raw Data'!AX420,'Raw Data'!AZ420,'Raw Data'!BB420),"")</f>
        <v/>
      </c>
      <c r="S433" s="11" t="str">
        <f>IF('Raw Data'!A420&lt;&gt;"",AVERAGE('Raw Data'!AU420,'Raw Data'!AW420,'Raw Data'!AY420,'Raw Data'!BA420,'Raw Data'!BC420),"")</f>
        <v/>
      </c>
      <c r="T433" s="11" t="str">
        <f t="shared" si="73"/>
        <v/>
      </c>
      <c r="U433" s="11" t="str">
        <f>IF('Raw Data'!A420&lt;&gt;"",AVERAGE('Raw Data'!BD420,'Raw Data'!BF420,'Raw Data'!BH420,'Raw Data'!BJ420,'Raw Data'!BL420),"")</f>
        <v/>
      </c>
      <c r="V433" s="11" t="str">
        <f>IF('Raw Data'!A420&lt;&gt;"",AVERAGE('Raw Data'!BE420,'Raw Data'!BG420,'Raw Data'!BI420,'Raw Data'!BK420,'Raw Data'!BM420),"")</f>
        <v/>
      </c>
      <c r="W433" s="11" t="str">
        <f t="shared" si="74"/>
        <v/>
      </c>
      <c r="X433" s="11" t="str">
        <f t="shared" si="75"/>
        <v/>
      </c>
      <c r="Y433" s="11" t="str">
        <f t="shared" si="76"/>
        <v/>
      </c>
      <c r="Z433" s="11" t="str">
        <f t="shared" si="77"/>
        <v/>
      </c>
      <c r="AA433" s="11" t="str">
        <f t="shared" si="78"/>
        <v/>
      </c>
      <c r="AB433" s="24" t="str">
        <f t="shared" si="79"/>
        <v/>
      </c>
    </row>
    <row r="434" spans="1:28" x14ac:dyDescent="0.25">
      <c r="A434" s="10" t="str">
        <f>IF('Raw Data'!A421&lt;&gt;"",'Raw Data'!A421,"")</f>
        <v/>
      </c>
      <c r="B434" s="10" t="str">
        <f>IF('Raw Data'!B421&lt;&gt;"",'Raw Data'!B421,"")</f>
        <v/>
      </c>
      <c r="C434" s="10" t="str">
        <f>IF('Raw Data'!C421&lt;&gt;"",'Raw Data'!C421,"")</f>
        <v/>
      </c>
      <c r="D434" s="10" t="str">
        <f>IF('Raw Data'!D421&lt;&gt;"",'Raw Data'!D421,"")</f>
        <v/>
      </c>
      <c r="E434" s="10" t="str">
        <f>IF('Raw Data'!E421&lt;&gt;"",'Raw Data'!E421,"")</f>
        <v/>
      </c>
      <c r="F434" s="14" t="str">
        <f>IF('Raw Data'!A421&lt;&gt;"",AVERAGE('Raw Data'!F421,'Raw Data'!H421,'Raw Data'!J421,'Raw Data'!L421,'Raw Data'!N421),"")</f>
        <v/>
      </c>
      <c r="G434" s="14" t="str">
        <f>IF('Raw Data'!A421&lt;&gt;"",AVERAGE('Raw Data'!G421,'Raw Data'!I421,'Raw Data'!K421,'Raw Data'!M421,'Raw Data'!O421),"")</f>
        <v/>
      </c>
      <c r="H434" s="14" t="str">
        <f t="shared" si="69"/>
        <v/>
      </c>
      <c r="I434" s="14" t="str">
        <f>IF('Raw Data'!A421&lt;&gt;"",AVERAGE('Raw Data'!P421,'Raw Data'!R421,'Raw Data'!T421,'Raw Data'!V421,'Raw Data'!X421),"")</f>
        <v/>
      </c>
      <c r="J434" s="14" t="str">
        <f>IF('Raw Data'!A421&lt;&gt;"",AVERAGE('Raw Data'!Q421,'Raw Data'!S421,'Raw Data'!U421,'Raw Data'!W421,'Raw Data'!Y421),"")</f>
        <v/>
      </c>
      <c r="K434" s="14" t="str">
        <f t="shared" si="70"/>
        <v/>
      </c>
      <c r="L434" s="14" t="str">
        <f>IF('Raw Data'!A421&lt;&gt;"",AVERAGE('Raw Data'!Z421,'Raw Data'!AB421,'Raw Data'!AD421,'Raw Data'!AF421,'Raw Data'!AH421),"")</f>
        <v/>
      </c>
      <c r="M434" s="14" t="str">
        <f>IF('Raw Data'!A421&lt;&gt;"",AVERAGE('Raw Data'!AA421,'Raw Data'!AC421,'Raw Data'!AE421,'Raw Data'!AG421,'Raw Data'!AI421),"")</f>
        <v/>
      </c>
      <c r="N434" s="14" t="str">
        <f t="shared" si="71"/>
        <v/>
      </c>
      <c r="O434" s="14" t="str">
        <f>IF('Raw Data'!A421&lt;&gt;"",AVERAGE('Raw Data'!AJ421,'Raw Data'!AL421,'Raw Data'!AN421,'Raw Data'!AP421,'Raw Data'!AR421),"")</f>
        <v/>
      </c>
      <c r="P434" s="14" t="str">
        <f>IF('Raw Data'!A421&lt;&gt;"",AVERAGE('Raw Data'!AK421,'Raw Data'!AM421,'Raw Data'!AO421,'Raw Data'!AQ421,'Raw Data'!AS421),"")</f>
        <v/>
      </c>
      <c r="Q434" s="14" t="str">
        <f t="shared" si="72"/>
        <v/>
      </c>
      <c r="R434" s="14" t="str">
        <f>IF('Raw Data'!A421&lt;&gt;"",AVERAGE('Raw Data'!AT421,'Raw Data'!AV421,'Raw Data'!AX421,'Raw Data'!AZ421,'Raw Data'!BB421),"")</f>
        <v/>
      </c>
      <c r="S434" s="14" t="str">
        <f>IF('Raw Data'!A421&lt;&gt;"",AVERAGE('Raw Data'!AU421,'Raw Data'!AW421,'Raw Data'!AY421,'Raw Data'!BA421,'Raw Data'!BC421),"")</f>
        <v/>
      </c>
      <c r="T434" s="14" t="str">
        <f t="shared" si="73"/>
        <v/>
      </c>
      <c r="U434" s="14" t="str">
        <f>IF('Raw Data'!A421&lt;&gt;"",AVERAGE('Raw Data'!BD421,'Raw Data'!BF421,'Raw Data'!BH421,'Raw Data'!BJ421,'Raw Data'!BL421),"")</f>
        <v/>
      </c>
      <c r="V434" s="14" t="str">
        <f>IF('Raw Data'!A421&lt;&gt;"",AVERAGE('Raw Data'!BE421,'Raw Data'!BG421,'Raw Data'!BI421,'Raw Data'!BK421,'Raw Data'!BM421),"")</f>
        <v/>
      </c>
      <c r="W434" s="14" t="str">
        <f t="shared" si="74"/>
        <v/>
      </c>
      <c r="X434" s="14" t="str">
        <f t="shared" si="75"/>
        <v/>
      </c>
      <c r="Y434" s="14" t="str">
        <f t="shared" si="76"/>
        <v/>
      </c>
      <c r="Z434" s="14" t="str">
        <f t="shared" si="77"/>
        <v/>
      </c>
      <c r="AA434" s="14" t="str">
        <f t="shared" si="78"/>
        <v/>
      </c>
      <c r="AB434" s="25" t="str">
        <f t="shared" si="79"/>
        <v/>
      </c>
    </row>
    <row r="435" spans="1:28" x14ac:dyDescent="0.25">
      <c r="A435" s="2" t="str">
        <f>IF('Raw Data'!A422&lt;&gt;"",'Raw Data'!A422,"")</f>
        <v/>
      </c>
      <c r="B435" s="2" t="str">
        <f>IF('Raw Data'!B422&lt;&gt;"",'Raw Data'!B422,"")</f>
        <v/>
      </c>
      <c r="C435" s="2" t="str">
        <f>IF('Raw Data'!C422&lt;&gt;"",'Raw Data'!C422,"")</f>
        <v/>
      </c>
      <c r="D435" s="2" t="str">
        <f>IF('Raw Data'!D422&lt;&gt;"",'Raw Data'!D422,"")</f>
        <v/>
      </c>
      <c r="E435" s="2" t="str">
        <f>IF('Raw Data'!E422&lt;&gt;"",'Raw Data'!E422,"")</f>
        <v/>
      </c>
      <c r="F435" s="11" t="str">
        <f>IF('Raw Data'!A422&lt;&gt;"",AVERAGE('Raw Data'!F422,'Raw Data'!H422,'Raw Data'!J422,'Raw Data'!L422,'Raw Data'!N422),"")</f>
        <v/>
      </c>
      <c r="G435" s="11" t="str">
        <f>IF('Raw Data'!A422&lt;&gt;"",AVERAGE('Raw Data'!G422,'Raw Data'!I422,'Raw Data'!K422,'Raw Data'!M422,'Raw Data'!O422),"")</f>
        <v/>
      </c>
      <c r="H435" s="11" t="str">
        <f t="shared" si="69"/>
        <v/>
      </c>
      <c r="I435" s="11" t="str">
        <f>IF('Raw Data'!A422&lt;&gt;"",AVERAGE('Raw Data'!P422,'Raw Data'!R422,'Raw Data'!T422,'Raw Data'!V422,'Raw Data'!X422),"")</f>
        <v/>
      </c>
      <c r="J435" s="11" t="str">
        <f>IF('Raw Data'!A422&lt;&gt;"",AVERAGE('Raw Data'!Q422,'Raw Data'!S422,'Raw Data'!U422,'Raw Data'!W422,'Raw Data'!Y422),"")</f>
        <v/>
      </c>
      <c r="K435" s="11" t="str">
        <f t="shared" si="70"/>
        <v/>
      </c>
      <c r="L435" s="11" t="str">
        <f>IF('Raw Data'!A422&lt;&gt;"",AVERAGE('Raw Data'!Z422,'Raw Data'!AB422,'Raw Data'!AD422,'Raw Data'!AF422,'Raw Data'!AH422),"")</f>
        <v/>
      </c>
      <c r="M435" s="11" t="str">
        <f>IF('Raw Data'!A422&lt;&gt;"",AVERAGE('Raw Data'!AA422,'Raw Data'!AC422,'Raw Data'!AE422,'Raw Data'!AG422,'Raw Data'!AI422),"")</f>
        <v/>
      </c>
      <c r="N435" s="11" t="str">
        <f t="shared" si="71"/>
        <v/>
      </c>
      <c r="O435" s="11" t="str">
        <f>IF('Raw Data'!A422&lt;&gt;"",AVERAGE('Raw Data'!AJ422,'Raw Data'!AL422,'Raw Data'!AN422,'Raw Data'!AP422,'Raw Data'!AR422),"")</f>
        <v/>
      </c>
      <c r="P435" s="11" t="str">
        <f>IF('Raw Data'!A422&lt;&gt;"",AVERAGE('Raw Data'!AK422,'Raw Data'!AM422,'Raw Data'!AO422,'Raw Data'!AQ422,'Raw Data'!AS422),"")</f>
        <v/>
      </c>
      <c r="Q435" s="11" t="str">
        <f t="shared" si="72"/>
        <v/>
      </c>
      <c r="R435" s="11" t="str">
        <f>IF('Raw Data'!A422&lt;&gt;"",AVERAGE('Raw Data'!AT422,'Raw Data'!AV422,'Raw Data'!AX422,'Raw Data'!AZ422,'Raw Data'!BB422),"")</f>
        <v/>
      </c>
      <c r="S435" s="11" t="str">
        <f>IF('Raw Data'!A422&lt;&gt;"",AVERAGE('Raw Data'!AU422,'Raw Data'!AW422,'Raw Data'!AY422,'Raw Data'!BA422,'Raw Data'!BC422),"")</f>
        <v/>
      </c>
      <c r="T435" s="11" t="str">
        <f t="shared" si="73"/>
        <v/>
      </c>
      <c r="U435" s="11" t="str">
        <f>IF('Raw Data'!A422&lt;&gt;"",AVERAGE('Raw Data'!BD422,'Raw Data'!BF422,'Raw Data'!BH422,'Raw Data'!BJ422,'Raw Data'!BL422),"")</f>
        <v/>
      </c>
      <c r="V435" s="11" t="str">
        <f>IF('Raw Data'!A422&lt;&gt;"",AVERAGE('Raw Data'!BE422,'Raw Data'!BG422,'Raw Data'!BI422,'Raw Data'!BK422,'Raw Data'!BM422),"")</f>
        <v/>
      </c>
      <c r="W435" s="11" t="str">
        <f t="shared" si="74"/>
        <v/>
      </c>
      <c r="X435" s="11" t="str">
        <f t="shared" si="75"/>
        <v/>
      </c>
      <c r="Y435" s="11" t="str">
        <f t="shared" si="76"/>
        <v/>
      </c>
      <c r="Z435" s="11" t="str">
        <f t="shared" si="77"/>
        <v/>
      </c>
      <c r="AA435" s="11" t="str">
        <f t="shared" si="78"/>
        <v/>
      </c>
      <c r="AB435" s="24" t="str">
        <f t="shared" si="79"/>
        <v/>
      </c>
    </row>
    <row r="436" spans="1:28" x14ac:dyDescent="0.25">
      <c r="A436" s="10" t="str">
        <f>IF('Raw Data'!A423&lt;&gt;"",'Raw Data'!A423,"")</f>
        <v/>
      </c>
      <c r="B436" s="10" t="str">
        <f>IF('Raw Data'!B423&lt;&gt;"",'Raw Data'!B423,"")</f>
        <v/>
      </c>
      <c r="C436" s="10" t="str">
        <f>IF('Raw Data'!C423&lt;&gt;"",'Raw Data'!C423,"")</f>
        <v/>
      </c>
      <c r="D436" s="10" t="str">
        <f>IF('Raw Data'!D423&lt;&gt;"",'Raw Data'!D423,"")</f>
        <v/>
      </c>
      <c r="E436" s="10" t="str">
        <f>IF('Raw Data'!E423&lt;&gt;"",'Raw Data'!E423,"")</f>
        <v/>
      </c>
      <c r="F436" s="14" t="str">
        <f>IF('Raw Data'!A423&lt;&gt;"",AVERAGE('Raw Data'!F423,'Raw Data'!H423,'Raw Data'!J423,'Raw Data'!L423,'Raw Data'!N423),"")</f>
        <v/>
      </c>
      <c r="G436" s="14" t="str">
        <f>IF('Raw Data'!A423&lt;&gt;"",AVERAGE('Raw Data'!G423,'Raw Data'!I423,'Raw Data'!K423,'Raw Data'!M423,'Raw Data'!O423),"")</f>
        <v/>
      </c>
      <c r="H436" s="14" t="str">
        <f t="shared" si="69"/>
        <v/>
      </c>
      <c r="I436" s="14" t="str">
        <f>IF('Raw Data'!A423&lt;&gt;"",AVERAGE('Raw Data'!P423,'Raw Data'!R423,'Raw Data'!T423,'Raw Data'!V423,'Raw Data'!X423),"")</f>
        <v/>
      </c>
      <c r="J436" s="14" t="str">
        <f>IF('Raw Data'!A423&lt;&gt;"",AVERAGE('Raw Data'!Q423,'Raw Data'!S423,'Raw Data'!U423,'Raw Data'!W423,'Raw Data'!Y423),"")</f>
        <v/>
      </c>
      <c r="K436" s="14" t="str">
        <f t="shared" si="70"/>
        <v/>
      </c>
      <c r="L436" s="14" t="str">
        <f>IF('Raw Data'!A423&lt;&gt;"",AVERAGE('Raw Data'!Z423,'Raw Data'!AB423,'Raw Data'!AD423,'Raw Data'!AF423,'Raw Data'!AH423),"")</f>
        <v/>
      </c>
      <c r="M436" s="14" t="str">
        <f>IF('Raw Data'!A423&lt;&gt;"",AVERAGE('Raw Data'!AA423,'Raw Data'!AC423,'Raw Data'!AE423,'Raw Data'!AG423,'Raw Data'!AI423),"")</f>
        <v/>
      </c>
      <c r="N436" s="14" t="str">
        <f t="shared" si="71"/>
        <v/>
      </c>
      <c r="O436" s="14" t="str">
        <f>IF('Raw Data'!A423&lt;&gt;"",AVERAGE('Raw Data'!AJ423,'Raw Data'!AL423,'Raw Data'!AN423,'Raw Data'!AP423,'Raw Data'!AR423),"")</f>
        <v/>
      </c>
      <c r="P436" s="14" t="str">
        <f>IF('Raw Data'!A423&lt;&gt;"",AVERAGE('Raw Data'!AK423,'Raw Data'!AM423,'Raw Data'!AO423,'Raw Data'!AQ423,'Raw Data'!AS423),"")</f>
        <v/>
      </c>
      <c r="Q436" s="14" t="str">
        <f t="shared" si="72"/>
        <v/>
      </c>
      <c r="R436" s="14" t="str">
        <f>IF('Raw Data'!A423&lt;&gt;"",AVERAGE('Raw Data'!AT423,'Raw Data'!AV423,'Raw Data'!AX423,'Raw Data'!AZ423,'Raw Data'!BB423),"")</f>
        <v/>
      </c>
      <c r="S436" s="14" t="str">
        <f>IF('Raw Data'!A423&lt;&gt;"",AVERAGE('Raw Data'!AU423,'Raw Data'!AW423,'Raw Data'!AY423,'Raw Data'!BA423,'Raw Data'!BC423),"")</f>
        <v/>
      </c>
      <c r="T436" s="14" t="str">
        <f t="shared" si="73"/>
        <v/>
      </c>
      <c r="U436" s="14" t="str">
        <f>IF('Raw Data'!A423&lt;&gt;"",AVERAGE('Raw Data'!BD423,'Raw Data'!BF423,'Raw Data'!BH423,'Raw Data'!BJ423,'Raw Data'!BL423),"")</f>
        <v/>
      </c>
      <c r="V436" s="14" t="str">
        <f>IF('Raw Data'!A423&lt;&gt;"",AVERAGE('Raw Data'!BE423,'Raw Data'!BG423,'Raw Data'!BI423,'Raw Data'!BK423,'Raw Data'!BM423),"")</f>
        <v/>
      </c>
      <c r="W436" s="14" t="str">
        <f t="shared" si="74"/>
        <v/>
      </c>
      <c r="X436" s="14" t="str">
        <f t="shared" si="75"/>
        <v/>
      </c>
      <c r="Y436" s="14" t="str">
        <f t="shared" si="76"/>
        <v/>
      </c>
      <c r="Z436" s="14" t="str">
        <f t="shared" si="77"/>
        <v/>
      </c>
      <c r="AA436" s="14" t="str">
        <f t="shared" si="78"/>
        <v/>
      </c>
      <c r="AB436" s="25" t="str">
        <f t="shared" si="79"/>
        <v/>
      </c>
    </row>
    <row r="437" spans="1:28" x14ac:dyDescent="0.25">
      <c r="A437" s="2" t="str">
        <f>IF('Raw Data'!A424&lt;&gt;"",'Raw Data'!A424,"")</f>
        <v/>
      </c>
      <c r="B437" s="2" t="str">
        <f>IF('Raw Data'!B424&lt;&gt;"",'Raw Data'!B424,"")</f>
        <v/>
      </c>
      <c r="C437" s="2" t="str">
        <f>IF('Raw Data'!C424&lt;&gt;"",'Raw Data'!C424,"")</f>
        <v/>
      </c>
      <c r="D437" s="2" t="str">
        <f>IF('Raw Data'!D424&lt;&gt;"",'Raw Data'!D424,"")</f>
        <v/>
      </c>
      <c r="E437" s="2" t="str">
        <f>IF('Raw Data'!E424&lt;&gt;"",'Raw Data'!E424,"")</f>
        <v/>
      </c>
      <c r="F437" s="11" t="str">
        <f>IF('Raw Data'!A424&lt;&gt;"",AVERAGE('Raw Data'!F424,'Raw Data'!H424,'Raw Data'!J424,'Raw Data'!L424,'Raw Data'!N424),"")</f>
        <v/>
      </c>
      <c r="G437" s="11" t="str">
        <f>IF('Raw Data'!A424&lt;&gt;"",AVERAGE('Raw Data'!G424,'Raw Data'!I424,'Raw Data'!K424,'Raw Data'!M424,'Raw Data'!O424),"")</f>
        <v/>
      </c>
      <c r="H437" s="11" t="str">
        <f t="shared" si="69"/>
        <v/>
      </c>
      <c r="I437" s="11" t="str">
        <f>IF('Raw Data'!A424&lt;&gt;"",AVERAGE('Raw Data'!P424,'Raw Data'!R424,'Raw Data'!T424,'Raw Data'!V424,'Raw Data'!X424),"")</f>
        <v/>
      </c>
      <c r="J437" s="11" t="str">
        <f>IF('Raw Data'!A424&lt;&gt;"",AVERAGE('Raw Data'!Q424,'Raw Data'!S424,'Raw Data'!U424,'Raw Data'!W424,'Raw Data'!Y424),"")</f>
        <v/>
      </c>
      <c r="K437" s="11" t="str">
        <f t="shared" si="70"/>
        <v/>
      </c>
      <c r="L437" s="11" t="str">
        <f>IF('Raw Data'!A424&lt;&gt;"",AVERAGE('Raw Data'!Z424,'Raw Data'!AB424,'Raw Data'!AD424,'Raw Data'!AF424,'Raw Data'!AH424),"")</f>
        <v/>
      </c>
      <c r="M437" s="11" t="str">
        <f>IF('Raw Data'!A424&lt;&gt;"",AVERAGE('Raw Data'!AA424,'Raw Data'!AC424,'Raw Data'!AE424,'Raw Data'!AG424,'Raw Data'!AI424),"")</f>
        <v/>
      </c>
      <c r="N437" s="11" t="str">
        <f t="shared" si="71"/>
        <v/>
      </c>
      <c r="O437" s="11" t="str">
        <f>IF('Raw Data'!A424&lt;&gt;"",AVERAGE('Raw Data'!AJ424,'Raw Data'!AL424,'Raw Data'!AN424,'Raw Data'!AP424,'Raw Data'!AR424),"")</f>
        <v/>
      </c>
      <c r="P437" s="11" t="str">
        <f>IF('Raw Data'!A424&lt;&gt;"",AVERAGE('Raw Data'!AK424,'Raw Data'!AM424,'Raw Data'!AO424,'Raw Data'!AQ424,'Raw Data'!AS424),"")</f>
        <v/>
      </c>
      <c r="Q437" s="11" t="str">
        <f t="shared" si="72"/>
        <v/>
      </c>
      <c r="R437" s="11" t="str">
        <f>IF('Raw Data'!A424&lt;&gt;"",AVERAGE('Raw Data'!AT424,'Raw Data'!AV424,'Raw Data'!AX424,'Raw Data'!AZ424,'Raw Data'!BB424),"")</f>
        <v/>
      </c>
      <c r="S437" s="11" t="str">
        <f>IF('Raw Data'!A424&lt;&gt;"",AVERAGE('Raw Data'!AU424,'Raw Data'!AW424,'Raw Data'!AY424,'Raw Data'!BA424,'Raw Data'!BC424),"")</f>
        <v/>
      </c>
      <c r="T437" s="11" t="str">
        <f t="shared" si="73"/>
        <v/>
      </c>
      <c r="U437" s="11" t="str">
        <f>IF('Raw Data'!A424&lt;&gt;"",AVERAGE('Raw Data'!BD424,'Raw Data'!BF424,'Raw Data'!BH424,'Raw Data'!BJ424,'Raw Data'!BL424),"")</f>
        <v/>
      </c>
      <c r="V437" s="11" t="str">
        <f>IF('Raw Data'!A424&lt;&gt;"",AVERAGE('Raw Data'!BE424,'Raw Data'!BG424,'Raw Data'!BI424,'Raw Data'!BK424,'Raw Data'!BM424),"")</f>
        <v/>
      </c>
      <c r="W437" s="11" t="str">
        <f t="shared" si="74"/>
        <v/>
      </c>
      <c r="X437" s="11" t="str">
        <f t="shared" si="75"/>
        <v/>
      </c>
      <c r="Y437" s="11" t="str">
        <f t="shared" si="76"/>
        <v/>
      </c>
      <c r="Z437" s="11" t="str">
        <f t="shared" si="77"/>
        <v/>
      </c>
      <c r="AA437" s="11" t="str">
        <f t="shared" si="78"/>
        <v/>
      </c>
      <c r="AB437" s="24" t="str">
        <f t="shared" si="79"/>
        <v/>
      </c>
    </row>
    <row r="438" spans="1:28" x14ac:dyDescent="0.25">
      <c r="A438" s="10" t="str">
        <f>IF('Raw Data'!A425&lt;&gt;"",'Raw Data'!A425,"")</f>
        <v/>
      </c>
      <c r="B438" s="10" t="str">
        <f>IF('Raw Data'!B425&lt;&gt;"",'Raw Data'!B425,"")</f>
        <v/>
      </c>
      <c r="C438" s="10" t="str">
        <f>IF('Raw Data'!C425&lt;&gt;"",'Raw Data'!C425,"")</f>
        <v/>
      </c>
      <c r="D438" s="10" t="str">
        <f>IF('Raw Data'!D425&lt;&gt;"",'Raw Data'!D425,"")</f>
        <v/>
      </c>
      <c r="E438" s="10" t="str">
        <f>IF('Raw Data'!E425&lt;&gt;"",'Raw Data'!E425,"")</f>
        <v/>
      </c>
      <c r="F438" s="14" t="str">
        <f>IF('Raw Data'!A425&lt;&gt;"",AVERAGE('Raw Data'!F425,'Raw Data'!H425,'Raw Data'!J425,'Raw Data'!L425,'Raw Data'!N425),"")</f>
        <v/>
      </c>
      <c r="G438" s="14" t="str">
        <f>IF('Raw Data'!A425&lt;&gt;"",AVERAGE('Raw Data'!G425,'Raw Data'!I425,'Raw Data'!K425,'Raw Data'!M425,'Raw Data'!O425),"")</f>
        <v/>
      </c>
      <c r="H438" s="14" t="str">
        <f t="shared" si="69"/>
        <v/>
      </c>
      <c r="I438" s="14" t="str">
        <f>IF('Raw Data'!A425&lt;&gt;"",AVERAGE('Raw Data'!P425,'Raw Data'!R425,'Raw Data'!T425,'Raw Data'!V425,'Raw Data'!X425),"")</f>
        <v/>
      </c>
      <c r="J438" s="14" t="str">
        <f>IF('Raw Data'!A425&lt;&gt;"",AVERAGE('Raw Data'!Q425,'Raw Data'!S425,'Raw Data'!U425,'Raw Data'!W425,'Raw Data'!Y425),"")</f>
        <v/>
      </c>
      <c r="K438" s="14" t="str">
        <f t="shared" si="70"/>
        <v/>
      </c>
      <c r="L438" s="14" t="str">
        <f>IF('Raw Data'!A425&lt;&gt;"",AVERAGE('Raw Data'!Z425,'Raw Data'!AB425,'Raw Data'!AD425,'Raw Data'!AF425,'Raw Data'!AH425),"")</f>
        <v/>
      </c>
      <c r="M438" s="14" t="str">
        <f>IF('Raw Data'!A425&lt;&gt;"",AVERAGE('Raw Data'!AA425,'Raw Data'!AC425,'Raw Data'!AE425,'Raw Data'!AG425,'Raw Data'!AI425),"")</f>
        <v/>
      </c>
      <c r="N438" s="14" t="str">
        <f t="shared" si="71"/>
        <v/>
      </c>
      <c r="O438" s="14" t="str">
        <f>IF('Raw Data'!A425&lt;&gt;"",AVERAGE('Raw Data'!AJ425,'Raw Data'!AL425,'Raw Data'!AN425,'Raw Data'!AP425,'Raw Data'!AR425),"")</f>
        <v/>
      </c>
      <c r="P438" s="14" t="str">
        <f>IF('Raw Data'!A425&lt;&gt;"",AVERAGE('Raw Data'!AK425,'Raw Data'!AM425,'Raw Data'!AO425,'Raw Data'!AQ425,'Raw Data'!AS425),"")</f>
        <v/>
      </c>
      <c r="Q438" s="14" t="str">
        <f t="shared" si="72"/>
        <v/>
      </c>
      <c r="R438" s="14" t="str">
        <f>IF('Raw Data'!A425&lt;&gt;"",AVERAGE('Raw Data'!AT425,'Raw Data'!AV425,'Raw Data'!AX425,'Raw Data'!AZ425,'Raw Data'!BB425),"")</f>
        <v/>
      </c>
      <c r="S438" s="14" t="str">
        <f>IF('Raw Data'!A425&lt;&gt;"",AVERAGE('Raw Data'!AU425,'Raw Data'!AW425,'Raw Data'!AY425,'Raw Data'!BA425,'Raw Data'!BC425),"")</f>
        <v/>
      </c>
      <c r="T438" s="14" t="str">
        <f t="shared" si="73"/>
        <v/>
      </c>
      <c r="U438" s="14" t="str">
        <f>IF('Raw Data'!A425&lt;&gt;"",AVERAGE('Raw Data'!BD425,'Raw Data'!BF425,'Raw Data'!BH425,'Raw Data'!BJ425,'Raw Data'!BL425),"")</f>
        <v/>
      </c>
      <c r="V438" s="14" t="str">
        <f>IF('Raw Data'!A425&lt;&gt;"",AVERAGE('Raw Data'!BE425,'Raw Data'!BG425,'Raw Data'!BI425,'Raw Data'!BK425,'Raw Data'!BM425),"")</f>
        <v/>
      </c>
      <c r="W438" s="14" t="str">
        <f t="shared" si="74"/>
        <v/>
      </c>
      <c r="X438" s="14" t="str">
        <f t="shared" si="75"/>
        <v/>
      </c>
      <c r="Y438" s="14" t="str">
        <f t="shared" si="76"/>
        <v/>
      </c>
      <c r="Z438" s="14" t="str">
        <f t="shared" si="77"/>
        <v/>
      </c>
      <c r="AA438" s="14" t="str">
        <f t="shared" si="78"/>
        <v/>
      </c>
      <c r="AB438" s="25" t="str">
        <f t="shared" si="79"/>
        <v/>
      </c>
    </row>
    <row r="439" spans="1:28" x14ac:dyDescent="0.25">
      <c r="A439" s="2" t="str">
        <f>IF('Raw Data'!A426&lt;&gt;"",'Raw Data'!A426,"")</f>
        <v/>
      </c>
      <c r="B439" s="2" t="str">
        <f>IF('Raw Data'!B426&lt;&gt;"",'Raw Data'!B426,"")</f>
        <v/>
      </c>
      <c r="C439" s="2" t="str">
        <f>IF('Raw Data'!C426&lt;&gt;"",'Raw Data'!C426,"")</f>
        <v/>
      </c>
      <c r="D439" s="2" t="str">
        <f>IF('Raw Data'!D426&lt;&gt;"",'Raw Data'!D426,"")</f>
        <v/>
      </c>
      <c r="E439" s="2" t="str">
        <f>IF('Raw Data'!E426&lt;&gt;"",'Raw Data'!E426,"")</f>
        <v/>
      </c>
      <c r="F439" s="11" t="str">
        <f>IF('Raw Data'!A426&lt;&gt;"",AVERAGE('Raw Data'!F426,'Raw Data'!H426,'Raw Data'!J426,'Raw Data'!L426,'Raw Data'!N426),"")</f>
        <v/>
      </c>
      <c r="G439" s="11" t="str">
        <f>IF('Raw Data'!A426&lt;&gt;"",AVERAGE('Raw Data'!G426,'Raw Data'!I426,'Raw Data'!K426,'Raw Data'!M426,'Raw Data'!O426),"")</f>
        <v/>
      </c>
      <c r="H439" s="11" t="str">
        <f t="shared" si="69"/>
        <v/>
      </c>
      <c r="I439" s="11" t="str">
        <f>IF('Raw Data'!A426&lt;&gt;"",AVERAGE('Raw Data'!P426,'Raw Data'!R426,'Raw Data'!T426,'Raw Data'!V426,'Raw Data'!X426),"")</f>
        <v/>
      </c>
      <c r="J439" s="11" t="str">
        <f>IF('Raw Data'!A426&lt;&gt;"",AVERAGE('Raw Data'!Q426,'Raw Data'!S426,'Raw Data'!U426,'Raw Data'!W426,'Raw Data'!Y426),"")</f>
        <v/>
      </c>
      <c r="K439" s="11" t="str">
        <f t="shared" si="70"/>
        <v/>
      </c>
      <c r="L439" s="11" t="str">
        <f>IF('Raw Data'!A426&lt;&gt;"",AVERAGE('Raw Data'!Z426,'Raw Data'!AB426,'Raw Data'!AD426,'Raw Data'!AF426,'Raw Data'!AH426),"")</f>
        <v/>
      </c>
      <c r="M439" s="11" t="str">
        <f>IF('Raw Data'!A426&lt;&gt;"",AVERAGE('Raw Data'!AA426,'Raw Data'!AC426,'Raw Data'!AE426,'Raw Data'!AG426,'Raw Data'!AI426),"")</f>
        <v/>
      </c>
      <c r="N439" s="11" t="str">
        <f t="shared" si="71"/>
        <v/>
      </c>
      <c r="O439" s="11" t="str">
        <f>IF('Raw Data'!A426&lt;&gt;"",AVERAGE('Raw Data'!AJ426,'Raw Data'!AL426,'Raw Data'!AN426,'Raw Data'!AP426,'Raw Data'!AR426),"")</f>
        <v/>
      </c>
      <c r="P439" s="11" t="str">
        <f>IF('Raw Data'!A426&lt;&gt;"",AVERAGE('Raw Data'!AK426,'Raw Data'!AM426,'Raw Data'!AO426,'Raw Data'!AQ426,'Raw Data'!AS426),"")</f>
        <v/>
      </c>
      <c r="Q439" s="11" t="str">
        <f t="shared" si="72"/>
        <v/>
      </c>
      <c r="R439" s="11" t="str">
        <f>IF('Raw Data'!A426&lt;&gt;"",AVERAGE('Raw Data'!AT426,'Raw Data'!AV426,'Raw Data'!AX426,'Raw Data'!AZ426,'Raw Data'!BB426),"")</f>
        <v/>
      </c>
      <c r="S439" s="11" t="str">
        <f>IF('Raw Data'!A426&lt;&gt;"",AVERAGE('Raw Data'!AU426,'Raw Data'!AW426,'Raw Data'!AY426,'Raw Data'!BA426,'Raw Data'!BC426),"")</f>
        <v/>
      </c>
      <c r="T439" s="11" t="str">
        <f t="shared" si="73"/>
        <v/>
      </c>
      <c r="U439" s="11" t="str">
        <f>IF('Raw Data'!A426&lt;&gt;"",AVERAGE('Raw Data'!BD426,'Raw Data'!BF426,'Raw Data'!BH426,'Raw Data'!BJ426,'Raw Data'!BL426),"")</f>
        <v/>
      </c>
      <c r="V439" s="11" t="str">
        <f>IF('Raw Data'!A426&lt;&gt;"",AVERAGE('Raw Data'!BE426,'Raw Data'!BG426,'Raw Data'!BI426,'Raw Data'!BK426,'Raw Data'!BM426),"")</f>
        <v/>
      </c>
      <c r="W439" s="11" t="str">
        <f t="shared" si="74"/>
        <v/>
      </c>
      <c r="X439" s="11" t="str">
        <f t="shared" si="75"/>
        <v/>
      </c>
      <c r="Y439" s="11" t="str">
        <f t="shared" si="76"/>
        <v/>
      </c>
      <c r="Z439" s="11" t="str">
        <f t="shared" si="77"/>
        <v/>
      </c>
      <c r="AA439" s="11" t="str">
        <f t="shared" si="78"/>
        <v/>
      </c>
      <c r="AB439" s="24" t="str">
        <f t="shared" si="79"/>
        <v/>
      </c>
    </row>
    <row r="440" spans="1:28" x14ac:dyDescent="0.25">
      <c r="A440" s="10" t="str">
        <f>IF('Raw Data'!A427&lt;&gt;"",'Raw Data'!A427,"")</f>
        <v/>
      </c>
      <c r="B440" s="10" t="str">
        <f>IF('Raw Data'!B427&lt;&gt;"",'Raw Data'!B427,"")</f>
        <v/>
      </c>
      <c r="C440" s="10" t="str">
        <f>IF('Raw Data'!C427&lt;&gt;"",'Raw Data'!C427,"")</f>
        <v/>
      </c>
      <c r="D440" s="10" t="str">
        <f>IF('Raw Data'!D427&lt;&gt;"",'Raw Data'!D427,"")</f>
        <v/>
      </c>
      <c r="E440" s="10" t="str">
        <f>IF('Raw Data'!E427&lt;&gt;"",'Raw Data'!E427,"")</f>
        <v/>
      </c>
      <c r="F440" s="14" t="str">
        <f>IF('Raw Data'!A427&lt;&gt;"",AVERAGE('Raw Data'!F427,'Raw Data'!H427,'Raw Data'!J427,'Raw Data'!L427,'Raw Data'!N427),"")</f>
        <v/>
      </c>
      <c r="G440" s="14" t="str">
        <f>IF('Raw Data'!A427&lt;&gt;"",AVERAGE('Raw Data'!G427,'Raw Data'!I427,'Raw Data'!K427,'Raw Data'!M427,'Raw Data'!O427),"")</f>
        <v/>
      </c>
      <c r="H440" s="14" t="str">
        <f t="shared" si="69"/>
        <v/>
      </c>
      <c r="I440" s="14" t="str">
        <f>IF('Raw Data'!A427&lt;&gt;"",AVERAGE('Raw Data'!P427,'Raw Data'!R427,'Raw Data'!T427,'Raw Data'!V427,'Raw Data'!X427),"")</f>
        <v/>
      </c>
      <c r="J440" s="14" t="str">
        <f>IF('Raw Data'!A427&lt;&gt;"",AVERAGE('Raw Data'!Q427,'Raw Data'!S427,'Raw Data'!U427,'Raw Data'!W427,'Raw Data'!Y427),"")</f>
        <v/>
      </c>
      <c r="K440" s="14" t="str">
        <f t="shared" si="70"/>
        <v/>
      </c>
      <c r="L440" s="14" t="str">
        <f>IF('Raw Data'!A427&lt;&gt;"",AVERAGE('Raw Data'!Z427,'Raw Data'!AB427,'Raw Data'!AD427,'Raw Data'!AF427,'Raw Data'!AH427),"")</f>
        <v/>
      </c>
      <c r="M440" s="14" t="str">
        <f>IF('Raw Data'!A427&lt;&gt;"",AVERAGE('Raw Data'!AA427,'Raw Data'!AC427,'Raw Data'!AE427,'Raw Data'!AG427,'Raw Data'!AI427),"")</f>
        <v/>
      </c>
      <c r="N440" s="14" t="str">
        <f t="shared" si="71"/>
        <v/>
      </c>
      <c r="O440" s="14" t="str">
        <f>IF('Raw Data'!A427&lt;&gt;"",AVERAGE('Raw Data'!AJ427,'Raw Data'!AL427,'Raw Data'!AN427,'Raw Data'!AP427,'Raw Data'!AR427),"")</f>
        <v/>
      </c>
      <c r="P440" s="14" t="str">
        <f>IF('Raw Data'!A427&lt;&gt;"",AVERAGE('Raw Data'!AK427,'Raw Data'!AM427,'Raw Data'!AO427,'Raw Data'!AQ427,'Raw Data'!AS427),"")</f>
        <v/>
      </c>
      <c r="Q440" s="14" t="str">
        <f t="shared" si="72"/>
        <v/>
      </c>
      <c r="R440" s="14" t="str">
        <f>IF('Raw Data'!A427&lt;&gt;"",AVERAGE('Raw Data'!AT427,'Raw Data'!AV427,'Raw Data'!AX427,'Raw Data'!AZ427,'Raw Data'!BB427),"")</f>
        <v/>
      </c>
      <c r="S440" s="14" t="str">
        <f>IF('Raw Data'!A427&lt;&gt;"",AVERAGE('Raw Data'!AU427,'Raw Data'!AW427,'Raw Data'!AY427,'Raw Data'!BA427,'Raw Data'!BC427),"")</f>
        <v/>
      </c>
      <c r="T440" s="14" t="str">
        <f t="shared" si="73"/>
        <v/>
      </c>
      <c r="U440" s="14" t="str">
        <f>IF('Raw Data'!A427&lt;&gt;"",AVERAGE('Raw Data'!BD427,'Raw Data'!BF427,'Raw Data'!BH427,'Raw Data'!BJ427,'Raw Data'!BL427),"")</f>
        <v/>
      </c>
      <c r="V440" s="14" t="str">
        <f>IF('Raw Data'!A427&lt;&gt;"",AVERAGE('Raw Data'!BE427,'Raw Data'!BG427,'Raw Data'!BI427,'Raw Data'!BK427,'Raw Data'!BM427),"")</f>
        <v/>
      </c>
      <c r="W440" s="14" t="str">
        <f t="shared" si="74"/>
        <v/>
      </c>
      <c r="X440" s="14" t="str">
        <f t="shared" si="75"/>
        <v/>
      </c>
      <c r="Y440" s="14" t="str">
        <f t="shared" si="76"/>
        <v/>
      </c>
      <c r="Z440" s="14" t="str">
        <f t="shared" si="77"/>
        <v/>
      </c>
      <c r="AA440" s="14" t="str">
        <f t="shared" si="78"/>
        <v/>
      </c>
      <c r="AB440" s="25" t="str">
        <f t="shared" si="79"/>
        <v/>
      </c>
    </row>
    <row r="441" spans="1:28" x14ac:dyDescent="0.25">
      <c r="A441" s="2" t="str">
        <f>IF('Raw Data'!A428&lt;&gt;"",'Raw Data'!A428,"")</f>
        <v/>
      </c>
      <c r="B441" s="2" t="str">
        <f>IF('Raw Data'!B428&lt;&gt;"",'Raw Data'!B428,"")</f>
        <v/>
      </c>
      <c r="C441" s="2" t="str">
        <f>IF('Raw Data'!C428&lt;&gt;"",'Raw Data'!C428,"")</f>
        <v/>
      </c>
      <c r="D441" s="2" t="str">
        <f>IF('Raw Data'!D428&lt;&gt;"",'Raw Data'!D428,"")</f>
        <v/>
      </c>
      <c r="E441" s="2" t="str">
        <f>IF('Raw Data'!E428&lt;&gt;"",'Raw Data'!E428,"")</f>
        <v/>
      </c>
      <c r="F441" s="11" t="str">
        <f>IF('Raw Data'!A428&lt;&gt;"",AVERAGE('Raw Data'!F428,'Raw Data'!H428,'Raw Data'!J428,'Raw Data'!L428,'Raw Data'!N428),"")</f>
        <v/>
      </c>
      <c r="G441" s="11" t="str">
        <f>IF('Raw Data'!A428&lt;&gt;"",AVERAGE('Raw Data'!G428,'Raw Data'!I428,'Raw Data'!K428,'Raw Data'!M428,'Raw Data'!O428),"")</f>
        <v/>
      </c>
      <c r="H441" s="11" t="str">
        <f t="shared" si="69"/>
        <v/>
      </c>
      <c r="I441" s="11" t="str">
        <f>IF('Raw Data'!A428&lt;&gt;"",AVERAGE('Raw Data'!P428,'Raw Data'!R428,'Raw Data'!T428,'Raw Data'!V428,'Raw Data'!X428),"")</f>
        <v/>
      </c>
      <c r="J441" s="11" t="str">
        <f>IF('Raw Data'!A428&lt;&gt;"",AVERAGE('Raw Data'!Q428,'Raw Data'!S428,'Raw Data'!U428,'Raw Data'!W428,'Raw Data'!Y428),"")</f>
        <v/>
      </c>
      <c r="K441" s="11" t="str">
        <f t="shared" si="70"/>
        <v/>
      </c>
      <c r="L441" s="11" t="str">
        <f>IF('Raw Data'!A428&lt;&gt;"",AVERAGE('Raw Data'!Z428,'Raw Data'!AB428,'Raw Data'!AD428,'Raw Data'!AF428,'Raw Data'!AH428),"")</f>
        <v/>
      </c>
      <c r="M441" s="11" t="str">
        <f>IF('Raw Data'!A428&lt;&gt;"",AVERAGE('Raw Data'!AA428,'Raw Data'!AC428,'Raw Data'!AE428,'Raw Data'!AG428,'Raw Data'!AI428),"")</f>
        <v/>
      </c>
      <c r="N441" s="11" t="str">
        <f t="shared" si="71"/>
        <v/>
      </c>
      <c r="O441" s="11" t="str">
        <f>IF('Raw Data'!A428&lt;&gt;"",AVERAGE('Raw Data'!AJ428,'Raw Data'!AL428,'Raw Data'!AN428,'Raw Data'!AP428,'Raw Data'!AR428),"")</f>
        <v/>
      </c>
      <c r="P441" s="11" t="str">
        <f>IF('Raw Data'!A428&lt;&gt;"",AVERAGE('Raw Data'!AK428,'Raw Data'!AM428,'Raw Data'!AO428,'Raw Data'!AQ428,'Raw Data'!AS428),"")</f>
        <v/>
      </c>
      <c r="Q441" s="11" t="str">
        <f t="shared" si="72"/>
        <v/>
      </c>
      <c r="R441" s="11" t="str">
        <f>IF('Raw Data'!A428&lt;&gt;"",AVERAGE('Raw Data'!AT428,'Raw Data'!AV428,'Raw Data'!AX428,'Raw Data'!AZ428,'Raw Data'!BB428),"")</f>
        <v/>
      </c>
      <c r="S441" s="11" t="str">
        <f>IF('Raw Data'!A428&lt;&gt;"",AVERAGE('Raw Data'!AU428,'Raw Data'!AW428,'Raw Data'!AY428,'Raw Data'!BA428,'Raw Data'!BC428),"")</f>
        <v/>
      </c>
      <c r="T441" s="11" t="str">
        <f t="shared" si="73"/>
        <v/>
      </c>
      <c r="U441" s="11" t="str">
        <f>IF('Raw Data'!A428&lt;&gt;"",AVERAGE('Raw Data'!BD428,'Raw Data'!BF428,'Raw Data'!BH428,'Raw Data'!BJ428,'Raw Data'!BL428),"")</f>
        <v/>
      </c>
      <c r="V441" s="11" t="str">
        <f>IF('Raw Data'!A428&lt;&gt;"",AVERAGE('Raw Data'!BE428,'Raw Data'!BG428,'Raw Data'!BI428,'Raw Data'!BK428,'Raw Data'!BM428),"")</f>
        <v/>
      </c>
      <c r="W441" s="11" t="str">
        <f t="shared" si="74"/>
        <v/>
      </c>
      <c r="X441" s="11" t="str">
        <f t="shared" si="75"/>
        <v/>
      </c>
      <c r="Y441" s="11" t="str">
        <f t="shared" si="76"/>
        <v/>
      </c>
      <c r="Z441" s="11" t="str">
        <f t="shared" si="77"/>
        <v/>
      </c>
      <c r="AA441" s="11" t="str">
        <f t="shared" si="78"/>
        <v/>
      </c>
      <c r="AB441" s="24" t="str">
        <f t="shared" si="79"/>
        <v/>
      </c>
    </row>
    <row r="442" spans="1:28" x14ac:dyDescent="0.25">
      <c r="A442" s="10" t="str">
        <f>IF('Raw Data'!A429&lt;&gt;"",'Raw Data'!A429,"")</f>
        <v/>
      </c>
      <c r="B442" s="10" t="str">
        <f>IF('Raw Data'!B429&lt;&gt;"",'Raw Data'!B429,"")</f>
        <v/>
      </c>
      <c r="C442" s="10" t="str">
        <f>IF('Raw Data'!C429&lt;&gt;"",'Raw Data'!C429,"")</f>
        <v/>
      </c>
      <c r="D442" s="10" t="str">
        <f>IF('Raw Data'!D429&lt;&gt;"",'Raw Data'!D429,"")</f>
        <v/>
      </c>
      <c r="E442" s="10" t="str">
        <f>IF('Raw Data'!E429&lt;&gt;"",'Raw Data'!E429,"")</f>
        <v/>
      </c>
      <c r="F442" s="14" t="str">
        <f>IF('Raw Data'!A429&lt;&gt;"",AVERAGE('Raw Data'!F429,'Raw Data'!H429,'Raw Data'!J429,'Raw Data'!L429,'Raw Data'!N429),"")</f>
        <v/>
      </c>
      <c r="G442" s="14" t="str">
        <f>IF('Raw Data'!A429&lt;&gt;"",AVERAGE('Raw Data'!G429,'Raw Data'!I429,'Raw Data'!K429,'Raw Data'!M429,'Raw Data'!O429),"")</f>
        <v/>
      </c>
      <c r="H442" s="14" t="str">
        <f t="shared" si="69"/>
        <v/>
      </c>
      <c r="I442" s="14" t="str">
        <f>IF('Raw Data'!A429&lt;&gt;"",AVERAGE('Raw Data'!P429,'Raw Data'!R429,'Raw Data'!T429,'Raw Data'!V429,'Raw Data'!X429),"")</f>
        <v/>
      </c>
      <c r="J442" s="14" t="str">
        <f>IF('Raw Data'!A429&lt;&gt;"",AVERAGE('Raw Data'!Q429,'Raw Data'!S429,'Raw Data'!U429,'Raw Data'!W429,'Raw Data'!Y429),"")</f>
        <v/>
      </c>
      <c r="K442" s="14" t="str">
        <f t="shared" si="70"/>
        <v/>
      </c>
      <c r="L442" s="14" t="str">
        <f>IF('Raw Data'!A429&lt;&gt;"",AVERAGE('Raw Data'!Z429,'Raw Data'!AB429,'Raw Data'!AD429,'Raw Data'!AF429,'Raw Data'!AH429),"")</f>
        <v/>
      </c>
      <c r="M442" s="14" t="str">
        <f>IF('Raw Data'!A429&lt;&gt;"",AVERAGE('Raw Data'!AA429,'Raw Data'!AC429,'Raw Data'!AE429,'Raw Data'!AG429,'Raw Data'!AI429),"")</f>
        <v/>
      </c>
      <c r="N442" s="14" t="str">
        <f t="shared" si="71"/>
        <v/>
      </c>
      <c r="O442" s="14" t="str">
        <f>IF('Raw Data'!A429&lt;&gt;"",AVERAGE('Raw Data'!AJ429,'Raw Data'!AL429,'Raw Data'!AN429,'Raw Data'!AP429,'Raw Data'!AR429),"")</f>
        <v/>
      </c>
      <c r="P442" s="14" t="str">
        <f>IF('Raw Data'!A429&lt;&gt;"",AVERAGE('Raw Data'!AK429,'Raw Data'!AM429,'Raw Data'!AO429,'Raw Data'!AQ429,'Raw Data'!AS429),"")</f>
        <v/>
      </c>
      <c r="Q442" s="14" t="str">
        <f t="shared" si="72"/>
        <v/>
      </c>
      <c r="R442" s="14" t="str">
        <f>IF('Raw Data'!A429&lt;&gt;"",AVERAGE('Raw Data'!AT429,'Raw Data'!AV429,'Raw Data'!AX429,'Raw Data'!AZ429,'Raw Data'!BB429),"")</f>
        <v/>
      </c>
      <c r="S442" s="14" t="str">
        <f>IF('Raw Data'!A429&lt;&gt;"",AVERAGE('Raw Data'!AU429,'Raw Data'!AW429,'Raw Data'!AY429,'Raw Data'!BA429,'Raw Data'!BC429),"")</f>
        <v/>
      </c>
      <c r="T442" s="14" t="str">
        <f t="shared" si="73"/>
        <v/>
      </c>
      <c r="U442" s="14" t="str">
        <f>IF('Raw Data'!A429&lt;&gt;"",AVERAGE('Raw Data'!BD429,'Raw Data'!BF429,'Raw Data'!BH429,'Raw Data'!BJ429,'Raw Data'!BL429),"")</f>
        <v/>
      </c>
      <c r="V442" s="14" t="str">
        <f>IF('Raw Data'!A429&lt;&gt;"",AVERAGE('Raw Data'!BE429,'Raw Data'!BG429,'Raw Data'!BI429,'Raw Data'!BK429,'Raw Data'!BM429),"")</f>
        <v/>
      </c>
      <c r="W442" s="14" t="str">
        <f t="shared" si="74"/>
        <v/>
      </c>
      <c r="X442" s="14" t="str">
        <f t="shared" si="75"/>
        <v/>
      </c>
      <c r="Y442" s="14" t="str">
        <f t="shared" si="76"/>
        <v/>
      </c>
      <c r="Z442" s="14" t="str">
        <f t="shared" si="77"/>
        <v/>
      </c>
      <c r="AA442" s="14" t="str">
        <f t="shared" si="78"/>
        <v/>
      </c>
      <c r="AB442" s="25" t="str">
        <f t="shared" si="79"/>
        <v/>
      </c>
    </row>
    <row r="443" spans="1:28" x14ac:dyDescent="0.25">
      <c r="A443" s="2" t="str">
        <f>IF('Raw Data'!A430&lt;&gt;"",'Raw Data'!A430,"")</f>
        <v/>
      </c>
      <c r="B443" s="2" t="str">
        <f>IF('Raw Data'!B430&lt;&gt;"",'Raw Data'!B430,"")</f>
        <v/>
      </c>
      <c r="C443" s="2" t="str">
        <f>IF('Raw Data'!C430&lt;&gt;"",'Raw Data'!C430,"")</f>
        <v/>
      </c>
      <c r="D443" s="2" t="str">
        <f>IF('Raw Data'!D430&lt;&gt;"",'Raw Data'!D430,"")</f>
        <v/>
      </c>
      <c r="E443" s="2" t="str">
        <f>IF('Raw Data'!E430&lt;&gt;"",'Raw Data'!E430,"")</f>
        <v/>
      </c>
      <c r="F443" s="11" t="str">
        <f>IF('Raw Data'!A430&lt;&gt;"",AVERAGE('Raw Data'!F430,'Raw Data'!H430,'Raw Data'!J430,'Raw Data'!L430,'Raw Data'!N430),"")</f>
        <v/>
      </c>
      <c r="G443" s="11" t="str">
        <f>IF('Raw Data'!A430&lt;&gt;"",AVERAGE('Raw Data'!G430,'Raw Data'!I430,'Raw Data'!K430,'Raw Data'!M430,'Raw Data'!O430),"")</f>
        <v/>
      </c>
      <c r="H443" s="11" t="str">
        <f t="shared" si="69"/>
        <v/>
      </c>
      <c r="I443" s="11" t="str">
        <f>IF('Raw Data'!A430&lt;&gt;"",AVERAGE('Raw Data'!P430,'Raw Data'!R430,'Raw Data'!T430,'Raw Data'!V430,'Raw Data'!X430),"")</f>
        <v/>
      </c>
      <c r="J443" s="11" t="str">
        <f>IF('Raw Data'!A430&lt;&gt;"",AVERAGE('Raw Data'!Q430,'Raw Data'!S430,'Raw Data'!U430,'Raw Data'!W430,'Raw Data'!Y430),"")</f>
        <v/>
      </c>
      <c r="K443" s="11" t="str">
        <f t="shared" si="70"/>
        <v/>
      </c>
      <c r="L443" s="11" t="str">
        <f>IF('Raw Data'!A430&lt;&gt;"",AVERAGE('Raw Data'!Z430,'Raw Data'!AB430,'Raw Data'!AD430,'Raw Data'!AF430,'Raw Data'!AH430),"")</f>
        <v/>
      </c>
      <c r="M443" s="11" t="str">
        <f>IF('Raw Data'!A430&lt;&gt;"",AVERAGE('Raw Data'!AA430,'Raw Data'!AC430,'Raw Data'!AE430,'Raw Data'!AG430,'Raw Data'!AI430),"")</f>
        <v/>
      </c>
      <c r="N443" s="11" t="str">
        <f t="shared" si="71"/>
        <v/>
      </c>
      <c r="O443" s="11" t="str">
        <f>IF('Raw Data'!A430&lt;&gt;"",AVERAGE('Raw Data'!AJ430,'Raw Data'!AL430,'Raw Data'!AN430,'Raw Data'!AP430,'Raw Data'!AR430),"")</f>
        <v/>
      </c>
      <c r="P443" s="11" t="str">
        <f>IF('Raw Data'!A430&lt;&gt;"",AVERAGE('Raw Data'!AK430,'Raw Data'!AM430,'Raw Data'!AO430,'Raw Data'!AQ430,'Raw Data'!AS430),"")</f>
        <v/>
      </c>
      <c r="Q443" s="11" t="str">
        <f t="shared" si="72"/>
        <v/>
      </c>
      <c r="R443" s="11" t="str">
        <f>IF('Raw Data'!A430&lt;&gt;"",AVERAGE('Raw Data'!AT430,'Raw Data'!AV430,'Raw Data'!AX430,'Raw Data'!AZ430,'Raw Data'!BB430),"")</f>
        <v/>
      </c>
      <c r="S443" s="11" t="str">
        <f>IF('Raw Data'!A430&lt;&gt;"",AVERAGE('Raw Data'!AU430,'Raw Data'!AW430,'Raw Data'!AY430,'Raw Data'!BA430,'Raw Data'!BC430),"")</f>
        <v/>
      </c>
      <c r="T443" s="11" t="str">
        <f t="shared" si="73"/>
        <v/>
      </c>
      <c r="U443" s="11" t="str">
        <f>IF('Raw Data'!A430&lt;&gt;"",AVERAGE('Raw Data'!BD430,'Raw Data'!BF430,'Raw Data'!BH430,'Raw Data'!BJ430,'Raw Data'!BL430),"")</f>
        <v/>
      </c>
      <c r="V443" s="11" t="str">
        <f>IF('Raw Data'!A430&lt;&gt;"",AVERAGE('Raw Data'!BE430,'Raw Data'!BG430,'Raw Data'!BI430,'Raw Data'!BK430,'Raw Data'!BM430),"")</f>
        <v/>
      </c>
      <c r="W443" s="11" t="str">
        <f t="shared" si="74"/>
        <v/>
      </c>
      <c r="X443" s="11" t="str">
        <f t="shared" si="75"/>
        <v/>
      </c>
      <c r="Y443" s="11" t="str">
        <f t="shared" si="76"/>
        <v/>
      </c>
      <c r="Z443" s="11" t="str">
        <f t="shared" si="77"/>
        <v/>
      </c>
      <c r="AA443" s="11" t="str">
        <f t="shared" si="78"/>
        <v/>
      </c>
      <c r="AB443" s="24" t="str">
        <f t="shared" si="79"/>
        <v/>
      </c>
    </row>
    <row r="444" spans="1:28" x14ac:dyDescent="0.25">
      <c r="A444" s="10" t="str">
        <f>IF('Raw Data'!A431&lt;&gt;"",'Raw Data'!A431,"")</f>
        <v/>
      </c>
      <c r="B444" s="10" t="str">
        <f>IF('Raw Data'!B431&lt;&gt;"",'Raw Data'!B431,"")</f>
        <v/>
      </c>
      <c r="C444" s="10" t="str">
        <f>IF('Raw Data'!C431&lt;&gt;"",'Raw Data'!C431,"")</f>
        <v/>
      </c>
      <c r="D444" s="10" t="str">
        <f>IF('Raw Data'!D431&lt;&gt;"",'Raw Data'!D431,"")</f>
        <v/>
      </c>
      <c r="E444" s="10" t="str">
        <f>IF('Raw Data'!E431&lt;&gt;"",'Raw Data'!E431,"")</f>
        <v/>
      </c>
      <c r="F444" s="14" t="str">
        <f>IF('Raw Data'!A431&lt;&gt;"",AVERAGE('Raw Data'!F431,'Raw Data'!H431,'Raw Data'!J431,'Raw Data'!L431,'Raw Data'!N431),"")</f>
        <v/>
      </c>
      <c r="G444" s="14" t="str">
        <f>IF('Raw Data'!A431&lt;&gt;"",AVERAGE('Raw Data'!G431,'Raw Data'!I431,'Raw Data'!K431,'Raw Data'!M431,'Raw Data'!O431),"")</f>
        <v/>
      </c>
      <c r="H444" s="14" t="str">
        <f t="shared" si="69"/>
        <v/>
      </c>
      <c r="I444" s="14" t="str">
        <f>IF('Raw Data'!A431&lt;&gt;"",AVERAGE('Raw Data'!P431,'Raw Data'!R431,'Raw Data'!T431,'Raw Data'!V431,'Raw Data'!X431),"")</f>
        <v/>
      </c>
      <c r="J444" s="14" t="str">
        <f>IF('Raw Data'!A431&lt;&gt;"",AVERAGE('Raw Data'!Q431,'Raw Data'!S431,'Raw Data'!U431,'Raw Data'!W431,'Raw Data'!Y431),"")</f>
        <v/>
      </c>
      <c r="K444" s="14" t="str">
        <f t="shared" si="70"/>
        <v/>
      </c>
      <c r="L444" s="14" t="str">
        <f>IF('Raw Data'!A431&lt;&gt;"",AVERAGE('Raw Data'!Z431,'Raw Data'!AB431,'Raw Data'!AD431,'Raw Data'!AF431,'Raw Data'!AH431),"")</f>
        <v/>
      </c>
      <c r="M444" s="14" t="str">
        <f>IF('Raw Data'!A431&lt;&gt;"",AVERAGE('Raw Data'!AA431,'Raw Data'!AC431,'Raw Data'!AE431,'Raw Data'!AG431,'Raw Data'!AI431),"")</f>
        <v/>
      </c>
      <c r="N444" s="14" t="str">
        <f t="shared" si="71"/>
        <v/>
      </c>
      <c r="O444" s="14" t="str">
        <f>IF('Raw Data'!A431&lt;&gt;"",AVERAGE('Raw Data'!AJ431,'Raw Data'!AL431,'Raw Data'!AN431,'Raw Data'!AP431,'Raw Data'!AR431),"")</f>
        <v/>
      </c>
      <c r="P444" s="14" t="str">
        <f>IF('Raw Data'!A431&lt;&gt;"",AVERAGE('Raw Data'!AK431,'Raw Data'!AM431,'Raw Data'!AO431,'Raw Data'!AQ431,'Raw Data'!AS431),"")</f>
        <v/>
      </c>
      <c r="Q444" s="14" t="str">
        <f t="shared" si="72"/>
        <v/>
      </c>
      <c r="R444" s="14" t="str">
        <f>IF('Raw Data'!A431&lt;&gt;"",AVERAGE('Raw Data'!AT431,'Raw Data'!AV431,'Raw Data'!AX431,'Raw Data'!AZ431,'Raw Data'!BB431),"")</f>
        <v/>
      </c>
      <c r="S444" s="14" t="str">
        <f>IF('Raw Data'!A431&lt;&gt;"",AVERAGE('Raw Data'!AU431,'Raw Data'!AW431,'Raw Data'!AY431,'Raw Data'!BA431,'Raw Data'!BC431),"")</f>
        <v/>
      </c>
      <c r="T444" s="14" t="str">
        <f t="shared" si="73"/>
        <v/>
      </c>
      <c r="U444" s="14" t="str">
        <f>IF('Raw Data'!A431&lt;&gt;"",AVERAGE('Raw Data'!BD431,'Raw Data'!BF431,'Raw Data'!BH431,'Raw Data'!BJ431,'Raw Data'!BL431),"")</f>
        <v/>
      </c>
      <c r="V444" s="14" t="str">
        <f>IF('Raw Data'!A431&lt;&gt;"",AVERAGE('Raw Data'!BE431,'Raw Data'!BG431,'Raw Data'!BI431,'Raw Data'!BK431,'Raw Data'!BM431),"")</f>
        <v/>
      </c>
      <c r="W444" s="14" t="str">
        <f t="shared" si="74"/>
        <v/>
      </c>
      <c r="X444" s="14" t="str">
        <f t="shared" si="75"/>
        <v/>
      </c>
      <c r="Y444" s="14" t="str">
        <f t="shared" si="76"/>
        <v/>
      </c>
      <c r="Z444" s="14" t="str">
        <f t="shared" si="77"/>
        <v/>
      </c>
      <c r="AA444" s="14" t="str">
        <f t="shared" si="78"/>
        <v/>
      </c>
      <c r="AB444" s="25" t="str">
        <f t="shared" si="79"/>
        <v/>
      </c>
    </row>
    <row r="445" spans="1:28" x14ac:dyDescent="0.25">
      <c r="A445" s="2" t="str">
        <f>IF('Raw Data'!A432&lt;&gt;"",'Raw Data'!A432,"")</f>
        <v/>
      </c>
      <c r="B445" s="2" t="str">
        <f>IF('Raw Data'!B432&lt;&gt;"",'Raw Data'!B432,"")</f>
        <v/>
      </c>
      <c r="C445" s="2" t="str">
        <f>IF('Raw Data'!C432&lt;&gt;"",'Raw Data'!C432,"")</f>
        <v/>
      </c>
      <c r="D445" s="2" t="str">
        <f>IF('Raw Data'!D432&lt;&gt;"",'Raw Data'!D432,"")</f>
        <v/>
      </c>
      <c r="E445" s="2" t="str">
        <f>IF('Raw Data'!E432&lt;&gt;"",'Raw Data'!E432,"")</f>
        <v/>
      </c>
      <c r="F445" s="11" t="str">
        <f>IF('Raw Data'!A432&lt;&gt;"",AVERAGE('Raw Data'!F432,'Raw Data'!H432,'Raw Data'!J432,'Raw Data'!L432,'Raw Data'!N432),"")</f>
        <v/>
      </c>
      <c r="G445" s="11" t="str">
        <f>IF('Raw Data'!A432&lt;&gt;"",AVERAGE('Raw Data'!G432,'Raw Data'!I432,'Raw Data'!K432,'Raw Data'!M432,'Raw Data'!O432),"")</f>
        <v/>
      </c>
      <c r="H445" s="11" t="str">
        <f t="shared" si="69"/>
        <v/>
      </c>
      <c r="I445" s="11" t="str">
        <f>IF('Raw Data'!A432&lt;&gt;"",AVERAGE('Raw Data'!P432,'Raw Data'!R432,'Raw Data'!T432,'Raw Data'!V432,'Raw Data'!X432),"")</f>
        <v/>
      </c>
      <c r="J445" s="11" t="str">
        <f>IF('Raw Data'!A432&lt;&gt;"",AVERAGE('Raw Data'!Q432,'Raw Data'!S432,'Raw Data'!U432,'Raw Data'!W432,'Raw Data'!Y432),"")</f>
        <v/>
      </c>
      <c r="K445" s="11" t="str">
        <f t="shared" si="70"/>
        <v/>
      </c>
      <c r="L445" s="11" t="str">
        <f>IF('Raw Data'!A432&lt;&gt;"",AVERAGE('Raw Data'!Z432,'Raw Data'!AB432,'Raw Data'!AD432,'Raw Data'!AF432,'Raw Data'!AH432),"")</f>
        <v/>
      </c>
      <c r="M445" s="11" t="str">
        <f>IF('Raw Data'!A432&lt;&gt;"",AVERAGE('Raw Data'!AA432,'Raw Data'!AC432,'Raw Data'!AE432,'Raw Data'!AG432,'Raw Data'!AI432),"")</f>
        <v/>
      </c>
      <c r="N445" s="11" t="str">
        <f t="shared" si="71"/>
        <v/>
      </c>
      <c r="O445" s="11" t="str">
        <f>IF('Raw Data'!A432&lt;&gt;"",AVERAGE('Raw Data'!AJ432,'Raw Data'!AL432,'Raw Data'!AN432,'Raw Data'!AP432,'Raw Data'!AR432),"")</f>
        <v/>
      </c>
      <c r="P445" s="11" t="str">
        <f>IF('Raw Data'!A432&lt;&gt;"",AVERAGE('Raw Data'!AK432,'Raw Data'!AM432,'Raw Data'!AO432,'Raw Data'!AQ432,'Raw Data'!AS432),"")</f>
        <v/>
      </c>
      <c r="Q445" s="11" t="str">
        <f t="shared" si="72"/>
        <v/>
      </c>
      <c r="R445" s="11" t="str">
        <f>IF('Raw Data'!A432&lt;&gt;"",AVERAGE('Raw Data'!AT432,'Raw Data'!AV432,'Raw Data'!AX432,'Raw Data'!AZ432,'Raw Data'!BB432),"")</f>
        <v/>
      </c>
      <c r="S445" s="11" t="str">
        <f>IF('Raw Data'!A432&lt;&gt;"",AVERAGE('Raw Data'!AU432,'Raw Data'!AW432,'Raw Data'!AY432,'Raw Data'!BA432,'Raw Data'!BC432),"")</f>
        <v/>
      </c>
      <c r="T445" s="11" t="str">
        <f t="shared" si="73"/>
        <v/>
      </c>
      <c r="U445" s="11" t="str">
        <f>IF('Raw Data'!A432&lt;&gt;"",AVERAGE('Raw Data'!BD432,'Raw Data'!BF432,'Raw Data'!BH432,'Raw Data'!BJ432,'Raw Data'!BL432),"")</f>
        <v/>
      </c>
      <c r="V445" s="11" t="str">
        <f>IF('Raw Data'!A432&lt;&gt;"",AVERAGE('Raw Data'!BE432,'Raw Data'!BG432,'Raw Data'!BI432,'Raw Data'!BK432,'Raw Data'!BM432),"")</f>
        <v/>
      </c>
      <c r="W445" s="11" t="str">
        <f t="shared" si="74"/>
        <v/>
      </c>
      <c r="X445" s="11" t="str">
        <f t="shared" si="75"/>
        <v/>
      </c>
      <c r="Y445" s="11" t="str">
        <f t="shared" si="76"/>
        <v/>
      </c>
      <c r="Z445" s="11" t="str">
        <f t="shared" si="77"/>
        <v/>
      </c>
      <c r="AA445" s="11" t="str">
        <f t="shared" si="78"/>
        <v/>
      </c>
      <c r="AB445" s="24" t="str">
        <f t="shared" si="79"/>
        <v/>
      </c>
    </row>
    <row r="446" spans="1:28" x14ac:dyDescent="0.25">
      <c r="A446" s="10" t="str">
        <f>IF('Raw Data'!A433&lt;&gt;"",'Raw Data'!A433,"")</f>
        <v/>
      </c>
      <c r="B446" s="10" t="str">
        <f>IF('Raw Data'!B433&lt;&gt;"",'Raw Data'!B433,"")</f>
        <v/>
      </c>
      <c r="C446" s="10" t="str">
        <f>IF('Raw Data'!C433&lt;&gt;"",'Raw Data'!C433,"")</f>
        <v/>
      </c>
      <c r="D446" s="10" t="str">
        <f>IF('Raw Data'!D433&lt;&gt;"",'Raw Data'!D433,"")</f>
        <v/>
      </c>
      <c r="E446" s="10" t="str">
        <f>IF('Raw Data'!E433&lt;&gt;"",'Raw Data'!E433,"")</f>
        <v/>
      </c>
      <c r="F446" s="14" t="str">
        <f>IF('Raw Data'!A433&lt;&gt;"",AVERAGE('Raw Data'!F433,'Raw Data'!H433,'Raw Data'!J433,'Raw Data'!L433,'Raw Data'!N433),"")</f>
        <v/>
      </c>
      <c r="G446" s="14" t="str">
        <f>IF('Raw Data'!A433&lt;&gt;"",AVERAGE('Raw Data'!G433,'Raw Data'!I433,'Raw Data'!K433,'Raw Data'!M433,'Raw Data'!O433),"")</f>
        <v/>
      </c>
      <c r="H446" s="14" t="str">
        <f t="shared" si="69"/>
        <v/>
      </c>
      <c r="I446" s="14" t="str">
        <f>IF('Raw Data'!A433&lt;&gt;"",AVERAGE('Raw Data'!P433,'Raw Data'!R433,'Raw Data'!T433,'Raw Data'!V433,'Raw Data'!X433),"")</f>
        <v/>
      </c>
      <c r="J446" s="14" t="str">
        <f>IF('Raw Data'!A433&lt;&gt;"",AVERAGE('Raw Data'!Q433,'Raw Data'!S433,'Raw Data'!U433,'Raw Data'!W433,'Raw Data'!Y433),"")</f>
        <v/>
      </c>
      <c r="K446" s="14" t="str">
        <f t="shared" si="70"/>
        <v/>
      </c>
      <c r="L446" s="14" t="str">
        <f>IF('Raw Data'!A433&lt;&gt;"",AVERAGE('Raw Data'!Z433,'Raw Data'!AB433,'Raw Data'!AD433,'Raw Data'!AF433,'Raw Data'!AH433),"")</f>
        <v/>
      </c>
      <c r="M446" s="14" t="str">
        <f>IF('Raw Data'!A433&lt;&gt;"",AVERAGE('Raw Data'!AA433,'Raw Data'!AC433,'Raw Data'!AE433,'Raw Data'!AG433,'Raw Data'!AI433),"")</f>
        <v/>
      </c>
      <c r="N446" s="14" t="str">
        <f t="shared" si="71"/>
        <v/>
      </c>
      <c r="O446" s="14" t="str">
        <f>IF('Raw Data'!A433&lt;&gt;"",AVERAGE('Raw Data'!AJ433,'Raw Data'!AL433,'Raw Data'!AN433,'Raw Data'!AP433,'Raw Data'!AR433),"")</f>
        <v/>
      </c>
      <c r="P446" s="14" t="str">
        <f>IF('Raw Data'!A433&lt;&gt;"",AVERAGE('Raw Data'!AK433,'Raw Data'!AM433,'Raw Data'!AO433,'Raw Data'!AQ433,'Raw Data'!AS433),"")</f>
        <v/>
      </c>
      <c r="Q446" s="14" t="str">
        <f t="shared" si="72"/>
        <v/>
      </c>
      <c r="R446" s="14" t="str">
        <f>IF('Raw Data'!A433&lt;&gt;"",AVERAGE('Raw Data'!AT433,'Raw Data'!AV433,'Raw Data'!AX433,'Raw Data'!AZ433,'Raw Data'!BB433),"")</f>
        <v/>
      </c>
      <c r="S446" s="14" t="str">
        <f>IF('Raw Data'!A433&lt;&gt;"",AVERAGE('Raw Data'!AU433,'Raw Data'!AW433,'Raw Data'!AY433,'Raw Data'!BA433,'Raw Data'!BC433),"")</f>
        <v/>
      </c>
      <c r="T446" s="14" t="str">
        <f t="shared" si="73"/>
        <v/>
      </c>
      <c r="U446" s="14" t="str">
        <f>IF('Raw Data'!A433&lt;&gt;"",AVERAGE('Raw Data'!BD433,'Raw Data'!BF433,'Raw Data'!BH433,'Raw Data'!BJ433,'Raw Data'!BL433),"")</f>
        <v/>
      </c>
      <c r="V446" s="14" t="str">
        <f>IF('Raw Data'!A433&lt;&gt;"",AVERAGE('Raw Data'!BE433,'Raw Data'!BG433,'Raw Data'!BI433,'Raw Data'!BK433,'Raw Data'!BM433),"")</f>
        <v/>
      </c>
      <c r="W446" s="14" t="str">
        <f t="shared" si="74"/>
        <v/>
      </c>
      <c r="X446" s="14" t="str">
        <f t="shared" si="75"/>
        <v/>
      </c>
      <c r="Y446" s="14" t="str">
        <f t="shared" si="76"/>
        <v/>
      </c>
      <c r="Z446" s="14" t="str">
        <f t="shared" si="77"/>
        <v/>
      </c>
      <c r="AA446" s="14" t="str">
        <f t="shared" si="78"/>
        <v/>
      </c>
      <c r="AB446" s="25" t="str">
        <f t="shared" si="79"/>
        <v/>
      </c>
    </row>
    <row r="447" spans="1:28" x14ac:dyDescent="0.25">
      <c r="A447" s="2" t="str">
        <f>IF('Raw Data'!A434&lt;&gt;"",'Raw Data'!A434,"")</f>
        <v/>
      </c>
      <c r="B447" s="2" t="str">
        <f>IF('Raw Data'!B434&lt;&gt;"",'Raw Data'!B434,"")</f>
        <v/>
      </c>
      <c r="C447" s="2" t="str">
        <f>IF('Raw Data'!C434&lt;&gt;"",'Raw Data'!C434,"")</f>
        <v/>
      </c>
      <c r="D447" s="2" t="str">
        <f>IF('Raw Data'!D434&lt;&gt;"",'Raw Data'!D434,"")</f>
        <v/>
      </c>
      <c r="E447" s="2" t="str">
        <f>IF('Raw Data'!E434&lt;&gt;"",'Raw Data'!E434,"")</f>
        <v/>
      </c>
      <c r="F447" s="11" t="str">
        <f>IF('Raw Data'!A434&lt;&gt;"",AVERAGE('Raw Data'!F434,'Raw Data'!H434,'Raw Data'!J434,'Raw Data'!L434,'Raw Data'!N434),"")</f>
        <v/>
      </c>
      <c r="G447" s="11" t="str">
        <f>IF('Raw Data'!A434&lt;&gt;"",AVERAGE('Raw Data'!G434,'Raw Data'!I434,'Raw Data'!K434,'Raw Data'!M434,'Raw Data'!O434),"")</f>
        <v/>
      </c>
      <c r="H447" s="11" t="str">
        <f t="shared" si="69"/>
        <v/>
      </c>
      <c r="I447" s="11" t="str">
        <f>IF('Raw Data'!A434&lt;&gt;"",AVERAGE('Raw Data'!P434,'Raw Data'!R434,'Raw Data'!T434,'Raw Data'!V434,'Raw Data'!X434),"")</f>
        <v/>
      </c>
      <c r="J447" s="11" t="str">
        <f>IF('Raw Data'!A434&lt;&gt;"",AVERAGE('Raw Data'!Q434,'Raw Data'!S434,'Raw Data'!U434,'Raw Data'!W434,'Raw Data'!Y434),"")</f>
        <v/>
      </c>
      <c r="K447" s="11" t="str">
        <f t="shared" si="70"/>
        <v/>
      </c>
      <c r="L447" s="11" t="str">
        <f>IF('Raw Data'!A434&lt;&gt;"",AVERAGE('Raw Data'!Z434,'Raw Data'!AB434,'Raw Data'!AD434,'Raw Data'!AF434,'Raw Data'!AH434),"")</f>
        <v/>
      </c>
      <c r="M447" s="11" t="str">
        <f>IF('Raw Data'!A434&lt;&gt;"",AVERAGE('Raw Data'!AA434,'Raw Data'!AC434,'Raw Data'!AE434,'Raw Data'!AG434,'Raw Data'!AI434),"")</f>
        <v/>
      </c>
      <c r="N447" s="11" t="str">
        <f t="shared" si="71"/>
        <v/>
      </c>
      <c r="O447" s="11" t="str">
        <f>IF('Raw Data'!A434&lt;&gt;"",AVERAGE('Raw Data'!AJ434,'Raw Data'!AL434,'Raw Data'!AN434,'Raw Data'!AP434,'Raw Data'!AR434),"")</f>
        <v/>
      </c>
      <c r="P447" s="11" t="str">
        <f>IF('Raw Data'!A434&lt;&gt;"",AVERAGE('Raw Data'!AK434,'Raw Data'!AM434,'Raw Data'!AO434,'Raw Data'!AQ434,'Raw Data'!AS434),"")</f>
        <v/>
      </c>
      <c r="Q447" s="11" t="str">
        <f t="shared" si="72"/>
        <v/>
      </c>
      <c r="R447" s="11" t="str">
        <f>IF('Raw Data'!A434&lt;&gt;"",AVERAGE('Raw Data'!AT434,'Raw Data'!AV434,'Raw Data'!AX434,'Raw Data'!AZ434,'Raw Data'!BB434),"")</f>
        <v/>
      </c>
      <c r="S447" s="11" t="str">
        <f>IF('Raw Data'!A434&lt;&gt;"",AVERAGE('Raw Data'!AU434,'Raw Data'!AW434,'Raw Data'!AY434,'Raw Data'!BA434,'Raw Data'!BC434),"")</f>
        <v/>
      </c>
      <c r="T447" s="11" t="str">
        <f t="shared" si="73"/>
        <v/>
      </c>
      <c r="U447" s="11" t="str">
        <f>IF('Raw Data'!A434&lt;&gt;"",AVERAGE('Raw Data'!BD434,'Raw Data'!BF434,'Raw Data'!BH434,'Raw Data'!BJ434,'Raw Data'!BL434),"")</f>
        <v/>
      </c>
      <c r="V447" s="11" t="str">
        <f>IF('Raw Data'!A434&lt;&gt;"",AVERAGE('Raw Data'!BE434,'Raw Data'!BG434,'Raw Data'!BI434,'Raw Data'!BK434,'Raw Data'!BM434),"")</f>
        <v/>
      </c>
      <c r="W447" s="11" t="str">
        <f t="shared" si="74"/>
        <v/>
      </c>
      <c r="X447" s="11" t="str">
        <f t="shared" si="75"/>
        <v/>
      </c>
      <c r="Y447" s="11" t="str">
        <f t="shared" si="76"/>
        <v/>
      </c>
      <c r="Z447" s="11" t="str">
        <f t="shared" si="77"/>
        <v/>
      </c>
      <c r="AA447" s="11" t="str">
        <f t="shared" si="78"/>
        <v/>
      </c>
      <c r="AB447" s="24" t="str">
        <f t="shared" si="79"/>
        <v/>
      </c>
    </row>
    <row r="448" spans="1:28" x14ac:dyDescent="0.25">
      <c r="A448" s="10" t="str">
        <f>IF('Raw Data'!A435&lt;&gt;"",'Raw Data'!A435,"")</f>
        <v/>
      </c>
      <c r="B448" s="10" t="str">
        <f>IF('Raw Data'!B435&lt;&gt;"",'Raw Data'!B435,"")</f>
        <v/>
      </c>
      <c r="C448" s="10" t="str">
        <f>IF('Raw Data'!C435&lt;&gt;"",'Raw Data'!C435,"")</f>
        <v/>
      </c>
      <c r="D448" s="10" t="str">
        <f>IF('Raw Data'!D435&lt;&gt;"",'Raw Data'!D435,"")</f>
        <v/>
      </c>
      <c r="E448" s="10" t="str">
        <f>IF('Raw Data'!E435&lt;&gt;"",'Raw Data'!E435,"")</f>
        <v/>
      </c>
      <c r="F448" s="14" t="str">
        <f>IF('Raw Data'!A435&lt;&gt;"",AVERAGE('Raw Data'!F435,'Raw Data'!H435,'Raw Data'!J435,'Raw Data'!L435,'Raw Data'!N435),"")</f>
        <v/>
      </c>
      <c r="G448" s="14" t="str">
        <f>IF('Raw Data'!A435&lt;&gt;"",AVERAGE('Raw Data'!G435,'Raw Data'!I435,'Raw Data'!K435,'Raw Data'!M435,'Raw Data'!O435),"")</f>
        <v/>
      </c>
      <c r="H448" s="14" t="str">
        <f t="shared" si="69"/>
        <v/>
      </c>
      <c r="I448" s="14" t="str">
        <f>IF('Raw Data'!A435&lt;&gt;"",AVERAGE('Raw Data'!P435,'Raw Data'!R435,'Raw Data'!T435,'Raw Data'!V435,'Raw Data'!X435),"")</f>
        <v/>
      </c>
      <c r="J448" s="14" t="str">
        <f>IF('Raw Data'!A435&lt;&gt;"",AVERAGE('Raw Data'!Q435,'Raw Data'!S435,'Raw Data'!U435,'Raw Data'!W435,'Raw Data'!Y435),"")</f>
        <v/>
      </c>
      <c r="K448" s="14" t="str">
        <f t="shared" si="70"/>
        <v/>
      </c>
      <c r="L448" s="14" t="str">
        <f>IF('Raw Data'!A435&lt;&gt;"",AVERAGE('Raw Data'!Z435,'Raw Data'!AB435,'Raw Data'!AD435,'Raw Data'!AF435,'Raw Data'!AH435),"")</f>
        <v/>
      </c>
      <c r="M448" s="14" t="str">
        <f>IF('Raw Data'!A435&lt;&gt;"",AVERAGE('Raw Data'!AA435,'Raw Data'!AC435,'Raw Data'!AE435,'Raw Data'!AG435,'Raw Data'!AI435),"")</f>
        <v/>
      </c>
      <c r="N448" s="14" t="str">
        <f t="shared" si="71"/>
        <v/>
      </c>
      <c r="O448" s="14" t="str">
        <f>IF('Raw Data'!A435&lt;&gt;"",AVERAGE('Raw Data'!AJ435,'Raw Data'!AL435,'Raw Data'!AN435,'Raw Data'!AP435,'Raw Data'!AR435),"")</f>
        <v/>
      </c>
      <c r="P448" s="14" t="str">
        <f>IF('Raw Data'!A435&lt;&gt;"",AVERAGE('Raw Data'!AK435,'Raw Data'!AM435,'Raw Data'!AO435,'Raw Data'!AQ435,'Raw Data'!AS435),"")</f>
        <v/>
      </c>
      <c r="Q448" s="14" t="str">
        <f t="shared" si="72"/>
        <v/>
      </c>
      <c r="R448" s="14" t="str">
        <f>IF('Raw Data'!A435&lt;&gt;"",AVERAGE('Raw Data'!AT435,'Raw Data'!AV435,'Raw Data'!AX435,'Raw Data'!AZ435,'Raw Data'!BB435),"")</f>
        <v/>
      </c>
      <c r="S448" s="14" t="str">
        <f>IF('Raw Data'!A435&lt;&gt;"",AVERAGE('Raw Data'!AU435,'Raw Data'!AW435,'Raw Data'!AY435,'Raw Data'!BA435,'Raw Data'!BC435),"")</f>
        <v/>
      </c>
      <c r="T448" s="14" t="str">
        <f t="shared" si="73"/>
        <v/>
      </c>
      <c r="U448" s="14" t="str">
        <f>IF('Raw Data'!A435&lt;&gt;"",AVERAGE('Raw Data'!BD435,'Raw Data'!BF435,'Raw Data'!BH435,'Raw Data'!BJ435,'Raw Data'!BL435),"")</f>
        <v/>
      </c>
      <c r="V448" s="14" t="str">
        <f>IF('Raw Data'!A435&lt;&gt;"",AVERAGE('Raw Data'!BE435,'Raw Data'!BG435,'Raw Data'!BI435,'Raw Data'!BK435,'Raw Data'!BM435),"")</f>
        <v/>
      </c>
      <c r="W448" s="14" t="str">
        <f t="shared" si="74"/>
        <v/>
      </c>
      <c r="X448" s="14" t="str">
        <f t="shared" si="75"/>
        <v/>
      </c>
      <c r="Y448" s="14" t="str">
        <f t="shared" si="76"/>
        <v/>
      </c>
      <c r="Z448" s="14" t="str">
        <f t="shared" si="77"/>
        <v/>
      </c>
      <c r="AA448" s="14" t="str">
        <f t="shared" si="78"/>
        <v/>
      </c>
      <c r="AB448" s="25" t="str">
        <f t="shared" si="79"/>
        <v/>
      </c>
    </row>
    <row r="449" spans="1:28" x14ac:dyDescent="0.25">
      <c r="A449" s="2" t="str">
        <f>IF('Raw Data'!A436&lt;&gt;"",'Raw Data'!A436,"")</f>
        <v/>
      </c>
      <c r="B449" s="2" t="str">
        <f>IF('Raw Data'!B436&lt;&gt;"",'Raw Data'!B436,"")</f>
        <v/>
      </c>
      <c r="C449" s="2" t="str">
        <f>IF('Raw Data'!C436&lt;&gt;"",'Raw Data'!C436,"")</f>
        <v/>
      </c>
      <c r="D449" s="2" t="str">
        <f>IF('Raw Data'!D436&lt;&gt;"",'Raw Data'!D436,"")</f>
        <v/>
      </c>
      <c r="E449" s="2" t="str">
        <f>IF('Raw Data'!E436&lt;&gt;"",'Raw Data'!E436,"")</f>
        <v/>
      </c>
      <c r="F449" s="11" t="str">
        <f>IF('Raw Data'!A436&lt;&gt;"",AVERAGE('Raw Data'!F436,'Raw Data'!H436,'Raw Data'!J436,'Raw Data'!L436,'Raw Data'!N436),"")</f>
        <v/>
      </c>
      <c r="G449" s="11" t="str">
        <f>IF('Raw Data'!A436&lt;&gt;"",AVERAGE('Raw Data'!G436,'Raw Data'!I436,'Raw Data'!K436,'Raw Data'!M436,'Raw Data'!O436),"")</f>
        <v/>
      </c>
      <c r="H449" s="11" t="str">
        <f t="shared" si="69"/>
        <v/>
      </c>
      <c r="I449" s="11" t="str">
        <f>IF('Raw Data'!A436&lt;&gt;"",AVERAGE('Raw Data'!P436,'Raw Data'!R436,'Raw Data'!T436,'Raw Data'!V436,'Raw Data'!X436),"")</f>
        <v/>
      </c>
      <c r="J449" s="11" t="str">
        <f>IF('Raw Data'!A436&lt;&gt;"",AVERAGE('Raw Data'!Q436,'Raw Data'!S436,'Raw Data'!U436,'Raw Data'!W436,'Raw Data'!Y436),"")</f>
        <v/>
      </c>
      <c r="K449" s="11" t="str">
        <f t="shared" si="70"/>
        <v/>
      </c>
      <c r="L449" s="11" t="str">
        <f>IF('Raw Data'!A436&lt;&gt;"",AVERAGE('Raw Data'!Z436,'Raw Data'!AB436,'Raw Data'!AD436,'Raw Data'!AF436,'Raw Data'!AH436),"")</f>
        <v/>
      </c>
      <c r="M449" s="11" t="str">
        <f>IF('Raw Data'!A436&lt;&gt;"",AVERAGE('Raw Data'!AA436,'Raw Data'!AC436,'Raw Data'!AE436,'Raw Data'!AG436,'Raw Data'!AI436),"")</f>
        <v/>
      </c>
      <c r="N449" s="11" t="str">
        <f t="shared" si="71"/>
        <v/>
      </c>
      <c r="O449" s="11" t="str">
        <f>IF('Raw Data'!A436&lt;&gt;"",AVERAGE('Raw Data'!AJ436,'Raw Data'!AL436,'Raw Data'!AN436,'Raw Data'!AP436,'Raw Data'!AR436),"")</f>
        <v/>
      </c>
      <c r="P449" s="11" t="str">
        <f>IF('Raw Data'!A436&lt;&gt;"",AVERAGE('Raw Data'!AK436,'Raw Data'!AM436,'Raw Data'!AO436,'Raw Data'!AQ436,'Raw Data'!AS436),"")</f>
        <v/>
      </c>
      <c r="Q449" s="11" t="str">
        <f t="shared" si="72"/>
        <v/>
      </c>
      <c r="R449" s="11" t="str">
        <f>IF('Raw Data'!A436&lt;&gt;"",AVERAGE('Raw Data'!AT436,'Raw Data'!AV436,'Raw Data'!AX436,'Raw Data'!AZ436,'Raw Data'!BB436),"")</f>
        <v/>
      </c>
      <c r="S449" s="11" t="str">
        <f>IF('Raw Data'!A436&lt;&gt;"",AVERAGE('Raw Data'!AU436,'Raw Data'!AW436,'Raw Data'!AY436,'Raw Data'!BA436,'Raw Data'!BC436),"")</f>
        <v/>
      </c>
      <c r="T449" s="11" t="str">
        <f t="shared" si="73"/>
        <v/>
      </c>
      <c r="U449" s="11" t="str">
        <f>IF('Raw Data'!A436&lt;&gt;"",AVERAGE('Raw Data'!BD436,'Raw Data'!BF436,'Raw Data'!BH436,'Raw Data'!BJ436,'Raw Data'!BL436),"")</f>
        <v/>
      </c>
      <c r="V449" s="11" t="str">
        <f>IF('Raw Data'!A436&lt;&gt;"",AVERAGE('Raw Data'!BE436,'Raw Data'!BG436,'Raw Data'!BI436,'Raw Data'!BK436,'Raw Data'!BM436),"")</f>
        <v/>
      </c>
      <c r="W449" s="11" t="str">
        <f t="shared" si="74"/>
        <v/>
      </c>
      <c r="X449" s="11" t="str">
        <f t="shared" si="75"/>
        <v/>
      </c>
      <c r="Y449" s="11" t="str">
        <f t="shared" si="76"/>
        <v/>
      </c>
      <c r="Z449" s="11" t="str">
        <f t="shared" si="77"/>
        <v/>
      </c>
      <c r="AA449" s="11" t="str">
        <f t="shared" si="78"/>
        <v/>
      </c>
      <c r="AB449" s="24" t="str">
        <f t="shared" si="79"/>
        <v/>
      </c>
    </row>
    <row r="450" spans="1:28" x14ac:dyDescent="0.25">
      <c r="A450" s="10" t="str">
        <f>IF('Raw Data'!A437&lt;&gt;"",'Raw Data'!A437,"")</f>
        <v/>
      </c>
      <c r="B450" s="10" t="str">
        <f>IF('Raw Data'!B437&lt;&gt;"",'Raw Data'!B437,"")</f>
        <v/>
      </c>
      <c r="C450" s="10" t="str">
        <f>IF('Raw Data'!C437&lt;&gt;"",'Raw Data'!C437,"")</f>
        <v/>
      </c>
      <c r="D450" s="10" t="str">
        <f>IF('Raw Data'!D437&lt;&gt;"",'Raw Data'!D437,"")</f>
        <v/>
      </c>
      <c r="E450" s="10" t="str">
        <f>IF('Raw Data'!E437&lt;&gt;"",'Raw Data'!E437,"")</f>
        <v/>
      </c>
      <c r="F450" s="14" t="str">
        <f>IF('Raw Data'!A437&lt;&gt;"",AVERAGE('Raw Data'!F437,'Raw Data'!H437,'Raw Data'!J437,'Raw Data'!L437,'Raw Data'!N437),"")</f>
        <v/>
      </c>
      <c r="G450" s="14" t="str">
        <f>IF('Raw Data'!A437&lt;&gt;"",AVERAGE('Raw Data'!G437,'Raw Data'!I437,'Raw Data'!K437,'Raw Data'!M437,'Raw Data'!O437),"")</f>
        <v/>
      </c>
      <c r="H450" s="14" t="str">
        <f t="shared" si="69"/>
        <v/>
      </c>
      <c r="I450" s="14" t="str">
        <f>IF('Raw Data'!A437&lt;&gt;"",AVERAGE('Raw Data'!P437,'Raw Data'!R437,'Raw Data'!T437,'Raw Data'!V437,'Raw Data'!X437),"")</f>
        <v/>
      </c>
      <c r="J450" s="14" t="str">
        <f>IF('Raw Data'!A437&lt;&gt;"",AVERAGE('Raw Data'!Q437,'Raw Data'!S437,'Raw Data'!U437,'Raw Data'!W437,'Raw Data'!Y437),"")</f>
        <v/>
      </c>
      <c r="K450" s="14" t="str">
        <f t="shared" si="70"/>
        <v/>
      </c>
      <c r="L450" s="14" t="str">
        <f>IF('Raw Data'!A437&lt;&gt;"",AVERAGE('Raw Data'!Z437,'Raw Data'!AB437,'Raw Data'!AD437,'Raw Data'!AF437,'Raw Data'!AH437),"")</f>
        <v/>
      </c>
      <c r="M450" s="14" t="str">
        <f>IF('Raw Data'!A437&lt;&gt;"",AVERAGE('Raw Data'!AA437,'Raw Data'!AC437,'Raw Data'!AE437,'Raw Data'!AG437,'Raw Data'!AI437),"")</f>
        <v/>
      </c>
      <c r="N450" s="14" t="str">
        <f t="shared" si="71"/>
        <v/>
      </c>
      <c r="O450" s="14" t="str">
        <f>IF('Raw Data'!A437&lt;&gt;"",AVERAGE('Raw Data'!AJ437,'Raw Data'!AL437,'Raw Data'!AN437,'Raw Data'!AP437,'Raw Data'!AR437),"")</f>
        <v/>
      </c>
      <c r="P450" s="14" t="str">
        <f>IF('Raw Data'!A437&lt;&gt;"",AVERAGE('Raw Data'!AK437,'Raw Data'!AM437,'Raw Data'!AO437,'Raw Data'!AQ437,'Raw Data'!AS437),"")</f>
        <v/>
      </c>
      <c r="Q450" s="14" t="str">
        <f t="shared" si="72"/>
        <v/>
      </c>
      <c r="R450" s="14" t="str">
        <f>IF('Raw Data'!A437&lt;&gt;"",AVERAGE('Raw Data'!AT437,'Raw Data'!AV437,'Raw Data'!AX437,'Raw Data'!AZ437,'Raw Data'!BB437),"")</f>
        <v/>
      </c>
      <c r="S450" s="14" t="str">
        <f>IF('Raw Data'!A437&lt;&gt;"",AVERAGE('Raw Data'!AU437,'Raw Data'!AW437,'Raw Data'!AY437,'Raw Data'!BA437,'Raw Data'!BC437),"")</f>
        <v/>
      </c>
      <c r="T450" s="14" t="str">
        <f t="shared" si="73"/>
        <v/>
      </c>
      <c r="U450" s="14" t="str">
        <f>IF('Raw Data'!A437&lt;&gt;"",AVERAGE('Raw Data'!BD437,'Raw Data'!BF437,'Raw Data'!BH437,'Raw Data'!BJ437,'Raw Data'!BL437),"")</f>
        <v/>
      </c>
      <c r="V450" s="14" t="str">
        <f>IF('Raw Data'!A437&lt;&gt;"",AVERAGE('Raw Data'!BE437,'Raw Data'!BG437,'Raw Data'!BI437,'Raw Data'!BK437,'Raw Data'!BM437),"")</f>
        <v/>
      </c>
      <c r="W450" s="14" t="str">
        <f t="shared" si="74"/>
        <v/>
      </c>
      <c r="X450" s="14" t="str">
        <f t="shared" si="75"/>
        <v/>
      </c>
      <c r="Y450" s="14" t="str">
        <f t="shared" si="76"/>
        <v/>
      </c>
      <c r="Z450" s="14" t="str">
        <f t="shared" si="77"/>
        <v/>
      </c>
      <c r="AA450" s="14" t="str">
        <f t="shared" si="78"/>
        <v/>
      </c>
      <c r="AB450" s="25" t="str">
        <f t="shared" si="79"/>
        <v/>
      </c>
    </row>
    <row r="451" spans="1:28" x14ac:dyDescent="0.25">
      <c r="A451" s="2" t="str">
        <f>IF('Raw Data'!A438&lt;&gt;"",'Raw Data'!A438,"")</f>
        <v/>
      </c>
      <c r="B451" s="2" t="str">
        <f>IF('Raw Data'!B438&lt;&gt;"",'Raw Data'!B438,"")</f>
        <v/>
      </c>
      <c r="C451" s="2" t="str">
        <f>IF('Raw Data'!C438&lt;&gt;"",'Raw Data'!C438,"")</f>
        <v/>
      </c>
      <c r="D451" s="2" t="str">
        <f>IF('Raw Data'!D438&lt;&gt;"",'Raw Data'!D438,"")</f>
        <v/>
      </c>
      <c r="E451" s="2" t="str">
        <f>IF('Raw Data'!E438&lt;&gt;"",'Raw Data'!E438,"")</f>
        <v/>
      </c>
      <c r="F451" s="11" t="str">
        <f>IF('Raw Data'!A438&lt;&gt;"",AVERAGE('Raw Data'!F438,'Raw Data'!H438,'Raw Data'!J438,'Raw Data'!L438,'Raw Data'!N438),"")</f>
        <v/>
      </c>
      <c r="G451" s="11" t="str">
        <f>IF('Raw Data'!A438&lt;&gt;"",AVERAGE('Raw Data'!G438,'Raw Data'!I438,'Raw Data'!K438,'Raw Data'!M438,'Raw Data'!O438),"")</f>
        <v/>
      </c>
      <c r="H451" s="11" t="str">
        <f t="shared" si="69"/>
        <v/>
      </c>
      <c r="I451" s="11" t="str">
        <f>IF('Raw Data'!A438&lt;&gt;"",AVERAGE('Raw Data'!P438,'Raw Data'!R438,'Raw Data'!T438,'Raw Data'!V438,'Raw Data'!X438),"")</f>
        <v/>
      </c>
      <c r="J451" s="11" t="str">
        <f>IF('Raw Data'!A438&lt;&gt;"",AVERAGE('Raw Data'!Q438,'Raw Data'!S438,'Raw Data'!U438,'Raw Data'!W438,'Raw Data'!Y438),"")</f>
        <v/>
      </c>
      <c r="K451" s="11" t="str">
        <f t="shared" si="70"/>
        <v/>
      </c>
      <c r="L451" s="11" t="str">
        <f>IF('Raw Data'!A438&lt;&gt;"",AVERAGE('Raw Data'!Z438,'Raw Data'!AB438,'Raw Data'!AD438,'Raw Data'!AF438,'Raw Data'!AH438),"")</f>
        <v/>
      </c>
      <c r="M451" s="11" t="str">
        <f>IF('Raw Data'!A438&lt;&gt;"",AVERAGE('Raw Data'!AA438,'Raw Data'!AC438,'Raw Data'!AE438,'Raw Data'!AG438,'Raw Data'!AI438),"")</f>
        <v/>
      </c>
      <c r="N451" s="11" t="str">
        <f t="shared" si="71"/>
        <v/>
      </c>
      <c r="O451" s="11" t="str">
        <f>IF('Raw Data'!A438&lt;&gt;"",AVERAGE('Raw Data'!AJ438,'Raw Data'!AL438,'Raw Data'!AN438,'Raw Data'!AP438,'Raw Data'!AR438),"")</f>
        <v/>
      </c>
      <c r="P451" s="11" t="str">
        <f>IF('Raw Data'!A438&lt;&gt;"",AVERAGE('Raw Data'!AK438,'Raw Data'!AM438,'Raw Data'!AO438,'Raw Data'!AQ438,'Raw Data'!AS438),"")</f>
        <v/>
      </c>
      <c r="Q451" s="11" t="str">
        <f t="shared" si="72"/>
        <v/>
      </c>
      <c r="R451" s="11" t="str">
        <f>IF('Raw Data'!A438&lt;&gt;"",AVERAGE('Raw Data'!AT438,'Raw Data'!AV438,'Raw Data'!AX438,'Raw Data'!AZ438,'Raw Data'!BB438),"")</f>
        <v/>
      </c>
      <c r="S451" s="11" t="str">
        <f>IF('Raw Data'!A438&lt;&gt;"",AVERAGE('Raw Data'!AU438,'Raw Data'!AW438,'Raw Data'!AY438,'Raw Data'!BA438,'Raw Data'!BC438),"")</f>
        <v/>
      </c>
      <c r="T451" s="11" t="str">
        <f t="shared" si="73"/>
        <v/>
      </c>
      <c r="U451" s="11" t="str">
        <f>IF('Raw Data'!A438&lt;&gt;"",AVERAGE('Raw Data'!BD438,'Raw Data'!BF438,'Raw Data'!BH438,'Raw Data'!BJ438,'Raw Data'!BL438),"")</f>
        <v/>
      </c>
      <c r="V451" s="11" t="str">
        <f>IF('Raw Data'!A438&lt;&gt;"",AVERAGE('Raw Data'!BE438,'Raw Data'!BG438,'Raw Data'!BI438,'Raw Data'!BK438,'Raw Data'!BM438),"")</f>
        <v/>
      </c>
      <c r="W451" s="11" t="str">
        <f t="shared" si="74"/>
        <v/>
      </c>
      <c r="X451" s="11" t="str">
        <f t="shared" si="75"/>
        <v/>
      </c>
      <c r="Y451" s="11" t="str">
        <f t="shared" si="76"/>
        <v/>
      </c>
      <c r="Z451" s="11" t="str">
        <f t="shared" si="77"/>
        <v/>
      </c>
      <c r="AA451" s="11" t="str">
        <f t="shared" si="78"/>
        <v/>
      </c>
      <c r="AB451" s="24" t="str">
        <f t="shared" si="79"/>
        <v/>
      </c>
    </row>
    <row r="452" spans="1:28" x14ac:dyDescent="0.25">
      <c r="A452" s="10" t="str">
        <f>IF('Raw Data'!A439&lt;&gt;"",'Raw Data'!A439,"")</f>
        <v/>
      </c>
      <c r="B452" s="10" t="str">
        <f>IF('Raw Data'!B439&lt;&gt;"",'Raw Data'!B439,"")</f>
        <v/>
      </c>
      <c r="C452" s="10" t="str">
        <f>IF('Raw Data'!C439&lt;&gt;"",'Raw Data'!C439,"")</f>
        <v/>
      </c>
      <c r="D452" s="10" t="str">
        <f>IF('Raw Data'!D439&lt;&gt;"",'Raw Data'!D439,"")</f>
        <v/>
      </c>
      <c r="E452" s="10" t="str">
        <f>IF('Raw Data'!E439&lt;&gt;"",'Raw Data'!E439,"")</f>
        <v/>
      </c>
      <c r="F452" s="14" t="str">
        <f>IF('Raw Data'!A439&lt;&gt;"",AVERAGE('Raw Data'!F439,'Raw Data'!H439,'Raw Data'!J439,'Raw Data'!L439,'Raw Data'!N439),"")</f>
        <v/>
      </c>
      <c r="G452" s="14" t="str">
        <f>IF('Raw Data'!A439&lt;&gt;"",AVERAGE('Raw Data'!G439,'Raw Data'!I439,'Raw Data'!K439,'Raw Data'!M439,'Raw Data'!O439),"")</f>
        <v/>
      </c>
      <c r="H452" s="14" t="str">
        <f t="shared" si="69"/>
        <v/>
      </c>
      <c r="I452" s="14" t="str">
        <f>IF('Raw Data'!A439&lt;&gt;"",AVERAGE('Raw Data'!P439,'Raw Data'!R439,'Raw Data'!T439,'Raw Data'!V439,'Raw Data'!X439),"")</f>
        <v/>
      </c>
      <c r="J452" s="14" t="str">
        <f>IF('Raw Data'!A439&lt;&gt;"",AVERAGE('Raw Data'!Q439,'Raw Data'!S439,'Raw Data'!U439,'Raw Data'!W439,'Raw Data'!Y439),"")</f>
        <v/>
      </c>
      <c r="K452" s="14" t="str">
        <f t="shared" si="70"/>
        <v/>
      </c>
      <c r="L452" s="14" t="str">
        <f>IF('Raw Data'!A439&lt;&gt;"",AVERAGE('Raw Data'!Z439,'Raw Data'!AB439,'Raw Data'!AD439,'Raw Data'!AF439,'Raw Data'!AH439),"")</f>
        <v/>
      </c>
      <c r="M452" s="14" t="str">
        <f>IF('Raw Data'!A439&lt;&gt;"",AVERAGE('Raw Data'!AA439,'Raw Data'!AC439,'Raw Data'!AE439,'Raw Data'!AG439,'Raw Data'!AI439),"")</f>
        <v/>
      </c>
      <c r="N452" s="14" t="str">
        <f t="shared" si="71"/>
        <v/>
      </c>
      <c r="O452" s="14" t="str">
        <f>IF('Raw Data'!A439&lt;&gt;"",AVERAGE('Raw Data'!AJ439,'Raw Data'!AL439,'Raw Data'!AN439,'Raw Data'!AP439,'Raw Data'!AR439),"")</f>
        <v/>
      </c>
      <c r="P452" s="14" t="str">
        <f>IF('Raw Data'!A439&lt;&gt;"",AVERAGE('Raw Data'!AK439,'Raw Data'!AM439,'Raw Data'!AO439,'Raw Data'!AQ439,'Raw Data'!AS439),"")</f>
        <v/>
      </c>
      <c r="Q452" s="14" t="str">
        <f t="shared" si="72"/>
        <v/>
      </c>
      <c r="R452" s="14" t="str">
        <f>IF('Raw Data'!A439&lt;&gt;"",AVERAGE('Raw Data'!AT439,'Raw Data'!AV439,'Raw Data'!AX439,'Raw Data'!AZ439,'Raw Data'!BB439),"")</f>
        <v/>
      </c>
      <c r="S452" s="14" t="str">
        <f>IF('Raw Data'!A439&lt;&gt;"",AVERAGE('Raw Data'!AU439,'Raw Data'!AW439,'Raw Data'!AY439,'Raw Data'!BA439,'Raw Data'!BC439),"")</f>
        <v/>
      </c>
      <c r="T452" s="14" t="str">
        <f t="shared" si="73"/>
        <v/>
      </c>
      <c r="U452" s="14" t="str">
        <f>IF('Raw Data'!A439&lt;&gt;"",AVERAGE('Raw Data'!BD439,'Raw Data'!BF439,'Raw Data'!BH439,'Raw Data'!BJ439,'Raw Data'!BL439),"")</f>
        <v/>
      </c>
      <c r="V452" s="14" t="str">
        <f>IF('Raw Data'!A439&lt;&gt;"",AVERAGE('Raw Data'!BE439,'Raw Data'!BG439,'Raw Data'!BI439,'Raw Data'!BK439,'Raw Data'!BM439),"")</f>
        <v/>
      </c>
      <c r="W452" s="14" t="str">
        <f t="shared" si="74"/>
        <v/>
      </c>
      <c r="X452" s="14" t="str">
        <f t="shared" si="75"/>
        <v/>
      </c>
      <c r="Y452" s="14" t="str">
        <f t="shared" si="76"/>
        <v/>
      </c>
      <c r="Z452" s="14" t="str">
        <f t="shared" si="77"/>
        <v/>
      </c>
      <c r="AA452" s="14" t="str">
        <f t="shared" si="78"/>
        <v/>
      </c>
      <c r="AB452" s="25" t="str">
        <f t="shared" si="79"/>
        <v/>
      </c>
    </row>
    <row r="453" spans="1:28" x14ac:dyDescent="0.25">
      <c r="A453" s="2" t="str">
        <f>IF('Raw Data'!A440&lt;&gt;"",'Raw Data'!A440,"")</f>
        <v/>
      </c>
      <c r="B453" s="2" t="str">
        <f>IF('Raw Data'!B440&lt;&gt;"",'Raw Data'!B440,"")</f>
        <v/>
      </c>
      <c r="C453" s="2" t="str">
        <f>IF('Raw Data'!C440&lt;&gt;"",'Raw Data'!C440,"")</f>
        <v/>
      </c>
      <c r="D453" s="2" t="str">
        <f>IF('Raw Data'!D440&lt;&gt;"",'Raw Data'!D440,"")</f>
        <v/>
      </c>
      <c r="E453" s="2" t="str">
        <f>IF('Raw Data'!E440&lt;&gt;"",'Raw Data'!E440,"")</f>
        <v/>
      </c>
      <c r="F453" s="11" t="str">
        <f>IF('Raw Data'!A440&lt;&gt;"",AVERAGE('Raw Data'!F440,'Raw Data'!H440,'Raw Data'!J440,'Raw Data'!L440,'Raw Data'!N440),"")</f>
        <v/>
      </c>
      <c r="G453" s="11" t="str">
        <f>IF('Raw Data'!A440&lt;&gt;"",AVERAGE('Raw Data'!G440,'Raw Data'!I440,'Raw Data'!K440,'Raw Data'!M440,'Raw Data'!O440),"")</f>
        <v/>
      </c>
      <c r="H453" s="11" t="str">
        <f t="shared" si="69"/>
        <v/>
      </c>
      <c r="I453" s="11" t="str">
        <f>IF('Raw Data'!A440&lt;&gt;"",AVERAGE('Raw Data'!P440,'Raw Data'!R440,'Raw Data'!T440,'Raw Data'!V440,'Raw Data'!X440),"")</f>
        <v/>
      </c>
      <c r="J453" s="11" t="str">
        <f>IF('Raw Data'!A440&lt;&gt;"",AVERAGE('Raw Data'!Q440,'Raw Data'!S440,'Raw Data'!U440,'Raw Data'!W440,'Raw Data'!Y440),"")</f>
        <v/>
      </c>
      <c r="K453" s="11" t="str">
        <f t="shared" si="70"/>
        <v/>
      </c>
      <c r="L453" s="11" t="str">
        <f>IF('Raw Data'!A440&lt;&gt;"",AVERAGE('Raw Data'!Z440,'Raw Data'!AB440,'Raw Data'!AD440,'Raw Data'!AF440,'Raw Data'!AH440),"")</f>
        <v/>
      </c>
      <c r="M453" s="11" t="str">
        <f>IF('Raw Data'!A440&lt;&gt;"",AVERAGE('Raw Data'!AA440,'Raw Data'!AC440,'Raw Data'!AE440,'Raw Data'!AG440,'Raw Data'!AI440),"")</f>
        <v/>
      </c>
      <c r="N453" s="11" t="str">
        <f t="shared" si="71"/>
        <v/>
      </c>
      <c r="O453" s="11" t="str">
        <f>IF('Raw Data'!A440&lt;&gt;"",AVERAGE('Raw Data'!AJ440,'Raw Data'!AL440,'Raw Data'!AN440,'Raw Data'!AP440,'Raw Data'!AR440),"")</f>
        <v/>
      </c>
      <c r="P453" s="11" t="str">
        <f>IF('Raw Data'!A440&lt;&gt;"",AVERAGE('Raw Data'!AK440,'Raw Data'!AM440,'Raw Data'!AO440,'Raw Data'!AQ440,'Raw Data'!AS440),"")</f>
        <v/>
      </c>
      <c r="Q453" s="11" t="str">
        <f t="shared" si="72"/>
        <v/>
      </c>
      <c r="R453" s="11" t="str">
        <f>IF('Raw Data'!A440&lt;&gt;"",AVERAGE('Raw Data'!AT440,'Raw Data'!AV440,'Raw Data'!AX440,'Raw Data'!AZ440,'Raw Data'!BB440),"")</f>
        <v/>
      </c>
      <c r="S453" s="11" t="str">
        <f>IF('Raw Data'!A440&lt;&gt;"",AVERAGE('Raw Data'!AU440,'Raw Data'!AW440,'Raw Data'!AY440,'Raw Data'!BA440,'Raw Data'!BC440),"")</f>
        <v/>
      </c>
      <c r="T453" s="11" t="str">
        <f t="shared" si="73"/>
        <v/>
      </c>
      <c r="U453" s="11" t="str">
        <f>IF('Raw Data'!A440&lt;&gt;"",AVERAGE('Raw Data'!BD440,'Raw Data'!BF440,'Raw Data'!BH440,'Raw Data'!BJ440,'Raw Data'!BL440),"")</f>
        <v/>
      </c>
      <c r="V453" s="11" t="str">
        <f>IF('Raw Data'!A440&lt;&gt;"",AVERAGE('Raw Data'!BE440,'Raw Data'!BG440,'Raw Data'!BI440,'Raw Data'!BK440,'Raw Data'!BM440),"")</f>
        <v/>
      </c>
      <c r="W453" s="11" t="str">
        <f t="shared" si="74"/>
        <v/>
      </c>
      <c r="X453" s="11" t="str">
        <f t="shared" si="75"/>
        <v/>
      </c>
      <c r="Y453" s="11" t="str">
        <f t="shared" si="76"/>
        <v/>
      </c>
      <c r="Z453" s="11" t="str">
        <f t="shared" si="77"/>
        <v/>
      </c>
      <c r="AA453" s="11" t="str">
        <f t="shared" si="78"/>
        <v/>
      </c>
      <c r="AB453" s="24" t="str">
        <f t="shared" si="79"/>
        <v/>
      </c>
    </row>
    <row r="454" spans="1:28" x14ac:dyDescent="0.25">
      <c r="A454" s="10" t="str">
        <f>IF('Raw Data'!A441&lt;&gt;"",'Raw Data'!A441,"")</f>
        <v/>
      </c>
      <c r="B454" s="10" t="str">
        <f>IF('Raw Data'!B441&lt;&gt;"",'Raw Data'!B441,"")</f>
        <v/>
      </c>
      <c r="C454" s="10" t="str">
        <f>IF('Raw Data'!C441&lt;&gt;"",'Raw Data'!C441,"")</f>
        <v/>
      </c>
      <c r="D454" s="10" t="str">
        <f>IF('Raw Data'!D441&lt;&gt;"",'Raw Data'!D441,"")</f>
        <v/>
      </c>
      <c r="E454" s="10" t="str">
        <f>IF('Raw Data'!E441&lt;&gt;"",'Raw Data'!E441,"")</f>
        <v/>
      </c>
      <c r="F454" s="14" t="str">
        <f>IF('Raw Data'!A441&lt;&gt;"",AVERAGE('Raw Data'!F441,'Raw Data'!H441,'Raw Data'!J441,'Raw Data'!L441,'Raw Data'!N441),"")</f>
        <v/>
      </c>
      <c r="G454" s="14" t="str">
        <f>IF('Raw Data'!A441&lt;&gt;"",AVERAGE('Raw Data'!G441,'Raw Data'!I441,'Raw Data'!K441,'Raw Data'!M441,'Raw Data'!O441),"")</f>
        <v/>
      </c>
      <c r="H454" s="14" t="str">
        <f t="shared" si="69"/>
        <v/>
      </c>
      <c r="I454" s="14" t="str">
        <f>IF('Raw Data'!A441&lt;&gt;"",AVERAGE('Raw Data'!P441,'Raw Data'!R441,'Raw Data'!T441,'Raw Data'!V441,'Raw Data'!X441),"")</f>
        <v/>
      </c>
      <c r="J454" s="14" t="str">
        <f>IF('Raw Data'!A441&lt;&gt;"",AVERAGE('Raw Data'!Q441,'Raw Data'!S441,'Raw Data'!U441,'Raw Data'!W441,'Raw Data'!Y441),"")</f>
        <v/>
      </c>
      <c r="K454" s="14" t="str">
        <f t="shared" si="70"/>
        <v/>
      </c>
      <c r="L454" s="14" t="str">
        <f>IF('Raw Data'!A441&lt;&gt;"",AVERAGE('Raw Data'!Z441,'Raw Data'!AB441,'Raw Data'!AD441,'Raw Data'!AF441,'Raw Data'!AH441),"")</f>
        <v/>
      </c>
      <c r="M454" s="14" t="str">
        <f>IF('Raw Data'!A441&lt;&gt;"",AVERAGE('Raw Data'!AA441,'Raw Data'!AC441,'Raw Data'!AE441,'Raw Data'!AG441,'Raw Data'!AI441),"")</f>
        <v/>
      </c>
      <c r="N454" s="14" t="str">
        <f t="shared" si="71"/>
        <v/>
      </c>
      <c r="O454" s="14" t="str">
        <f>IF('Raw Data'!A441&lt;&gt;"",AVERAGE('Raw Data'!AJ441,'Raw Data'!AL441,'Raw Data'!AN441,'Raw Data'!AP441,'Raw Data'!AR441),"")</f>
        <v/>
      </c>
      <c r="P454" s="14" t="str">
        <f>IF('Raw Data'!A441&lt;&gt;"",AVERAGE('Raw Data'!AK441,'Raw Data'!AM441,'Raw Data'!AO441,'Raw Data'!AQ441,'Raw Data'!AS441),"")</f>
        <v/>
      </c>
      <c r="Q454" s="14" t="str">
        <f t="shared" si="72"/>
        <v/>
      </c>
      <c r="R454" s="14" t="str">
        <f>IF('Raw Data'!A441&lt;&gt;"",AVERAGE('Raw Data'!AT441,'Raw Data'!AV441,'Raw Data'!AX441,'Raw Data'!AZ441,'Raw Data'!BB441),"")</f>
        <v/>
      </c>
      <c r="S454" s="14" t="str">
        <f>IF('Raw Data'!A441&lt;&gt;"",AVERAGE('Raw Data'!AU441,'Raw Data'!AW441,'Raw Data'!AY441,'Raw Data'!BA441,'Raw Data'!BC441),"")</f>
        <v/>
      </c>
      <c r="T454" s="14" t="str">
        <f t="shared" si="73"/>
        <v/>
      </c>
      <c r="U454" s="14" t="str">
        <f>IF('Raw Data'!A441&lt;&gt;"",AVERAGE('Raw Data'!BD441,'Raw Data'!BF441,'Raw Data'!BH441,'Raw Data'!BJ441,'Raw Data'!BL441),"")</f>
        <v/>
      </c>
      <c r="V454" s="14" t="str">
        <f>IF('Raw Data'!A441&lt;&gt;"",AVERAGE('Raw Data'!BE441,'Raw Data'!BG441,'Raw Data'!BI441,'Raw Data'!BK441,'Raw Data'!BM441),"")</f>
        <v/>
      </c>
      <c r="W454" s="14" t="str">
        <f t="shared" si="74"/>
        <v/>
      </c>
      <c r="X454" s="14" t="str">
        <f t="shared" si="75"/>
        <v/>
      </c>
      <c r="Y454" s="14" t="str">
        <f t="shared" si="76"/>
        <v/>
      </c>
      <c r="Z454" s="14" t="str">
        <f t="shared" si="77"/>
        <v/>
      </c>
      <c r="AA454" s="14" t="str">
        <f t="shared" si="78"/>
        <v/>
      </c>
      <c r="AB454" s="25" t="str">
        <f t="shared" si="79"/>
        <v/>
      </c>
    </row>
    <row r="455" spans="1:28" x14ac:dyDescent="0.25">
      <c r="A455" s="2" t="str">
        <f>IF('Raw Data'!A442&lt;&gt;"",'Raw Data'!A442,"")</f>
        <v/>
      </c>
      <c r="B455" s="2" t="str">
        <f>IF('Raw Data'!B442&lt;&gt;"",'Raw Data'!B442,"")</f>
        <v/>
      </c>
      <c r="C455" s="2" t="str">
        <f>IF('Raw Data'!C442&lt;&gt;"",'Raw Data'!C442,"")</f>
        <v/>
      </c>
      <c r="D455" s="2" t="str">
        <f>IF('Raw Data'!D442&lt;&gt;"",'Raw Data'!D442,"")</f>
        <v/>
      </c>
      <c r="E455" s="2" t="str">
        <f>IF('Raw Data'!E442&lt;&gt;"",'Raw Data'!E442,"")</f>
        <v/>
      </c>
      <c r="F455" s="11" t="str">
        <f>IF('Raw Data'!A442&lt;&gt;"",AVERAGE('Raw Data'!F442,'Raw Data'!H442,'Raw Data'!J442,'Raw Data'!L442,'Raw Data'!N442),"")</f>
        <v/>
      </c>
      <c r="G455" s="11" t="str">
        <f>IF('Raw Data'!A442&lt;&gt;"",AVERAGE('Raw Data'!G442,'Raw Data'!I442,'Raw Data'!K442,'Raw Data'!M442,'Raw Data'!O442),"")</f>
        <v/>
      </c>
      <c r="H455" s="11" t="str">
        <f t="shared" si="69"/>
        <v/>
      </c>
      <c r="I455" s="11" t="str">
        <f>IF('Raw Data'!A442&lt;&gt;"",AVERAGE('Raw Data'!P442,'Raw Data'!R442,'Raw Data'!T442,'Raw Data'!V442,'Raw Data'!X442),"")</f>
        <v/>
      </c>
      <c r="J455" s="11" t="str">
        <f>IF('Raw Data'!A442&lt;&gt;"",AVERAGE('Raw Data'!Q442,'Raw Data'!S442,'Raw Data'!U442,'Raw Data'!W442,'Raw Data'!Y442),"")</f>
        <v/>
      </c>
      <c r="K455" s="11" t="str">
        <f t="shared" si="70"/>
        <v/>
      </c>
      <c r="L455" s="11" t="str">
        <f>IF('Raw Data'!A442&lt;&gt;"",AVERAGE('Raw Data'!Z442,'Raw Data'!AB442,'Raw Data'!AD442,'Raw Data'!AF442,'Raw Data'!AH442),"")</f>
        <v/>
      </c>
      <c r="M455" s="11" t="str">
        <f>IF('Raw Data'!A442&lt;&gt;"",AVERAGE('Raw Data'!AA442,'Raw Data'!AC442,'Raw Data'!AE442,'Raw Data'!AG442,'Raw Data'!AI442),"")</f>
        <v/>
      </c>
      <c r="N455" s="11" t="str">
        <f t="shared" si="71"/>
        <v/>
      </c>
      <c r="O455" s="11" t="str">
        <f>IF('Raw Data'!A442&lt;&gt;"",AVERAGE('Raw Data'!AJ442,'Raw Data'!AL442,'Raw Data'!AN442,'Raw Data'!AP442,'Raw Data'!AR442),"")</f>
        <v/>
      </c>
      <c r="P455" s="11" t="str">
        <f>IF('Raw Data'!A442&lt;&gt;"",AVERAGE('Raw Data'!AK442,'Raw Data'!AM442,'Raw Data'!AO442,'Raw Data'!AQ442,'Raw Data'!AS442),"")</f>
        <v/>
      </c>
      <c r="Q455" s="11" t="str">
        <f t="shared" si="72"/>
        <v/>
      </c>
      <c r="R455" s="11" t="str">
        <f>IF('Raw Data'!A442&lt;&gt;"",AVERAGE('Raw Data'!AT442,'Raw Data'!AV442,'Raw Data'!AX442,'Raw Data'!AZ442,'Raw Data'!BB442),"")</f>
        <v/>
      </c>
      <c r="S455" s="11" t="str">
        <f>IF('Raw Data'!A442&lt;&gt;"",AVERAGE('Raw Data'!AU442,'Raw Data'!AW442,'Raw Data'!AY442,'Raw Data'!BA442,'Raw Data'!BC442),"")</f>
        <v/>
      </c>
      <c r="T455" s="11" t="str">
        <f t="shared" si="73"/>
        <v/>
      </c>
      <c r="U455" s="11" t="str">
        <f>IF('Raw Data'!A442&lt;&gt;"",AVERAGE('Raw Data'!BD442,'Raw Data'!BF442,'Raw Data'!BH442,'Raw Data'!BJ442,'Raw Data'!BL442),"")</f>
        <v/>
      </c>
      <c r="V455" s="11" t="str">
        <f>IF('Raw Data'!A442&lt;&gt;"",AVERAGE('Raw Data'!BE442,'Raw Data'!BG442,'Raw Data'!BI442,'Raw Data'!BK442,'Raw Data'!BM442),"")</f>
        <v/>
      </c>
      <c r="W455" s="11" t="str">
        <f t="shared" si="74"/>
        <v/>
      </c>
      <c r="X455" s="11" t="str">
        <f t="shared" si="75"/>
        <v/>
      </c>
      <c r="Y455" s="11" t="str">
        <f t="shared" si="76"/>
        <v/>
      </c>
      <c r="Z455" s="11" t="str">
        <f t="shared" si="77"/>
        <v/>
      </c>
      <c r="AA455" s="11" t="str">
        <f t="shared" si="78"/>
        <v/>
      </c>
      <c r="AB455" s="24" t="str">
        <f t="shared" si="79"/>
        <v/>
      </c>
    </row>
    <row r="456" spans="1:28" x14ac:dyDescent="0.25">
      <c r="A456" s="10" t="str">
        <f>IF('Raw Data'!A443&lt;&gt;"",'Raw Data'!A443,"")</f>
        <v/>
      </c>
      <c r="B456" s="10" t="str">
        <f>IF('Raw Data'!B443&lt;&gt;"",'Raw Data'!B443,"")</f>
        <v/>
      </c>
      <c r="C456" s="10" t="str">
        <f>IF('Raw Data'!C443&lt;&gt;"",'Raw Data'!C443,"")</f>
        <v/>
      </c>
      <c r="D456" s="10" t="str">
        <f>IF('Raw Data'!D443&lt;&gt;"",'Raw Data'!D443,"")</f>
        <v/>
      </c>
      <c r="E456" s="10" t="str">
        <f>IF('Raw Data'!E443&lt;&gt;"",'Raw Data'!E443,"")</f>
        <v/>
      </c>
      <c r="F456" s="14" t="str">
        <f>IF('Raw Data'!A443&lt;&gt;"",AVERAGE('Raw Data'!F443,'Raw Data'!H443,'Raw Data'!J443,'Raw Data'!L443,'Raw Data'!N443),"")</f>
        <v/>
      </c>
      <c r="G456" s="14" t="str">
        <f>IF('Raw Data'!A443&lt;&gt;"",AVERAGE('Raw Data'!G443,'Raw Data'!I443,'Raw Data'!K443,'Raw Data'!M443,'Raw Data'!O443),"")</f>
        <v/>
      </c>
      <c r="H456" s="14" t="str">
        <f t="shared" si="69"/>
        <v/>
      </c>
      <c r="I456" s="14" t="str">
        <f>IF('Raw Data'!A443&lt;&gt;"",AVERAGE('Raw Data'!P443,'Raw Data'!R443,'Raw Data'!T443,'Raw Data'!V443,'Raw Data'!X443),"")</f>
        <v/>
      </c>
      <c r="J456" s="14" t="str">
        <f>IF('Raw Data'!A443&lt;&gt;"",AVERAGE('Raw Data'!Q443,'Raw Data'!S443,'Raw Data'!U443,'Raw Data'!W443,'Raw Data'!Y443),"")</f>
        <v/>
      </c>
      <c r="K456" s="14" t="str">
        <f t="shared" si="70"/>
        <v/>
      </c>
      <c r="L456" s="14" t="str">
        <f>IF('Raw Data'!A443&lt;&gt;"",AVERAGE('Raw Data'!Z443,'Raw Data'!AB443,'Raw Data'!AD443,'Raw Data'!AF443,'Raw Data'!AH443),"")</f>
        <v/>
      </c>
      <c r="M456" s="14" t="str">
        <f>IF('Raw Data'!A443&lt;&gt;"",AVERAGE('Raw Data'!AA443,'Raw Data'!AC443,'Raw Data'!AE443,'Raw Data'!AG443,'Raw Data'!AI443),"")</f>
        <v/>
      </c>
      <c r="N456" s="14" t="str">
        <f t="shared" si="71"/>
        <v/>
      </c>
      <c r="O456" s="14" t="str">
        <f>IF('Raw Data'!A443&lt;&gt;"",AVERAGE('Raw Data'!AJ443,'Raw Data'!AL443,'Raw Data'!AN443,'Raw Data'!AP443,'Raw Data'!AR443),"")</f>
        <v/>
      </c>
      <c r="P456" s="14" t="str">
        <f>IF('Raw Data'!A443&lt;&gt;"",AVERAGE('Raw Data'!AK443,'Raw Data'!AM443,'Raw Data'!AO443,'Raw Data'!AQ443,'Raw Data'!AS443),"")</f>
        <v/>
      </c>
      <c r="Q456" s="14" t="str">
        <f t="shared" si="72"/>
        <v/>
      </c>
      <c r="R456" s="14" t="str">
        <f>IF('Raw Data'!A443&lt;&gt;"",AVERAGE('Raw Data'!AT443,'Raw Data'!AV443,'Raw Data'!AX443,'Raw Data'!AZ443,'Raw Data'!BB443),"")</f>
        <v/>
      </c>
      <c r="S456" s="14" t="str">
        <f>IF('Raw Data'!A443&lt;&gt;"",AVERAGE('Raw Data'!AU443,'Raw Data'!AW443,'Raw Data'!AY443,'Raw Data'!BA443,'Raw Data'!BC443),"")</f>
        <v/>
      </c>
      <c r="T456" s="14" t="str">
        <f t="shared" si="73"/>
        <v/>
      </c>
      <c r="U456" s="14" t="str">
        <f>IF('Raw Data'!A443&lt;&gt;"",AVERAGE('Raw Data'!BD443,'Raw Data'!BF443,'Raw Data'!BH443,'Raw Data'!BJ443,'Raw Data'!BL443),"")</f>
        <v/>
      </c>
      <c r="V456" s="14" t="str">
        <f>IF('Raw Data'!A443&lt;&gt;"",AVERAGE('Raw Data'!BE443,'Raw Data'!BG443,'Raw Data'!BI443,'Raw Data'!BK443,'Raw Data'!BM443),"")</f>
        <v/>
      </c>
      <c r="W456" s="14" t="str">
        <f t="shared" si="74"/>
        <v/>
      </c>
      <c r="X456" s="14" t="str">
        <f t="shared" si="75"/>
        <v/>
      </c>
      <c r="Y456" s="14" t="str">
        <f t="shared" si="76"/>
        <v/>
      </c>
      <c r="Z456" s="14" t="str">
        <f t="shared" si="77"/>
        <v/>
      </c>
      <c r="AA456" s="14" t="str">
        <f t="shared" si="78"/>
        <v/>
      </c>
      <c r="AB456" s="25" t="str">
        <f t="shared" si="79"/>
        <v/>
      </c>
    </row>
    <row r="457" spans="1:28" x14ac:dyDescent="0.25">
      <c r="A457" s="2" t="str">
        <f>IF('Raw Data'!A444&lt;&gt;"",'Raw Data'!A444,"")</f>
        <v/>
      </c>
      <c r="B457" s="2" t="str">
        <f>IF('Raw Data'!B444&lt;&gt;"",'Raw Data'!B444,"")</f>
        <v/>
      </c>
      <c r="C457" s="2" t="str">
        <f>IF('Raw Data'!C444&lt;&gt;"",'Raw Data'!C444,"")</f>
        <v/>
      </c>
      <c r="D457" s="2" t="str">
        <f>IF('Raw Data'!D444&lt;&gt;"",'Raw Data'!D444,"")</f>
        <v/>
      </c>
      <c r="E457" s="2" t="str">
        <f>IF('Raw Data'!E444&lt;&gt;"",'Raw Data'!E444,"")</f>
        <v/>
      </c>
      <c r="F457" s="11" t="str">
        <f>IF('Raw Data'!A444&lt;&gt;"",AVERAGE('Raw Data'!F444,'Raw Data'!H444,'Raw Data'!J444,'Raw Data'!L444,'Raw Data'!N444),"")</f>
        <v/>
      </c>
      <c r="G457" s="11" t="str">
        <f>IF('Raw Data'!A444&lt;&gt;"",AVERAGE('Raw Data'!G444,'Raw Data'!I444,'Raw Data'!K444,'Raw Data'!M444,'Raw Data'!O444),"")</f>
        <v/>
      </c>
      <c r="H457" s="11" t="str">
        <f t="shared" si="69"/>
        <v/>
      </c>
      <c r="I457" s="11" t="str">
        <f>IF('Raw Data'!A444&lt;&gt;"",AVERAGE('Raw Data'!P444,'Raw Data'!R444,'Raw Data'!T444,'Raw Data'!V444,'Raw Data'!X444),"")</f>
        <v/>
      </c>
      <c r="J457" s="11" t="str">
        <f>IF('Raw Data'!A444&lt;&gt;"",AVERAGE('Raw Data'!Q444,'Raw Data'!S444,'Raw Data'!U444,'Raw Data'!W444,'Raw Data'!Y444),"")</f>
        <v/>
      </c>
      <c r="K457" s="11" t="str">
        <f t="shared" si="70"/>
        <v/>
      </c>
      <c r="L457" s="11" t="str">
        <f>IF('Raw Data'!A444&lt;&gt;"",AVERAGE('Raw Data'!Z444,'Raw Data'!AB444,'Raw Data'!AD444,'Raw Data'!AF444,'Raw Data'!AH444),"")</f>
        <v/>
      </c>
      <c r="M457" s="11" t="str">
        <f>IF('Raw Data'!A444&lt;&gt;"",AVERAGE('Raw Data'!AA444,'Raw Data'!AC444,'Raw Data'!AE444,'Raw Data'!AG444,'Raw Data'!AI444),"")</f>
        <v/>
      </c>
      <c r="N457" s="11" t="str">
        <f t="shared" si="71"/>
        <v/>
      </c>
      <c r="O457" s="11" t="str">
        <f>IF('Raw Data'!A444&lt;&gt;"",AVERAGE('Raw Data'!AJ444,'Raw Data'!AL444,'Raw Data'!AN444,'Raw Data'!AP444,'Raw Data'!AR444),"")</f>
        <v/>
      </c>
      <c r="P457" s="11" t="str">
        <f>IF('Raw Data'!A444&lt;&gt;"",AVERAGE('Raw Data'!AK444,'Raw Data'!AM444,'Raw Data'!AO444,'Raw Data'!AQ444,'Raw Data'!AS444),"")</f>
        <v/>
      </c>
      <c r="Q457" s="11" t="str">
        <f t="shared" si="72"/>
        <v/>
      </c>
      <c r="R457" s="11" t="str">
        <f>IF('Raw Data'!A444&lt;&gt;"",AVERAGE('Raw Data'!AT444,'Raw Data'!AV444,'Raw Data'!AX444,'Raw Data'!AZ444,'Raw Data'!BB444),"")</f>
        <v/>
      </c>
      <c r="S457" s="11" t="str">
        <f>IF('Raw Data'!A444&lt;&gt;"",AVERAGE('Raw Data'!AU444,'Raw Data'!AW444,'Raw Data'!AY444,'Raw Data'!BA444,'Raw Data'!BC444),"")</f>
        <v/>
      </c>
      <c r="T457" s="11" t="str">
        <f t="shared" si="73"/>
        <v/>
      </c>
      <c r="U457" s="11" t="str">
        <f>IF('Raw Data'!A444&lt;&gt;"",AVERAGE('Raw Data'!BD444,'Raw Data'!BF444,'Raw Data'!BH444,'Raw Data'!BJ444,'Raw Data'!BL444),"")</f>
        <v/>
      </c>
      <c r="V457" s="11" t="str">
        <f>IF('Raw Data'!A444&lt;&gt;"",AVERAGE('Raw Data'!BE444,'Raw Data'!BG444,'Raw Data'!BI444,'Raw Data'!BK444,'Raw Data'!BM444),"")</f>
        <v/>
      </c>
      <c r="W457" s="11" t="str">
        <f t="shared" si="74"/>
        <v/>
      </c>
      <c r="X457" s="11" t="str">
        <f t="shared" si="75"/>
        <v/>
      </c>
      <c r="Y457" s="11" t="str">
        <f t="shared" si="76"/>
        <v/>
      </c>
      <c r="Z457" s="11" t="str">
        <f t="shared" si="77"/>
        <v/>
      </c>
      <c r="AA457" s="11" t="str">
        <f t="shared" si="78"/>
        <v/>
      </c>
      <c r="AB457" s="24" t="str">
        <f t="shared" si="79"/>
        <v/>
      </c>
    </row>
    <row r="458" spans="1:28" x14ac:dyDescent="0.25">
      <c r="A458" s="10" t="str">
        <f>IF('Raw Data'!A445&lt;&gt;"",'Raw Data'!A445,"")</f>
        <v/>
      </c>
      <c r="B458" s="10" t="str">
        <f>IF('Raw Data'!B445&lt;&gt;"",'Raw Data'!B445,"")</f>
        <v/>
      </c>
      <c r="C458" s="10" t="str">
        <f>IF('Raw Data'!C445&lt;&gt;"",'Raw Data'!C445,"")</f>
        <v/>
      </c>
      <c r="D458" s="10" t="str">
        <f>IF('Raw Data'!D445&lt;&gt;"",'Raw Data'!D445,"")</f>
        <v/>
      </c>
      <c r="E458" s="10" t="str">
        <f>IF('Raw Data'!E445&lt;&gt;"",'Raw Data'!E445,"")</f>
        <v/>
      </c>
      <c r="F458" s="14" t="str">
        <f>IF('Raw Data'!A445&lt;&gt;"",AVERAGE('Raw Data'!F445,'Raw Data'!H445,'Raw Data'!J445,'Raw Data'!L445,'Raw Data'!N445),"")</f>
        <v/>
      </c>
      <c r="G458" s="14" t="str">
        <f>IF('Raw Data'!A445&lt;&gt;"",AVERAGE('Raw Data'!G445,'Raw Data'!I445,'Raw Data'!K445,'Raw Data'!M445,'Raw Data'!O445),"")</f>
        <v/>
      </c>
      <c r="H458" s="14" t="str">
        <f t="shared" si="69"/>
        <v/>
      </c>
      <c r="I458" s="14" t="str">
        <f>IF('Raw Data'!A445&lt;&gt;"",AVERAGE('Raw Data'!P445,'Raw Data'!R445,'Raw Data'!T445,'Raw Data'!V445,'Raw Data'!X445),"")</f>
        <v/>
      </c>
      <c r="J458" s="14" t="str">
        <f>IF('Raw Data'!A445&lt;&gt;"",AVERAGE('Raw Data'!Q445,'Raw Data'!S445,'Raw Data'!U445,'Raw Data'!W445,'Raw Data'!Y445),"")</f>
        <v/>
      </c>
      <c r="K458" s="14" t="str">
        <f t="shared" si="70"/>
        <v/>
      </c>
      <c r="L458" s="14" t="str">
        <f>IF('Raw Data'!A445&lt;&gt;"",AVERAGE('Raw Data'!Z445,'Raw Data'!AB445,'Raw Data'!AD445,'Raw Data'!AF445,'Raw Data'!AH445),"")</f>
        <v/>
      </c>
      <c r="M458" s="14" t="str">
        <f>IF('Raw Data'!A445&lt;&gt;"",AVERAGE('Raw Data'!AA445,'Raw Data'!AC445,'Raw Data'!AE445,'Raw Data'!AG445,'Raw Data'!AI445),"")</f>
        <v/>
      </c>
      <c r="N458" s="14" t="str">
        <f t="shared" si="71"/>
        <v/>
      </c>
      <c r="O458" s="14" t="str">
        <f>IF('Raw Data'!A445&lt;&gt;"",AVERAGE('Raw Data'!AJ445,'Raw Data'!AL445,'Raw Data'!AN445,'Raw Data'!AP445,'Raw Data'!AR445),"")</f>
        <v/>
      </c>
      <c r="P458" s="14" t="str">
        <f>IF('Raw Data'!A445&lt;&gt;"",AVERAGE('Raw Data'!AK445,'Raw Data'!AM445,'Raw Data'!AO445,'Raw Data'!AQ445,'Raw Data'!AS445),"")</f>
        <v/>
      </c>
      <c r="Q458" s="14" t="str">
        <f t="shared" si="72"/>
        <v/>
      </c>
      <c r="R458" s="14" t="str">
        <f>IF('Raw Data'!A445&lt;&gt;"",AVERAGE('Raw Data'!AT445,'Raw Data'!AV445,'Raw Data'!AX445,'Raw Data'!AZ445,'Raw Data'!BB445),"")</f>
        <v/>
      </c>
      <c r="S458" s="14" t="str">
        <f>IF('Raw Data'!A445&lt;&gt;"",AVERAGE('Raw Data'!AU445,'Raw Data'!AW445,'Raw Data'!AY445,'Raw Data'!BA445,'Raw Data'!BC445),"")</f>
        <v/>
      </c>
      <c r="T458" s="14" t="str">
        <f t="shared" si="73"/>
        <v/>
      </c>
      <c r="U458" s="14" t="str">
        <f>IF('Raw Data'!A445&lt;&gt;"",AVERAGE('Raw Data'!BD445,'Raw Data'!BF445,'Raw Data'!BH445,'Raw Data'!BJ445,'Raw Data'!BL445),"")</f>
        <v/>
      </c>
      <c r="V458" s="14" t="str">
        <f>IF('Raw Data'!A445&lt;&gt;"",AVERAGE('Raw Data'!BE445,'Raw Data'!BG445,'Raw Data'!BI445,'Raw Data'!BK445,'Raw Data'!BM445),"")</f>
        <v/>
      </c>
      <c r="W458" s="14" t="str">
        <f t="shared" si="74"/>
        <v/>
      </c>
      <c r="X458" s="14" t="str">
        <f t="shared" si="75"/>
        <v/>
      </c>
      <c r="Y458" s="14" t="str">
        <f t="shared" si="76"/>
        <v/>
      </c>
      <c r="Z458" s="14" t="str">
        <f t="shared" si="77"/>
        <v/>
      </c>
      <c r="AA458" s="14" t="str">
        <f t="shared" si="78"/>
        <v/>
      </c>
      <c r="AB458" s="25" t="str">
        <f t="shared" si="79"/>
        <v/>
      </c>
    </row>
    <row r="459" spans="1:28" x14ac:dyDescent="0.25">
      <c r="A459" s="2" t="str">
        <f>IF('Raw Data'!A446&lt;&gt;"",'Raw Data'!A446,"")</f>
        <v/>
      </c>
      <c r="B459" s="2" t="str">
        <f>IF('Raw Data'!B446&lt;&gt;"",'Raw Data'!B446,"")</f>
        <v/>
      </c>
      <c r="C459" s="2" t="str">
        <f>IF('Raw Data'!C446&lt;&gt;"",'Raw Data'!C446,"")</f>
        <v/>
      </c>
      <c r="D459" s="2" t="str">
        <f>IF('Raw Data'!D446&lt;&gt;"",'Raw Data'!D446,"")</f>
        <v/>
      </c>
      <c r="E459" s="2" t="str">
        <f>IF('Raw Data'!E446&lt;&gt;"",'Raw Data'!E446,"")</f>
        <v/>
      </c>
      <c r="F459" s="11" t="str">
        <f>IF('Raw Data'!A446&lt;&gt;"",AVERAGE('Raw Data'!F446,'Raw Data'!H446,'Raw Data'!J446,'Raw Data'!L446,'Raw Data'!N446),"")</f>
        <v/>
      </c>
      <c r="G459" s="11" t="str">
        <f>IF('Raw Data'!A446&lt;&gt;"",AVERAGE('Raw Data'!G446,'Raw Data'!I446,'Raw Data'!K446,'Raw Data'!M446,'Raw Data'!O446),"")</f>
        <v/>
      </c>
      <c r="H459" s="11" t="str">
        <f t="shared" si="69"/>
        <v/>
      </c>
      <c r="I459" s="11" t="str">
        <f>IF('Raw Data'!A446&lt;&gt;"",AVERAGE('Raw Data'!P446,'Raw Data'!R446,'Raw Data'!T446,'Raw Data'!V446,'Raw Data'!X446),"")</f>
        <v/>
      </c>
      <c r="J459" s="11" t="str">
        <f>IF('Raw Data'!A446&lt;&gt;"",AVERAGE('Raw Data'!Q446,'Raw Data'!S446,'Raw Data'!U446,'Raw Data'!W446,'Raw Data'!Y446),"")</f>
        <v/>
      </c>
      <c r="K459" s="11" t="str">
        <f t="shared" si="70"/>
        <v/>
      </c>
      <c r="L459" s="11" t="str">
        <f>IF('Raw Data'!A446&lt;&gt;"",AVERAGE('Raw Data'!Z446,'Raw Data'!AB446,'Raw Data'!AD446,'Raw Data'!AF446,'Raw Data'!AH446),"")</f>
        <v/>
      </c>
      <c r="M459" s="11" t="str">
        <f>IF('Raw Data'!A446&lt;&gt;"",AVERAGE('Raw Data'!AA446,'Raw Data'!AC446,'Raw Data'!AE446,'Raw Data'!AG446,'Raw Data'!AI446),"")</f>
        <v/>
      </c>
      <c r="N459" s="11" t="str">
        <f t="shared" si="71"/>
        <v/>
      </c>
      <c r="O459" s="11" t="str">
        <f>IF('Raw Data'!A446&lt;&gt;"",AVERAGE('Raw Data'!AJ446,'Raw Data'!AL446,'Raw Data'!AN446,'Raw Data'!AP446,'Raw Data'!AR446),"")</f>
        <v/>
      </c>
      <c r="P459" s="11" t="str">
        <f>IF('Raw Data'!A446&lt;&gt;"",AVERAGE('Raw Data'!AK446,'Raw Data'!AM446,'Raw Data'!AO446,'Raw Data'!AQ446,'Raw Data'!AS446),"")</f>
        <v/>
      </c>
      <c r="Q459" s="11" t="str">
        <f t="shared" si="72"/>
        <v/>
      </c>
      <c r="R459" s="11" t="str">
        <f>IF('Raw Data'!A446&lt;&gt;"",AVERAGE('Raw Data'!AT446,'Raw Data'!AV446,'Raw Data'!AX446,'Raw Data'!AZ446,'Raw Data'!BB446),"")</f>
        <v/>
      </c>
      <c r="S459" s="11" t="str">
        <f>IF('Raw Data'!A446&lt;&gt;"",AVERAGE('Raw Data'!AU446,'Raw Data'!AW446,'Raw Data'!AY446,'Raw Data'!BA446,'Raw Data'!BC446),"")</f>
        <v/>
      </c>
      <c r="T459" s="11" t="str">
        <f t="shared" si="73"/>
        <v/>
      </c>
      <c r="U459" s="11" t="str">
        <f>IF('Raw Data'!A446&lt;&gt;"",AVERAGE('Raw Data'!BD446,'Raw Data'!BF446,'Raw Data'!BH446,'Raw Data'!BJ446,'Raw Data'!BL446),"")</f>
        <v/>
      </c>
      <c r="V459" s="11" t="str">
        <f>IF('Raw Data'!A446&lt;&gt;"",AVERAGE('Raw Data'!BE446,'Raw Data'!BG446,'Raw Data'!BI446,'Raw Data'!BK446,'Raw Data'!BM446),"")</f>
        <v/>
      </c>
      <c r="W459" s="11" t="str">
        <f t="shared" si="74"/>
        <v/>
      </c>
      <c r="X459" s="11" t="str">
        <f t="shared" si="75"/>
        <v/>
      </c>
      <c r="Y459" s="11" t="str">
        <f t="shared" si="76"/>
        <v/>
      </c>
      <c r="Z459" s="11" t="str">
        <f t="shared" si="77"/>
        <v/>
      </c>
      <c r="AA459" s="11" t="str">
        <f t="shared" si="78"/>
        <v/>
      </c>
      <c r="AB459" s="24" t="str">
        <f t="shared" si="79"/>
        <v/>
      </c>
    </row>
    <row r="460" spans="1:28" x14ac:dyDescent="0.25">
      <c r="A460" s="10" t="str">
        <f>IF('Raw Data'!A447&lt;&gt;"",'Raw Data'!A447,"")</f>
        <v/>
      </c>
      <c r="B460" s="10" t="str">
        <f>IF('Raw Data'!B447&lt;&gt;"",'Raw Data'!B447,"")</f>
        <v/>
      </c>
      <c r="C460" s="10" t="str">
        <f>IF('Raw Data'!C447&lt;&gt;"",'Raw Data'!C447,"")</f>
        <v/>
      </c>
      <c r="D460" s="10" t="str">
        <f>IF('Raw Data'!D447&lt;&gt;"",'Raw Data'!D447,"")</f>
        <v/>
      </c>
      <c r="E460" s="10" t="str">
        <f>IF('Raw Data'!E447&lt;&gt;"",'Raw Data'!E447,"")</f>
        <v/>
      </c>
      <c r="F460" s="14" t="str">
        <f>IF('Raw Data'!A447&lt;&gt;"",AVERAGE('Raw Data'!F447,'Raw Data'!H447,'Raw Data'!J447,'Raw Data'!L447,'Raw Data'!N447),"")</f>
        <v/>
      </c>
      <c r="G460" s="14" t="str">
        <f>IF('Raw Data'!A447&lt;&gt;"",AVERAGE('Raw Data'!G447,'Raw Data'!I447,'Raw Data'!K447,'Raw Data'!M447,'Raw Data'!O447),"")</f>
        <v/>
      </c>
      <c r="H460" s="14" t="str">
        <f t="shared" si="69"/>
        <v/>
      </c>
      <c r="I460" s="14" t="str">
        <f>IF('Raw Data'!A447&lt;&gt;"",AVERAGE('Raw Data'!P447,'Raw Data'!R447,'Raw Data'!T447,'Raw Data'!V447,'Raw Data'!X447),"")</f>
        <v/>
      </c>
      <c r="J460" s="14" t="str">
        <f>IF('Raw Data'!A447&lt;&gt;"",AVERAGE('Raw Data'!Q447,'Raw Data'!S447,'Raw Data'!U447,'Raw Data'!W447,'Raw Data'!Y447),"")</f>
        <v/>
      </c>
      <c r="K460" s="14" t="str">
        <f t="shared" si="70"/>
        <v/>
      </c>
      <c r="L460" s="14" t="str">
        <f>IF('Raw Data'!A447&lt;&gt;"",AVERAGE('Raw Data'!Z447,'Raw Data'!AB447,'Raw Data'!AD447,'Raw Data'!AF447,'Raw Data'!AH447),"")</f>
        <v/>
      </c>
      <c r="M460" s="14" t="str">
        <f>IF('Raw Data'!A447&lt;&gt;"",AVERAGE('Raw Data'!AA447,'Raw Data'!AC447,'Raw Data'!AE447,'Raw Data'!AG447,'Raw Data'!AI447),"")</f>
        <v/>
      </c>
      <c r="N460" s="14" t="str">
        <f t="shared" si="71"/>
        <v/>
      </c>
      <c r="O460" s="14" t="str">
        <f>IF('Raw Data'!A447&lt;&gt;"",AVERAGE('Raw Data'!AJ447,'Raw Data'!AL447,'Raw Data'!AN447,'Raw Data'!AP447,'Raw Data'!AR447),"")</f>
        <v/>
      </c>
      <c r="P460" s="14" t="str">
        <f>IF('Raw Data'!A447&lt;&gt;"",AVERAGE('Raw Data'!AK447,'Raw Data'!AM447,'Raw Data'!AO447,'Raw Data'!AQ447,'Raw Data'!AS447),"")</f>
        <v/>
      </c>
      <c r="Q460" s="14" t="str">
        <f t="shared" si="72"/>
        <v/>
      </c>
      <c r="R460" s="14" t="str">
        <f>IF('Raw Data'!A447&lt;&gt;"",AVERAGE('Raw Data'!AT447,'Raw Data'!AV447,'Raw Data'!AX447,'Raw Data'!AZ447,'Raw Data'!BB447),"")</f>
        <v/>
      </c>
      <c r="S460" s="14" t="str">
        <f>IF('Raw Data'!A447&lt;&gt;"",AVERAGE('Raw Data'!AU447,'Raw Data'!AW447,'Raw Data'!AY447,'Raw Data'!BA447,'Raw Data'!BC447),"")</f>
        <v/>
      </c>
      <c r="T460" s="14" t="str">
        <f t="shared" si="73"/>
        <v/>
      </c>
      <c r="U460" s="14" t="str">
        <f>IF('Raw Data'!A447&lt;&gt;"",AVERAGE('Raw Data'!BD447,'Raw Data'!BF447,'Raw Data'!BH447,'Raw Data'!BJ447,'Raw Data'!BL447),"")</f>
        <v/>
      </c>
      <c r="V460" s="14" t="str">
        <f>IF('Raw Data'!A447&lt;&gt;"",AVERAGE('Raw Data'!BE447,'Raw Data'!BG447,'Raw Data'!BI447,'Raw Data'!BK447,'Raw Data'!BM447),"")</f>
        <v/>
      </c>
      <c r="W460" s="14" t="str">
        <f t="shared" si="74"/>
        <v/>
      </c>
      <c r="X460" s="14" t="str">
        <f t="shared" si="75"/>
        <v/>
      </c>
      <c r="Y460" s="14" t="str">
        <f t="shared" si="76"/>
        <v/>
      </c>
      <c r="Z460" s="14" t="str">
        <f t="shared" si="77"/>
        <v/>
      </c>
      <c r="AA460" s="14" t="str">
        <f t="shared" si="78"/>
        <v/>
      </c>
      <c r="AB460" s="25" t="str">
        <f t="shared" si="79"/>
        <v/>
      </c>
    </row>
    <row r="461" spans="1:28" x14ac:dyDescent="0.25">
      <c r="A461" s="2" t="str">
        <f>IF('Raw Data'!A448&lt;&gt;"",'Raw Data'!A448,"")</f>
        <v/>
      </c>
      <c r="B461" s="2" t="str">
        <f>IF('Raw Data'!B448&lt;&gt;"",'Raw Data'!B448,"")</f>
        <v/>
      </c>
      <c r="C461" s="2" t="str">
        <f>IF('Raw Data'!C448&lt;&gt;"",'Raw Data'!C448,"")</f>
        <v/>
      </c>
      <c r="D461" s="2" t="str">
        <f>IF('Raw Data'!D448&lt;&gt;"",'Raw Data'!D448,"")</f>
        <v/>
      </c>
      <c r="E461" s="2" t="str">
        <f>IF('Raw Data'!E448&lt;&gt;"",'Raw Data'!E448,"")</f>
        <v/>
      </c>
      <c r="F461" s="11" t="str">
        <f>IF('Raw Data'!A448&lt;&gt;"",AVERAGE('Raw Data'!F448,'Raw Data'!H448,'Raw Data'!J448,'Raw Data'!L448,'Raw Data'!N448),"")</f>
        <v/>
      </c>
      <c r="G461" s="11" t="str">
        <f>IF('Raw Data'!A448&lt;&gt;"",AVERAGE('Raw Data'!G448,'Raw Data'!I448,'Raw Data'!K448,'Raw Data'!M448,'Raw Data'!O448),"")</f>
        <v/>
      </c>
      <c r="H461" s="11" t="str">
        <f t="shared" si="69"/>
        <v/>
      </c>
      <c r="I461" s="11" t="str">
        <f>IF('Raw Data'!A448&lt;&gt;"",AVERAGE('Raw Data'!P448,'Raw Data'!R448,'Raw Data'!T448,'Raw Data'!V448,'Raw Data'!X448),"")</f>
        <v/>
      </c>
      <c r="J461" s="11" t="str">
        <f>IF('Raw Data'!A448&lt;&gt;"",AVERAGE('Raw Data'!Q448,'Raw Data'!S448,'Raw Data'!U448,'Raw Data'!W448,'Raw Data'!Y448),"")</f>
        <v/>
      </c>
      <c r="K461" s="11" t="str">
        <f t="shared" si="70"/>
        <v/>
      </c>
      <c r="L461" s="11" t="str">
        <f>IF('Raw Data'!A448&lt;&gt;"",AVERAGE('Raw Data'!Z448,'Raw Data'!AB448,'Raw Data'!AD448,'Raw Data'!AF448,'Raw Data'!AH448),"")</f>
        <v/>
      </c>
      <c r="M461" s="11" t="str">
        <f>IF('Raw Data'!A448&lt;&gt;"",AVERAGE('Raw Data'!AA448,'Raw Data'!AC448,'Raw Data'!AE448,'Raw Data'!AG448,'Raw Data'!AI448),"")</f>
        <v/>
      </c>
      <c r="N461" s="11" t="str">
        <f t="shared" si="71"/>
        <v/>
      </c>
      <c r="O461" s="11" t="str">
        <f>IF('Raw Data'!A448&lt;&gt;"",AVERAGE('Raw Data'!AJ448,'Raw Data'!AL448,'Raw Data'!AN448,'Raw Data'!AP448,'Raw Data'!AR448),"")</f>
        <v/>
      </c>
      <c r="P461" s="11" t="str">
        <f>IF('Raw Data'!A448&lt;&gt;"",AVERAGE('Raw Data'!AK448,'Raw Data'!AM448,'Raw Data'!AO448,'Raw Data'!AQ448,'Raw Data'!AS448),"")</f>
        <v/>
      </c>
      <c r="Q461" s="11" t="str">
        <f t="shared" si="72"/>
        <v/>
      </c>
      <c r="R461" s="11" t="str">
        <f>IF('Raw Data'!A448&lt;&gt;"",AVERAGE('Raw Data'!AT448,'Raw Data'!AV448,'Raw Data'!AX448,'Raw Data'!AZ448,'Raw Data'!BB448),"")</f>
        <v/>
      </c>
      <c r="S461" s="11" t="str">
        <f>IF('Raw Data'!A448&lt;&gt;"",AVERAGE('Raw Data'!AU448,'Raw Data'!AW448,'Raw Data'!AY448,'Raw Data'!BA448,'Raw Data'!BC448),"")</f>
        <v/>
      </c>
      <c r="T461" s="11" t="str">
        <f t="shared" si="73"/>
        <v/>
      </c>
      <c r="U461" s="11" t="str">
        <f>IF('Raw Data'!A448&lt;&gt;"",AVERAGE('Raw Data'!BD448,'Raw Data'!BF448,'Raw Data'!BH448,'Raw Data'!BJ448,'Raw Data'!BL448),"")</f>
        <v/>
      </c>
      <c r="V461" s="11" t="str">
        <f>IF('Raw Data'!A448&lt;&gt;"",AVERAGE('Raw Data'!BE448,'Raw Data'!BG448,'Raw Data'!BI448,'Raw Data'!BK448,'Raw Data'!BM448),"")</f>
        <v/>
      </c>
      <c r="W461" s="11" t="str">
        <f t="shared" si="74"/>
        <v/>
      </c>
      <c r="X461" s="11" t="str">
        <f t="shared" si="75"/>
        <v/>
      </c>
      <c r="Y461" s="11" t="str">
        <f t="shared" si="76"/>
        <v/>
      </c>
      <c r="Z461" s="11" t="str">
        <f t="shared" si="77"/>
        <v/>
      </c>
      <c r="AA461" s="11" t="str">
        <f t="shared" si="78"/>
        <v/>
      </c>
      <c r="AB461" s="24" t="str">
        <f t="shared" si="79"/>
        <v/>
      </c>
    </row>
    <row r="462" spans="1:28" x14ac:dyDescent="0.25">
      <c r="A462" s="10" t="str">
        <f>IF('Raw Data'!A449&lt;&gt;"",'Raw Data'!A449,"")</f>
        <v/>
      </c>
      <c r="B462" s="10" t="str">
        <f>IF('Raw Data'!B449&lt;&gt;"",'Raw Data'!B449,"")</f>
        <v/>
      </c>
      <c r="C462" s="10" t="str">
        <f>IF('Raw Data'!C449&lt;&gt;"",'Raw Data'!C449,"")</f>
        <v/>
      </c>
      <c r="D462" s="10" t="str">
        <f>IF('Raw Data'!D449&lt;&gt;"",'Raw Data'!D449,"")</f>
        <v/>
      </c>
      <c r="E462" s="10" t="str">
        <f>IF('Raw Data'!E449&lt;&gt;"",'Raw Data'!E449,"")</f>
        <v/>
      </c>
      <c r="F462" s="14" t="str">
        <f>IF('Raw Data'!A449&lt;&gt;"",AVERAGE('Raw Data'!F449,'Raw Data'!H449,'Raw Data'!J449,'Raw Data'!L449,'Raw Data'!N449),"")</f>
        <v/>
      </c>
      <c r="G462" s="14" t="str">
        <f>IF('Raw Data'!A449&lt;&gt;"",AVERAGE('Raw Data'!G449,'Raw Data'!I449,'Raw Data'!K449,'Raw Data'!M449,'Raw Data'!O449),"")</f>
        <v/>
      </c>
      <c r="H462" s="14" t="str">
        <f t="shared" si="69"/>
        <v/>
      </c>
      <c r="I462" s="14" t="str">
        <f>IF('Raw Data'!A449&lt;&gt;"",AVERAGE('Raw Data'!P449,'Raw Data'!R449,'Raw Data'!T449,'Raw Data'!V449,'Raw Data'!X449),"")</f>
        <v/>
      </c>
      <c r="J462" s="14" t="str">
        <f>IF('Raw Data'!A449&lt;&gt;"",AVERAGE('Raw Data'!Q449,'Raw Data'!S449,'Raw Data'!U449,'Raw Data'!W449,'Raw Data'!Y449),"")</f>
        <v/>
      </c>
      <c r="K462" s="14" t="str">
        <f t="shared" si="70"/>
        <v/>
      </c>
      <c r="L462" s="14" t="str">
        <f>IF('Raw Data'!A449&lt;&gt;"",AVERAGE('Raw Data'!Z449,'Raw Data'!AB449,'Raw Data'!AD449,'Raw Data'!AF449,'Raw Data'!AH449),"")</f>
        <v/>
      </c>
      <c r="M462" s="14" t="str">
        <f>IF('Raw Data'!A449&lt;&gt;"",AVERAGE('Raw Data'!AA449,'Raw Data'!AC449,'Raw Data'!AE449,'Raw Data'!AG449,'Raw Data'!AI449),"")</f>
        <v/>
      </c>
      <c r="N462" s="14" t="str">
        <f t="shared" si="71"/>
        <v/>
      </c>
      <c r="O462" s="14" t="str">
        <f>IF('Raw Data'!A449&lt;&gt;"",AVERAGE('Raw Data'!AJ449,'Raw Data'!AL449,'Raw Data'!AN449,'Raw Data'!AP449,'Raw Data'!AR449),"")</f>
        <v/>
      </c>
      <c r="P462" s="14" t="str">
        <f>IF('Raw Data'!A449&lt;&gt;"",AVERAGE('Raw Data'!AK449,'Raw Data'!AM449,'Raw Data'!AO449,'Raw Data'!AQ449,'Raw Data'!AS449),"")</f>
        <v/>
      </c>
      <c r="Q462" s="14" t="str">
        <f t="shared" si="72"/>
        <v/>
      </c>
      <c r="R462" s="14" t="str">
        <f>IF('Raw Data'!A449&lt;&gt;"",AVERAGE('Raw Data'!AT449,'Raw Data'!AV449,'Raw Data'!AX449,'Raw Data'!AZ449,'Raw Data'!BB449),"")</f>
        <v/>
      </c>
      <c r="S462" s="14" t="str">
        <f>IF('Raw Data'!A449&lt;&gt;"",AVERAGE('Raw Data'!AU449,'Raw Data'!AW449,'Raw Data'!AY449,'Raw Data'!BA449,'Raw Data'!BC449),"")</f>
        <v/>
      </c>
      <c r="T462" s="14" t="str">
        <f t="shared" si="73"/>
        <v/>
      </c>
      <c r="U462" s="14" t="str">
        <f>IF('Raw Data'!A449&lt;&gt;"",AVERAGE('Raw Data'!BD449,'Raw Data'!BF449,'Raw Data'!BH449,'Raw Data'!BJ449,'Raw Data'!BL449),"")</f>
        <v/>
      </c>
      <c r="V462" s="14" t="str">
        <f>IF('Raw Data'!A449&lt;&gt;"",AVERAGE('Raw Data'!BE449,'Raw Data'!BG449,'Raw Data'!BI449,'Raw Data'!BK449,'Raw Data'!BM449),"")</f>
        <v/>
      </c>
      <c r="W462" s="14" t="str">
        <f t="shared" si="74"/>
        <v/>
      </c>
      <c r="X462" s="14" t="str">
        <f t="shared" si="75"/>
        <v/>
      </c>
      <c r="Y462" s="14" t="str">
        <f t="shared" si="76"/>
        <v/>
      </c>
      <c r="Z462" s="14" t="str">
        <f t="shared" si="77"/>
        <v/>
      </c>
      <c r="AA462" s="14" t="str">
        <f t="shared" si="78"/>
        <v/>
      </c>
      <c r="AB462" s="25" t="str">
        <f t="shared" si="79"/>
        <v/>
      </c>
    </row>
    <row r="463" spans="1:28" x14ac:dyDescent="0.25">
      <c r="A463" s="2" t="str">
        <f>IF('Raw Data'!A450&lt;&gt;"",'Raw Data'!A450,"")</f>
        <v/>
      </c>
      <c r="B463" s="2" t="str">
        <f>IF('Raw Data'!B450&lt;&gt;"",'Raw Data'!B450,"")</f>
        <v/>
      </c>
      <c r="C463" s="2" t="str">
        <f>IF('Raw Data'!C450&lt;&gt;"",'Raw Data'!C450,"")</f>
        <v/>
      </c>
      <c r="D463" s="2" t="str">
        <f>IF('Raw Data'!D450&lt;&gt;"",'Raw Data'!D450,"")</f>
        <v/>
      </c>
      <c r="E463" s="2" t="str">
        <f>IF('Raw Data'!E450&lt;&gt;"",'Raw Data'!E450,"")</f>
        <v/>
      </c>
      <c r="F463" s="11" t="str">
        <f>IF('Raw Data'!A450&lt;&gt;"",AVERAGE('Raw Data'!F450,'Raw Data'!H450,'Raw Data'!J450,'Raw Data'!L450,'Raw Data'!N450),"")</f>
        <v/>
      </c>
      <c r="G463" s="11" t="str">
        <f>IF('Raw Data'!A450&lt;&gt;"",AVERAGE('Raw Data'!G450,'Raw Data'!I450,'Raw Data'!K450,'Raw Data'!M450,'Raw Data'!O450),"")</f>
        <v/>
      </c>
      <c r="H463" s="11" t="str">
        <f t="shared" si="69"/>
        <v/>
      </c>
      <c r="I463" s="11" t="str">
        <f>IF('Raw Data'!A450&lt;&gt;"",AVERAGE('Raw Data'!P450,'Raw Data'!R450,'Raw Data'!T450,'Raw Data'!V450,'Raw Data'!X450),"")</f>
        <v/>
      </c>
      <c r="J463" s="11" t="str">
        <f>IF('Raw Data'!A450&lt;&gt;"",AVERAGE('Raw Data'!Q450,'Raw Data'!S450,'Raw Data'!U450,'Raw Data'!W450,'Raw Data'!Y450),"")</f>
        <v/>
      </c>
      <c r="K463" s="11" t="str">
        <f t="shared" si="70"/>
        <v/>
      </c>
      <c r="L463" s="11" t="str">
        <f>IF('Raw Data'!A450&lt;&gt;"",AVERAGE('Raw Data'!Z450,'Raw Data'!AB450,'Raw Data'!AD450,'Raw Data'!AF450,'Raw Data'!AH450),"")</f>
        <v/>
      </c>
      <c r="M463" s="11" t="str">
        <f>IF('Raw Data'!A450&lt;&gt;"",AVERAGE('Raw Data'!AA450,'Raw Data'!AC450,'Raw Data'!AE450,'Raw Data'!AG450,'Raw Data'!AI450),"")</f>
        <v/>
      </c>
      <c r="N463" s="11" t="str">
        <f t="shared" si="71"/>
        <v/>
      </c>
      <c r="O463" s="11" t="str">
        <f>IF('Raw Data'!A450&lt;&gt;"",AVERAGE('Raw Data'!AJ450,'Raw Data'!AL450,'Raw Data'!AN450,'Raw Data'!AP450,'Raw Data'!AR450),"")</f>
        <v/>
      </c>
      <c r="P463" s="11" t="str">
        <f>IF('Raw Data'!A450&lt;&gt;"",AVERAGE('Raw Data'!AK450,'Raw Data'!AM450,'Raw Data'!AO450,'Raw Data'!AQ450,'Raw Data'!AS450),"")</f>
        <v/>
      </c>
      <c r="Q463" s="11" t="str">
        <f t="shared" si="72"/>
        <v/>
      </c>
      <c r="R463" s="11" t="str">
        <f>IF('Raw Data'!A450&lt;&gt;"",AVERAGE('Raw Data'!AT450,'Raw Data'!AV450,'Raw Data'!AX450,'Raw Data'!AZ450,'Raw Data'!BB450),"")</f>
        <v/>
      </c>
      <c r="S463" s="11" t="str">
        <f>IF('Raw Data'!A450&lt;&gt;"",AVERAGE('Raw Data'!AU450,'Raw Data'!AW450,'Raw Data'!AY450,'Raw Data'!BA450,'Raw Data'!BC450),"")</f>
        <v/>
      </c>
      <c r="T463" s="11" t="str">
        <f t="shared" si="73"/>
        <v/>
      </c>
      <c r="U463" s="11" t="str">
        <f>IF('Raw Data'!A450&lt;&gt;"",AVERAGE('Raw Data'!BD450,'Raw Data'!BF450,'Raw Data'!BH450,'Raw Data'!BJ450,'Raw Data'!BL450),"")</f>
        <v/>
      </c>
      <c r="V463" s="11" t="str">
        <f>IF('Raw Data'!A450&lt;&gt;"",AVERAGE('Raw Data'!BE450,'Raw Data'!BG450,'Raw Data'!BI450,'Raw Data'!BK450,'Raw Data'!BM450),"")</f>
        <v/>
      </c>
      <c r="W463" s="11" t="str">
        <f t="shared" si="74"/>
        <v/>
      </c>
      <c r="X463" s="11" t="str">
        <f t="shared" si="75"/>
        <v/>
      </c>
      <c r="Y463" s="11" t="str">
        <f t="shared" si="76"/>
        <v/>
      </c>
      <c r="Z463" s="11" t="str">
        <f t="shared" si="77"/>
        <v/>
      </c>
      <c r="AA463" s="11" t="str">
        <f t="shared" si="78"/>
        <v/>
      </c>
      <c r="AB463" s="24" t="str">
        <f t="shared" si="79"/>
        <v/>
      </c>
    </row>
    <row r="464" spans="1:28" x14ac:dyDescent="0.25">
      <c r="A464" s="10" t="str">
        <f>IF('Raw Data'!A451&lt;&gt;"",'Raw Data'!A451,"")</f>
        <v/>
      </c>
      <c r="B464" s="10" t="str">
        <f>IF('Raw Data'!B451&lt;&gt;"",'Raw Data'!B451,"")</f>
        <v/>
      </c>
      <c r="C464" s="10" t="str">
        <f>IF('Raw Data'!C451&lt;&gt;"",'Raw Data'!C451,"")</f>
        <v/>
      </c>
      <c r="D464" s="10" t="str">
        <f>IF('Raw Data'!D451&lt;&gt;"",'Raw Data'!D451,"")</f>
        <v/>
      </c>
      <c r="E464" s="10" t="str">
        <f>IF('Raw Data'!E451&lt;&gt;"",'Raw Data'!E451,"")</f>
        <v/>
      </c>
      <c r="F464" s="14" t="str">
        <f>IF('Raw Data'!A451&lt;&gt;"",AVERAGE('Raw Data'!F451,'Raw Data'!H451,'Raw Data'!J451,'Raw Data'!L451,'Raw Data'!N451),"")</f>
        <v/>
      </c>
      <c r="G464" s="14" t="str">
        <f>IF('Raw Data'!A451&lt;&gt;"",AVERAGE('Raw Data'!G451,'Raw Data'!I451,'Raw Data'!K451,'Raw Data'!M451,'Raw Data'!O451),"")</f>
        <v/>
      </c>
      <c r="H464" s="14" t="str">
        <f t="shared" si="69"/>
        <v/>
      </c>
      <c r="I464" s="14" t="str">
        <f>IF('Raw Data'!A451&lt;&gt;"",AVERAGE('Raw Data'!P451,'Raw Data'!R451,'Raw Data'!T451,'Raw Data'!V451,'Raw Data'!X451),"")</f>
        <v/>
      </c>
      <c r="J464" s="14" t="str">
        <f>IF('Raw Data'!A451&lt;&gt;"",AVERAGE('Raw Data'!Q451,'Raw Data'!S451,'Raw Data'!U451,'Raw Data'!W451,'Raw Data'!Y451),"")</f>
        <v/>
      </c>
      <c r="K464" s="14" t="str">
        <f t="shared" si="70"/>
        <v/>
      </c>
      <c r="L464" s="14" t="str">
        <f>IF('Raw Data'!A451&lt;&gt;"",AVERAGE('Raw Data'!Z451,'Raw Data'!AB451,'Raw Data'!AD451,'Raw Data'!AF451,'Raw Data'!AH451),"")</f>
        <v/>
      </c>
      <c r="M464" s="14" t="str">
        <f>IF('Raw Data'!A451&lt;&gt;"",AVERAGE('Raw Data'!AA451,'Raw Data'!AC451,'Raw Data'!AE451,'Raw Data'!AG451,'Raw Data'!AI451),"")</f>
        <v/>
      </c>
      <c r="N464" s="14" t="str">
        <f t="shared" si="71"/>
        <v/>
      </c>
      <c r="O464" s="14" t="str">
        <f>IF('Raw Data'!A451&lt;&gt;"",AVERAGE('Raw Data'!AJ451,'Raw Data'!AL451,'Raw Data'!AN451,'Raw Data'!AP451,'Raw Data'!AR451),"")</f>
        <v/>
      </c>
      <c r="P464" s="14" t="str">
        <f>IF('Raw Data'!A451&lt;&gt;"",AVERAGE('Raw Data'!AK451,'Raw Data'!AM451,'Raw Data'!AO451,'Raw Data'!AQ451,'Raw Data'!AS451),"")</f>
        <v/>
      </c>
      <c r="Q464" s="14" t="str">
        <f t="shared" si="72"/>
        <v/>
      </c>
      <c r="R464" s="14" t="str">
        <f>IF('Raw Data'!A451&lt;&gt;"",AVERAGE('Raw Data'!AT451,'Raw Data'!AV451,'Raw Data'!AX451,'Raw Data'!AZ451,'Raw Data'!BB451),"")</f>
        <v/>
      </c>
      <c r="S464" s="14" t="str">
        <f>IF('Raw Data'!A451&lt;&gt;"",AVERAGE('Raw Data'!AU451,'Raw Data'!AW451,'Raw Data'!AY451,'Raw Data'!BA451,'Raw Data'!BC451),"")</f>
        <v/>
      </c>
      <c r="T464" s="14" t="str">
        <f t="shared" si="73"/>
        <v/>
      </c>
      <c r="U464" s="14" t="str">
        <f>IF('Raw Data'!A451&lt;&gt;"",AVERAGE('Raw Data'!BD451,'Raw Data'!BF451,'Raw Data'!BH451,'Raw Data'!BJ451,'Raw Data'!BL451),"")</f>
        <v/>
      </c>
      <c r="V464" s="14" t="str">
        <f>IF('Raw Data'!A451&lt;&gt;"",AVERAGE('Raw Data'!BE451,'Raw Data'!BG451,'Raw Data'!BI451,'Raw Data'!BK451,'Raw Data'!BM451),"")</f>
        <v/>
      </c>
      <c r="W464" s="14" t="str">
        <f t="shared" si="74"/>
        <v/>
      </c>
      <c r="X464" s="14" t="str">
        <f t="shared" si="75"/>
        <v/>
      </c>
      <c r="Y464" s="14" t="str">
        <f t="shared" si="76"/>
        <v/>
      </c>
      <c r="Z464" s="14" t="str">
        <f t="shared" si="77"/>
        <v/>
      </c>
      <c r="AA464" s="14" t="str">
        <f t="shared" si="78"/>
        <v/>
      </c>
      <c r="AB464" s="25" t="str">
        <f t="shared" si="79"/>
        <v/>
      </c>
    </row>
    <row r="465" spans="1:28" x14ac:dyDescent="0.25">
      <c r="A465" s="2" t="str">
        <f>IF('Raw Data'!A452&lt;&gt;"",'Raw Data'!A452,"")</f>
        <v/>
      </c>
      <c r="B465" s="2" t="str">
        <f>IF('Raw Data'!B452&lt;&gt;"",'Raw Data'!B452,"")</f>
        <v/>
      </c>
      <c r="C465" s="2" t="str">
        <f>IF('Raw Data'!C452&lt;&gt;"",'Raw Data'!C452,"")</f>
        <v/>
      </c>
      <c r="D465" s="2" t="str">
        <f>IF('Raw Data'!D452&lt;&gt;"",'Raw Data'!D452,"")</f>
        <v/>
      </c>
      <c r="E465" s="2" t="str">
        <f>IF('Raw Data'!E452&lt;&gt;"",'Raw Data'!E452,"")</f>
        <v/>
      </c>
      <c r="F465" s="11" t="str">
        <f>IF('Raw Data'!A452&lt;&gt;"",AVERAGE('Raw Data'!F452,'Raw Data'!H452,'Raw Data'!J452,'Raw Data'!L452,'Raw Data'!N452),"")</f>
        <v/>
      </c>
      <c r="G465" s="11" t="str">
        <f>IF('Raw Data'!A452&lt;&gt;"",AVERAGE('Raw Data'!G452,'Raw Data'!I452,'Raw Data'!K452,'Raw Data'!M452,'Raw Data'!O452),"")</f>
        <v/>
      </c>
      <c r="H465" s="11" t="str">
        <f t="shared" ref="H465:H528" si="80">IF(F465&lt;&gt;"",F465-G465,"")</f>
        <v/>
      </c>
      <c r="I465" s="11" t="str">
        <f>IF('Raw Data'!A452&lt;&gt;"",AVERAGE('Raw Data'!P452,'Raw Data'!R452,'Raw Data'!T452,'Raw Data'!V452,'Raw Data'!X452),"")</f>
        <v/>
      </c>
      <c r="J465" s="11" t="str">
        <f>IF('Raw Data'!A452&lt;&gt;"",AVERAGE('Raw Data'!Q452,'Raw Data'!S452,'Raw Data'!U452,'Raw Data'!W452,'Raw Data'!Y452),"")</f>
        <v/>
      </c>
      <c r="K465" s="11" t="str">
        <f t="shared" ref="K465:K528" si="81">IF(I465&lt;&gt;"",I465-J465,"")</f>
        <v/>
      </c>
      <c r="L465" s="11" t="str">
        <f>IF('Raw Data'!A452&lt;&gt;"",AVERAGE('Raw Data'!Z452,'Raw Data'!AB452,'Raw Data'!AD452,'Raw Data'!AF452,'Raw Data'!AH452),"")</f>
        <v/>
      </c>
      <c r="M465" s="11" t="str">
        <f>IF('Raw Data'!A452&lt;&gt;"",AVERAGE('Raw Data'!AA452,'Raw Data'!AC452,'Raw Data'!AE452,'Raw Data'!AG452,'Raw Data'!AI452),"")</f>
        <v/>
      </c>
      <c r="N465" s="11" t="str">
        <f t="shared" ref="N465:N528" si="82">IF(L465&lt;&gt;"",L465-M465,"")</f>
        <v/>
      </c>
      <c r="O465" s="11" t="str">
        <f>IF('Raw Data'!A452&lt;&gt;"",AVERAGE('Raw Data'!AJ452,'Raw Data'!AL452,'Raw Data'!AN452,'Raw Data'!AP452,'Raw Data'!AR452),"")</f>
        <v/>
      </c>
      <c r="P465" s="11" t="str">
        <f>IF('Raw Data'!A452&lt;&gt;"",AVERAGE('Raw Data'!AK452,'Raw Data'!AM452,'Raw Data'!AO452,'Raw Data'!AQ452,'Raw Data'!AS452),"")</f>
        <v/>
      </c>
      <c r="Q465" s="11" t="str">
        <f t="shared" ref="Q465:Q528" si="83">IF(O465&lt;&gt;"",O465-P465,"")</f>
        <v/>
      </c>
      <c r="R465" s="11" t="str">
        <f>IF('Raw Data'!A452&lt;&gt;"",AVERAGE('Raw Data'!AT452,'Raw Data'!AV452,'Raw Data'!AX452,'Raw Data'!AZ452,'Raw Data'!BB452),"")</f>
        <v/>
      </c>
      <c r="S465" s="11" t="str">
        <f>IF('Raw Data'!A452&lt;&gt;"",AVERAGE('Raw Data'!AU452,'Raw Data'!AW452,'Raw Data'!AY452,'Raw Data'!BA452,'Raw Data'!BC452),"")</f>
        <v/>
      </c>
      <c r="T465" s="11" t="str">
        <f t="shared" ref="T465:T528" si="84">IF(R465&lt;&gt;"",R465-S465,"")</f>
        <v/>
      </c>
      <c r="U465" s="11" t="str">
        <f>IF('Raw Data'!A452&lt;&gt;"",AVERAGE('Raw Data'!BD452,'Raw Data'!BF452,'Raw Data'!BH452,'Raw Data'!BJ452,'Raw Data'!BL452),"")</f>
        <v/>
      </c>
      <c r="V465" s="11" t="str">
        <f>IF('Raw Data'!A452&lt;&gt;"",AVERAGE('Raw Data'!BE452,'Raw Data'!BG452,'Raw Data'!BI452,'Raw Data'!BK452,'Raw Data'!BM452),"")</f>
        <v/>
      </c>
      <c r="W465" s="11" t="str">
        <f t="shared" ref="W465:W528" si="85">IF(U465&lt;&gt;"",U465-V465,"")</f>
        <v/>
      </c>
      <c r="X465" s="11" t="str">
        <f t="shared" ref="X465:X516" si="86">IF(A465&lt;&gt;"",AVERAGE(F465,I465,L465,O465,R465,U465),"")</f>
        <v/>
      </c>
      <c r="Y465" s="11" t="str">
        <f t="shared" ref="Y465:Y516" si="87">IF(A465&lt;&gt;"",AVERAGE(G465,J465,M465,P465,S465,V465),"")</f>
        <v/>
      </c>
      <c r="Z465" s="11" t="str">
        <f t="shared" ref="Z465:Z528" si="88">IF(A465&lt;&gt;"",X465-Y465,"")</f>
        <v/>
      </c>
      <c r="AA465" s="11" t="str">
        <f t="shared" ref="AA465:AA516" si="89">IF(A465&lt;&gt;"",(K465*0.25)+(Q465*0.2)+(W465*0.2)+(H465*0.15)+(N465*0.1)+(T465*0.1),"")</f>
        <v/>
      </c>
      <c r="AB465" s="24" t="str">
        <f t="shared" ref="AB465:AB528" si="90">IF(A465&lt;&gt;"",(AA465*0.5)+(0.3*K465)+(0.2*Q465),"")</f>
        <v/>
      </c>
    </row>
    <row r="466" spans="1:28" x14ac:dyDescent="0.25">
      <c r="A466" s="10" t="str">
        <f>IF('Raw Data'!A453&lt;&gt;"",'Raw Data'!A453,"")</f>
        <v/>
      </c>
      <c r="B466" s="10" t="str">
        <f>IF('Raw Data'!B453&lt;&gt;"",'Raw Data'!B453,"")</f>
        <v/>
      </c>
      <c r="C466" s="10" t="str">
        <f>IF('Raw Data'!C453&lt;&gt;"",'Raw Data'!C453,"")</f>
        <v/>
      </c>
      <c r="D466" s="10" t="str">
        <f>IF('Raw Data'!D453&lt;&gt;"",'Raw Data'!D453,"")</f>
        <v/>
      </c>
      <c r="E466" s="10" t="str">
        <f>IF('Raw Data'!E453&lt;&gt;"",'Raw Data'!E453,"")</f>
        <v/>
      </c>
      <c r="F466" s="14" t="str">
        <f>IF('Raw Data'!A453&lt;&gt;"",AVERAGE('Raw Data'!F453,'Raw Data'!H453,'Raw Data'!J453,'Raw Data'!L453,'Raw Data'!N453),"")</f>
        <v/>
      </c>
      <c r="G466" s="14" t="str">
        <f>IF('Raw Data'!A453&lt;&gt;"",AVERAGE('Raw Data'!G453,'Raw Data'!I453,'Raw Data'!K453,'Raw Data'!M453,'Raw Data'!O453),"")</f>
        <v/>
      </c>
      <c r="H466" s="14" t="str">
        <f t="shared" si="80"/>
        <v/>
      </c>
      <c r="I466" s="14" t="str">
        <f>IF('Raw Data'!A453&lt;&gt;"",AVERAGE('Raw Data'!P453,'Raw Data'!R453,'Raw Data'!T453,'Raw Data'!V453,'Raw Data'!X453),"")</f>
        <v/>
      </c>
      <c r="J466" s="14" t="str">
        <f>IF('Raw Data'!A453&lt;&gt;"",AVERAGE('Raw Data'!Q453,'Raw Data'!S453,'Raw Data'!U453,'Raw Data'!W453,'Raw Data'!Y453),"")</f>
        <v/>
      </c>
      <c r="K466" s="14" t="str">
        <f t="shared" si="81"/>
        <v/>
      </c>
      <c r="L466" s="14" t="str">
        <f>IF('Raw Data'!A453&lt;&gt;"",AVERAGE('Raw Data'!Z453,'Raw Data'!AB453,'Raw Data'!AD453,'Raw Data'!AF453,'Raw Data'!AH453),"")</f>
        <v/>
      </c>
      <c r="M466" s="14" t="str">
        <f>IF('Raw Data'!A453&lt;&gt;"",AVERAGE('Raw Data'!AA453,'Raw Data'!AC453,'Raw Data'!AE453,'Raw Data'!AG453,'Raw Data'!AI453),"")</f>
        <v/>
      </c>
      <c r="N466" s="14" t="str">
        <f t="shared" si="82"/>
        <v/>
      </c>
      <c r="O466" s="14" t="str">
        <f>IF('Raw Data'!A453&lt;&gt;"",AVERAGE('Raw Data'!AJ453,'Raw Data'!AL453,'Raw Data'!AN453,'Raw Data'!AP453,'Raw Data'!AR453),"")</f>
        <v/>
      </c>
      <c r="P466" s="14" t="str">
        <f>IF('Raw Data'!A453&lt;&gt;"",AVERAGE('Raw Data'!AK453,'Raw Data'!AM453,'Raw Data'!AO453,'Raw Data'!AQ453,'Raw Data'!AS453),"")</f>
        <v/>
      </c>
      <c r="Q466" s="14" t="str">
        <f t="shared" si="83"/>
        <v/>
      </c>
      <c r="R466" s="14" t="str">
        <f>IF('Raw Data'!A453&lt;&gt;"",AVERAGE('Raw Data'!AT453,'Raw Data'!AV453,'Raw Data'!AX453,'Raw Data'!AZ453,'Raw Data'!BB453),"")</f>
        <v/>
      </c>
      <c r="S466" s="14" t="str">
        <f>IF('Raw Data'!A453&lt;&gt;"",AVERAGE('Raw Data'!AU453,'Raw Data'!AW453,'Raw Data'!AY453,'Raw Data'!BA453,'Raw Data'!BC453),"")</f>
        <v/>
      </c>
      <c r="T466" s="14" t="str">
        <f t="shared" si="84"/>
        <v/>
      </c>
      <c r="U466" s="14" t="str">
        <f>IF('Raw Data'!A453&lt;&gt;"",AVERAGE('Raw Data'!BD453,'Raw Data'!BF453,'Raw Data'!BH453,'Raw Data'!BJ453,'Raw Data'!BL453),"")</f>
        <v/>
      </c>
      <c r="V466" s="14" t="str">
        <f>IF('Raw Data'!A453&lt;&gt;"",AVERAGE('Raw Data'!BE453,'Raw Data'!BG453,'Raw Data'!BI453,'Raw Data'!BK453,'Raw Data'!BM453),"")</f>
        <v/>
      </c>
      <c r="W466" s="14" t="str">
        <f t="shared" si="85"/>
        <v/>
      </c>
      <c r="X466" s="14" t="str">
        <f t="shared" si="86"/>
        <v/>
      </c>
      <c r="Y466" s="14" t="str">
        <f t="shared" si="87"/>
        <v/>
      </c>
      <c r="Z466" s="14" t="str">
        <f t="shared" si="88"/>
        <v/>
      </c>
      <c r="AA466" s="14" t="str">
        <f t="shared" si="89"/>
        <v/>
      </c>
      <c r="AB466" s="25" t="str">
        <f t="shared" si="90"/>
        <v/>
      </c>
    </row>
    <row r="467" spans="1:28" x14ac:dyDescent="0.25">
      <c r="A467" s="2" t="str">
        <f>IF('Raw Data'!A454&lt;&gt;"",'Raw Data'!A454,"")</f>
        <v/>
      </c>
      <c r="B467" s="2" t="str">
        <f>IF('Raw Data'!B454&lt;&gt;"",'Raw Data'!B454,"")</f>
        <v/>
      </c>
      <c r="C467" s="2" t="str">
        <f>IF('Raw Data'!C454&lt;&gt;"",'Raw Data'!C454,"")</f>
        <v/>
      </c>
      <c r="D467" s="2" t="str">
        <f>IF('Raw Data'!D454&lt;&gt;"",'Raw Data'!D454,"")</f>
        <v/>
      </c>
      <c r="E467" s="2" t="str">
        <f>IF('Raw Data'!E454&lt;&gt;"",'Raw Data'!E454,"")</f>
        <v/>
      </c>
      <c r="F467" s="11" t="str">
        <f>IF('Raw Data'!A454&lt;&gt;"",AVERAGE('Raw Data'!F454,'Raw Data'!H454,'Raw Data'!J454,'Raw Data'!L454,'Raw Data'!N454),"")</f>
        <v/>
      </c>
      <c r="G467" s="11" t="str">
        <f>IF('Raw Data'!A454&lt;&gt;"",AVERAGE('Raw Data'!G454,'Raw Data'!I454,'Raw Data'!K454,'Raw Data'!M454,'Raw Data'!O454),"")</f>
        <v/>
      </c>
      <c r="H467" s="11" t="str">
        <f t="shared" si="80"/>
        <v/>
      </c>
      <c r="I467" s="11" t="str">
        <f>IF('Raw Data'!A454&lt;&gt;"",AVERAGE('Raw Data'!P454,'Raw Data'!R454,'Raw Data'!T454,'Raw Data'!V454,'Raw Data'!X454),"")</f>
        <v/>
      </c>
      <c r="J467" s="11" t="str">
        <f>IF('Raw Data'!A454&lt;&gt;"",AVERAGE('Raw Data'!Q454,'Raw Data'!S454,'Raw Data'!U454,'Raw Data'!W454,'Raw Data'!Y454),"")</f>
        <v/>
      </c>
      <c r="K467" s="11" t="str">
        <f t="shared" si="81"/>
        <v/>
      </c>
      <c r="L467" s="11" t="str">
        <f>IF('Raw Data'!A454&lt;&gt;"",AVERAGE('Raw Data'!Z454,'Raw Data'!AB454,'Raw Data'!AD454,'Raw Data'!AF454,'Raw Data'!AH454),"")</f>
        <v/>
      </c>
      <c r="M467" s="11" t="str">
        <f>IF('Raw Data'!A454&lt;&gt;"",AVERAGE('Raw Data'!AA454,'Raw Data'!AC454,'Raw Data'!AE454,'Raw Data'!AG454,'Raw Data'!AI454),"")</f>
        <v/>
      </c>
      <c r="N467" s="11" t="str">
        <f t="shared" si="82"/>
        <v/>
      </c>
      <c r="O467" s="11" t="str">
        <f>IF('Raw Data'!A454&lt;&gt;"",AVERAGE('Raw Data'!AJ454,'Raw Data'!AL454,'Raw Data'!AN454,'Raw Data'!AP454,'Raw Data'!AR454),"")</f>
        <v/>
      </c>
      <c r="P467" s="11" t="str">
        <f>IF('Raw Data'!A454&lt;&gt;"",AVERAGE('Raw Data'!AK454,'Raw Data'!AM454,'Raw Data'!AO454,'Raw Data'!AQ454,'Raw Data'!AS454),"")</f>
        <v/>
      </c>
      <c r="Q467" s="11" t="str">
        <f t="shared" si="83"/>
        <v/>
      </c>
      <c r="R467" s="11" t="str">
        <f>IF('Raw Data'!A454&lt;&gt;"",AVERAGE('Raw Data'!AT454,'Raw Data'!AV454,'Raw Data'!AX454,'Raw Data'!AZ454,'Raw Data'!BB454),"")</f>
        <v/>
      </c>
      <c r="S467" s="11" t="str">
        <f>IF('Raw Data'!A454&lt;&gt;"",AVERAGE('Raw Data'!AU454,'Raw Data'!AW454,'Raw Data'!AY454,'Raw Data'!BA454,'Raw Data'!BC454),"")</f>
        <v/>
      </c>
      <c r="T467" s="11" t="str">
        <f t="shared" si="84"/>
        <v/>
      </c>
      <c r="U467" s="11" t="str">
        <f>IF('Raw Data'!A454&lt;&gt;"",AVERAGE('Raw Data'!BD454,'Raw Data'!BF454,'Raw Data'!BH454,'Raw Data'!BJ454,'Raw Data'!BL454),"")</f>
        <v/>
      </c>
      <c r="V467" s="11" t="str">
        <f>IF('Raw Data'!A454&lt;&gt;"",AVERAGE('Raw Data'!BE454,'Raw Data'!BG454,'Raw Data'!BI454,'Raw Data'!BK454,'Raw Data'!BM454),"")</f>
        <v/>
      </c>
      <c r="W467" s="11" t="str">
        <f t="shared" si="85"/>
        <v/>
      </c>
      <c r="X467" s="11" t="str">
        <f t="shared" si="86"/>
        <v/>
      </c>
      <c r="Y467" s="11" t="str">
        <f t="shared" si="87"/>
        <v/>
      </c>
      <c r="Z467" s="11" t="str">
        <f t="shared" si="88"/>
        <v/>
      </c>
      <c r="AA467" s="11" t="str">
        <f t="shared" si="89"/>
        <v/>
      </c>
      <c r="AB467" s="24" t="str">
        <f t="shared" si="90"/>
        <v/>
      </c>
    </row>
    <row r="468" spans="1:28" x14ac:dyDescent="0.25">
      <c r="A468" s="10" t="str">
        <f>IF('Raw Data'!A455&lt;&gt;"",'Raw Data'!A455,"")</f>
        <v/>
      </c>
      <c r="B468" s="10" t="str">
        <f>IF('Raw Data'!B455&lt;&gt;"",'Raw Data'!B455,"")</f>
        <v/>
      </c>
      <c r="C468" s="10" t="str">
        <f>IF('Raw Data'!C455&lt;&gt;"",'Raw Data'!C455,"")</f>
        <v/>
      </c>
      <c r="D468" s="10" t="str">
        <f>IF('Raw Data'!D455&lt;&gt;"",'Raw Data'!D455,"")</f>
        <v/>
      </c>
      <c r="E468" s="10" t="str">
        <f>IF('Raw Data'!E455&lt;&gt;"",'Raw Data'!E455,"")</f>
        <v/>
      </c>
      <c r="F468" s="14" t="str">
        <f>IF('Raw Data'!A455&lt;&gt;"",AVERAGE('Raw Data'!F455,'Raw Data'!H455,'Raw Data'!J455,'Raw Data'!L455,'Raw Data'!N455),"")</f>
        <v/>
      </c>
      <c r="G468" s="14" t="str">
        <f>IF('Raw Data'!A455&lt;&gt;"",AVERAGE('Raw Data'!G455,'Raw Data'!I455,'Raw Data'!K455,'Raw Data'!M455,'Raw Data'!O455),"")</f>
        <v/>
      </c>
      <c r="H468" s="14" t="str">
        <f t="shared" si="80"/>
        <v/>
      </c>
      <c r="I468" s="14" t="str">
        <f>IF('Raw Data'!A455&lt;&gt;"",AVERAGE('Raw Data'!P455,'Raw Data'!R455,'Raw Data'!T455,'Raw Data'!V455,'Raw Data'!X455),"")</f>
        <v/>
      </c>
      <c r="J468" s="14" t="str">
        <f>IF('Raw Data'!A455&lt;&gt;"",AVERAGE('Raw Data'!Q455,'Raw Data'!S455,'Raw Data'!U455,'Raw Data'!W455,'Raw Data'!Y455),"")</f>
        <v/>
      </c>
      <c r="K468" s="14" t="str">
        <f t="shared" si="81"/>
        <v/>
      </c>
      <c r="L468" s="14" t="str">
        <f>IF('Raw Data'!A455&lt;&gt;"",AVERAGE('Raw Data'!Z455,'Raw Data'!AB455,'Raw Data'!AD455,'Raw Data'!AF455,'Raw Data'!AH455),"")</f>
        <v/>
      </c>
      <c r="M468" s="14" t="str">
        <f>IF('Raw Data'!A455&lt;&gt;"",AVERAGE('Raw Data'!AA455,'Raw Data'!AC455,'Raw Data'!AE455,'Raw Data'!AG455,'Raw Data'!AI455),"")</f>
        <v/>
      </c>
      <c r="N468" s="14" t="str">
        <f t="shared" si="82"/>
        <v/>
      </c>
      <c r="O468" s="14" t="str">
        <f>IF('Raw Data'!A455&lt;&gt;"",AVERAGE('Raw Data'!AJ455,'Raw Data'!AL455,'Raw Data'!AN455,'Raw Data'!AP455,'Raw Data'!AR455),"")</f>
        <v/>
      </c>
      <c r="P468" s="14" t="str">
        <f>IF('Raw Data'!A455&lt;&gt;"",AVERAGE('Raw Data'!AK455,'Raw Data'!AM455,'Raw Data'!AO455,'Raw Data'!AQ455,'Raw Data'!AS455),"")</f>
        <v/>
      </c>
      <c r="Q468" s="14" t="str">
        <f t="shared" si="83"/>
        <v/>
      </c>
      <c r="R468" s="14" t="str">
        <f>IF('Raw Data'!A455&lt;&gt;"",AVERAGE('Raw Data'!AT455,'Raw Data'!AV455,'Raw Data'!AX455,'Raw Data'!AZ455,'Raw Data'!BB455),"")</f>
        <v/>
      </c>
      <c r="S468" s="14" t="str">
        <f>IF('Raw Data'!A455&lt;&gt;"",AVERAGE('Raw Data'!AU455,'Raw Data'!AW455,'Raw Data'!AY455,'Raw Data'!BA455,'Raw Data'!BC455),"")</f>
        <v/>
      </c>
      <c r="T468" s="14" t="str">
        <f t="shared" si="84"/>
        <v/>
      </c>
      <c r="U468" s="14" t="str">
        <f>IF('Raw Data'!A455&lt;&gt;"",AVERAGE('Raw Data'!BD455,'Raw Data'!BF455,'Raw Data'!BH455,'Raw Data'!BJ455,'Raw Data'!BL455),"")</f>
        <v/>
      </c>
      <c r="V468" s="14" t="str">
        <f>IF('Raw Data'!A455&lt;&gt;"",AVERAGE('Raw Data'!BE455,'Raw Data'!BG455,'Raw Data'!BI455,'Raw Data'!BK455,'Raw Data'!BM455),"")</f>
        <v/>
      </c>
      <c r="W468" s="14" t="str">
        <f t="shared" si="85"/>
        <v/>
      </c>
      <c r="X468" s="14" t="str">
        <f t="shared" si="86"/>
        <v/>
      </c>
      <c r="Y468" s="14" t="str">
        <f t="shared" si="87"/>
        <v/>
      </c>
      <c r="Z468" s="14" t="str">
        <f t="shared" si="88"/>
        <v/>
      </c>
      <c r="AA468" s="14" t="str">
        <f t="shared" si="89"/>
        <v/>
      </c>
      <c r="AB468" s="25" t="str">
        <f t="shared" si="90"/>
        <v/>
      </c>
    </row>
    <row r="469" spans="1:28" x14ac:dyDescent="0.25">
      <c r="A469" s="2" t="str">
        <f>IF('Raw Data'!A456&lt;&gt;"",'Raw Data'!A456,"")</f>
        <v/>
      </c>
      <c r="B469" s="2" t="str">
        <f>IF('Raw Data'!B456&lt;&gt;"",'Raw Data'!B456,"")</f>
        <v/>
      </c>
      <c r="C469" s="2" t="str">
        <f>IF('Raw Data'!C456&lt;&gt;"",'Raw Data'!C456,"")</f>
        <v/>
      </c>
      <c r="D469" s="2" t="str">
        <f>IF('Raw Data'!D456&lt;&gt;"",'Raw Data'!D456,"")</f>
        <v/>
      </c>
      <c r="E469" s="2" t="str">
        <f>IF('Raw Data'!E456&lt;&gt;"",'Raw Data'!E456,"")</f>
        <v/>
      </c>
      <c r="F469" s="11" t="str">
        <f>IF('Raw Data'!A456&lt;&gt;"",AVERAGE('Raw Data'!F456,'Raw Data'!H456,'Raw Data'!J456,'Raw Data'!L456,'Raw Data'!N456),"")</f>
        <v/>
      </c>
      <c r="G469" s="11" t="str">
        <f>IF('Raw Data'!A456&lt;&gt;"",AVERAGE('Raw Data'!G456,'Raw Data'!I456,'Raw Data'!K456,'Raw Data'!M456,'Raw Data'!O456),"")</f>
        <v/>
      </c>
      <c r="H469" s="11" t="str">
        <f t="shared" si="80"/>
        <v/>
      </c>
      <c r="I469" s="11" t="str">
        <f>IF('Raw Data'!A456&lt;&gt;"",AVERAGE('Raw Data'!P456,'Raw Data'!R456,'Raw Data'!T456,'Raw Data'!V456,'Raw Data'!X456),"")</f>
        <v/>
      </c>
      <c r="J469" s="11" t="str">
        <f>IF('Raw Data'!A456&lt;&gt;"",AVERAGE('Raw Data'!Q456,'Raw Data'!S456,'Raw Data'!U456,'Raw Data'!W456,'Raw Data'!Y456),"")</f>
        <v/>
      </c>
      <c r="K469" s="11" t="str">
        <f t="shared" si="81"/>
        <v/>
      </c>
      <c r="L469" s="11" t="str">
        <f>IF('Raw Data'!A456&lt;&gt;"",AVERAGE('Raw Data'!Z456,'Raw Data'!AB456,'Raw Data'!AD456,'Raw Data'!AF456,'Raw Data'!AH456),"")</f>
        <v/>
      </c>
      <c r="M469" s="11" t="str">
        <f>IF('Raw Data'!A456&lt;&gt;"",AVERAGE('Raw Data'!AA456,'Raw Data'!AC456,'Raw Data'!AE456,'Raw Data'!AG456,'Raw Data'!AI456),"")</f>
        <v/>
      </c>
      <c r="N469" s="11" t="str">
        <f t="shared" si="82"/>
        <v/>
      </c>
      <c r="O469" s="11" t="str">
        <f>IF('Raw Data'!A456&lt;&gt;"",AVERAGE('Raw Data'!AJ456,'Raw Data'!AL456,'Raw Data'!AN456,'Raw Data'!AP456,'Raw Data'!AR456),"")</f>
        <v/>
      </c>
      <c r="P469" s="11" t="str">
        <f>IF('Raw Data'!A456&lt;&gt;"",AVERAGE('Raw Data'!AK456,'Raw Data'!AM456,'Raw Data'!AO456,'Raw Data'!AQ456,'Raw Data'!AS456),"")</f>
        <v/>
      </c>
      <c r="Q469" s="11" t="str">
        <f t="shared" si="83"/>
        <v/>
      </c>
      <c r="R469" s="11" t="str">
        <f>IF('Raw Data'!A456&lt;&gt;"",AVERAGE('Raw Data'!AT456,'Raw Data'!AV456,'Raw Data'!AX456,'Raw Data'!AZ456,'Raw Data'!BB456),"")</f>
        <v/>
      </c>
      <c r="S469" s="11" t="str">
        <f>IF('Raw Data'!A456&lt;&gt;"",AVERAGE('Raw Data'!AU456,'Raw Data'!AW456,'Raw Data'!AY456,'Raw Data'!BA456,'Raw Data'!BC456),"")</f>
        <v/>
      </c>
      <c r="T469" s="11" t="str">
        <f t="shared" si="84"/>
        <v/>
      </c>
      <c r="U469" s="11" t="str">
        <f>IF('Raw Data'!A456&lt;&gt;"",AVERAGE('Raw Data'!BD456,'Raw Data'!BF456,'Raw Data'!BH456,'Raw Data'!BJ456,'Raw Data'!BL456),"")</f>
        <v/>
      </c>
      <c r="V469" s="11" t="str">
        <f>IF('Raw Data'!A456&lt;&gt;"",AVERAGE('Raw Data'!BE456,'Raw Data'!BG456,'Raw Data'!BI456,'Raw Data'!BK456,'Raw Data'!BM456),"")</f>
        <v/>
      </c>
      <c r="W469" s="11" t="str">
        <f t="shared" si="85"/>
        <v/>
      </c>
      <c r="X469" s="11" t="str">
        <f t="shared" si="86"/>
        <v/>
      </c>
      <c r="Y469" s="11" t="str">
        <f t="shared" si="87"/>
        <v/>
      </c>
      <c r="Z469" s="11" t="str">
        <f t="shared" si="88"/>
        <v/>
      </c>
      <c r="AA469" s="11" t="str">
        <f t="shared" si="89"/>
        <v/>
      </c>
      <c r="AB469" s="24" t="str">
        <f t="shared" si="90"/>
        <v/>
      </c>
    </row>
    <row r="470" spans="1:28" x14ac:dyDescent="0.25">
      <c r="A470" s="10" t="str">
        <f>IF('Raw Data'!A457&lt;&gt;"",'Raw Data'!A457,"")</f>
        <v/>
      </c>
      <c r="B470" s="10" t="str">
        <f>IF('Raw Data'!B457&lt;&gt;"",'Raw Data'!B457,"")</f>
        <v/>
      </c>
      <c r="C470" s="10" t="str">
        <f>IF('Raw Data'!C457&lt;&gt;"",'Raw Data'!C457,"")</f>
        <v/>
      </c>
      <c r="D470" s="10" t="str">
        <f>IF('Raw Data'!D457&lt;&gt;"",'Raw Data'!D457,"")</f>
        <v/>
      </c>
      <c r="E470" s="10" t="str">
        <f>IF('Raw Data'!E457&lt;&gt;"",'Raw Data'!E457,"")</f>
        <v/>
      </c>
      <c r="F470" s="14" t="str">
        <f>IF('Raw Data'!A457&lt;&gt;"",AVERAGE('Raw Data'!F457,'Raw Data'!H457,'Raw Data'!J457,'Raw Data'!L457,'Raw Data'!N457),"")</f>
        <v/>
      </c>
      <c r="G470" s="14" t="str">
        <f>IF('Raw Data'!A457&lt;&gt;"",AVERAGE('Raw Data'!G457,'Raw Data'!I457,'Raw Data'!K457,'Raw Data'!M457,'Raw Data'!O457),"")</f>
        <v/>
      </c>
      <c r="H470" s="14" t="str">
        <f t="shared" si="80"/>
        <v/>
      </c>
      <c r="I470" s="14" t="str">
        <f>IF('Raw Data'!A457&lt;&gt;"",AVERAGE('Raw Data'!P457,'Raw Data'!R457,'Raw Data'!T457,'Raw Data'!V457,'Raw Data'!X457),"")</f>
        <v/>
      </c>
      <c r="J470" s="14" t="str">
        <f>IF('Raw Data'!A457&lt;&gt;"",AVERAGE('Raw Data'!Q457,'Raw Data'!S457,'Raw Data'!U457,'Raw Data'!W457,'Raw Data'!Y457),"")</f>
        <v/>
      </c>
      <c r="K470" s="14" t="str">
        <f t="shared" si="81"/>
        <v/>
      </c>
      <c r="L470" s="14" t="str">
        <f>IF('Raw Data'!A457&lt;&gt;"",AVERAGE('Raw Data'!Z457,'Raw Data'!AB457,'Raw Data'!AD457,'Raw Data'!AF457,'Raw Data'!AH457),"")</f>
        <v/>
      </c>
      <c r="M470" s="14" t="str">
        <f>IF('Raw Data'!A457&lt;&gt;"",AVERAGE('Raw Data'!AA457,'Raw Data'!AC457,'Raw Data'!AE457,'Raw Data'!AG457,'Raw Data'!AI457),"")</f>
        <v/>
      </c>
      <c r="N470" s="14" t="str">
        <f t="shared" si="82"/>
        <v/>
      </c>
      <c r="O470" s="14" t="str">
        <f>IF('Raw Data'!A457&lt;&gt;"",AVERAGE('Raw Data'!AJ457,'Raw Data'!AL457,'Raw Data'!AN457,'Raw Data'!AP457,'Raw Data'!AR457),"")</f>
        <v/>
      </c>
      <c r="P470" s="14" t="str">
        <f>IF('Raw Data'!A457&lt;&gt;"",AVERAGE('Raw Data'!AK457,'Raw Data'!AM457,'Raw Data'!AO457,'Raw Data'!AQ457,'Raw Data'!AS457),"")</f>
        <v/>
      </c>
      <c r="Q470" s="14" t="str">
        <f t="shared" si="83"/>
        <v/>
      </c>
      <c r="R470" s="14" t="str">
        <f>IF('Raw Data'!A457&lt;&gt;"",AVERAGE('Raw Data'!AT457,'Raw Data'!AV457,'Raw Data'!AX457,'Raw Data'!AZ457,'Raw Data'!BB457),"")</f>
        <v/>
      </c>
      <c r="S470" s="14" t="str">
        <f>IF('Raw Data'!A457&lt;&gt;"",AVERAGE('Raw Data'!AU457,'Raw Data'!AW457,'Raw Data'!AY457,'Raw Data'!BA457,'Raw Data'!BC457),"")</f>
        <v/>
      </c>
      <c r="T470" s="14" t="str">
        <f t="shared" si="84"/>
        <v/>
      </c>
      <c r="U470" s="14" t="str">
        <f>IF('Raw Data'!A457&lt;&gt;"",AVERAGE('Raw Data'!BD457,'Raw Data'!BF457,'Raw Data'!BH457,'Raw Data'!BJ457,'Raw Data'!BL457),"")</f>
        <v/>
      </c>
      <c r="V470" s="14" t="str">
        <f>IF('Raw Data'!A457&lt;&gt;"",AVERAGE('Raw Data'!BE457,'Raw Data'!BG457,'Raw Data'!BI457,'Raw Data'!BK457,'Raw Data'!BM457),"")</f>
        <v/>
      </c>
      <c r="W470" s="14" t="str">
        <f t="shared" si="85"/>
        <v/>
      </c>
      <c r="X470" s="14" t="str">
        <f t="shared" si="86"/>
        <v/>
      </c>
      <c r="Y470" s="14" t="str">
        <f t="shared" si="87"/>
        <v/>
      </c>
      <c r="Z470" s="14" t="str">
        <f t="shared" si="88"/>
        <v/>
      </c>
      <c r="AA470" s="14" t="str">
        <f t="shared" si="89"/>
        <v/>
      </c>
      <c r="AB470" s="25" t="str">
        <f t="shared" si="90"/>
        <v/>
      </c>
    </row>
    <row r="471" spans="1:28" x14ac:dyDescent="0.25">
      <c r="A471" s="2" t="str">
        <f>IF('Raw Data'!A458&lt;&gt;"",'Raw Data'!A458,"")</f>
        <v/>
      </c>
      <c r="B471" s="2" t="str">
        <f>IF('Raw Data'!B458&lt;&gt;"",'Raw Data'!B458,"")</f>
        <v/>
      </c>
      <c r="C471" s="2" t="str">
        <f>IF('Raw Data'!C458&lt;&gt;"",'Raw Data'!C458,"")</f>
        <v/>
      </c>
      <c r="D471" s="2" t="str">
        <f>IF('Raw Data'!D458&lt;&gt;"",'Raw Data'!D458,"")</f>
        <v/>
      </c>
      <c r="E471" s="2" t="str">
        <f>IF('Raw Data'!E458&lt;&gt;"",'Raw Data'!E458,"")</f>
        <v/>
      </c>
      <c r="F471" s="11" t="str">
        <f>IF('Raw Data'!A458&lt;&gt;"",AVERAGE('Raw Data'!F458,'Raw Data'!H458,'Raw Data'!J458,'Raw Data'!L458,'Raw Data'!N458),"")</f>
        <v/>
      </c>
      <c r="G471" s="11" t="str">
        <f>IF('Raw Data'!A458&lt;&gt;"",AVERAGE('Raw Data'!G458,'Raw Data'!I458,'Raw Data'!K458,'Raw Data'!M458,'Raw Data'!O458),"")</f>
        <v/>
      </c>
      <c r="H471" s="11" t="str">
        <f t="shared" si="80"/>
        <v/>
      </c>
      <c r="I471" s="11" t="str">
        <f>IF('Raw Data'!A458&lt;&gt;"",AVERAGE('Raw Data'!P458,'Raw Data'!R458,'Raw Data'!T458,'Raw Data'!V458,'Raw Data'!X458),"")</f>
        <v/>
      </c>
      <c r="J471" s="11" t="str">
        <f>IF('Raw Data'!A458&lt;&gt;"",AVERAGE('Raw Data'!Q458,'Raw Data'!S458,'Raw Data'!U458,'Raw Data'!W458,'Raw Data'!Y458),"")</f>
        <v/>
      </c>
      <c r="K471" s="11" t="str">
        <f t="shared" si="81"/>
        <v/>
      </c>
      <c r="L471" s="11" t="str">
        <f>IF('Raw Data'!A458&lt;&gt;"",AVERAGE('Raw Data'!Z458,'Raw Data'!AB458,'Raw Data'!AD458,'Raw Data'!AF458,'Raw Data'!AH458),"")</f>
        <v/>
      </c>
      <c r="M471" s="11" t="str">
        <f>IF('Raw Data'!A458&lt;&gt;"",AVERAGE('Raw Data'!AA458,'Raw Data'!AC458,'Raw Data'!AE458,'Raw Data'!AG458,'Raw Data'!AI458),"")</f>
        <v/>
      </c>
      <c r="N471" s="11" t="str">
        <f t="shared" si="82"/>
        <v/>
      </c>
      <c r="O471" s="11" t="str">
        <f>IF('Raw Data'!A458&lt;&gt;"",AVERAGE('Raw Data'!AJ458,'Raw Data'!AL458,'Raw Data'!AN458,'Raw Data'!AP458,'Raw Data'!AR458),"")</f>
        <v/>
      </c>
      <c r="P471" s="11" t="str">
        <f>IF('Raw Data'!A458&lt;&gt;"",AVERAGE('Raw Data'!AK458,'Raw Data'!AM458,'Raw Data'!AO458,'Raw Data'!AQ458,'Raw Data'!AS458),"")</f>
        <v/>
      </c>
      <c r="Q471" s="11" t="str">
        <f t="shared" si="83"/>
        <v/>
      </c>
      <c r="R471" s="11" t="str">
        <f>IF('Raw Data'!A458&lt;&gt;"",AVERAGE('Raw Data'!AT458,'Raw Data'!AV458,'Raw Data'!AX458,'Raw Data'!AZ458,'Raw Data'!BB458),"")</f>
        <v/>
      </c>
      <c r="S471" s="11" t="str">
        <f>IF('Raw Data'!A458&lt;&gt;"",AVERAGE('Raw Data'!AU458,'Raw Data'!AW458,'Raw Data'!AY458,'Raw Data'!BA458,'Raw Data'!BC458),"")</f>
        <v/>
      </c>
      <c r="T471" s="11" t="str">
        <f t="shared" si="84"/>
        <v/>
      </c>
      <c r="U471" s="11" t="str">
        <f>IF('Raw Data'!A458&lt;&gt;"",AVERAGE('Raw Data'!BD458,'Raw Data'!BF458,'Raw Data'!BH458,'Raw Data'!BJ458,'Raw Data'!BL458),"")</f>
        <v/>
      </c>
      <c r="V471" s="11" t="str">
        <f>IF('Raw Data'!A458&lt;&gt;"",AVERAGE('Raw Data'!BE458,'Raw Data'!BG458,'Raw Data'!BI458,'Raw Data'!BK458,'Raw Data'!BM458),"")</f>
        <v/>
      </c>
      <c r="W471" s="11" t="str">
        <f t="shared" si="85"/>
        <v/>
      </c>
      <c r="X471" s="11" t="str">
        <f t="shared" si="86"/>
        <v/>
      </c>
      <c r="Y471" s="11" t="str">
        <f t="shared" si="87"/>
        <v/>
      </c>
      <c r="Z471" s="11" t="str">
        <f t="shared" si="88"/>
        <v/>
      </c>
      <c r="AA471" s="11" t="str">
        <f t="shared" si="89"/>
        <v/>
      </c>
      <c r="AB471" s="24" t="str">
        <f t="shared" si="90"/>
        <v/>
      </c>
    </row>
    <row r="472" spans="1:28" x14ac:dyDescent="0.25">
      <c r="A472" s="10" t="str">
        <f>IF('Raw Data'!A459&lt;&gt;"",'Raw Data'!A459,"")</f>
        <v/>
      </c>
      <c r="B472" s="10" t="str">
        <f>IF('Raw Data'!B459&lt;&gt;"",'Raw Data'!B459,"")</f>
        <v/>
      </c>
      <c r="C472" s="10" t="str">
        <f>IF('Raw Data'!C459&lt;&gt;"",'Raw Data'!C459,"")</f>
        <v/>
      </c>
      <c r="D472" s="10" t="str">
        <f>IF('Raw Data'!D459&lt;&gt;"",'Raw Data'!D459,"")</f>
        <v/>
      </c>
      <c r="E472" s="10" t="str">
        <f>IF('Raw Data'!E459&lt;&gt;"",'Raw Data'!E459,"")</f>
        <v/>
      </c>
      <c r="F472" s="14" t="str">
        <f>IF('Raw Data'!A459&lt;&gt;"",AVERAGE('Raw Data'!F459,'Raw Data'!H459,'Raw Data'!J459,'Raw Data'!L459,'Raw Data'!N459),"")</f>
        <v/>
      </c>
      <c r="G472" s="14" t="str">
        <f>IF('Raw Data'!A459&lt;&gt;"",AVERAGE('Raw Data'!G459,'Raw Data'!I459,'Raw Data'!K459,'Raw Data'!M459,'Raw Data'!O459),"")</f>
        <v/>
      </c>
      <c r="H472" s="14" t="str">
        <f t="shared" si="80"/>
        <v/>
      </c>
      <c r="I472" s="14" t="str">
        <f>IF('Raw Data'!A459&lt;&gt;"",AVERAGE('Raw Data'!P459,'Raw Data'!R459,'Raw Data'!T459,'Raw Data'!V459,'Raw Data'!X459),"")</f>
        <v/>
      </c>
      <c r="J472" s="14" t="str">
        <f>IF('Raw Data'!A459&lt;&gt;"",AVERAGE('Raw Data'!Q459,'Raw Data'!S459,'Raw Data'!U459,'Raw Data'!W459,'Raw Data'!Y459),"")</f>
        <v/>
      </c>
      <c r="K472" s="14" t="str">
        <f t="shared" si="81"/>
        <v/>
      </c>
      <c r="L472" s="14" t="str">
        <f>IF('Raw Data'!A459&lt;&gt;"",AVERAGE('Raw Data'!Z459,'Raw Data'!AB459,'Raw Data'!AD459,'Raw Data'!AF459,'Raw Data'!AH459),"")</f>
        <v/>
      </c>
      <c r="M472" s="14" t="str">
        <f>IF('Raw Data'!A459&lt;&gt;"",AVERAGE('Raw Data'!AA459,'Raw Data'!AC459,'Raw Data'!AE459,'Raw Data'!AG459,'Raw Data'!AI459),"")</f>
        <v/>
      </c>
      <c r="N472" s="14" t="str">
        <f t="shared" si="82"/>
        <v/>
      </c>
      <c r="O472" s="14" t="str">
        <f>IF('Raw Data'!A459&lt;&gt;"",AVERAGE('Raw Data'!AJ459,'Raw Data'!AL459,'Raw Data'!AN459,'Raw Data'!AP459,'Raw Data'!AR459),"")</f>
        <v/>
      </c>
      <c r="P472" s="14" t="str">
        <f>IF('Raw Data'!A459&lt;&gt;"",AVERAGE('Raw Data'!AK459,'Raw Data'!AM459,'Raw Data'!AO459,'Raw Data'!AQ459,'Raw Data'!AS459),"")</f>
        <v/>
      </c>
      <c r="Q472" s="14" t="str">
        <f t="shared" si="83"/>
        <v/>
      </c>
      <c r="R472" s="14" t="str">
        <f>IF('Raw Data'!A459&lt;&gt;"",AVERAGE('Raw Data'!AT459,'Raw Data'!AV459,'Raw Data'!AX459,'Raw Data'!AZ459,'Raw Data'!BB459),"")</f>
        <v/>
      </c>
      <c r="S472" s="14" t="str">
        <f>IF('Raw Data'!A459&lt;&gt;"",AVERAGE('Raw Data'!AU459,'Raw Data'!AW459,'Raw Data'!AY459,'Raw Data'!BA459,'Raw Data'!BC459),"")</f>
        <v/>
      </c>
      <c r="T472" s="14" t="str">
        <f t="shared" si="84"/>
        <v/>
      </c>
      <c r="U472" s="14" t="str">
        <f>IF('Raw Data'!A459&lt;&gt;"",AVERAGE('Raw Data'!BD459,'Raw Data'!BF459,'Raw Data'!BH459,'Raw Data'!BJ459,'Raw Data'!BL459),"")</f>
        <v/>
      </c>
      <c r="V472" s="14" t="str">
        <f>IF('Raw Data'!A459&lt;&gt;"",AVERAGE('Raw Data'!BE459,'Raw Data'!BG459,'Raw Data'!BI459,'Raw Data'!BK459,'Raw Data'!BM459),"")</f>
        <v/>
      </c>
      <c r="W472" s="14" t="str">
        <f t="shared" si="85"/>
        <v/>
      </c>
      <c r="X472" s="14" t="str">
        <f t="shared" si="86"/>
        <v/>
      </c>
      <c r="Y472" s="14" t="str">
        <f t="shared" si="87"/>
        <v/>
      </c>
      <c r="Z472" s="14" t="str">
        <f t="shared" si="88"/>
        <v/>
      </c>
      <c r="AA472" s="14" t="str">
        <f t="shared" si="89"/>
        <v/>
      </c>
      <c r="AB472" s="25" t="str">
        <f t="shared" si="90"/>
        <v/>
      </c>
    </row>
    <row r="473" spans="1:28" x14ac:dyDescent="0.25">
      <c r="A473" s="2" t="str">
        <f>IF('Raw Data'!A460&lt;&gt;"",'Raw Data'!A460,"")</f>
        <v/>
      </c>
      <c r="B473" s="2" t="str">
        <f>IF('Raw Data'!B460&lt;&gt;"",'Raw Data'!B460,"")</f>
        <v/>
      </c>
      <c r="C473" s="2" t="str">
        <f>IF('Raw Data'!C460&lt;&gt;"",'Raw Data'!C460,"")</f>
        <v/>
      </c>
      <c r="D473" s="2" t="str">
        <f>IF('Raw Data'!D460&lt;&gt;"",'Raw Data'!D460,"")</f>
        <v/>
      </c>
      <c r="E473" s="2" t="str">
        <f>IF('Raw Data'!E460&lt;&gt;"",'Raw Data'!E460,"")</f>
        <v/>
      </c>
      <c r="F473" s="11" t="str">
        <f>IF('Raw Data'!A460&lt;&gt;"",AVERAGE('Raw Data'!F460,'Raw Data'!H460,'Raw Data'!J460,'Raw Data'!L460,'Raw Data'!N460),"")</f>
        <v/>
      </c>
      <c r="G473" s="11" t="str">
        <f>IF('Raw Data'!A460&lt;&gt;"",AVERAGE('Raw Data'!G460,'Raw Data'!I460,'Raw Data'!K460,'Raw Data'!M460,'Raw Data'!O460),"")</f>
        <v/>
      </c>
      <c r="H473" s="11" t="str">
        <f t="shared" si="80"/>
        <v/>
      </c>
      <c r="I473" s="11" t="str">
        <f>IF('Raw Data'!A460&lt;&gt;"",AVERAGE('Raw Data'!P460,'Raw Data'!R460,'Raw Data'!T460,'Raw Data'!V460,'Raw Data'!X460),"")</f>
        <v/>
      </c>
      <c r="J473" s="11" t="str">
        <f>IF('Raw Data'!A460&lt;&gt;"",AVERAGE('Raw Data'!Q460,'Raw Data'!S460,'Raw Data'!U460,'Raw Data'!W460,'Raw Data'!Y460),"")</f>
        <v/>
      </c>
      <c r="K473" s="11" t="str">
        <f t="shared" si="81"/>
        <v/>
      </c>
      <c r="L473" s="11" t="str">
        <f>IF('Raw Data'!A460&lt;&gt;"",AVERAGE('Raw Data'!Z460,'Raw Data'!AB460,'Raw Data'!AD460,'Raw Data'!AF460,'Raw Data'!AH460),"")</f>
        <v/>
      </c>
      <c r="M473" s="11" t="str">
        <f>IF('Raw Data'!A460&lt;&gt;"",AVERAGE('Raw Data'!AA460,'Raw Data'!AC460,'Raw Data'!AE460,'Raw Data'!AG460,'Raw Data'!AI460),"")</f>
        <v/>
      </c>
      <c r="N473" s="11" t="str">
        <f t="shared" si="82"/>
        <v/>
      </c>
      <c r="O473" s="11" t="str">
        <f>IF('Raw Data'!A460&lt;&gt;"",AVERAGE('Raw Data'!AJ460,'Raw Data'!AL460,'Raw Data'!AN460,'Raw Data'!AP460,'Raw Data'!AR460),"")</f>
        <v/>
      </c>
      <c r="P473" s="11" t="str">
        <f>IF('Raw Data'!A460&lt;&gt;"",AVERAGE('Raw Data'!AK460,'Raw Data'!AM460,'Raw Data'!AO460,'Raw Data'!AQ460,'Raw Data'!AS460),"")</f>
        <v/>
      </c>
      <c r="Q473" s="11" t="str">
        <f t="shared" si="83"/>
        <v/>
      </c>
      <c r="R473" s="11" t="str">
        <f>IF('Raw Data'!A460&lt;&gt;"",AVERAGE('Raw Data'!AT460,'Raw Data'!AV460,'Raw Data'!AX460,'Raw Data'!AZ460,'Raw Data'!BB460),"")</f>
        <v/>
      </c>
      <c r="S473" s="11" t="str">
        <f>IF('Raw Data'!A460&lt;&gt;"",AVERAGE('Raw Data'!AU460,'Raw Data'!AW460,'Raw Data'!AY460,'Raw Data'!BA460,'Raw Data'!BC460),"")</f>
        <v/>
      </c>
      <c r="T473" s="11" t="str">
        <f t="shared" si="84"/>
        <v/>
      </c>
      <c r="U473" s="11" t="str">
        <f>IF('Raw Data'!A460&lt;&gt;"",AVERAGE('Raw Data'!BD460,'Raw Data'!BF460,'Raw Data'!BH460,'Raw Data'!BJ460,'Raw Data'!BL460),"")</f>
        <v/>
      </c>
      <c r="V473" s="11" t="str">
        <f>IF('Raw Data'!A460&lt;&gt;"",AVERAGE('Raw Data'!BE460,'Raw Data'!BG460,'Raw Data'!BI460,'Raw Data'!BK460,'Raw Data'!BM460),"")</f>
        <v/>
      </c>
      <c r="W473" s="11" t="str">
        <f t="shared" si="85"/>
        <v/>
      </c>
      <c r="X473" s="11" t="str">
        <f t="shared" si="86"/>
        <v/>
      </c>
      <c r="Y473" s="11" t="str">
        <f t="shared" si="87"/>
        <v/>
      </c>
      <c r="Z473" s="11" t="str">
        <f t="shared" si="88"/>
        <v/>
      </c>
      <c r="AA473" s="11" t="str">
        <f t="shared" si="89"/>
        <v/>
      </c>
      <c r="AB473" s="24" t="str">
        <f t="shared" si="90"/>
        <v/>
      </c>
    </row>
    <row r="474" spans="1:28" x14ac:dyDescent="0.25">
      <c r="A474" s="10" t="str">
        <f>IF('Raw Data'!A461&lt;&gt;"",'Raw Data'!A461,"")</f>
        <v/>
      </c>
      <c r="B474" s="10" t="str">
        <f>IF('Raw Data'!B461&lt;&gt;"",'Raw Data'!B461,"")</f>
        <v/>
      </c>
      <c r="C474" s="10" t="str">
        <f>IF('Raw Data'!C461&lt;&gt;"",'Raw Data'!C461,"")</f>
        <v/>
      </c>
      <c r="D474" s="10" t="str">
        <f>IF('Raw Data'!D461&lt;&gt;"",'Raw Data'!D461,"")</f>
        <v/>
      </c>
      <c r="E474" s="10" t="str">
        <f>IF('Raw Data'!E461&lt;&gt;"",'Raw Data'!E461,"")</f>
        <v/>
      </c>
      <c r="F474" s="14" t="str">
        <f>IF('Raw Data'!A461&lt;&gt;"",AVERAGE('Raw Data'!F461,'Raw Data'!H461,'Raw Data'!J461,'Raw Data'!L461,'Raw Data'!N461),"")</f>
        <v/>
      </c>
      <c r="G474" s="14" t="str">
        <f>IF('Raw Data'!A461&lt;&gt;"",AVERAGE('Raw Data'!G461,'Raw Data'!I461,'Raw Data'!K461,'Raw Data'!M461,'Raw Data'!O461),"")</f>
        <v/>
      </c>
      <c r="H474" s="14" t="str">
        <f t="shared" si="80"/>
        <v/>
      </c>
      <c r="I474" s="14" t="str">
        <f>IF('Raw Data'!A461&lt;&gt;"",AVERAGE('Raw Data'!P461,'Raw Data'!R461,'Raw Data'!T461,'Raw Data'!V461,'Raw Data'!X461),"")</f>
        <v/>
      </c>
      <c r="J474" s="14" t="str">
        <f>IF('Raw Data'!A461&lt;&gt;"",AVERAGE('Raw Data'!Q461,'Raw Data'!S461,'Raw Data'!U461,'Raw Data'!W461,'Raw Data'!Y461),"")</f>
        <v/>
      </c>
      <c r="K474" s="14" t="str">
        <f t="shared" si="81"/>
        <v/>
      </c>
      <c r="L474" s="14" t="str">
        <f>IF('Raw Data'!A461&lt;&gt;"",AVERAGE('Raw Data'!Z461,'Raw Data'!AB461,'Raw Data'!AD461,'Raw Data'!AF461,'Raw Data'!AH461),"")</f>
        <v/>
      </c>
      <c r="M474" s="14" t="str">
        <f>IF('Raw Data'!A461&lt;&gt;"",AVERAGE('Raw Data'!AA461,'Raw Data'!AC461,'Raw Data'!AE461,'Raw Data'!AG461,'Raw Data'!AI461),"")</f>
        <v/>
      </c>
      <c r="N474" s="14" t="str">
        <f t="shared" si="82"/>
        <v/>
      </c>
      <c r="O474" s="14" t="str">
        <f>IF('Raw Data'!A461&lt;&gt;"",AVERAGE('Raw Data'!AJ461,'Raw Data'!AL461,'Raw Data'!AN461,'Raw Data'!AP461,'Raw Data'!AR461),"")</f>
        <v/>
      </c>
      <c r="P474" s="14" t="str">
        <f>IF('Raw Data'!A461&lt;&gt;"",AVERAGE('Raw Data'!AK461,'Raw Data'!AM461,'Raw Data'!AO461,'Raw Data'!AQ461,'Raw Data'!AS461),"")</f>
        <v/>
      </c>
      <c r="Q474" s="14" t="str">
        <f t="shared" si="83"/>
        <v/>
      </c>
      <c r="R474" s="14" t="str">
        <f>IF('Raw Data'!A461&lt;&gt;"",AVERAGE('Raw Data'!AT461,'Raw Data'!AV461,'Raw Data'!AX461,'Raw Data'!AZ461,'Raw Data'!BB461),"")</f>
        <v/>
      </c>
      <c r="S474" s="14" t="str">
        <f>IF('Raw Data'!A461&lt;&gt;"",AVERAGE('Raw Data'!AU461,'Raw Data'!AW461,'Raw Data'!AY461,'Raw Data'!BA461,'Raw Data'!BC461),"")</f>
        <v/>
      </c>
      <c r="T474" s="14" t="str">
        <f t="shared" si="84"/>
        <v/>
      </c>
      <c r="U474" s="14" t="str">
        <f>IF('Raw Data'!A461&lt;&gt;"",AVERAGE('Raw Data'!BD461,'Raw Data'!BF461,'Raw Data'!BH461,'Raw Data'!BJ461,'Raw Data'!BL461),"")</f>
        <v/>
      </c>
      <c r="V474" s="14" t="str">
        <f>IF('Raw Data'!A461&lt;&gt;"",AVERAGE('Raw Data'!BE461,'Raw Data'!BG461,'Raw Data'!BI461,'Raw Data'!BK461,'Raw Data'!BM461),"")</f>
        <v/>
      </c>
      <c r="W474" s="14" t="str">
        <f t="shared" si="85"/>
        <v/>
      </c>
      <c r="X474" s="14" t="str">
        <f t="shared" si="86"/>
        <v/>
      </c>
      <c r="Y474" s="14" t="str">
        <f t="shared" si="87"/>
        <v/>
      </c>
      <c r="Z474" s="14" t="str">
        <f t="shared" si="88"/>
        <v/>
      </c>
      <c r="AA474" s="14" t="str">
        <f t="shared" si="89"/>
        <v/>
      </c>
      <c r="AB474" s="25" t="str">
        <f t="shared" si="90"/>
        <v/>
      </c>
    </row>
    <row r="475" spans="1:28" x14ac:dyDescent="0.25">
      <c r="A475" s="2" t="str">
        <f>IF('Raw Data'!A462&lt;&gt;"",'Raw Data'!A462,"")</f>
        <v/>
      </c>
      <c r="B475" s="2" t="str">
        <f>IF('Raw Data'!B462&lt;&gt;"",'Raw Data'!B462,"")</f>
        <v/>
      </c>
      <c r="C475" s="2" t="str">
        <f>IF('Raw Data'!C462&lt;&gt;"",'Raw Data'!C462,"")</f>
        <v/>
      </c>
      <c r="D475" s="2" t="str">
        <f>IF('Raw Data'!D462&lt;&gt;"",'Raw Data'!D462,"")</f>
        <v/>
      </c>
      <c r="E475" s="2" t="str">
        <f>IF('Raw Data'!E462&lt;&gt;"",'Raw Data'!E462,"")</f>
        <v/>
      </c>
      <c r="F475" s="11" t="str">
        <f>IF('Raw Data'!A462&lt;&gt;"",AVERAGE('Raw Data'!F462,'Raw Data'!H462,'Raw Data'!J462,'Raw Data'!L462,'Raw Data'!N462),"")</f>
        <v/>
      </c>
      <c r="G475" s="11" t="str">
        <f>IF('Raw Data'!A462&lt;&gt;"",AVERAGE('Raw Data'!G462,'Raw Data'!I462,'Raw Data'!K462,'Raw Data'!M462,'Raw Data'!O462),"")</f>
        <v/>
      </c>
      <c r="H475" s="11" t="str">
        <f t="shared" si="80"/>
        <v/>
      </c>
      <c r="I475" s="11" t="str">
        <f>IF('Raw Data'!A462&lt;&gt;"",AVERAGE('Raw Data'!P462,'Raw Data'!R462,'Raw Data'!T462,'Raw Data'!V462,'Raw Data'!X462),"")</f>
        <v/>
      </c>
      <c r="J475" s="11" t="str">
        <f>IF('Raw Data'!A462&lt;&gt;"",AVERAGE('Raw Data'!Q462,'Raw Data'!S462,'Raw Data'!U462,'Raw Data'!W462,'Raw Data'!Y462),"")</f>
        <v/>
      </c>
      <c r="K475" s="11" t="str">
        <f t="shared" si="81"/>
        <v/>
      </c>
      <c r="L475" s="11" t="str">
        <f>IF('Raw Data'!A462&lt;&gt;"",AVERAGE('Raw Data'!Z462,'Raw Data'!AB462,'Raw Data'!AD462,'Raw Data'!AF462,'Raw Data'!AH462),"")</f>
        <v/>
      </c>
      <c r="M475" s="11" t="str">
        <f>IF('Raw Data'!A462&lt;&gt;"",AVERAGE('Raw Data'!AA462,'Raw Data'!AC462,'Raw Data'!AE462,'Raw Data'!AG462,'Raw Data'!AI462),"")</f>
        <v/>
      </c>
      <c r="N475" s="11" t="str">
        <f t="shared" si="82"/>
        <v/>
      </c>
      <c r="O475" s="11" t="str">
        <f>IF('Raw Data'!A462&lt;&gt;"",AVERAGE('Raw Data'!AJ462,'Raw Data'!AL462,'Raw Data'!AN462,'Raw Data'!AP462,'Raw Data'!AR462),"")</f>
        <v/>
      </c>
      <c r="P475" s="11" t="str">
        <f>IF('Raw Data'!A462&lt;&gt;"",AVERAGE('Raw Data'!AK462,'Raw Data'!AM462,'Raw Data'!AO462,'Raw Data'!AQ462,'Raw Data'!AS462),"")</f>
        <v/>
      </c>
      <c r="Q475" s="11" t="str">
        <f t="shared" si="83"/>
        <v/>
      </c>
      <c r="R475" s="11" t="str">
        <f>IF('Raw Data'!A462&lt;&gt;"",AVERAGE('Raw Data'!AT462,'Raw Data'!AV462,'Raw Data'!AX462,'Raw Data'!AZ462,'Raw Data'!BB462),"")</f>
        <v/>
      </c>
      <c r="S475" s="11" t="str">
        <f>IF('Raw Data'!A462&lt;&gt;"",AVERAGE('Raw Data'!AU462,'Raw Data'!AW462,'Raw Data'!AY462,'Raw Data'!BA462,'Raw Data'!BC462),"")</f>
        <v/>
      </c>
      <c r="T475" s="11" t="str">
        <f t="shared" si="84"/>
        <v/>
      </c>
      <c r="U475" s="11" t="str">
        <f>IF('Raw Data'!A462&lt;&gt;"",AVERAGE('Raw Data'!BD462,'Raw Data'!BF462,'Raw Data'!BH462,'Raw Data'!BJ462,'Raw Data'!BL462),"")</f>
        <v/>
      </c>
      <c r="V475" s="11" t="str">
        <f>IF('Raw Data'!A462&lt;&gt;"",AVERAGE('Raw Data'!BE462,'Raw Data'!BG462,'Raw Data'!BI462,'Raw Data'!BK462,'Raw Data'!BM462),"")</f>
        <v/>
      </c>
      <c r="W475" s="11" t="str">
        <f t="shared" si="85"/>
        <v/>
      </c>
      <c r="X475" s="11" t="str">
        <f t="shared" si="86"/>
        <v/>
      </c>
      <c r="Y475" s="11" t="str">
        <f t="shared" si="87"/>
        <v/>
      </c>
      <c r="Z475" s="11" t="str">
        <f t="shared" si="88"/>
        <v/>
      </c>
      <c r="AA475" s="11" t="str">
        <f t="shared" si="89"/>
        <v/>
      </c>
      <c r="AB475" s="24" t="str">
        <f t="shared" si="90"/>
        <v/>
      </c>
    </row>
    <row r="476" spans="1:28" x14ac:dyDescent="0.25">
      <c r="A476" s="10" t="str">
        <f>IF('Raw Data'!A463&lt;&gt;"",'Raw Data'!A463,"")</f>
        <v/>
      </c>
      <c r="B476" s="10" t="str">
        <f>IF('Raw Data'!B463&lt;&gt;"",'Raw Data'!B463,"")</f>
        <v/>
      </c>
      <c r="C476" s="10" t="str">
        <f>IF('Raw Data'!C463&lt;&gt;"",'Raw Data'!C463,"")</f>
        <v/>
      </c>
      <c r="D476" s="10" t="str">
        <f>IF('Raw Data'!D463&lt;&gt;"",'Raw Data'!D463,"")</f>
        <v/>
      </c>
      <c r="E476" s="10" t="str">
        <f>IF('Raw Data'!E463&lt;&gt;"",'Raw Data'!E463,"")</f>
        <v/>
      </c>
      <c r="F476" s="14" t="str">
        <f>IF('Raw Data'!A463&lt;&gt;"",AVERAGE('Raw Data'!F463,'Raw Data'!H463,'Raw Data'!J463,'Raw Data'!L463,'Raw Data'!N463),"")</f>
        <v/>
      </c>
      <c r="G476" s="14" t="str">
        <f>IF('Raw Data'!A463&lt;&gt;"",AVERAGE('Raw Data'!G463,'Raw Data'!I463,'Raw Data'!K463,'Raw Data'!M463,'Raw Data'!O463),"")</f>
        <v/>
      </c>
      <c r="H476" s="14" t="str">
        <f t="shared" si="80"/>
        <v/>
      </c>
      <c r="I476" s="14" t="str">
        <f>IF('Raw Data'!A463&lt;&gt;"",AVERAGE('Raw Data'!P463,'Raw Data'!R463,'Raw Data'!T463,'Raw Data'!V463,'Raw Data'!X463),"")</f>
        <v/>
      </c>
      <c r="J476" s="14" t="str">
        <f>IF('Raw Data'!A463&lt;&gt;"",AVERAGE('Raw Data'!Q463,'Raw Data'!S463,'Raw Data'!U463,'Raw Data'!W463,'Raw Data'!Y463),"")</f>
        <v/>
      </c>
      <c r="K476" s="14" t="str">
        <f t="shared" si="81"/>
        <v/>
      </c>
      <c r="L476" s="14" t="str">
        <f>IF('Raw Data'!A463&lt;&gt;"",AVERAGE('Raw Data'!Z463,'Raw Data'!AB463,'Raw Data'!AD463,'Raw Data'!AF463,'Raw Data'!AH463),"")</f>
        <v/>
      </c>
      <c r="M476" s="14" t="str">
        <f>IF('Raw Data'!A463&lt;&gt;"",AVERAGE('Raw Data'!AA463,'Raw Data'!AC463,'Raw Data'!AE463,'Raw Data'!AG463,'Raw Data'!AI463),"")</f>
        <v/>
      </c>
      <c r="N476" s="14" t="str">
        <f t="shared" si="82"/>
        <v/>
      </c>
      <c r="O476" s="14" t="str">
        <f>IF('Raw Data'!A463&lt;&gt;"",AVERAGE('Raw Data'!AJ463,'Raw Data'!AL463,'Raw Data'!AN463,'Raw Data'!AP463,'Raw Data'!AR463),"")</f>
        <v/>
      </c>
      <c r="P476" s="14" t="str">
        <f>IF('Raw Data'!A463&lt;&gt;"",AVERAGE('Raw Data'!AK463,'Raw Data'!AM463,'Raw Data'!AO463,'Raw Data'!AQ463,'Raw Data'!AS463),"")</f>
        <v/>
      </c>
      <c r="Q476" s="14" t="str">
        <f t="shared" si="83"/>
        <v/>
      </c>
      <c r="R476" s="14" t="str">
        <f>IF('Raw Data'!A463&lt;&gt;"",AVERAGE('Raw Data'!AT463,'Raw Data'!AV463,'Raw Data'!AX463,'Raw Data'!AZ463,'Raw Data'!BB463),"")</f>
        <v/>
      </c>
      <c r="S476" s="14" t="str">
        <f>IF('Raw Data'!A463&lt;&gt;"",AVERAGE('Raw Data'!AU463,'Raw Data'!AW463,'Raw Data'!AY463,'Raw Data'!BA463,'Raw Data'!BC463),"")</f>
        <v/>
      </c>
      <c r="T476" s="14" t="str">
        <f t="shared" si="84"/>
        <v/>
      </c>
      <c r="U476" s="14" t="str">
        <f>IF('Raw Data'!A463&lt;&gt;"",AVERAGE('Raw Data'!BD463,'Raw Data'!BF463,'Raw Data'!BH463,'Raw Data'!BJ463,'Raw Data'!BL463),"")</f>
        <v/>
      </c>
      <c r="V476" s="14" t="str">
        <f>IF('Raw Data'!A463&lt;&gt;"",AVERAGE('Raw Data'!BE463,'Raw Data'!BG463,'Raw Data'!BI463,'Raw Data'!BK463,'Raw Data'!BM463),"")</f>
        <v/>
      </c>
      <c r="W476" s="14" t="str">
        <f t="shared" si="85"/>
        <v/>
      </c>
      <c r="X476" s="14" t="str">
        <f t="shared" si="86"/>
        <v/>
      </c>
      <c r="Y476" s="14" t="str">
        <f t="shared" si="87"/>
        <v/>
      </c>
      <c r="Z476" s="14" t="str">
        <f t="shared" si="88"/>
        <v/>
      </c>
      <c r="AA476" s="14" t="str">
        <f t="shared" si="89"/>
        <v/>
      </c>
      <c r="AB476" s="25" t="str">
        <f t="shared" si="90"/>
        <v/>
      </c>
    </row>
    <row r="477" spans="1:28" x14ac:dyDescent="0.25">
      <c r="A477" s="2" t="str">
        <f>IF('Raw Data'!A464&lt;&gt;"",'Raw Data'!A464,"")</f>
        <v/>
      </c>
      <c r="B477" s="2" t="str">
        <f>IF('Raw Data'!B464&lt;&gt;"",'Raw Data'!B464,"")</f>
        <v/>
      </c>
      <c r="C477" s="2" t="str">
        <f>IF('Raw Data'!C464&lt;&gt;"",'Raw Data'!C464,"")</f>
        <v/>
      </c>
      <c r="D477" s="2" t="str">
        <f>IF('Raw Data'!D464&lt;&gt;"",'Raw Data'!D464,"")</f>
        <v/>
      </c>
      <c r="E477" s="2" t="str">
        <f>IF('Raw Data'!E464&lt;&gt;"",'Raw Data'!E464,"")</f>
        <v/>
      </c>
      <c r="F477" s="11" t="str">
        <f>IF('Raw Data'!A464&lt;&gt;"",AVERAGE('Raw Data'!F464,'Raw Data'!H464,'Raw Data'!J464,'Raw Data'!L464,'Raw Data'!N464),"")</f>
        <v/>
      </c>
      <c r="G477" s="11" t="str">
        <f>IF('Raw Data'!A464&lt;&gt;"",AVERAGE('Raw Data'!G464,'Raw Data'!I464,'Raw Data'!K464,'Raw Data'!M464,'Raw Data'!O464),"")</f>
        <v/>
      </c>
      <c r="H477" s="11" t="str">
        <f t="shared" si="80"/>
        <v/>
      </c>
      <c r="I477" s="11" t="str">
        <f>IF('Raw Data'!A464&lt;&gt;"",AVERAGE('Raw Data'!P464,'Raw Data'!R464,'Raw Data'!T464,'Raw Data'!V464,'Raw Data'!X464),"")</f>
        <v/>
      </c>
      <c r="J477" s="11" t="str">
        <f>IF('Raw Data'!A464&lt;&gt;"",AVERAGE('Raw Data'!Q464,'Raw Data'!S464,'Raw Data'!U464,'Raw Data'!W464,'Raw Data'!Y464),"")</f>
        <v/>
      </c>
      <c r="K477" s="11" t="str">
        <f t="shared" si="81"/>
        <v/>
      </c>
      <c r="L477" s="11" t="str">
        <f>IF('Raw Data'!A464&lt;&gt;"",AVERAGE('Raw Data'!Z464,'Raw Data'!AB464,'Raw Data'!AD464,'Raw Data'!AF464,'Raw Data'!AH464),"")</f>
        <v/>
      </c>
      <c r="M477" s="11" t="str">
        <f>IF('Raw Data'!A464&lt;&gt;"",AVERAGE('Raw Data'!AA464,'Raw Data'!AC464,'Raw Data'!AE464,'Raw Data'!AG464,'Raw Data'!AI464),"")</f>
        <v/>
      </c>
      <c r="N477" s="11" t="str">
        <f t="shared" si="82"/>
        <v/>
      </c>
      <c r="O477" s="11" t="str">
        <f>IF('Raw Data'!A464&lt;&gt;"",AVERAGE('Raw Data'!AJ464,'Raw Data'!AL464,'Raw Data'!AN464,'Raw Data'!AP464,'Raw Data'!AR464),"")</f>
        <v/>
      </c>
      <c r="P477" s="11" t="str">
        <f>IF('Raw Data'!A464&lt;&gt;"",AVERAGE('Raw Data'!AK464,'Raw Data'!AM464,'Raw Data'!AO464,'Raw Data'!AQ464,'Raw Data'!AS464),"")</f>
        <v/>
      </c>
      <c r="Q477" s="11" t="str">
        <f t="shared" si="83"/>
        <v/>
      </c>
      <c r="R477" s="11" t="str">
        <f>IF('Raw Data'!A464&lt;&gt;"",AVERAGE('Raw Data'!AT464,'Raw Data'!AV464,'Raw Data'!AX464,'Raw Data'!AZ464,'Raw Data'!BB464),"")</f>
        <v/>
      </c>
      <c r="S477" s="11" t="str">
        <f>IF('Raw Data'!A464&lt;&gt;"",AVERAGE('Raw Data'!AU464,'Raw Data'!AW464,'Raw Data'!AY464,'Raw Data'!BA464,'Raw Data'!BC464),"")</f>
        <v/>
      </c>
      <c r="T477" s="11" t="str">
        <f t="shared" si="84"/>
        <v/>
      </c>
      <c r="U477" s="11" t="str">
        <f>IF('Raw Data'!A464&lt;&gt;"",AVERAGE('Raw Data'!BD464,'Raw Data'!BF464,'Raw Data'!BH464,'Raw Data'!BJ464,'Raw Data'!BL464),"")</f>
        <v/>
      </c>
      <c r="V477" s="11" t="str">
        <f>IF('Raw Data'!A464&lt;&gt;"",AVERAGE('Raw Data'!BE464,'Raw Data'!BG464,'Raw Data'!BI464,'Raw Data'!BK464,'Raw Data'!BM464),"")</f>
        <v/>
      </c>
      <c r="W477" s="11" t="str">
        <f t="shared" si="85"/>
        <v/>
      </c>
      <c r="X477" s="11" t="str">
        <f t="shared" si="86"/>
        <v/>
      </c>
      <c r="Y477" s="11" t="str">
        <f t="shared" si="87"/>
        <v/>
      </c>
      <c r="Z477" s="11" t="str">
        <f t="shared" si="88"/>
        <v/>
      </c>
      <c r="AA477" s="11" t="str">
        <f t="shared" si="89"/>
        <v/>
      </c>
      <c r="AB477" s="24" t="str">
        <f t="shared" si="90"/>
        <v/>
      </c>
    </row>
    <row r="478" spans="1:28" x14ac:dyDescent="0.25">
      <c r="A478" s="10" t="str">
        <f>IF('Raw Data'!A465&lt;&gt;"",'Raw Data'!A465,"")</f>
        <v/>
      </c>
      <c r="B478" s="10" t="str">
        <f>IF('Raw Data'!B465&lt;&gt;"",'Raw Data'!B465,"")</f>
        <v/>
      </c>
      <c r="C478" s="10" t="str">
        <f>IF('Raw Data'!C465&lt;&gt;"",'Raw Data'!C465,"")</f>
        <v/>
      </c>
      <c r="D478" s="10" t="str">
        <f>IF('Raw Data'!D465&lt;&gt;"",'Raw Data'!D465,"")</f>
        <v/>
      </c>
      <c r="E478" s="10" t="str">
        <f>IF('Raw Data'!E465&lt;&gt;"",'Raw Data'!E465,"")</f>
        <v/>
      </c>
      <c r="F478" s="14" t="str">
        <f>IF('Raw Data'!A465&lt;&gt;"",AVERAGE('Raw Data'!F465,'Raw Data'!H465,'Raw Data'!J465,'Raw Data'!L465,'Raw Data'!N465),"")</f>
        <v/>
      </c>
      <c r="G478" s="14" t="str">
        <f>IF('Raw Data'!A465&lt;&gt;"",AVERAGE('Raw Data'!G465,'Raw Data'!I465,'Raw Data'!K465,'Raw Data'!M465,'Raw Data'!O465),"")</f>
        <v/>
      </c>
      <c r="H478" s="14" t="str">
        <f t="shared" si="80"/>
        <v/>
      </c>
      <c r="I478" s="14" t="str">
        <f>IF('Raw Data'!A465&lt;&gt;"",AVERAGE('Raw Data'!P465,'Raw Data'!R465,'Raw Data'!T465,'Raw Data'!V465,'Raw Data'!X465),"")</f>
        <v/>
      </c>
      <c r="J478" s="14" t="str">
        <f>IF('Raw Data'!A465&lt;&gt;"",AVERAGE('Raw Data'!Q465,'Raw Data'!S465,'Raw Data'!U465,'Raw Data'!W465,'Raw Data'!Y465),"")</f>
        <v/>
      </c>
      <c r="K478" s="14" t="str">
        <f t="shared" si="81"/>
        <v/>
      </c>
      <c r="L478" s="14" t="str">
        <f>IF('Raw Data'!A465&lt;&gt;"",AVERAGE('Raw Data'!Z465,'Raw Data'!AB465,'Raw Data'!AD465,'Raw Data'!AF465,'Raw Data'!AH465),"")</f>
        <v/>
      </c>
      <c r="M478" s="14" t="str">
        <f>IF('Raw Data'!A465&lt;&gt;"",AVERAGE('Raw Data'!AA465,'Raw Data'!AC465,'Raw Data'!AE465,'Raw Data'!AG465,'Raw Data'!AI465),"")</f>
        <v/>
      </c>
      <c r="N478" s="14" t="str">
        <f t="shared" si="82"/>
        <v/>
      </c>
      <c r="O478" s="14" t="str">
        <f>IF('Raw Data'!A465&lt;&gt;"",AVERAGE('Raw Data'!AJ465,'Raw Data'!AL465,'Raw Data'!AN465,'Raw Data'!AP465,'Raw Data'!AR465),"")</f>
        <v/>
      </c>
      <c r="P478" s="14" t="str">
        <f>IF('Raw Data'!A465&lt;&gt;"",AVERAGE('Raw Data'!AK465,'Raw Data'!AM465,'Raw Data'!AO465,'Raw Data'!AQ465,'Raw Data'!AS465),"")</f>
        <v/>
      </c>
      <c r="Q478" s="14" t="str">
        <f t="shared" si="83"/>
        <v/>
      </c>
      <c r="R478" s="14" t="str">
        <f>IF('Raw Data'!A465&lt;&gt;"",AVERAGE('Raw Data'!AT465,'Raw Data'!AV465,'Raw Data'!AX465,'Raw Data'!AZ465,'Raw Data'!BB465),"")</f>
        <v/>
      </c>
      <c r="S478" s="14" t="str">
        <f>IF('Raw Data'!A465&lt;&gt;"",AVERAGE('Raw Data'!AU465,'Raw Data'!AW465,'Raw Data'!AY465,'Raw Data'!BA465,'Raw Data'!BC465),"")</f>
        <v/>
      </c>
      <c r="T478" s="14" t="str">
        <f t="shared" si="84"/>
        <v/>
      </c>
      <c r="U478" s="14" t="str">
        <f>IF('Raw Data'!A465&lt;&gt;"",AVERAGE('Raw Data'!BD465,'Raw Data'!BF465,'Raw Data'!BH465,'Raw Data'!BJ465,'Raw Data'!BL465),"")</f>
        <v/>
      </c>
      <c r="V478" s="14" t="str">
        <f>IF('Raw Data'!A465&lt;&gt;"",AVERAGE('Raw Data'!BE465,'Raw Data'!BG465,'Raw Data'!BI465,'Raw Data'!BK465,'Raw Data'!BM465),"")</f>
        <v/>
      </c>
      <c r="W478" s="14" t="str">
        <f t="shared" si="85"/>
        <v/>
      </c>
      <c r="X478" s="14" t="str">
        <f t="shared" si="86"/>
        <v/>
      </c>
      <c r="Y478" s="14" t="str">
        <f t="shared" si="87"/>
        <v/>
      </c>
      <c r="Z478" s="14" t="str">
        <f t="shared" si="88"/>
        <v/>
      </c>
      <c r="AA478" s="14" t="str">
        <f t="shared" si="89"/>
        <v/>
      </c>
      <c r="AB478" s="25" t="str">
        <f t="shared" si="90"/>
        <v/>
      </c>
    </row>
    <row r="479" spans="1:28" x14ac:dyDescent="0.25">
      <c r="A479" s="2" t="str">
        <f>IF('Raw Data'!A466&lt;&gt;"",'Raw Data'!A466,"")</f>
        <v/>
      </c>
      <c r="B479" s="2" t="str">
        <f>IF('Raw Data'!B466&lt;&gt;"",'Raw Data'!B466,"")</f>
        <v/>
      </c>
      <c r="C479" s="2" t="str">
        <f>IF('Raw Data'!C466&lt;&gt;"",'Raw Data'!C466,"")</f>
        <v/>
      </c>
      <c r="D479" s="2" t="str">
        <f>IF('Raw Data'!D466&lt;&gt;"",'Raw Data'!D466,"")</f>
        <v/>
      </c>
      <c r="E479" s="2" t="str">
        <f>IF('Raw Data'!E466&lt;&gt;"",'Raw Data'!E466,"")</f>
        <v/>
      </c>
      <c r="F479" s="11" t="str">
        <f>IF('Raw Data'!A466&lt;&gt;"",AVERAGE('Raw Data'!F466,'Raw Data'!H466,'Raw Data'!J466,'Raw Data'!L466,'Raw Data'!N466),"")</f>
        <v/>
      </c>
      <c r="G479" s="11" t="str">
        <f>IF('Raw Data'!A466&lt;&gt;"",AVERAGE('Raw Data'!G466,'Raw Data'!I466,'Raw Data'!K466,'Raw Data'!M466,'Raw Data'!O466),"")</f>
        <v/>
      </c>
      <c r="H479" s="11" t="str">
        <f t="shared" si="80"/>
        <v/>
      </c>
      <c r="I479" s="11" t="str">
        <f>IF('Raw Data'!A466&lt;&gt;"",AVERAGE('Raw Data'!P466,'Raw Data'!R466,'Raw Data'!T466,'Raw Data'!V466,'Raw Data'!X466),"")</f>
        <v/>
      </c>
      <c r="J479" s="11" t="str">
        <f>IF('Raw Data'!A466&lt;&gt;"",AVERAGE('Raw Data'!Q466,'Raw Data'!S466,'Raw Data'!U466,'Raw Data'!W466,'Raw Data'!Y466),"")</f>
        <v/>
      </c>
      <c r="K479" s="11" t="str">
        <f t="shared" si="81"/>
        <v/>
      </c>
      <c r="L479" s="11" t="str">
        <f>IF('Raw Data'!A466&lt;&gt;"",AVERAGE('Raw Data'!Z466,'Raw Data'!AB466,'Raw Data'!AD466,'Raw Data'!AF466,'Raw Data'!AH466),"")</f>
        <v/>
      </c>
      <c r="M479" s="11" t="str">
        <f>IF('Raw Data'!A466&lt;&gt;"",AVERAGE('Raw Data'!AA466,'Raw Data'!AC466,'Raw Data'!AE466,'Raw Data'!AG466,'Raw Data'!AI466),"")</f>
        <v/>
      </c>
      <c r="N479" s="11" t="str">
        <f t="shared" si="82"/>
        <v/>
      </c>
      <c r="O479" s="11" t="str">
        <f>IF('Raw Data'!A466&lt;&gt;"",AVERAGE('Raw Data'!AJ466,'Raw Data'!AL466,'Raw Data'!AN466,'Raw Data'!AP466,'Raw Data'!AR466),"")</f>
        <v/>
      </c>
      <c r="P479" s="11" t="str">
        <f>IF('Raw Data'!A466&lt;&gt;"",AVERAGE('Raw Data'!AK466,'Raw Data'!AM466,'Raw Data'!AO466,'Raw Data'!AQ466,'Raw Data'!AS466),"")</f>
        <v/>
      </c>
      <c r="Q479" s="11" t="str">
        <f t="shared" si="83"/>
        <v/>
      </c>
      <c r="R479" s="11" t="str">
        <f>IF('Raw Data'!A466&lt;&gt;"",AVERAGE('Raw Data'!AT466,'Raw Data'!AV466,'Raw Data'!AX466,'Raw Data'!AZ466,'Raw Data'!BB466),"")</f>
        <v/>
      </c>
      <c r="S479" s="11" t="str">
        <f>IF('Raw Data'!A466&lt;&gt;"",AVERAGE('Raw Data'!AU466,'Raw Data'!AW466,'Raw Data'!AY466,'Raw Data'!BA466,'Raw Data'!BC466),"")</f>
        <v/>
      </c>
      <c r="T479" s="11" t="str">
        <f t="shared" si="84"/>
        <v/>
      </c>
      <c r="U479" s="11" t="str">
        <f>IF('Raw Data'!A466&lt;&gt;"",AVERAGE('Raw Data'!BD466,'Raw Data'!BF466,'Raw Data'!BH466,'Raw Data'!BJ466,'Raw Data'!BL466),"")</f>
        <v/>
      </c>
      <c r="V479" s="11" t="str">
        <f>IF('Raw Data'!A466&lt;&gt;"",AVERAGE('Raw Data'!BE466,'Raw Data'!BG466,'Raw Data'!BI466,'Raw Data'!BK466,'Raw Data'!BM466),"")</f>
        <v/>
      </c>
      <c r="W479" s="11" t="str">
        <f t="shared" si="85"/>
        <v/>
      </c>
      <c r="X479" s="11" t="str">
        <f t="shared" si="86"/>
        <v/>
      </c>
      <c r="Y479" s="11" t="str">
        <f t="shared" si="87"/>
        <v/>
      </c>
      <c r="Z479" s="11" t="str">
        <f t="shared" si="88"/>
        <v/>
      </c>
      <c r="AA479" s="11" t="str">
        <f t="shared" si="89"/>
        <v/>
      </c>
      <c r="AB479" s="24" t="str">
        <f t="shared" si="90"/>
        <v/>
      </c>
    </row>
    <row r="480" spans="1:28" x14ac:dyDescent="0.25">
      <c r="A480" s="10" t="str">
        <f>IF('Raw Data'!A467&lt;&gt;"",'Raw Data'!A467,"")</f>
        <v/>
      </c>
      <c r="B480" s="10" t="str">
        <f>IF('Raw Data'!B467&lt;&gt;"",'Raw Data'!B467,"")</f>
        <v/>
      </c>
      <c r="C480" s="10" t="str">
        <f>IF('Raw Data'!C467&lt;&gt;"",'Raw Data'!C467,"")</f>
        <v/>
      </c>
      <c r="D480" s="10" t="str">
        <f>IF('Raw Data'!D467&lt;&gt;"",'Raw Data'!D467,"")</f>
        <v/>
      </c>
      <c r="E480" s="10" t="str">
        <f>IF('Raw Data'!E467&lt;&gt;"",'Raw Data'!E467,"")</f>
        <v/>
      </c>
      <c r="F480" s="14" t="str">
        <f>IF('Raw Data'!A467&lt;&gt;"",AVERAGE('Raw Data'!F467,'Raw Data'!H467,'Raw Data'!J467,'Raw Data'!L467,'Raw Data'!N467),"")</f>
        <v/>
      </c>
      <c r="G480" s="14" t="str">
        <f>IF('Raw Data'!A467&lt;&gt;"",AVERAGE('Raw Data'!G467,'Raw Data'!I467,'Raw Data'!K467,'Raw Data'!M467,'Raw Data'!O467),"")</f>
        <v/>
      </c>
      <c r="H480" s="14" t="str">
        <f t="shared" si="80"/>
        <v/>
      </c>
      <c r="I480" s="14" t="str">
        <f>IF('Raw Data'!A467&lt;&gt;"",AVERAGE('Raw Data'!P467,'Raw Data'!R467,'Raw Data'!T467,'Raw Data'!V467,'Raw Data'!X467),"")</f>
        <v/>
      </c>
      <c r="J480" s="14" t="str">
        <f>IF('Raw Data'!A467&lt;&gt;"",AVERAGE('Raw Data'!Q467,'Raw Data'!S467,'Raw Data'!U467,'Raw Data'!W467,'Raw Data'!Y467),"")</f>
        <v/>
      </c>
      <c r="K480" s="14" t="str">
        <f t="shared" si="81"/>
        <v/>
      </c>
      <c r="L480" s="14" t="str">
        <f>IF('Raw Data'!A467&lt;&gt;"",AVERAGE('Raw Data'!Z467,'Raw Data'!AB467,'Raw Data'!AD467,'Raw Data'!AF467,'Raw Data'!AH467),"")</f>
        <v/>
      </c>
      <c r="M480" s="14" t="str">
        <f>IF('Raw Data'!A467&lt;&gt;"",AVERAGE('Raw Data'!AA467,'Raw Data'!AC467,'Raw Data'!AE467,'Raw Data'!AG467,'Raw Data'!AI467),"")</f>
        <v/>
      </c>
      <c r="N480" s="14" t="str">
        <f t="shared" si="82"/>
        <v/>
      </c>
      <c r="O480" s="14" t="str">
        <f>IF('Raw Data'!A467&lt;&gt;"",AVERAGE('Raw Data'!AJ467,'Raw Data'!AL467,'Raw Data'!AN467,'Raw Data'!AP467,'Raw Data'!AR467),"")</f>
        <v/>
      </c>
      <c r="P480" s="14" t="str">
        <f>IF('Raw Data'!A467&lt;&gt;"",AVERAGE('Raw Data'!AK467,'Raw Data'!AM467,'Raw Data'!AO467,'Raw Data'!AQ467,'Raw Data'!AS467),"")</f>
        <v/>
      </c>
      <c r="Q480" s="14" t="str">
        <f t="shared" si="83"/>
        <v/>
      </c>
      <c r="R480" s="14" t="str">
        <f>IF('Raw Data'!A467&lt;&gt;"",AVERAGE('Raw Data'!AT467,'Raw Data'!AV467,'Raw Data'!AX467,'Raw Data'!AZ467,'Raw Data'!BB467),"")</f>
        <v/>
      </c>
      <c r="S480" s="14" t="str">
        <f>IF('Raw Data'!A467&lt;&gt;"",AVERAGE('Raw Data'!AU467,'Raw Data'!AW467,'Raw Data'!AY467,'Raw Data'!BA467,'Raw Data'!BC467),"")</f>
        <v/>
      </c>
      <c r="T480" s="14" t="str">
        <f t="shared" si="84"/>
        <v/>
      </c>
      <c r="U480" s="14" t="str">
        <f>IF('Raw Data'!A467&lt;&gt;"",AVERAGE('Raw Data'!BD467,'Raw Data'!BF467,'Raw Data'!BH467,'Raw Data'!BJ467,'Raw Data'!BL467),"")</f>
        <v/>
      </c>
      <c r="V480" s="14" t="str">
        <f>IF('Raw Data'!A467&lt;&gt;"",AVERAGE('Raw Data'!BE467,'Raw Data'!BG467,'Raw Data'!BI467,'Raw Data'!BK467,'Raw Data'!BM467),"")</f>
        <v/>
      </c>
      <c r="W480" s="14" t="str">
        <f t="shared" si="85"/>
        <v/>
      </c>
      <c r="X480" s="14" t="str">
        <f t="shared" si="86"/>
        <v/>
      </c>
      <c r="Y480" s="14" t="str">
        <f t="shared" si="87"/>
        <v/>
      </c>
      <c r="Z480" s="14" t="str">
        <f t="shared" si="88"/>
        <v/>
      </c>
      <c r="AA480" s="14" t="str">
        <f t="shared" si="89"/>
        <v/>
      </c>
      <c r="AB480" s="25" t="str">
        <f t="shared" si="90"/>
        <v/>
      </c>
    </row>
    <row r="481" spans="1:28" x14ac:dyDescent="0.25">
      <c r="A481" s="2" t="str">
        <f>IF('Raw Data'!A468&lt;&gt;"",'Raw Data'!A468,"")</f>
        <v/>
      </c>
      <c r="B481" s="2" t="str">
        <f>IF('Raw Data'!B468&lt;&gt;"",'Raw Data'!B468,"")</f>
        <v/>
      </c>
      <c r="C481" s="2" t="str">
        <f>IF('Raw Data'!C468&lt;&gt;"",'Raw Data'!C468,"")</f>
        <v/>
      </c>
      <c r="D481" s="2" t="str">
        <f>IF('Raw Data'!D468&lt;&gt;"",'Raw Data'!D468,"")</f>
        <v/>
      </c>
      <c r="E481" s="2" t="str">
        <f>IF('Raw Data'!E468&lt;&gt;"",'Raw Data'!E468,"")</f>
        <v/>
      </c>
      <c r="F481" s="11" t="str">
        <f>IF('Raw Data'!A468&lt;&gt;"",AVERAGE('Raw Data'!F468,'Raw Data'!H468,'Raw Data'!J468,'Raw Data'!L468,'Raw Data'!N468),"")</f>
        <v/>
      </c>
      <c r="G481" s="11" t="str">
        <f>IF('Raw Data'!A468&lt;&gt;"",AVERAGE('Raw Data'!G468,'Raw Data'!I468,'Raw Data'!K468,'Raw Data'!M468,'Raw Data'!O468),"")</f>
        <v/>
      </c>
      <c r="H481" s="11" t="str">
        <f t="shared" si="80"/>
        <v/>
      </c>
      <c r="I481" s="11" t="str">
        <f>IF('Raw Data'!A468&lt;&gt;"",AVERAGE('Raw Data'!P468,'Raw Data'!R468,'Raw Data'!T468,'Raw Data'!V468,'Raw Data'!X468),"")</f>
        <v/>
      </c>
      <c r="J481" s="11" t="str">
        <f>IF('Raw Data'!A468&lt;&gt;"",AVERAGE('Raw Data'!Q468,'Raw Data'!S468,'Raw Data'!U468,'Raw Data'!W468,'Raw Data'!Y468),"")</f>
        <v/>
      </c>
      <c r="K481" s="11" t="str">
        <f t="shared" si="81"/>
        <v/>
      </c>
      <c r="L481" s="11" t="str">
        <f>IF('Raw Data'!A468&lt;&gt;"",AVERAGE('Raw Data'!Z468,'Raw Data'!AB468,'Raw Data'!AD468,'Raw Data'!AF468,'Raw Data'!AH468),"")</f>
        <v/>
      </c>
      <c r="M481" s="11" t="str">
        <f>IF('Raw Data'!A468&lt;&gt;"",AVERAGE('Raw Data'!AA468,'Raw Data'!AC468,'Raw Data'!AE468,'Raw Data'!AG468,'Raw Data'!AI468),"")</f>
        <v/>
      </c>
      <c r="N481" s="11" t="str">
        <f t="shared" si="82"/>
        <v/>
      </c>
      <c r="O481" s="11" t="str">
        <f>IF('Raw Data'!A468&lt;&gt;"",AVERAGE('Raw Data'!AJ468,'Raw Data'!AL468,'Raw Data'!AN468,'Raw Data'!AP468,'Raw Data'!AR468),"")</f>
        <v/>
      </c>
      <c r="P481" s="11" t="str">
        <f>IF('Raw Data'!A468&lt;&gt;"",AVERAGE('Raw Data'!AK468,'Raw Data'!AM468,'Raw Data'!AO468,'Raw Data'!AQ468,'Raw Data'!AS468),"")</f>
        <v/>
      </c>
      <c r="Q481" s="11" t="str">
        <f t="shared" si="83"/>
        <v/>
      </c>
      <c r="R481" s="11" t="str">
        <f>IF('Raw Data'!A468&lt;&gt;"",AVERAGE('Raw Data'!AT468,'Raw Data'!AV468,'Raw Data'!AX468,'Raw Data'!AZ468,'Raw Data'!BB468),"")</f>
        <v/>
      </c>
      <c r="S481" s="11" t="str">
        <f>IF('Raw Data'!A468&lt;&gt;"",AVERAGE('Raw Data'!AU468,'Raw Data'!AW468,'Raw Data'!AY468,'Raw Data'!BA468,'Raw Data'!BC468),"")</f>
        <v/>
      </c>
      <c r="T481" s="11" t="str">
        <f t="shared" si="84"/>
        <v/>
      </c>
      <c r="U481" s="11" t="str">
        <f>IF('Raw Data'!A468&lt;&gt;"",AVERAGE('Raw Data'!BD468,'Raw Data'!BF468,'Raw Data'!BH468,'Raw Data'!BJ468,'Raw Data'!BL468),"")</f>
        <v/>
      </c>
      <c r="V481" s="11" t="str">
        <f>IF('Raw Data'!A468&lt;&gt;"",AVERAGE('Raw Data'!BE468,'Raw Data'!BG468,'Raw Data'!BI468,'Raw Data'!BK468,'Raw Data'!BM468),"")</f>
        <v/>
      </c>
      <c r="W481" s="11" t="str">
        <f t="shared" si="85"/>
        <v/>
      </c>
      <c r="X481" s="11" t="str">
        <f t="shared" si="86"/>
        <v/>
      </c>
      <c r="Y481" s="11" t="str">
        <f t="shared" si="87"/>
        <v/>
      </c>
      <c r="Z481" s="11" t="str">
        <f t="shared" si="88"/>
        <v/>
      </c>
      <c r="AA481" s="11" t="str">
        <f t="shared" si="89"/>
        <v/>
      </c>
      <c r="AB481" s="24" t="str">
        <f t="shared" si="90"/>
        <v/>
      </c>
    </row>
    <row r="482" spans="1:28" x14ac:dyDescent="0.25">
      <c r="A482" s="10" t="str">
        <f>IF('Raw Data'!A469&lt;&gt;"",'Raw Data'!A469,"")</f>
        <v/>
      </c>
      <c r="B482" s="10" t="str">
        <f>IF('Raw Data'!B469&lt;&gt;"",'Raw Data'!B469,"")</f>
        <v/>
      </c>
      <c r="C482" s="10" t="str">
        <f>IF('Raw Data'!C469&lt;&gt;"",'Raw Data'!C469,"")</f>
        <v/>
      </c>
      <c r="D482" s="10" t="str">
        <f>IF('Raw Data'!D469&lt;&gt;"",'Raw Data'!D469,"")</f>
        <v/>
      </c>
      <c r="E482" s="10" t="str">
        <f>IF('Raw Data'!E469&lt;&gt;"",'Raw Data'!E469,"")</f>
        <v/>
      </c>
      <c r="F482" s="14" t="str">
        <f>IF('Raw Data'!A469&lt;&gt;"",AVERAGE('Raw Data'!F469,'Raw Data'!H469,'Raw Data'!J469,'Raw Data'!L469,'Raw Data'!N469),"")</f>
        <v/>
      </c>
      <c r="G482" s="14" t="str">
        <f>IF('Raw Data'!A469&lt;&gt;"",AVERAGE('Raw Data'!G469,'Raw Data'!I469,'Raw Data'!K469,'Raw Data'!M469,'Raw Data'!O469),"")</f>
        <v/>
      </c>
      <c r="H482" s="14" t="str">
        <f t="shared" si="80"/>
        <v/>
      </c>
      <c r="I482" s="14" t="str">
        <f>IF('Raw Data'!A469&lt;&gt;"",AVERAGE('Raw Data'!P469,'Raw Data'!R469,'Raw Data'!T469,'Raw Data'!V469,'Raw Data'!X469),"")</f>
        <v/>
      </c>
      <c r="J482" s="14" t="str">
        <f>IF('Raw Data'!A469&lt;&gt;"",AVERAGE('Raw Data'!Q469,'Raw Data'!S469,'Raw Data'!U469,'Raw Data'!W469,'Raw Data'!Y469),"")</f>
        <v/>
      </c>
      <c r="K482" s="14" t="str">
        <f t="shared" si="81"/>
        <v/>
      </c>
      <c r="L482" s="14" t="str">
        <f>IF('Raw Data'!A469&lt;&gt;"",AVERAGE('Raw Data'!Z469,'Raw Data'!AB469,'Raw Data'!AD469,'Raw Data'!AF469,'Raw Data'!AH469),"")</f>
        <v/>
      </c>
      <c r="M482" s="14" t="str">
        <f>IF('Raw Data'!A469&lt;&gt;"",AVERAGE('Raw Data'!AA469,'Raw Data'!AC469,'Raw Data'!AE469,'Raw Data'!AG469,'Raw Data'!AI469),"")</f>
        <v/>
      </c>
      <c r="N482" s="14" t="str">
        <f t="shared" si="82"/>
        <v/>
      </c>
      <c r="O482" s="14" t="str">
        <f>IF('Raw Data'!A469&lt;&gt;"",AVERAGE('Raw Data'!AJ469,'Raw Data'!AL469,'Raw Data'!AN469,'Raw Data'!AP469,'Raw Data'!AR469),"")</f>
        <v/>
      </c>
      <c r="P482" s="14" t="str">
        <f>IF('Raw Data'!A469&lt;&gt;"",AVERAGE('Raw Data'!AK469,'Raw Data'!AM469,'Raw Data'!AO469,'Raw Data'!AQ469,'Raw Data'!AS469),"")</f>
        <v/>
      </c>
      <c r="Q482" s="14" t="str">
        <f t="shared" si="83"/>
        <v/>
      </c>
      <c r="R482" s="14" t="str">
        <f>IF('Raw Data'!A469&lt;&gt;"",AVERAGE('Raw Data'!AT469,'Raw Data'!AV469,'Raw Data'!AX469,'Raw Data'!AZ469,'Raw Data'!BB469),"")</f>
        <v/>
      </c>
      <c r="S482" s="14" t="str">
        <f>IF('Raw Data'!A469&lt;&gt;"",AVERAGE('Raw Data'!AU469,'Raw Data'!AW469,'Raw Data'!AY469,'Raw Data'!BA469,'Raw Data'!BC469),"")</f>
        <v/>
      </c>
      <c r="T482" s="14" t="str">
        <f t="shared" si="84"/>
        <v/>
      </c>
      <c r="U482" s="14" t="str">
        <f>IF('Raw Data'!A469&lt;&gt;"",AVERAGE('Raw Data'!BD469,'Raw Data'!BF469,'Raw Data'!BH469,'Raw Data'!BJ469,'Raw Data'!BL469),"")</f>
        <v/>
      </c>
      <c r="V482" s="14" t="str">
        <f>IF('Raw Data'!A469&lt;&gt;"",AVERAGE('Raw Data'!BE469,'Raw Data'!BG469,'Raw Data'!BI469,'Raw Data'!BK469,'Raw Data'!BM469),"")</f>
        <v/>
      </c>
      <c r="W482" s="14" t="str">
        <f t="shared" si="85"/>
        <v/>
      </c>
      <c r="X482" s="14" t="str">
        <f t="shared" si="86"/>
        <v/>
      </c>
      <c r="Y482" s="14" t="str">
        <f t="shared" si="87"/>
        <v/>
      </c>
      <c r="Z482" s="14" t="str">
        <f t="shared" si="88"/>
        <v/>
      </c>
      <c r="AA482" s="14" t="str">
        <f t="shared" si="89"/>
        <v/>
      </c>
      <c r="AB482" s="25" t="str">
        <f t="shared" si="90"/>
        <v/>
      </c>
    </row>
    <row r="483" spans="1:28" x14ac:dyDescent="0.25">
      <c r="A483" s="2" t="str">
        <f>IF('Raw Data'!A470&lt;&gt;"",'Raw Data'!A470,"")</f>
        <v/>
      </c>
      <c r="B483" s="2" t="str">
        <f>IF('Raw Data'!B470&lt;&gt;"",'Raw Data'!B470,"")</f>
        <v/>
      </c>
      <c r="C483" s="2" t="str">
        <f>IF('Raw Data'!C470&lt;&gt;"",'Raw Data'!C470,"")</f>
        <v/>
      </c>
      <c r="D483" s="2" t="str">
        <f>IF('Raw Data'!D470&lt;&gt;"",'Raw Data'!D470,"")</f>
        <v/>
      </c>
      <c r="E483" s="2" t="str">
        <f>IF('Raw Data'!E470&lt;&gt;"",'Raw Data'!E470,"")</f>
        <v/>
      </c>
      <c r="F483" s="11" t="str">
        <f>IF('Raw Data'!A470&lt;&gt;"",AVERAGE('Raw Data'!F470,'Raw Data'!H470,'Raw Data'!J470,'Raw Data'!L470,'Raw Data'!N470),"")</f>
        <v/>
      </c>
      <c r="G483" s="11" t="str">
        <f>IF('Raw Data'!A470&lt;&gt;"",AVERAGE('Raw Data'!G470,'Raw Data'!I470,'Raw Data'!K470,'Raw Data'!M470,'Raw Data'!O470),"")</f>
        <v/>
      </c>
      <c r="H483" s="11" t="str">
        <f t="shared" si="80"/>
        <v/>
      </c>
      <c r="I483" s="11" t="str">
        <f>IF('Raw Data'!A470&lt;&gt;"",AVERAGE('Raw Data'!P470,'Raw Data'!R470,'Raw Data'!T470,'Raw Data'!V470,'Raw Data'!X470),"")</f>
        <v/>
      </c>
      <c r="J483" s="11" t="str">
        <f>IF('Raw Data'!A470&lt;&gt;"",AVERAGE('Raw Data'!Q470,'Raw Data'!S470,'Raw Data'!U470,'Raw Data'!W470,'Raw Data'!Y470),"")</f>
        <v/>
      </c>
      <c r="K483" s="11" t="str">
        <f t="shared" si="81"/>
        <v/>
      </c>
      <c r="L483" s="11" t="str">
        <f>IF('Raw Data'!A470&lt;&gt;"",AVERAGE('Raw Data'!Z470,'Raw Data'!AB470,'Raw Data'!AD470,'Raw Data'!AF470,'Raw Data'!AH470),"")</f>
        <v/>
      </c>
      <c r="M483" s="11" t="str">
        <f>IF('Raw Data'!A470&lt;&gt;"",AVERAGE('Raw Data'!AA470,'Raw Data'!AC470,'Raw Data'!AE470,'Raw Data'!AG470,'Raw Data'!AI470),"")</f>
        <v/>
      </c>
      <c r="N483" s="11" t="str">
        <f t="shared" si="82"/>
        <v/>
      </c>
      <c r="O483" s="11" t="str">
        <f>IF('Raw Data'!A470&lt;&gt;"",AVERAGE('Raw Data'!AJ470,'Raw Data'!AL470,'Raw Data'!AN470,'Raw Data'!AP470,'Raw Data'!AR470),"")</f>
        <v/>
      </c>
      <c r="P483" s="11" t="str">
        <f>IF('Raw Data'!A470&lt;&gt;"",AVERAGE('Raw Data'!AK470,'Raw Data'!AM470,'Raw Data'!AO470,'Raw Data'!AQ470,'Raw Data'!AS470),"")</f>
        <v/>
      </c>
      <c r="Q483" s="11" t="str">
        <f t="shared" si="83"/>
        <v/>
      </c>
      <c r="R483" s="11" t="str">
        <f>IF('Raw Data'!A470&lt;&gt;"",AVERAGE('Raw Data'!AT470,'Raw Data'!AV470,'Raw Data'!AX470,'Raw Data'!AZ470,'Raw Data'!BB470),"")</f>
        <v/>
      </c>
      <c r="S483" s="11" t="str">
        <f>IF('Raw Data'!A470&lt;&gt;"",AVERAGE('Raw Data'!AU470,'Raw Data'!AW470,'Raw Data'!AY470,'Raw Data'!BA470,'Raw Data'!BC470),"")</f>
        <v/>
      </c>
      <c r="T483" s="11" t="str">
        <f t="shared" si="84"/>
        <v/>
      </c>
      <c r="U483" s="11" t="str">
        <f>IF('Raw Data'!A470&lt;&gt;"",AVERAGE('Raw Data'!BD470,'Raw Data'!BF470,'Raw Data'!BH470,'Raw Data'!BJ470,'Raw Data'!BL470),"")</f>
        <v/>
      </c>
      <c r="V483" s="11" t="str">
        <f>IF('Raw Data'!A470&lt;&gt;"",AVERAGE('Raw Data'!BE470,'Raw Data'!BG470,'Raw Data'!BI470,'Raw Data'!BK470,'Raw Data'!BM470),"")</f>
        <v/>
      </c>
      <c r="W483" s="11" t="str">
        <f t="shared" si="85"/>
        <v/>
      </c>
      <c r="X483" s="11" t="str">
        <f t="shared" si="86"/>
        <v/>
      </c>
      <c r="Y483" s="11" t="str">
        <f t="shared" si="87"/>
        <v/>
      </c>
      <c r="Z483" s="11" t="str">
        <f t="shared" si="88"/>
        <v/>
      </c>
      <c r="AA483" s="11" t="str">
        <f t="shared" si="89"/>
        <v/>
      </c>
      <c r="AB483" s="24" t="str">
        <f t="shared" si="90"/>
        <v/>
      </c>
    </row>
    <row r="484" spans="1:28" x14ac:dyDescent="0.25">
      <c r="A484" s="10" t="str">
        <f>IF('Raw Data'!A471&lt;&gt;"",'Raw Data'!A471,"")</f>
        <v/>
      </c>
      <c r="B484" s="10" t="str">
        <f>IF('Raw Data'!B471&lt;&gt;"",'Raw Data'!B471,"")</f>
        <v/>
      </c>
      <c r="C484" s="10" t="str">
        <f>IF('Raw Data'!C471&lt;&gt;"",'Raw Data'!C471,"")</f>
        <v/>
      </c>
      <c r="D484" s="10" t="str">
        <f>IF('Raw Data'!D471&lt;&gt;"",'Raw Data'!D471,"")</f>
        <v/>
      </c>
      <c r="E484" s="10" t="str">
        <f>IF('Raw Data'!E471&lt;&gt;"",'Raw Data'!E471,"")</f>
        <v/>
      </c>
      <c r="F484" s="14" t="str">
        <f>IF('Raw Data'!A471&lt;&gt;"",AVERAGE('Raw Data'!F471,'Raw Data'!H471,'Raw Data'!J471,'Raw Data'!L471,'Raw Data'!N471),"")</f>
        <v/>
      </c>
      <c r="G484" s="14" t="str">
        <f>IF('Raw Data'!A471&lt;&gt;"",AVERAGE('Raw Data'!G471,'Raw Data'!I471,'Raw Data'!K471,'Raw Data'!M471,'Raw Data'!O471),"")</f>
        <v/>
      </c>
      <c r="H484" s="14" t="str">
        <f t="shared" si="80"/>
        <v/>
      </c>
      <c r="I484" s="14" t="str">
        <f>IF('Raw Data'!A471&lt;&gt;"",AVERAGE('Raw Data'!P471,'Raw Data'!R471,'Raw Data'!T471,'Raw Data'!V471,'Raw Data'!X471),"")</f>
        <v/>
      </c>
      <c r="J484" s="14" t="str">
        <f>IF('Raw Data'!A471&lt;&gt;"",AVERAGE('Raw Data'!Q471,'Raw Data'!S471,'Raw Data'!U471,'Raw Data'!W471,'Raw Data'!Y471),"")</f>
        <v/>
      </c>
      <c r="K484" s="14" t="str">
        <f t="shared" si="81"/>
        <v/>
      </c>
      <c r="L484" s="14" t="str">
        <f>IF('Raw Data'!A471&lt;&gt;"",AVERAGE('Raw Data'!Z471,'Raw Data'!AB471,'Raw Data'!AD471,'Raw Data'!AF471,'Raw Data'!AH471),"")</f>
        <v/>
      </c>
      <c r="M484" s="14" t="str">
        <f>IF('Raw Data'!A471&lt;&gt;"",AVERAGE('Raw Data'!AA471,'Raw Data'!AC471,'Raw Data'!AE471,'Raw Data'!AG471,'Raw Data'!AI471),"")</f>
        <v/>
      </c>
      <c r="N484" s="14" t="str">
        <f t="shared" si="82"/>
        <v/>
      </c>
      <c r="O484" s="14" t="str">
        <f>IF('Raw Data'!A471&lt;&gt;"",AVERAGE('Raw Data'!AJ471,'Raw Data'!AL471,'Raw Data'!AN471,'Raw Data'!AP471,'Raw Data'!AR471),"")</f>
        <v/>
      </c>
      <c r="P484" s="14" t="str">
        <f>IF('Raw Data'!A471&lt;&gt;"",AVERAGE('Raw Data'!AK471,'Raw Data'!AM471,'Raw Data'!AO471,'Raw Data'!AQ471,'Raw Data'!AS471),"")</f>
        <v/>
      </c>
      <c r="Q484" s="14" t="str">
        <f t="shared" si="83"/>
        <v/>
      </c>
      <c r="R484" s="14" t="str">
        <f>IF('Raw Data'!A471&lt;&gt;"",AVERAGE('Raw Data'!AT471,'Raw Data'!AV471,'Raw Data'!AX471,'Raw Data'!AZ471,'Raw Data'!BB471),"")</f>
        <v/>
      </c>
      <c r="S484" s="14" t="str">
        <f>IF('Raw Data'!A471&lt;&gt;"",AVERAGE('Raw Data'!AU471,'Raw Data'!AW471,'Raw Data'!AY471,'Raw Data'!BA471,'Raw Data'!BC471),"")</f>
        <v/>
      </c>
      <c r="T484" s="14" t="str">
        <f t="shared" si="84"/>
        <v/>
      </c>
      <c r="U484" s="14" t="str">
        <f>IF('Raw Data'!A471&lt;&gt;"",AVERAGE('Raw Data'!BD471,'Raw Data'!BF471,'Raw Data'!BH471,'Raw Data'!BJ471,'Raw Data'!BL471),"")</f>
        <v/>
      </c>
      <c r="V484" s="14" t="str">
        <f>IF('Raw Data'!A471&lt;&gt;"",AVERAGE('Raw Data'!BE471,'Raw Data'!BG471,'Raw Data'!BI471,'Raw Data'!BK471,'Raw Data'!BM471),"")</f>
        <v/>
      </c>
      <c r="W484" s="14" t="str">
        <f t="shared" si="85"/>
        <v/>
      </c>
      <c r="X484" s="14" t="str">
        <f t="shared" si="86"/>
        <v/>
      </c>
      <c r="Y484" s="14" t="str">
        <f t="shared" si="87"/>
        <v/>
      </c>
      <c r="Z484" s="14" t="str">
        <f t="shared" si="88"/>
        <v/>
      </c>
      <c r="AA484" s="14" t="str">
        <f t="shared" si="89"/>
        <v/>
      </c>
      <c r="AB484" s="25" t="str">
        <f t="shared" si="90"/>
        <v/>
      </c>
    </row>
    <row r="485" spans="1:28" x14ac:dyDescent="0.25">
      <c r="A485" s="2" t="str">
        <f>IF('Raw Data'!A472&lt;&gt;"",'Raw Data'!A472,"")</f>
        <v/>
      </c>
      <c r="B485" s="2" t="str">
        <f>IF('Raw Data'!B472&lt;&gt;"",'Raw Data'!B472,"")</f>
        <v/>
      </c>
      <c r="C485" s="2" t="str">
        <f>IF('Raw Data'!C472&lt;&gt;"",'Raw Data'!C472,"")</f>
        <v/>
      </c>
      <c r="D485" s="2" t="str">
        <f>IF('Raw Data'!D472&lt;&gt;"",'Raw Data'!D472,"")</f>
        <v/>
      </c>
      <c r="E485" s="2" t="str">
        <f>IF('Raw Data'!E472&lt;&gt;"",'Raw Data'!E472,"")</f>
        <v/>
      </c>
      <c r="F485" s="11" t="str">
        <f>IF('Raw Data'!A472&lt;&gt;"",AVERAGE('Raw Data'!F472,'Raw Data'!H472,'Raw Data'!J472,'Raw Data'!L472,'Raw Data'!N472),"")</f>
        <v/>
      </c>
      <c r="G485" s="11" t="str">
        <f>IF('Raw Data'!A472&lt;&gt;"",AVERAGE('Raw Data'!G472,'Raw Data'!I472,'Raw Data'!K472,'Raw Data'!M472,'Raw Data'!O472),"")</f>
        <v/>
      </c>
      <c r="H485" s="11" t="str">
        <f t="shared" si="80"/>
        <v/>
      </c>
      <c r="I485" s="11" t="str">
        <f>IF('Raw Data'!A472&lt;&gt;"",AVERAGE('Raw Data'!P472,'Raw Data'!R472,'Raw Data'!T472,'Raw Data'!V472,'Raw Data'!X472),"")</f>
        <v/>
      </c>
      <c r="J485" s="11" t="str">
        <f>IF('Raw Data'!A472&lt;&gt;"",AVERAGE('Raw Data'!Q472,'Raw Data'!S472,'Raw Data'!U472,'Raw Data'!W472,'Raw Data'!Y472),"")</f>
        <v/>
      </c>
      <c r="K485" s="11" t="str">
        <f t="shared" si="81"/>
        <v/>
      </c>
      <c r="L485" s="11" t="str">
        <f>IF('Raw Data'!A472&lt;&gt;"",AVERAGE('Raw Data'!Z472,'Raw Data'!AB472,'Raw Data'!AD472,'Raw Data'!AF472,'Raw Data'!AH472),"")</f>
        <v/>
      </c>
      <c r="M485" s="11" t="str">
        <f>IF('Raw Data'!A472&lt;&gt;"",AVERAGE('Raw Data'!AA472,'Raw Data'!AC472,'Raw Data'!AE472,'Raw Data'!AG472,'Raw Data'!AI472),"")</f>
        <v/>
      </c>
      <c r="N485" s="11" t="str">
        <f t="shared" si="82"/>
        <v/>
      </c>
      <c r="O485" s="11" t="str">
        <f>IF('Raw Data'!A472&lt;&gt;"",AVERAGE('Raw Data'!AJ472,'Raw Data'!AL472,'Raw Data'!AN472,'Raw Data'!AP472,'Raw Data'!AR472),"")</f>
        <v/>
      </c>
      <c r="P485" s="11" t="str">
        <f>IF('Raw Data'!A472&lt;&gt;"",AVERAGE('Raw Data'!AK472,'Raw Data'!AM472,'Raw Data'!AO472,'Raw Data'!AQ472,'Raw Data'!AS472),"")</f>
        <v/>
      </c>
      <c r="Q485" s="11" t="str">
        <f t="shared" si="83"/>
        <v/>
      </c>
      <c r="R485" s="11" t="str">
        <f>IF('Raw Data'!A472&lt;&gt;"",AVERAGE('Raw Data'!AT472,'Raw Data'!AV472,'Raw Data'!AX472,'Raw Data'!AZ472,'Raw Data'!BB472),"")</f>
        <v/>
      </c>
      <c r="S485" s="11" t="str">
        <f>IF('Raw Data'!A472&lt;&gt;"",AVERAGE('Raw Data'!AU472,'Raw Data'!AW472,'Raw Data'!AY472,'Raw Data'!BA472,'Raw Data'!BC472),"")</f>
        <v/>
      </c>
      <c r="T485" s="11" t="str">
        <f t="shared" si="84"/>
        <v/>
      </c>
      <c r="U485" s="11" t="str">
        <f>IF('Raw Data'!A472&lt;&gt;"",AVERAGE('Raw Data'!BD472,'Raw Data'!BF472,'Raw Data'!BH472,'Raw Data'!BJ472,'Raw Data'!BL472),"")</f>
        <v/>
      </c>
      <c r="V485" s="11" t="str">
        <f>IF('Raw Data'!A472&lt;&gt;"",AVERAGE('Raw Data'!BE472,'Raw Data'!BG472,'Raw Data'!BI472,'Raw Data'!BK472,'Raw Data'!BM472),"")</f>
        <v/>
      </c>
      <c r="W485" s="11" t="str">
        <f t="shared" si="85"/>
        <v/>
      </c>
      <c r="X485" s="11" t="str">
        <f t="shared" si="86"/>
        <v/>
      </c>
      <c r="Y485" s="11" t="str">
        <f t="shared" si="87"/>
        <v/>
      </c>
      <c r="Z485" s="11" t="str">
        <f t="shared" si="88"/>
        <v/>
      </c>
      <c r="AA485" s="11" t="str">
        <f t="shared" si="89"/>
        <v/>
      </c>
      <c r="AB485" s="24" t="str">
        <f t="shared" si="90"/>
        <v/>
      </c>
    </row>
    <row r="486" spans="1:28" x14ac:dyDescent="0.25">
      <c r="A486" s="10" t="str">
        <f>IF('Raw Data'!A473&lt;&gt;"",'Raw Data'!A473,"")</f>
        <v/>
      </c>
      <c r="B486" s="10" t="str">
        <f>IF('Raw Data'!B473&lt;&gt;"",'Raw Data'!B473,"")</f>
        <v/>
      </c>
      <c r="C486" s="10" t="str">
        <f>IF('Raw Data'!C473&lt;&gt;"",'Raw Data'!C473,"")</f>
        <v/>
      </c>
      <c r="D486" s="10" t="str">
        <f>IF('Raw Data'!D473&lt;&gt;"",'Raw Data'!D473,"")</f>
        <v/>
      </c>
      <c r="E486" s="10" t="str">
        <f>IF('Raw Data'!E473&lt;&gt;"",'Raw Data'!E473,"")</f>
        <v/>
      </c>
      <c r="F486" s="14" t="str">
        <f>IF('Raw Data'!A473&lt;&gt;"",AVERAGE('Raw Data'!F473,'Raw Data'!H473,'Raw Data'!J473,'Raw Data'!L473,'Raw Data'!N473),"")</f>
        <v/>
      </c>
      <c r="G486" s="14" t="str">
        <f>IF('Raw Data'!A473&lt;&gt;"",AVERAGE('Raw Data'!G473,'Raw Data'!I473,'Raw Data'!K473,'Raw Data'!M473,'Raw Data'!O473),"")</f>
        <v/>
      </c>
      <c r="H486" s="14" t="str">
        <f t="shared" si="80"/>
        <v/>
      </c>
      <c r="I486" s="14" t="str">
        <f>IF('Raw Data'!A473&lt;&gt;"",AVERAGE('Raw Data'!P473,'Raw Data'!R473,'Raw Data'!T473,'Raw Data'!V473,'Raw Data'!X473),"")</f>
        <v/>
      </c>
      <c r="J486" s="14" t="str">
        <f>IF('Raw Data'!A473&lt;&gt;"",AVERAGE('Raw Data'!Q473,'Raw Data'!S473,'Raw Data'!U473,'Raw Data'!W473,'Raw Data'!Y473),"")</f>
        <v/>
      </c>
      <c r="K486" s="14" t="str">
        <f t="shared" si="81"/>
        <v/>
      </c>
      <c r="L486" s="14" t="str">
        <f>IF('Raw Data'!A473&lt;&gt;"",AVERAGE('Raw Data'!Z473,'Raw Data'!AB473,'Raw Data'!AD473,'Raw Data'!AF473,'Raw Data'!AH473),"")</f>
        <v/>
      </c>
      <c r="M486" s="14" t="str">
        <f>IF('Raw Data'!A473&lt;&gt;"",AVERAGE('Raw Data'!AA473,'Raw Data'!AC473,'Raw Data'!AE473,'Raw Data'!AG473,'Raw Data'!AI473),"")</f>
        <v/>
      </c>
      <c r="N486" s="14" t="str">
        <f t="shared" si="82"/>
        <v/>
      </c>
      <c r="O486" s="14" t="str">
        <f>IF('Raw Data'!A473&lt;&gt;"",AVERAGE('Raw Data'!AJ473,'Raw Data'!AL473,'Raw Data'!AN473,'Raw Data'!AP473,'Raw Data'!AR473),"")</f>
        <v/>
      </c>
      <c r="P486" s="14" t="str">
        <f>IF('Raw Data'!A473&lt;&gt;"",AVERAGE('Raw Data'!AK473,'Raw Data'!AM473,'Raw Data'!AO473,'Raw Data'!AQ473,'Raw Data'!AS473),"")</f>
        <v/>
      </c>
      <c r="Q486" s="14" t="str">
        <f t="shared" si="83"/>
        <v/>
      </c>
      <c r="R486" s="14" t="str">
        <f>IF('Raw Data'!A473&lt;&gt;"",AVERAGE('Raw Data'!AT473,'Raw Data'!AV473,'Raw Data'!AX473,'Raw Data'!AZ473,'Raw Data'!BB473),"")</f>
        <v/>
      </c>
      <c r="S486" s="14" t="str">
        <f>IF('Raw Data'!A473&lt;&gt;"",AVERAGE('Raw Data'!AU473,'Raw Data'!AW473,'Raw Data'!AY473,'Raw Data'!BA473,'Raw Data'!BC473),"")</f>
        <v/>
      </c>
      <c r="T486" s="14" t="str">
        <f t="shared" si="84"/>
        <v/>
      </c>
      <c r="U486" s="14" t="str">
        <f>IF('Raw Data'!A473&lt;&gt;"",AVERAGE('Raw Data'!BD473,'Raw Data'!BF473,'Raw Data'!BH473,'Raw Data'!BJ473,'Raw Data'!BL473),"")</f>
        <v/>
      </c>
      <c r="V486" s="14" t="str">
        <f>IF('Raw Data'!A473&lt;&gt;"",AVERAGE('Raw Data'!BE473,'Raw Data'!BG473,'Raw Data'!BI473,'Raw Data'!BK473,'Raw Data'!BM473),"")</f>
        <v/>
      </c>
      <c r="W486" s="14" t="str">
        <f t="shared" si="85"/>
        <v/>
      </c>
      <c r="X486" s="14" t="str">
        <f t="shared" si="86"/>
        <v/>
      </c>
      <c r="Y486" s="14" t="str">
        <f t="shared" si="87"/>
        <v/>
      </c>
      <c r="Z486" s="14" t="str">
        <f t="shared" si="88"/>
        <v/>
      </c>
      <c r="AA486" s="14" t="str">
        <f t="shared" si="89"/>
        <v/>
      </c>
      <c r="AB486" s="25" t="str">
        <f t="shared" si="90"/>
        <v/>
      </c>
    </row>
    <row r="487" spans="1:28" x14ac:dyDescent="0.25">
      <c r="A487" s="2" t="str">
        <f>IF('Raw Data'!A474&lt;&gt;"",'Raw Data'!A474,"")</f>
        <v/>
      </c>
      <c r="B487" s="2" t="str">
        <f>IF('Raw Data'!B474&lt;&gt;"",'Raw Data'!B474,"")</f>
        <v/>
      </c>
      <c r="C487" s="2" t="str">
        <f>IF('Raw Data'!C474&lt;&gt;"",'Raw Data'!C474,"")</f>
        <v/>
      </c>
      <c r="D487" s="2" t="str">
        <f>IF('Raw Data'!D474&lt;&gt;"",'Raw Data'!D474,"")</f>
        <v/>
      </c>
      <c r="E487" s="2" t="str">
        <f>IF('Raw Data'!E474&lt;&gt;"",'Raw Data'!E474,"")</f>
        <v/>
      </c>
      <c r="F487" s="11" t="str">
        <f>IF('Raw Data'!A474&lt;&gt;"",AVERAGE('Raw Data'!F474,'Raw Data'!H474,'Raw Data'!J474,'Raw Data'!L474,'Raw Data'!N474),"")</f>
        <v/>
      </c>
      <c r="G487" s="11" t="str">
        <f>IF('Raw Data'!A474&lt;&gt;"",AVERAGE('Raw Data'!G474,'Raw Data'!I474,'Raw Data'!K474,'Raw Data'!M474,'Raw Data'!O474),"")</f>
        <v/>
      </c>
      <c r="H487" s="11" t="str">
        <f t="shared" si="80"/>
        <v/>
      </c>
      <c r="I487" s="11" t="str">
        <f>IF('Raw Data'!A474&lt;&gt;"",AVERAGE('Raw Data'!P474,'Raw Data'!R474,'Raw Data'!T474,'Raw Data'!V474,'Raw Data'!X474),"")</f>
        <v/>
      </c>
      <c r="J487" s="11" t="str">
        <f>IF('Raw Data'!A474&lt;&gt;"",AVERAGE('Raw Data'!Q474,'Raw Data'!S474,'Raw Data'!U474,'Raw Data'!W474,'Raw Data'!Y474),"")</f>
        <v/>
      </c>
      <c r="K487" s="11" t="str">
        <f t="shared" si="81"/>
        <v/>
      </c>
      <c r="L487" s="11" t="str">
        <f>IF('Raw Data'!A474&lt;&gt;"",AVERAGE('Raw Data'!Z474,'Raw Data'!AB474,'Raw Data'!AD474,'Raw Data'!AF474,'Raw Data'!AH474),"")</f>
        <v/>
      </c>
      <c r="M487" s="11" t="str">
        <f>IF('Raw Data'!A474&lt;&gt;"",AVERAGE('Raw Data'!AA474,'Raw Data'!AC474,'Raw Data'!AE474,'Raw Data'!AG474,'Raw Data'!AI474),"")</f>
        <v/>
      </c>
      <c r="N487" s="11" t="str">
        <f t="shared" si="82"/>
        <v/>
      </c>
      <c r="O487" s="11" t="str">
        <f>IF('Raw Data'!A474&lt;&gt;"",AVERAGE('Raw Data'!AJ474,'Raw Data'!AL474,'Raw Data'!AN474,'Raw Data'!AP474,'Raw Data'!AR474),"")</f>
        <v/>
      </c>
      <c r="P487" s="11" t="str">
        <f>IF('Raw Data'!A474&lt;&gt;"",AVERAGE('Raw Data'!AK474,'Raw Data'!AM474,'Raw Data'!AO474,'Raw Data'!AQ474,'Raw Data'!AS474),"")</f>
        <v/>
      </c>
      <c r="Q487" s="11" t="str">
        <f t="shared" si="83"/>
        <v/>
      </c>
      <c r="R487" s="11" t="str">
        <f>IF('Raw Data'!A474&lt;&gt;"",AVERAGE('Raw Data'!AT474,'Raw Data'!AV474,'Raw Data'!AX474,'Raw Data'!AZ474,'Raw Data'!BB474),"")</f>
        <v/>
      </c>
      <c r="S487" s="11" t="str">
        <f>IF('Raw Data'!A474&lt;&gt;"",AVERAGE('Raw Data'!AU474,'Raw Data'!AW474,'Raw Data'!AY474,'Raw Data'!BA474,'Raw Data'!BC474),"")</f>
        <v/>
      </c>
      <c r="T487" s="11" t="str">
        <f t="shared" si="84"/>
        <v/>
      </c>
      <c r="U487" s="11" t="str">
        <f>IF('Raw Data'!A474&lt;&gt;"",AVERAGE('Raw Data'!BD474,'Raw Data'!BF474,'Raw Data'!BH474,'Raw Data'!BJ474,'Raw Data'!BL474),"")</f>
        <v/>
      </c>
      <c r="V487" s="11" t="str">
        <f>IF('Raw Data'!A474&lt;&gt;"",AVERAGE('Raw Data'!BE474,'Raw Data'!BG474,'Raw Data'!BI474,'Raw Data'!BK474,'Raw Data'!BM474),"")</f>
        <v/>
      </c>
      <c r="W487" s="11" t="str">
        <f t="shared" si="85"/>
        <v/>
      </c>
      <c r="X487" s="11" t="str">
        <f t="shared" si="86"/>
        <v/>
      </c>
      <c r="Y487" s="11" t="str">
        <f t="shared" si="87"/>
        <v/>
      </c>
      <c r="Z487" s="11" t="str">
        <f t="shared" si="88"/>
        <v/>
      </c>
      <c r="AA487" s="11" t="str">
        <f t="shared" si="89"/>
        <v/>
      </c>
      <c r="AB487" s="24" t="str">
        <f t="shared" si="90"/>
        <v/>
      </c>
    </row>
    <row r="488" spans="1:28" x14ac:dyDescent="0.25">
      <c r="A488" s="10" t="str">
        <f>IF('Raw Data'!A475&lt;&gt;"",'Raw Data'!A475,"")</f>
        <v/>
      </c>
      <c r="B488" s="10" t="str">
        <f>IF('Raw Data'!B475&lt;&gt;"",'Raw Data'!B475,"")</f>
        <v/>
      </c>
      <c r="C488" s="10" t="str">
        <f>IF('Raw Data'!C475&lt;&gt;"",'Raw Data'!C475,"")</f>
        <v/>
      </c>
      <c r="D488" s="10" t="str">
        <f>IF('Raw Data'!D475&lt;&gt;"",'Raw Data'!D475,"")</f>
        <v/>
      </c>
      <c r="E488" s="10" t="str">
        <f>IF('Raw Data'!E475&lt;&gt;"",'Raw Data'!E475,"")</f>
        <v/>
      </c>
      <c r="F488" s="14" t="str">
        <f>IF('Raw Data'!A475&lt;&gt;"",AVERAGE('Raw Data'!F475,'Raw Data'!H475,'Raw Data'!J475,'Raw Data'!L475,'Raw Data'!N475),"")</f>
        <v/>
      </c>
      <c r="G488" s="14" t="str">
        <f>IF('Raw Data'!A475&lt;&gt;"",AVERAGE('Raw Data'!G475,'Raw Data'!I475,'Raw Data'!K475,'Raw Data'!M475,'Raw Data'!O475),"")</f>
        <v/>
      </c>
      <c r="H488" s="14" t="str">
        <f t="shared" si="80"/>
        <v/>
      </c>
      <c r="I488" s="14" t="str">
        <f>IF('Raw Data'!A475&lt;&gt;"",AVERAGE('Raw Data'!P475,'Raw Data'!R475,'Raw Data'!T475,'Raw Data'!V475,'Raw Data'!X475),"")</f>
        <v/>
      </c>
      <c r="J488" s="14" t="str">
        <f>IF('Raw Data'!A475&lt;&gt;"",AVERAGE('Raw Data'!Q475,'Raw Data'!S475,'Raw Data'!U475,'Raw Data'!W475,'Raw Data'!Y475),"")</f>
        <v/>
      </c>
      <c r="K488" s="14" t="str">
        <f t="shared" si="81"/>
        <v/>
      </c>
      <c r="L488" s="14" t="str">
        <f>IF('Raw Data'!A475&lt;&gt;"",AVERAGE('Raw Data'!Z475,'Raw Data'!AB475,'Raw Data'!AD475,'Raw Data'!AF475,'Raw Data'!AH475),"")</f>
        <v/>
      </c>
      <c r="M488" s="14" t="str">
        <f>IF('Raw Data'!A475&lt;&gt;"",AVERAGE('Raw Data'!AA475,'Raw Data'!AC475,'Raw Data'!AE475,'Raw Data'!AG475,'Raw Data'!AI475),"")</f>
        <v/>
      </c>
      <c r="N488" s="14" t="str">
        <f t="shared" si="82"/>
        <v/>
      </c>
      <c r="O488" s="14" t="str">
        <f>IF('Raw Data'!A475&lt;&gt;"",AVERAGE('Raw Data'!AJ475,'Raw Data'!AL475,'Raw Data'!AN475,'Raw Data'!AP475,'Raw Data'!AR475),"")</f>
        <v/>
      </c>
      <c r="P488" s="14" t="str">
        <f>IF('Raw Data'!A475&lt;&gt;"",AVERAGE('Raw Data'!AK475,'Raw Data'!AM475,'Raw Data'!AO475,'Raw Data'!AQ475,'Raw Data'!AS475),"")</f>
        <v/>
      </c>
      <c r="Q488" s="14" t="str">
        <f t="shared" si="83"/>
        <v/>
      </c>
      <c r="R488" s="14" t="str">
        <f>IF('Raw Data'!A475&lt;&gt;"",AVERAGE('Raw Data'!AT475,'Raw Data'!AV475,'Raw Data'!AX475,'Raw Data'!AZ475,'Raw Data'!BB475),"")</f>
        <v/>
      </c>
      <c r="S488" s="14" t="str">
        <f>IF('Raw Data'!A475&lt;&gt;"",AVERAGE('Raw Data'!AU475,'Raw Data'!AW475,'Raw Data'!AY475,'Raw Data'!BA475,'Raw Data'!BC475),"")</f>
        <v/>
      </c>
      <c r="T488" s="14" t="str">
        <f t="shared" si="84"/>
        <v/>
      </c>
      <c r="U488" s="14" t="str">
        <f>IF('Raw Data'!A475&lt;&gt;"",AVERAGE('Raw Data'!BD475,'Raw Data'!BF475,'Raw Data'!BH475,'Raw Data'!BJ475,'Raw Data'!BL475),"")</f>
        <v/>
      </c>
      <c r="V488" s="14" t="str">
        <f>IF('Raw Data'!A475&lt;&gt;"",AVERAGE('Raw Data'!BE475,'Raw Data'!BG475,'Raw Data'!BI475,'Raw Data'!BK475,'Raw Data'!BM475),"")</f>
        <v/>
      </c>
      <c r="W488" s="14" t="str">
        <f t="shared" si="85"/>
        <v/>
      </c>
      <c r="X488" s="14" t="str">
        <f t="shared" si="86"/>
        <v/>
      </c>
      <c r="Y488" s="14" t="str">
        <f t="shared" si="87"/>
        <v/>
      </c>
      <c r="Z488" s="14" t="str">
        <f t="shared" si="88"/>
        <v/>
      </c>
      <c r="AA488" s="14" t="str">
        <f t="shared" si="89"/>
        <v/>
      </c>
      <c r="AB488" s="25" t="str">
        <f t="shared" si="90"/>
        <v/>
      </c>
    </row>
    <row r="489" spans="1:28" x14ac:dyDescent="0.25">
      <c r="A489" s="2" t="str">
        <f>IF('Raw Data'!A476&lt;&gt;"",'Raw Data'!A476,"")</f>
        <v/>
      </c>
      <c r="B489" s="2" t="str">
        <f>IF('Raw Data'!B476&lt;&gt;"",'Raw Data'!B476,"")</f>
        <v/>
      </c>
      <c r="C489" s="2" t="str">
        <f>IF('Raw Data'!C476&lt;&gt;"",'Raw Data'!C476,"")</f>
        <v/>
      </c>
      <c r="D489" s="2" t="str">
        <f>IF('Raw Data'!D476&lt;&gt;"",'Raw Data'!D476,"")</f>
        <v/>
      </c>
      <c r="E489" s="2" t="str">
        <f>IF('Raw Data'!E476&lt;&gt;"",'Raw Data'!E476,"")</f>
        <v/>
      </c>
      <c r="F489" s="11" t="str">
        <f>IF('Raw Data'!A476&lt;&gt;"",AVERAGE('Raw Data'!F476,'Raw Data'!H476,'Raw Data'!J476,'Raw Data'!L476,'Raw Data'!N476),"")</f>
        <v/>
      </c>
      <c r="G489" s="11" t="str">
        <f>IF('Raw Data'!A476&lt;&gt;"",AVERAGE('Raw Data'!G476,'Raw Data'!I476,'Raw Data'!K476,'Raw Data'!M476,'Raw Data'!O476),"")</f>
        <v/>
      </c>
      <c r="H489" s="11" t="str">
        <f t="shared" si="80"/>
        <v/>
      </c>
      <c r="I489" s="11" t="str">
        <f>IF('Raw Data'!A476&lt;&gt;"",AVERAGE('Raw Data'!P476,'Raw Data'!R476,'Raw Data'!T476,'Raw Data'!V476,'Raw Data'!X476),"")</f>
        <v/>
      </c>
      <c r="J489" s="11" t="str">
        <f>IF('Raw Data'!A476&lt;&gt;"",AVERAGE('Raw Data'!Q476,'Raw Data'!S476,'Raw Data'!U476,'Raw Data'!W476,'Raw Data'!Y476),"")</f>
        <v/>
      </c>
      <c r="K489" s="11" t="str">
        <f t="shared" si="81"/>
        <v/>
      </c>
      <c r="L489" s="11" t="str">
        <f>IF('Raw Data'!A476&lt;&gt;"",AVERAGE('Raw Data'!Z476,'Raw Data'!AB476,'Raw Data'!AD476,'Raw Data'!AF476,'Raw Data'!AH476),"")</f>
        <v/>
      </c>
      <c r="M489" s="11" t="str">
        <f>IF('Raw Data'!A476&lt;&gt;"",AVERAGE('Raw Data'!AA476,'Raw Data'!AC476,'Raw Data'!AE476,'Raw Data'!AG476,'Raw Data'!AI476),"")</f>
        <v/>
      </c>
      <c r="N489" s="11" t="str">
        <f t="shared" si="82"/>
        <v/>
      </c>
      <c r="O489" s="11" t="str">
        <f>IF('Raw Data'!A476&lt;&gt;"",AVERAGE('Raw Data'!AJ476,'Raw Data'!AL476,'Raw Data'!AN476,'Raw Data'!AP476,'Raw Data'!AR476),"")</f>
        <v/>
      </c>
      <c r="P489" s="11" t="str">
        <f>IF('Raw Data'!A476&lt;&gt;"",AVERAGE('Raw Data'!AK476,'Raw Data'!AM476,'Raw Data'!AO476,'Raw Data'!AQ476,'Raw Data'!AS476),"")</f>
        <v/>
      </c>
      <c r="Q489" s="11" t="str">
        <f t="shared" si="83"/>
        <v/>
      </c>
      <c r="R489" s="11" t="str">
        <f>IF('Raw Data'!A476&lt;&gt;"",AVERAGE('Raw Data'!AT476,'Raw Data'!AV476,'Raw Data'!AX476,'Raw Data'!AZ476,'Raw Data'!BB476),"")</f>
        <v/>
      </c>
      <c r="S489" s="11" t="str">
        <f>IF('Raw Data'!A476&lt;&gt;"",AVERAGE('Raw Data'!AU476,'Raw Data'!AW476,'Raw Data'!AY476,'Raw Data'!BA476,'Raw Data'!BC476),"")</f>
        <v/>
      </c>
      <c r="T489" s="11" t="str">
        <f t="shared" si="84"/>
        <v/>
      </c>
      <c r="U489" s="11" t="str">
        <f>IF('Raw Data'!A476&lt;&gt;"",AVERAGE('Raw Data'!BD476,'Raw Data'!BF476,'Raw Data'!BH476,'Raw Data'!BJ476,'Raw Data'!BL476),"")</f>
        <v/>
      </c>
      <c r="V489" s="11" t="str">
        <f>IF('Raw Data'!A476&lt;&gt;"",AVERAGE('Raw Data'!BE476,'Raw Data'!BG476,'Raw Data'!BI476,'Raw Data'!BK476,'Raw Data'!BM476),"")</f>
        <v/>
      </c>
      <c r="W489" s="11" t="str">
        <f t="shared" si="85"/>
        <v/>
      </c>
      <c r="X489" s="11" t="str">
        <f t="shared" si="86"/>
        <v/>
      </c>
      <c r="Y489" s="11" t="str">
        <f t="shared" si="87"/>
        <v/>
      </c>
      <c r="Z489" s="11" t="str">
        <f t="shared" si="88"/>
        <v/>
      </c>
      <c r="AA489" s="11" t="str">
        <f t="shared" si="89"/>
        <v/>
      </c>
      <c r="AB489" s="24" t="str">
        <f t="shared" si="90"/>
        <v/>
      </c>
    </row>
    <row r="490" spans="1:28" x14ac:dyDescent="0.25">
      <c r="A490" s="10" t="str">
        <f>IF('Raw Data'!A477&lt;&gt;"",'Raw Data'!A477,"")</f>
        <v/>
      </c>
      <c r="B490" s="10" t="str">
        <f>IF('Raw Data'!B477&lt;&gt;"",'Raw Data'!B477,"")</f>
        <v/>
      </c>
      <c r="C490" s="10" t="str">
        <f>IF('Raw Data'!C477&lt;&gt;"",'Raw Data'!C477,"")</f>
        <v/>
      </c>
      <c r="D490" s="10" t="str">
        <f>IF('Raw Data'!D477&lt;&gt;"",'Raw Data'!D477,"")</f>
        <v/>
      </c>
      <c r="E490" s="10" t="str">
        <f>IF('Raw Data'!E477&lt;&gt;"",'Raw Data'!E477,"")</f>
        <v/>
      </c>
      <c r="F490" s="14" t="str">
        <f>IF('Raw Data'!A477&lt;&gt;"",AVERAGE('Raw Data'!F477,'Raw Data'!H477,'Raw Data'!J477,'Raw Data'!L477,'Raw Data'!N477),"")</f>
        <v/>
      </c>
      <c r="G490" s="14" t="str">
        <f>IF('Raw Data'!A477&lt;&gt;"",AVERAGE('Raw Data'!G477,'Raw Data'!I477,'Raw Data'!K477,'Raw Data'!M477,'Raw Data'!O477),"")</f>
        <v/>
      </c>
      <c r="H490" s="14" t="str">
        <f t="shared" si="80"/>
        <v/>
      </c>
      <c r="I490" s="14" t="str">
        <f>IF('Raw Data'!A477&lt;&gt;"",AVERAGE('Raw Data'!P477,'Raw Data'!R477,'Raw Data'!T477,'Raw Data'!V477,'Raw Data'!X477),"")</f>
        <v/>
      </c>
      <c r="J490" s="14" t="str">
        <f>IF('Raw Data'!A477&lt;&gt;"",AVERAGE('Raw Data'!Q477,'Raw Data'!S477,'Raw Data'!U477,'Raw Data'!W477,'Raw Data'!Y477),"")</f>
        <v/>
      </c>
      <c r="K490" s="14" t="str">
        <f t="shared" si="81"/>
        <v/>
      </c>
      <c r="L490" s="14" t="str">
        <f>IF('Raw Data'!A477&lt;&gt;"",AVERAGE('Raw Data'!Z477,'Raw Data'!AB477,'Raw Data'!AD477,'Raw Data'!AF477,'Raw Data'!AH477),"")</f>
        <v/>
      </c>
      <c r="M490" s="14" t="str">
        <f>IF('Raw Data'!A477&lt;&gt;"",AVERAGE('Raw Data'!AA477,'Raw Data'!AC477,'Raw Data'!AE477,'Raw Data'!AG477,'Raw Data'!AI477),"")</f>
        <v/>
      </c>
      <c r="N490" s="14" t="str">
        <f t="shared" si="82"/>
        <v/>
      </c>
      <c r="O490" s="14" t="str">
        <f>IF('Raw Data'!A477&lt;&gt;"",AVERAGE('Raw Data'!AJ477,'Raw Data'!AL477,'Raw Data'!AN477,'Raw Data'!AP477,'Raw Data'!AR477),"")</f>
        <v/>
      </c>
      <c r="P490" s="14" t="str">
        <f>IF('Raw Data'!A477&lt;&gt;"",AVERAGE('Raw Data'!AK477,'Raw Data'!AM477,'Raw Data'!AO477,'Raw Data'!AQ477,'Raw Data'!AS477),"")</f>
        <v/>
      </c>
      <c r="Q490" s="14" t="str">
        <f t="shared" si="83"/>
        <v/>
      </c>
      <c r="R490" s="14" t="str">
        <f>IF('Raw Data'!A477&lt;&gt;"",AVERAGE('Raw Data'!AT477,'Raw Data'!AV477,'Raw Data'!AX477,'Raw Data'!AZ477,'Raw Data'!BB477),"")</f>
        <v/>
      </c>
      <c r="S490" s="14" t="str">
        <f>IF('Raw Data'!A477&lt;&gt;"",AVERAGE('Raw Data'!AU477,'Raw Data'!AW477,'Raw Data'!AY477,'Raw Data'!BA477,'Raw Data'!BC477),"")</f>
        <v/>
      </c>
      <c r="T490" s="14" t="str">
        <f t="shared" si="84"/>
        <v/>
      </c>
      <c r="U490" s="14" t="str">
        <f>IF('Raw Data'!A477&lt;&gt;"",AVERAGE('Raw Data'!BD477,'Raw Data'!BF477,'Raw Data'!BH477,'Raw Data'!BJ477,'Raw Data'!BL477),"")</f>
        <v/>
      </c>
      <c r="V490" s="14" t="str">
        <f>IF('Raw Data'!A477&lt;&gt;"",AVERAGE('Raw Data'!BE477,'Raw Data'!BG477,'Raw Data'!BI477,'Raw Data'!BK477,'Raw Data'!BM477),"")</f>
        <v/>
      </c>
      <c r="W490" s="14" t="str">
        <f t="shared" si="85"/>
        <v/>
      </c>
      <c r="X490" s="14" t="str">
        <f t="shared" si="86"/>
        <v/>
      </c>
      <c r="Y490" s="14" t="str">
        <f t="shared" si="87"/>
        <v/>
      </c>
      <c r="Z490" s="14" t="str">
        <f t="shared" si="88"/>
        <v/>
      </c>
      <c r="AA490" s="14" t="str">
        <f t="shared" si="89"/>
        <v/>
      </c>
      <c r="AB490" s="25" t="str">
        <f t="shared" si="90"/>
        <v/>
      </c>
    </row>
    <row r="491" spans="1:28" x14ac:dyDescent="0.25">
      <c r="A491" s="2" t="str">
        <f>IF('Raw Data'!A478&lt;&gt;"",'Raw Data'!A478,"")</f>
        <v/>
      </c>
      <c r="B491" s="2" t="str">
        <f>IF('Raw Data'!B478&lt;&gt;"",'Raw Data'!B478,"")</f>
        <v/>
      </c>
      <c r="C491" s="2" t="str">
        <f>IF('Raw Data'!C478&lt;&gt;"",'Raw Data'!C478,"")</f>
        <v/>
      </c>
      <c r="D491" s="2" t="str">
        <f>IF('Raw Data'!D478&lt;&gt;"",'Raw Data'!D478,"")</f>
        <v/>
      </c>
      <c r="E491" s="2" t="str">
        <f>IF('Raw Data'!E478&lt;&gt;"",'Raw Data'!E478,"")</f>
        <v/>
      </c>
      <c r="F491" s="11" t="str">
        <f>IF('Raw Data'!A478&lt;&gt;"",AVERAGE('Raw Data'!F478,'Raw Data'!H478,'Raw Data'!J478,'Raw Data'!L478,'Raw Data'!N478),"")</f>
        <v/>
      </c>
      <c r="G491" s="11" t="str">
        <f>IF('Raw Data'!A478&lt;&gt;"",AVERAGE('Raw Data'!G478,'Raw Data'!I478,'Raw Data'!K478,'Raw Data'!M478,'Raw Data'!O478),"")</f>
        <v/>
      </c>
      <c r="H491" s="11" t="str">
        <f t="shared" si="80"/>
        <v/>
      </c>
      <c r="I491" s="11" t="str">
        <f>IF('Raw Data'!A478&lt;&gt;"",AVERAGE('Raw Data'!P478,'Raw Data'!R478,'Raw Data'!T478,'Raw Data'!V478,'Raw Data'!X478),"")</f>
        <v/>
      </c>
      <c r="J491" s="11" t="str">
        <f>IF('Raw Data'!A478&lt;&gt;"",AVERAGE('Raw Data'!Q478,'Raw Data'!S478,'Raw Data'!U478,'Raw Data'!W478,'Raw Data'!Y478),"")</f>
        <v/>
      </c>
      <c r="K491" s="11" t="str">
        <f t="shared" si="81"/>
        <v/>
      </c>
      <c r="L491" s="11" t="str">
        <f>IF('Raw Data'!A478&lt;&gt;"",AVERAGE('Raw Data'!Z478,'Raw Data'!AB478,'Raw Data'!AD478,'Raw Data'!AF478,'Raw Data'!AH478),"")</f>
        <v/>
      </c>
      <c r="M491" s="11" t="str">
        <f>IF('Raw Data'!A478&lt;&gt;"",AVERAGE('Raw Data'!AA478,'Raw Data'!AC478,'Raw Data'!AE478,'Raw Data'!AG478,'Raw Data'!AI478),"")</f>
        <v/>
      </c>
      <c r="N491" s="11" t="str">
        <f t="shared" si="82"/>
        <v/>
      </c>
      <c r="O491" s="11" t="str">
        <f>IF('Raw Data'!A478&lt;&gt;"",AVERAGE('Raw Data'!AJ478,'Raw Data'!AL478,'Raw Data'!AN478,'Raw Data'!AP478,'Raw Data'!AR478),"")</f>
        <v/>
      </c>
      <c r="P491" s="11" t="str">
        <f>IF('Raw Data'!A478&lt;&gt;"",AVERAGE('Raw Data'!AK478,'Raw Data'!AM478,'Raw Data'!AO478,'Raw Data'!AQ478,'Raw Data'!AS478),"")</f>
        <v/>
      </c>
      <c r="Q491" s="11" t="str">
        <f t="shared" si="83"/>
        <v/>
      </c>
      <c r="R491" s="11" t="str">
        <f>IF('Raw Data'!A478&lt;&gt;"",AVERAGE('Raw Data'!AT478,'Raw Data'!AV478,'Raw Data'!AX478,'Raw Data'!AZ478,'Raw Data'!BB478),"")</f>
        <v/>
      </c>
      <c r="S491" s="11" t="str">
        <f>IF('Raw Data'!A478&lt;&gt;"",AVERAGE('Raw Data'!AU478,'Raw Data'!AW478,'Raw Data'!AY478,'Raw Data'!BA478,'Raw Data'!BC478),"")</f>
        <v/>
      </c>
      <c r="T491" s="11" t="str">
        <f t="shared" si="84"/>
        <v/>
      </c>
      <c r="U491" s="11" t="str">
        <f>IF('Raw Data'!A478&lt;&gt;"",AVERAGE('Raw Data'!BD478,'Raw Data'!BF478,'Raw Data'!BH478,'Raw Data'!BJ478,'Raw Data'!BL478),"")</f>
        <v/>
      </c>
      <c r="V491" s="11" t="str">
        <f>IF('Raw Data'!A478&lt;&gt;"",AVERAGE('Raw Data'!BE478,'Raw Data'!BG478,'Raw Data'!BI478,'Raw Data'!BK478,'Raw Data'!BM478),"")</f>
        <v/>
      </c>
      <c r="W491" s="11" t="str">
        <f t="shared" si="85"/>
        <v/>
      </c>
      <c r="X491" s="11" t="str">
        <f t="shared" si="86"/>
        <v/>
      </c>
      <c r="Y491" s="11" t="str">
        <f t="shared" si="87"/>
        <v/>
      </c>
      <c r="Z491" s="11" t="str">
        <f t="shared" si="88"/>
        <v/>
      </c>
      <c r="AA491" s="11" t="str">
        <f t="shared" si="89"/>
        <v/>
      </c>
      <c r="AB491" s="24" t="str">
        <f t="shared" si="90"/>
        <v/>
      </c>
    </row>
    <row r="492" spans="1:28" x14ac:dyDescent="0.25">
      <c r="A492" s="10" t="str">
        <f>IF('Raw Data'!A479&lt;&gt;"",'Raw Data'!A479,"")</f>
        <v/>
      </c>
      <c r="B492" s="10" t="str">
        <f>IF('Raw Data'!B479&lt;&gt;"",'Raw Data'!B479,"")</f>
        <v/>
      </c>
      <c r="C492" s="10" t="str">
        <f>IF('Raw Data'!C479&lt;&gt;"",'Raw Data'!C479,"")</f>
        <v/>
      </c>
      <c r="D492" s="10" t="str">
        <f>IF('Raw Data'!D479&lt;&gt;"",'Raw Data'!D479,"")</f>
        <v/>
      </c>
      <c r="E492" s="10" t="str">
        <f>IF('Raw Data'!E479&lt;&gt;"",'Raw Data'!E479,"")</f>
        <v/>
      </c>
      <c r="F492" s="14" t="str">
        <f>IF('Raw Data'!A479&lt;&gt;"",AVERAGE('Raw Data'!F479,'Raw Data'!H479,'Raw Data'!J479,'Raw Data'!L479,'Raw Data'!N479),"")</f>
        <v/>
      </c>
      <c r="G492" s="14" t="str">
        <f>IF('Raw Data'!A479&lt;&gt;"",AVERAGE('Raw Data'!G479,'Raw Data'!I479,'Raw Data'!K479,'Raw Data'!M479,'Raw Data'!O479),"")</f>
        <v/>
      </c>
      <c r="H492" s="14" t="str">
        <f t="shared" si="80"/>
        <v/>
      </c>
      <c r="I492" s="14" t="str">
        <f>IF('Raw Data'!A479&lt;&gt;"",AVERAGE('Raw Data'!P479,'Raw Data'!R479,'Raw Data'!T479,'Raw Data'!V479,'Raw Data'!X479),"")</f>
        <v/>
      </c>
      <c r="J492" s="14" t="str">
        <f>IF('Raw Data'!A479&lt;&gt;"",AVERAGE('Raw Data'!Q479,'Raw Data'!S479,'Raw Data'!U479,'Raw Data'!W479,'Raw Data'!Y479),"")</f>
        <v/>
      </c>
      <c r="K492" s="14" t="str">
        <f t="shared" si="81"/>
        <v/>
      </c>
      <c r="L492" s="14" t="str">
        <f>IF('Raw Data'!A479&lt;&gt;"",AVERAGE('Raw Data'!Z479,'Raw Data'!AB479,'Raw Data'!AD479,'Raw Data'!AF479,'Raw Data'!AH479),"")</f>
        <v/>
      </c>
      <c r="M492" s="14" t="str">
        <f>IF('Raw Data'!A479&lt;&gt;"",AVERAGE('Raw Data'!AA479,'Raw Data'!AC479,'Raw Data'!AE479,'Raw Data'!AG479,'Raw Data'!AI479),"")</f>
        <v/>
      </c>
      <c r="N492" s="14" t="str">
        <f t="shared" si="82"/>
        <v/>
      </c>
      <c r="O492" s="14" t="str">
        <f>IF('Raw Data'!A479&lt;&gt;"",AVERAGE('Raw Data'!AJ479,'Raw Data'!AL479,'Raw Data'!AN479,'Raw Data'!AP479,'Raw Data'!AR479),"")</f>
        <v/>
      </c>
      <c r="P492" s="14" t="str">
        <f>IF('Raw Data'!A479&lt;&gt;"",AVERAGE('Raw Data'!AK479,'Raw Data'!AM479,'Raw Data'!AO479,'Raw Data'!AQ479,'Raw Data'!AS479),"")</f>
        <v/>
      </c>
      <c r="Q492" s="14" t="str">
        <f t="shared" si="83"/>
        <v/>
      </c>
      <c r="R492" s="14" t="str">
        <f>IF('Raw Data'!A479&lt;&gt;"",AVERAGE('Raw Data'!AT479,'Raw Data'!AV479,'Raw Data'!AX479,'Raw Data'!AZ479,'Raw Data'!BB479),"")</f>
        <v/>
      </c>
      <c r="S492" s="14" t="str">
        <f>IF('Raw Data'!A479&lt;&gt;"",AVERAGE('Raw Data'!AU479,'Raw Data'!AW479,'Raw Data'!AY479,'Raw Data'!BA479,'Raw Data'!BC479),"")</f>
        <v/>
      </c>
      <c r="T492" s="14" t="str">
        <f t="shared" si="84"/>
        <v/>
      </c>
      <c r="U492" s="14" t="str">
        <f>IF('Raw Data'!A479&lt;&gt;"",AVERAGE('Raw Data'!BD479,'Raw Data'!BF479,'Raw Data'!BH479,'Raw Data'!BJ479,'Raw Data'!BL479),"")</f>
        <v/>
      </c>
      <c r="V492" s="14" t="str">
        <f>IF('Raw Data'!A479&lt;&gt;"",AVERAGE('Raw Data'!BE479,'Raw Data'!BG479,'Raw Data'!BI479,'Raw Data'!BK479,'Raw Data'!BM479),"")</f>
        <v/>
      </c>
      <c r="W492" s="14" t="str">
        <f t="shared" si="85"/>
        <v/>
      </c>
      <c r="X492" s="14" t="str">
        <f t="shared" si="86"/>
        <v/>
      </c>
      <c r="Y492" s="14" t="str">
        <f t="shared" si="87"/>
        <v/>
      </c>
      <c r="Z492" s="14" t="str">
        <f t="shared" si="88"/>
        <v/>
      </c>
      <c r="AA492" s="14" t="str">
        <f t="shared" si="89"/>
        <v/>
      </c>
      <c r="AB492" s="25" t="str">
        <f t="shared" si="90"/>
        <v/>
      </c>
    </row>
    <row r="493" spans="1:28" x14ac:dyDescent="0.25">
      <c r="A493" s="2" t="str">
        <f>IF('Raw Data'!A480&lt;&gt;"",'Raw Data'!A480,"")</f>
        <v/>
      </c>
      <c r="B493" s="2" t="str">
        <f>IF('Raw Data'!B480&lt;&gt;"",'Raw Data'!B480,"")</f>
        <v/>
      </c>
      <c r="C493" s="2" t="str">
        <f>IF('Raw Data'!C480&lt;&gt;"",'Raw Data'!C480,"")</f>
        <v/>
      </c>
      <c r="D493" s="2" t="str">
        <f>IF('Raw Data'!D480&lt;&gt;"",'Raw Data'!D480,"")</f>
        <v/>
      </c>
      <c r="E493" s="2" t="str">
        <f>IF('Raw Data'!E480&lt;&gt;"",'Raw Data'!E480,"")</f>
        <v/>
      </c>
      <c r="F493" s="11" t="str">
        <f>IF('Raw Data'!A480&lt;&gt;"",AVERAGE('Raw Data'!F480,'Raw Data'!H480,'Raw Data'!J480,'Raw Data'!L480,'Raw Data'!N480),"")</f>
        <v/>
      </c>
      <c r="G493" s="11" t="str">
        <f>IF('Raw Data'!A480&lt;&gt;"",AVERAGE('Raw Data'!G480,'Raw Data'!I480,'Raw Data'!K480,'Raw Data'!M480,'Raw Data'!O480),"")</f>
        <v/>
      </c>
      <c r="H493" s="11" t="str">
        <f t="shared" si="80"/>
        <v/>
      </c>
      <c r="I493" s="11" t="str">
        <f>IF('Raw Data'!A480&lt;&gt;"",AVERAGE('Raw Data'!P480,'Raw Data'!R480,'Raw Data'!T480,'Raw Data'!V480,'Raw Data'!X480),"")</f>
        <v/>
      </c>
      <c r="J493" s="11" t="str">
        <f>IF('Raw Data'!A480&lt;&gt;"",AVERAGE('Raw Data'!Q480,'Raw Data'!S480,'Raw Data'!U480,'Raw Data'!W480,'Raw Data'!Y480),"")</f>
        <v/>
      </c>
      <c r="K493" s="11" t="str">
        <f t="shared" si="81"/>
        <v/>
      </c>
      <c r="L493" s="11" t="str">
        <f>IF('Raw Data'!A480&lt;&gt;"",AVERAGE('Raw Data'!Z480,'Raw Data'!AB480,'Raw Data'!AD480,'Raw Data'!AF480,'Raw Data'!AH480),"")</f>
        <v/>
      </c>
      <c r="M493" s="11" t="str">
        <f>IF('Raw Data'!A480&lt;&gt;"",AVERAGE('Raw Data'!AA480,'Raw Data'!AC480,'Raw Data'!AE480,'Raw Data'!AG480,'Raw Data'!AI480),"")</f>
        <v/>
      </c>
      <c r="N493" s="11" t="str">
        <f t="shared" si="82"/>
        <v/>
      </c>
      <c r="O493" s="11" t="str">
        <f>IF('Raw Data'!A480&lt;&gt;"",AVERAGE('Raw Data'!AJ480,'Raw Data'!AL480,'Raw Data'!AN480,'Raw Data'!AP480,'Raw Data'!AR480),"")</f>
        <v/>
      </c>
      <c r="P493" s="11" t="str">
        <f>IF('Raw Data'!A480&lt;&gt;"",AVERAGE('Raw Data'!AK480,'Raw Data'!AM480,'Raw Data'!AO480,'Raw Data'!AQ480,'Raw Data'!AS480),"")</f>
        <v/>
      </c>
      <c r="Q493" s="11" t="str">
        <f t="shared" si="83"/>
        <v/>
      </c>
      <c r="R493" s="11" t="str">
        <f>IF('Raw Data'!A480&lt;&gt;"",AVERAGE('Raw Data'!AT480,'Raw Data'!AV480,'Raw Data'!AX480,'Raw Data'!AZ480,'Raw Data'!BB480),"")</f>
        <v/>
      </c>
      <c r="S493" s="11" t="str">
        <f>IF('Raw Data'!A480&lt;&gt;"",AVERAGE('Raw Data'!AU480,'Raw Data'!AW480,'Raw Data'!AY480,'Raw Data'!BA480,'Raw Data'!BC480),"")</f>
        <v/>
      </c>
      <c r="T493" s="11" t="str">
        <f t="shared" si="84"/>
        <v/>
      </c>
      <c r="U493" s="11" t="str">
        <f>IF('Raw Data'!A480&lt;&gt;"",AVERAGE('Raw Data'!BD480,'Raw Data'!BF480,'Raw Data'!BH480,'Raw Data'!BJ480,'Raw Data'!BL480),"")</f>
        <v/>
      </c>
      <c r="V493" s="11" t="str">
        <f>IF('Raw Data'!A480&lt;&gt;"",AVERAGE('Raw Data'!BE480,'Raw Data'!BG480,'Raw Data'!BI480,'Raw Data'!BK480,'Raw Data'!BM480),"")</f>
        <v/>
      </c>
      <c r="W493" s="11" t="str">
        <f t="shared" si="85"/>
        <v/>
      </c>
      <c r="X493" s="11" t="str">
        <f t="shared" si="86"/>
        <v/>
      </c>
      <c r="Y493" s="11" t="str">
        <f t="shared" si="87"/>
        <v/>
      </c>
      <c r="Z493" s="11" t="str">
        <f t="shared" si="88"/>
        <v/>
      </c>
      <c r="AA493" s="11" t="str">
        <f t="shared" si="89"/>
        <v/>
      </c>
      <c r="AB493" s="24" t="str">
        <f t="shared" si="90"/>
        <v/>
      </c>
    </row>
    <row r="494" spans="1:28" x14ac:dyDescent="0.25">
      <c r="A494" s="10" t="str">
        <f>IF('Raw Data'!A481&lt;&gt;"",'Raw Data'!A481,"")</f>
        <v/>
      </c>
      <c r="B494" s="10" t="str">
        <f>IF('Raw Data'!B481&lt;&gt;"",'Raw Data'!B481,"")</f>
        <v/>
      </c>
      <c r="C494" s="10" t="str">
        <f>IF('Raw Data'!C481&lt;&gt;"",'Raw Data'!C481,"")</f>
        <v/>
      </c>
      <c r="D494" s="10" t="str">
        <f>IF('Raw Data'!D481&lt;&gt;"",'Raw Data'!D481,"")</f>
        <v/>
      </c>
      <c r="E494" s="10" t="str">
        <f>IF('Raw Data'!E481&lt;&gt;"",'Raw Data'!E481,"")</f>
        <v/>
      </c>
      <c r="F494" s="14" t="str">
        <f>IF('Raw Data'!A481&lt;&gt;"",AVERAGE('Raw Data'!F481,'Raw Data'!H481,'Raw Data'!J481,'Raw Data'!L481,'Raw Data'!N481),"")</f>
        <v/>
      </c>
      <c r="G494" s="14" t="str">
        <f>IF('Raw Data'!A481&lt;&gt;"",AVERAGE('Raw Data'!G481,'Raw Data'!I481,'Raw Data'!K481,'Raw Data'!M481,'Raw Data'!O481),"")</f>
        <v/>
      </c>
      <c r="H494" s="14" t="str">
        <f t="shared" si="80"/>
        <v/>
      </c>
      <c r="I494" s="14" t="str">
        <f>IF('Raw Data'!A481&lt;&gt;"",AVERAGE('Raw Data'!P481,'Raw Data'!R481,'Raw Data'!T481,'Raw Data'!V481,'Raw Data'!X481),"")</f>
        <v/>
      </c>
      <c r="J494" s="14" t="str">
        <f>IF('Raw Data'!A481&lt;&gt;"",AVERAGE('Raw Data'!Q481,'Raw Data'!S481,'Raw Data'!U481,'Raw Data'!W481,'Raw Data'!Y481),"")</f>
        <v/>
      </c>
      <c r="K494" s="14" t="str">
        <f t="shared" si="81"/>
        <v/>
      </c>
      <c r="L494" s="14" t="str">
        <f>IF('Raw Data'!A481&lt;&gt;"",AVERAGE('Raw Data'!Z481,'Raw Data'!AB481,'Raw Data'!AD481,'Raw Data'!AF481,'Raw Data'!AH481),"")</f>
        <v/>
      </c>
      <c r="M494" s="14" t="str">
        <f>IF('Raw Data'!A481&lt;&gt;"",AVERAGE('Raw Data'!AA481,'Raw Data'!AC481,'Raw Data'!AE481,'Raw Data'!AG481,'Raw Data'!AI481),"")</f>
        <v/>
      </c>
      <c r="N494" s="14" t="str">
        <f t="shared" si="82"/>
        <v/>
      </c>
      <c r="O494" s="14" t="str">
        <f>IF('Raw Data'!A481&lt;&gt;"",AVERAGE('Raw Data'!AJ481,'Raw Data'!AL481,'Raw Data'!AN481,'Raw Data'!AP481,'Raw Data'!AR481),"")</f>
        <v/>
      </c>
      <c r="P494" s="14" t="str">
        <f>IF('Raw Data'!A481&lt;&gt;"",AVERAGE('Raw Data'!AK481,'Raw Data'!AM481,'Raw Data'!AO481,'Raw Data'!AQ481,'Raw Data'!AS481),"")</f>
        <v/>
      </c>
      <c r="Q494" s="14" t="str">
        <f t="shared" si="83"/>
        <v/>
      </c>
      <c r="R494" s="14" t="str">
        <f>IF('Raw Data'!A481&lt;&gt;"",AVERAGE('Raw Data'!AT481,'Raw Data'!AV481,'Raw Data'!AX481,'Raw Data'!AZ481,'Raw Data'!BB481),"")</f>
        <v/>
      </c>
      <c r="S494" s="14" t="str">
        <f>IF('Raw Data'!A481&lt;&gt;"",AVERAGE('Raw Data'!AU481,'Raw Data'!AW481,'Raw Data'!AY481,'Raw Data'!BA481,'Raw Data'!BC481),"")</f>
        <v/>
      </c>
      <c r="T494" s="14" t="str">
        <f t="shared" si="84"/>
        <v/>
      </c>
      <c r="U494" s="14" t="str">
        <f>IF('Raw Data'!A481&lt;&gt;"",AVERAGE('Raw Data'!BD481,'Raw Data'!BF481,'Raw Data'!BH481,'Raw Data'!BJ481,'Raw Data'!BL481),"")</f>
        <v/>
      </c>
      <c r="V494" s="14" t="str">
        <f>IF('Raw Data'!A481&lt;&gt;"",AVERAGE('Raw Data'!BE481,'Raw Data'!BG481,'Raw Data'!BI481,'Raw Data'!BK481,'Raw Data'!BM481),"")</f>
        <v/>
      </c>
      <c r="W494" s="14" t="str">
        <f t="shared" si="85"/>
        <v/>
      </c>
      <c r="X494" s="14" t="str">
        <f t="shared" si="86"/>
        <v/>
      </c>
      <c r="Y494" s="14" t="str">
        <f t="shared" si="87"/>
        <v/>
      </c>
      <c r="Z494" s="14" t="str">
        <f t="shared" si="88"/>
        <v/>
      </c>
      <c r="AA494" s="14" t="str">
        <f t="shared" si="89"/>
        <v/>
      </c>
      <c r="AB494" s="25" t="str">
        <f t="shared" si="90"/>
        <v/>
      </c>
    </row>
    <row r="495" spans="1:28" x14ac:dyDescent="0.25">
      <c r="A495" s="2" t="str">
        <f>IF('Raw Data'!A482&lt;&gt;"",'Raw Data'!A482,"")</f>
        <v/>
      </c>
      <c r="B495" s="2" t="str">
        <f>IF('Raw Data'!B482&lt;&gt;"",'Raw Data'!B482,"")</f>
        <v/>
      </c>
      <c r="C495" s="2" t="str">
        <f>IF('Raw Data'!C482&lt;&gt;"",'Raw Data'!C482,"")</f>
        <v/>
      </c>
      <c r="D495" s="2" t="str">
        <f>IF('Raw Data'!D482&lt;&gt;"",'Raw Data'!D482,"")</f>
        <v/>
      </c>
      <c r="E495" s="2" t="str">
        <f>IF('Raw Data'!E482&lt;&gt;"",'Raw Data'!E482,"")</f>
        <v/>
      </c>
      <c r="F495" s="11" t="str">
        <f>IF('Raw Data'!A482&lt;&gt;"",AVERAGE('Raw Data'!F482,'Raw Data'!H482,'Raw Data'!J482,'Raw Data'!L482,'Raw Data'!N482),"")</f>
        <v/>
      </c>
      <c r="G495" s="11" t="str">
        <f>IF('Raw Data'!A482&lt;&gt;"",AVERAGE('Raw Data'!G482,'Raw Data'!I482,'Raw Data'!K482,'Raw Data'!M482,'Raw Data'!O482),"")</f>
        <v/>
      </c>
      <c r="H495" s="11" t="str">
        <f t="shared" si="80"/>
        <v/>
      </c>
      <c r="I495" s="11" t="str">
        <f>IF('Raw Data'!A482&lt;&gt;"",AVERAGE('Raw Data'!P482,'Raw Data'!R482,'Raw Data'!T482,'Raw Data'!V482,'Raw Data'!X482),"")</f>
        <v/>
      </c>
      <c r="J495" s="11" t="str">
        <f>IF('Raw Data'!A482&lt;&gt;"",AVERAGE('Raw Data'!Q482,'Raw Data'!S482,'Raw Data'!U482,'Raw Data'!W482,'Raw Data'!Y482),"")</f>
        <v/>
      </c>
      <c r="K495" s="11" t="str">
        <f t="shared" si="81"/>
        <v/>
      </c>
      <c r="L495" s="11" t="str">
        <f>IF('Raw Data'!A482&lt;&gt;"",AVERAGE('Raw Data'!Z482,'Raw Data'!AB482,'Raw Data'!AD482,'Raw Data'!AF482,'Raw Data'!AH482),"")</f>
        <v/>
      </c>
      <c r="M495" s="11" t="str">
        <f>IF('Raw Data'!A482&lt;&gt;"",AVERAGE('Raw Data'!AA482,'Raw Data'!AC482,'Raw Data'!AE482,'Raw Data'!AG482,'Raw Data'!AI482),"")</f>
        <v/>
      </c>
      <c r="N495" s="11" t="str">
        <f t="shared" si="82"/>
        <v/>
      </c>
      <c r="O495" s="11" t="str">
        <f>IF('Raw Data'!A482&lt;&gt;"",AVERAGE('Raw Data'!AJ482,'Raw Data'!AL482,'Raw Data'!AN482,'Raw Data'!AP482,'Raw Data'!AR482),"")</f>
        <v/>
      </c>
      <c r="P495" s="11" t="str">
        <f>IF('Raw Data'!A482&lt;&gt;"",AVERAGE('Raw Data'!AK482,'Raw Data'!AM482,'Raw Data'!AO482,'Raw Data'!AQ482,'Raw Data'!AS482),"")</f>
        <v/>
      </c>
      <c r="Q495" s="11" t="str">
        <f t="shared" si="83"/>
        <v/>
      </c>
      <c r="R495" s="11" t="str">
        <f>IF('Raw Data'!A482&lt;&gt;"",AVERAGE('Raw Data'!AT482,'Raw Data'!AV482,'Raw Data'!AX482,'Raw Data'!AZ482,'Raw Data'!BB482),"")</f>
        <v/>
      </c>
      <c r="S495" s="11" t="str">
        <f>IF('Raw Data'!A482&lt;&gt;"",AVERAGE('Raw Data'!AU482,'Raw Data'!AW482,'Raw Data'!AY482,'Raw Data'!BA482,'Raw Data'!BC482),"")</f>
        <v/>
      </c>
      <c r="T495" s="11" t="str">
        <f t="shared" si="84"/>
        <v/>
      </c>
      <c r="U495" s="11" t="str">
        <f>IF('Raw Data'!A482&lt;&gt;"",AVERAGE('Raw Data'!BD482,'Raw Data'!BF482,'Raw Data'!BH482,'Raw Data'!BJ482,'Raw Data'!BL482),"")</f>
        <v/>
      </c>
      <c r="V495" s="11" t="str">
        <f>IF('Raw Data'!A482&lt;&gt;"",AVERAGE('Raw Data'!BE482,'Raw Data'!BG482,'Raw Data'!BI482,'Raw Data'!BK482,'Raw Data'!BM482),"")</f>
        <v/>
      </c>
      <c r="W495" s="11" t="str">
        <f t="shared" si="85"/>
        <v/>
      </c>
      <c r="X495" s="11" t="str">
        <f t="shared" si="86"/>
        <v/>
      </c>
      <c r="Y495" s="11" t="str">
        <f t="shared" si="87"/>
        <v/>
      </c>
      <c r="Z495" s="11" t="str">
        <f t="shared" si="88"/>
        <v/>
      </c>
      <c r="AA495" s="11" t="str">
        <f t="shared" si="89"/>
        <v/>
      </c>
      <c r="AB495" s="24" t="str">
        <f t="shared" si="90"/>
        <v/>
      </c>
    </row>
    <row r="496" spans="1:28" x14ac:dyDescent="0.25">
      <c r="A496" s="10" t="str">
        <f>IF('Raw Data'!A483&lt;&gt;"",'Raw Data'!A483,"")</f>
        <v/>
      </c>
      <c r="B496" s="10" t="str">
        <f>IF('Raw Data'!B483&lt;&gt;"",'Raw Data'!B483,"")</f>
        <v/>
      </c>
      <c r="C496" s="10" t="str">
        <f>IF('Raw Data'!C483&lt;&gt;"",'Raw Data'!C483,"")</f>
        <v/>
      </c>
      <c r="D496" s="10" t="str">
        <f>IF('Raw Data'!D483&lt;&gt;"",'Raw Data'!D483,"")</f>
        <v/>
      </c>
      <c r="E496" s="10" t="str">
        <f>IF('Raw Data'!E483&lt;&gt;"",'Raw Data'!E483,"")</f>
        <v/>
      </c>
      <c r="F496" s="14" t="str">
        <f>IF('Raw Data'!A483&lt;&gt;"",AVERAGE('Raw Data'!F483,'Raw Data'!H483,'Raw Data'!J483,'Raw Data'!L483,'Raw Data'!N483),"")</f>
        <v/>
      </c>
      <c r="G496" s="14" t="str">
        <f>IF('Raw Data'!A483&lt;&gt;"",AVERAGE('Raw Data'!G483,'Raw Data'!I483,'Raw Data'!K483,'Raw Data'!M483,'Raw Data'!O483),"")</f>
        <v/>
      </c>
      <c r="H496" s="14" t="str">
        <f t="shared" si="80"/>
        <v/>
      </c>
      <c r="I496" s="14" t="str">
        <f>IF('Raw Data'!A483&lt;&gt;"",AVERAGE('Raw Data'!P483,'Raw Data'!R483,'Raw Data'!T483,'Raw Data'!V483,'Raw Data'!X483),"")</f>
        <v/>
      </c>
      <c r="J496" s="14" t="str">
        <f>IF('Raw Data'!A483&lt;&gt;"",AVERAGE('Raw Data'!Q483,'Raw Data'!S483,'Raw Data'!U483,'Raw Data'!W483,'Raw Data'!Y483),"")</f>
        <v/>
      </c>
      <c r="K496" s="14" t="str">
        <f t="shared" si="81"/>
        <v/>
      </c>
      <c r="L496" s="14" t="str">
        <f>IF('Raw Data'!A483&lt;&gt;"",AVERAGE('Raw Data'!Z483,'Raw Data'!AB483,'Raw Data'!AD483,'Raw Data'!AF483,'Raw Data'!AH483),"")</f>
        <v/>
      </c>
      <c r="M496" s="14" t="str">
        <f>IF('Raw Data'!A483&lt;&gt;"",AVERAGE('Raw Data'!AA483,'Raw Data'!AC483,'Raw Data'!AE483,'Raw Data'!AG483,'Raw Data'!AI483),"")</f>
        <v/>
      </c>
      <c r="N496" s="14" t="str">
        <f t="shared" si="82"/>
        <v/>
      </c>
      <c r="O496" s="14" t="str">
        <f>IF('Raw Data'!A483&lt;&gt;"",AVERAGE('Raw Data'!AJ483,'Raw Data'!AL483,'Raw Data'!AN483,'Raw Data'!AP483,'Raw Data'!AR483),"")</f>
        <v/>
      </c>
      <c r="P496" s="14" t="str">
        <f>IF('Raw Data'!A483&lt;&gt;"",AVERAGE('Raw Data'!AK483,'Raw Data'!AM483,'Raw Data'!AO483,'Raw Data'!AQ483,'Raw Data'!AS483),"")</f>
        <v/>
      </c>
      <c r="Q496" s="14" t="str">
        <f t="shared" si="83"/>
        <v/>
      </c>
      <c r="R496" s="14" t="str">
        <f>IF('Raw Data'!A483&lt;&gt;"",AVERAGE('Raw Data'!AT483,'Raw Data'!AV483,'Raw Data'!AX483,'Raw Data'!AZ483,'Raw Data'!BB483),"")</f>
        <v/>
      </c>
      <c r="S496" s="14" t="str">
        <f>IF('Raw Data'!A483&lt;&gt;"",AVERAGE('Raw Data'!AU483,'Raw Data'!AW483,'Raw Data'!AY483,'Raw Data'!BA483,'Raw Data'!BC483),"")</f>
        <v/>
      </c>
      <c r="T496" s="14" t="str">
        <f t="shared" si="84"/>
        <v/>
      </c>
      <c r="U496" s="14" t="str">
        <f>IF('Raw Data'!A483&lt;&gt;"",AVERAGE('Raw Data'!BD483,'Raw Data'!BF483,'Raw Data'!BH483,'Raw Data'!BJ483,'Raw Data'!BL483),"")</f>
        <v/>
      </c>
      <c r="V496" s="14" t="str">
        <f>IF('Raw Data'!A483&lt;&gt;"",AVERAGE('Raw Data'!BE483,'Raw Data'!BG483,'Raw Data'!BI483,'Raw Data'!BK483,'Raw Data'!BM483),"")</f>
        <v/>
      </c>
      <c r="W496" s="14" t="str">
        <f t="shared" si="85"/>
        <v/>
      </c>
      <c r="X496" s="14" t="str">
        <f t="shared" si="86"/>
        <v/>
      </c>
      <c r="Y496" s="14" t="str">
        <f t="shared" si="87"/>
        <v/>
      </c>
      <c r="Z496" s="14" t="str">
        <f t="shared" si="88"/>
        <v/>
      </c>
      <c r="AA496" s="14" t="str">
        <f t="shared" si="89"/>
        <v/>
      </c>
      <c r="AB496" s="25" t="str">
        <f t="shared" si="90"/>
        <v/>
      </c>
    </row>
    <row r="497" spans="1:28" x14ac:dyDescent="0.25">
      <c r="A497" s="2" t="str">
        <f>IF('Raw Data'!A484&lt;&gt;"",'Raw Data'!A484,"")</f>
        <v/>
      </c>
      <c r="B497" s="2" t="str">
        <f>IF('Raw Data'!B484&lt;&gt;"",'Raw Data'!B484,"")</f>
        <v/>
      </c>
      <c r="C497" s="2" t="str">
        <f>IF('Raw Data'!C484&lt;&gt;"",'Raw Data'!C484,"")</f>
        <v/>
      </c>
      <c r="D497" s="2" t="str">
        <f>IF('Raw Data'!D484&lt;&gt;"",'Raw Data'!D484,"")</f>
        <v/>
      </c>
      <c r="E497" s="2" t="str">
        <f>IF('Raw Data'!E484&lt;&gt;"",'Raw Data'!E484,"")</f>
        <v/>
      </c>
      <c r="F497" s="11" t="str">
        <f>IF('Raw Data'!A484&lt;&gt;"",AVERAGE('Raw Data'!F484,'Raw Data'!H484,'Raw Data'!J484,'Raw Data'!L484,'Raw Data'!N484),"")</f>
        <v/>
      </c>
      <c r="G497" s="11" t="str">
        <f>IF('Raw Data'!A484&lt;&gt;"",AVERAGE('Raw Data'!G484,'Raw Data'!I484,'Raw Data'!K484,'Raw Data'!M484,'Raw Data'!O484),"")</f>
        <v/>
      </c>
      <c r="H497" s="11" t="str">
        <f t="shared" si="80"/>
        <v/>
      </c>
      <c r="I497" s="11" t="str">
        <f>IF('Raw Data'!A484&lt;&gt;"",AVERAGE('Raw Data'!P484,'Raw Data'!R484,'Raw Data'!T484,'Raw Data'!V484,'Raw Data'!X484),"")</f>
        <v/>
      </c>
      <c r="J497" s="11" t="str">
        <f>IF('Raw Data'!A484&lt;&gt;"",AVERAGE('Raw Data'!Q484,'Raw Data'!S484,'Raw Data'!U484,'Raw Data'!W484,'Raw Data'!Y484),"")</f>
        <v/>
      </c>
      <c r="K497" s="11" t="str">
        <f t="shared" si="81"/>
        <v/>
      </c>
      <c r="L497" s="11" t="str">
        <f>IF('Raw Data'!A484&lt;&gt;"",AVERAGE('Raw Data'!Z484,'Raw Data'!AB484,'Raw Data'!AD484,'Raw Data'!AF484,'Raw Data'!AH484),"")</f>
        <v/>
      </c>
      <c r="M497" s="11" t="str">
        <f>IF('Raw Data'!A484&lt;&gt;"",AVERAGE('Raw Data'!AA484,'Raw Data'!AC484,'Raw Data'!AE484,'Raw Data'!AG484,'Raw Data'!AI484),"")</f>
        <v/>
      </c>
      <c r="N497" s="11" t="str">
        <f t="shared" si="82"/>
        <v/>
      </c>
      <c r="O497" s="11" t="str">
        <f>IF('Raw Data'!A484&lt;&gt;"",AVERAGE('Raw Data'!AJ484,'Raw Data'!AL484,'Raw Data'!AN484,'Raw Data'!AP484,'Raw Data'!AR484),"")</f>
        <v/>
      </c>
      <c r="P497" s="11" t="str">
        <f>IF('Raw Data'!A484&lt;&gt;"",AVERAGE('Raw Data'!AK484,'Raw Data'!AM484,'Raw Data'!AO484,'Raw Data'!AQ484,'Raw Data'!AS484),"")</f>
        <v/>
      </c>
      <c r="Q497" s="11" t="str">
        <f t="shared" si="83"/>
        <v/>
      </c>
      <c r="R497" s="11" t="str">
        <f>IF('Raw Data'!A484&lt;&gt;"",AVERAGE('Raw Data'!AT484,'Raw Data'!AV484,'Raw Data'!AX484,'Raw Data'!AZ484,'Raw Data'!BB484),"")</f>
        <v/>
      </c>
      <c r="S497" s="11" t="str">
        <f>IF('Raw Data'!A484&lt;&gt;"",AVERAGE('Raw Data'!AU484,'Raw Data'!AW484,'Raw Data'!AY484,'Raw Data'!BA484,'Raw Data'!BC484),"")</f>
        <v/>
      </c>
      <c r="T497" s="11" t="str">
        <f t="shared" si="84"/>
        <v/>
      </c>
      <c r="U497" s="11" t="str">
        <f>IF('Raw Data'!A484&lt;&gt;"",AVERAGE('Raw Data'!BD484,'Raw Data'!BF484,'Raw Data'!BH484,'Raw Data'!BJ484,'Raw Data'!BL484),"")</f>
        <v/>
      </c>
      <c r="V497" s="11" t="str">
        <f>IF('Raw Data'!A484&lt;&gt;"",AVERAGE('Raw Data'!BE484,'Raw Data'!BG484,'Raw Data'!BI484,'Raw Data'!BK484,'Raw Data'!BM484),"")</f>
        <v/>
      </c>
      <c r="W497" s="11" t="str">
        <f t="shared" si="85"/>
        <v/>
      </c>
      <c r="X497" s="11" t="str">
        <f t="shared" si="86"/>
        <v/>
      </c>
      <c r="Y497" s="11" t="str">
        <f t="shared" si="87"/>
        <v/>
      </c>
      <c r="Z497" s="11" t="str">
        <f t="shared" si="88"/>
        <v/>
      </c>
      <c r="AA497" s="11" t="str">
        <f t="shared" si="89"/>
        <v/>
      </c>
      <c r="AB497" s="24" t="str">
        <f t="shared" si="90"/>
        <v/>
      </c>
    </row>
    <row r="498" spans="1:28" x14ac:dyDescent="0.25">
      <c r="A498" s="10" t="str">
        <f>IF('Raw Data'!A485&lt;&gt;"",'Raw Data'!A485,"")</f>
        <v/>
      </c>
      <c r="B498" s="10" t="str">
        <f>IF('Raw Data'!B485&lt;&gt;"",'Raw Data'!B485,"")</f>
        <v/>
      </c>
      <c r="C498" s="10" t="str">
        <f>IF('Raw Data'!C485&lt;&gt;"",'Raw Data'!C485,"")</f>
        <v/>
      </c>
      <c r="D498" s="10" t="str">
        <f>IF('Raw Data'!D485&lt;&gt;"",'Raw Data'!D485,"")</f>
        <v/>
      </c>
      <c r="E498" s="10" t="str">
        <f>IF('Raw Data'!E485&lt;&gt;"",'Raw Data'!E485,"")</f>
        <v/>
      </c>
      <c r="F498" s="14" t="str">
        <f>IF('Raw Data'!A485&lt;&gt;"",AVERAGE('Raw Data'!F485,'Raw Data'!H485,'Raw Data'!J485,'Raw Data'!L485,'Raw Data'!N485),"")</f>
        <v/>
      </c>
      <c r="G498" s="14" t="str">
        <f>IF('Raw Data'!A485&lt;&gt;"",AVERAGE('Raw Data'!G485,'Raw Data'!I485,'Raw Data'!K485,'Raw Data'!M485,'Raw Data'!O485),"")</f>
        <v/>
      </c>
      <c r="H498" s="14" t="str">
        <f t="shared" si="80"/>
        <v/>
      </c>
      <c r="I498" s="14" t="str">
        <f>IF('Raw Data'!A485&lt;&gt;"",AVERAGE('Raw Data'!P485,'Raw Data'!R485,'Raw Data'!T485,'Raw Data'!V485,'Raw Data'!X485),"")</f>
        <v/>
      </c>
      <c r="J498" s="14" t="str">
        <f>IF('Raw Data'!A485&lt;&gt;"",AVERAGE('Raw Data'!Q485,'Raw Data'!S485,'Raw Data'!U485,'Raw Data'!W485,'Raw Data'!Y485),"")</f>
        <v/>
      </c>
      <c r="K498" s="14" t="str">
        <f t="shared" si="81"/>
        <v/>
      </c>
      <c r="L498" s="14" t="str">
        <f>IF('Raw Data'!A485&lt;&gt;"",AVERAGE('Raw Data'!Z485,'Raw Data'!AB485,'Raw Data'!AD485,'Raw Data'!AF485,'Raw Data'!AH485),"")</f>
        <v/>
      </c>
      <c r="M498" s="14" t="str">
        <f>IF('Raw Data'!A485&lt;&gt;"",AVERAGE('Raw Data'!AA485,'Raw Data'!AC485,'Raw Data'!AE485,'Raw Data'!AG485,'Raw Data'!AI485),"")</f>
        <v/>
      </c>
      <c r="N498" s="14" t="str">
        <f t="shared" si="82"/>
        <v/>
      </c>
      <c r="O498" s="14" t="str">
        <f>IF('Raw Data'!A485&lt;&gt;"",AVERAGE('Raw Data'!AJ485,'Raw Data'!AL485,'Raw Data'!AN485,'Raw Data'!AP485,'Raw Data'!AR485),"")</f>
        <v/>
      </c>
      <c r="P498" s="14" t="str">
        <f>IF('Raw Data'!A485&lt;&gt;"",AVERAGE('Raw Data'!AK485,'Raw Data'!AM485,'Raw Data'!AO485,'Raw Data'!AQ485,'Raw Data'!AS485),"")</f>
        <v/>
      </c>
      <c r="Q498" s="14" t="str">
        <f t="shared" si="83"/>
        <v/>
      </c>
      <c r="R498" s="14" t="str">
        <f>IF('Raw Data'!A485&lt;&gt;"",AVERAGE('Raw Data'!AT485,'Raw Data'!AV485,'Raw Data'!AX485,'Raw Data'!AZ485,'Raw Data'!BB485),"")</f>
        <v/>
      </c>
      <c r="S498" s="14" t="str">
        <f>IF('Raw Data'!A485&lt;&gt;"",AVERAGE('Raw Data'!AU485,'Raw Data'!AW485,'Raw Data'!AY485,'Raw Data'!BA485,'Raw Data'!BC485),"")</f>
        <v/>
      </c>
      <c r="T498" s="14" t="str">
        <f t="shared" si="84"/>
        <v/>
      </c>
      <c r="U498" s="14" t="str">
        <f>IF('Raw Data'!A485&lt;&gt;"",AVERAGE('Raw Data'!BD485,'Raw Data'!BF485,'Raw Data'!BH485,'Raw Data'!BJ485,'Raw Data'!BL485),"")</f>
        <v/>
      </c>
      <c r="V498" s="14" t="str">
        <f>IF('Raw Data'!A485&lt;&gt;"",AVERAGE('Raw Data'!BE485,'Raw Data'!BG485,'Raw Data'!BI485,'Raw Data'!BK485,'Raw Data'!BM485),"")</f>
        <v/>
      </c>
      <c r="W498" s="14" t="str">
        <f t="shared" si="85"/>
        <v/>
      </c>
      <c r="X498" s="14" t="str">
        <f t="shared" si="86"/>
        <v/>
      </c>
      <c r="Y498" s="14" t="str">
        <f t="shared" si="87"/>
        <v/>
      </c>
      <c r="Z498" s="14" t="str">
        <f t="shared" si="88"/>
        <v/>
      </c>
      <c r="AA498" s="14" t="str">
        <f t="shared" si="89"/>
        <v/>
      </c>
      <c r="AB498" s="25" t="str">
        <f t="shared" si="90"/>
        <v/>
      </c>
    </row>
    <row r="499" spans="1:28" x14ac:dyDescent="0.25">
      <c r="A499" s="2" t="str">
        <f>IF('Raw Data'!A486&lt;&gt;"",'Raw Data'!A486,"")</f>
        <v/>
      </c>
      <c r="B499" s="2" t="str">
        <f>IF('Raw Data'!B486&lt;&gt;"",'Raw Data'!B486,"")</f>
        <v/>
      </c>
      <c r="C499" s="2" t="str">
        <f>IF('Raw Data'!C486&lt;&gt;"",'Raw Data'!C486,"")</f>
        <v/>
      </c>
      <c r="D499" s="2" t="str">
        <f>IF('Raw Data'!D486&lt;&gt;"",'Raw Data'!D486,"")</f>
        <v/>
      </c>
      <c r="E499" s="2" t="str">
        <f>IF('Raw Data'!E486&lt;&gt;"",'Raw Data'!E486,"")</f>
        <v/>
      </c>
      <c r="F499" s="11" t="str">
        <f>IF('Raw Data'!A486&lt;&gt;"",AVERAGE('Raw Data'!F486,'Raw Data'!H486,'Raw Data'!J486,'Raw Data'!L486,'Raw Data'!N486),"")</f>
        <v/>
      </c>
      <c r="G499" s="11" t="str">
        <f>IF('Raw Data'!A486&lt;&gt;"",AVERAGE('Raw Data'!G486,'Raw Data'!I486,'Raw Data'!K486,'Raw Data'!M486,'Raw Data'!O486),"")</f>
        <v/>
      </c>
      <c r="H499" s="11" t="str">
        <f t="shared" si="80"/>
        <v/>
      </c>
      <c r="I499" s="11" t="str">
        <f>IF('Raw Data'!A486&lt;&gt;"",AVERAGE('Raw Data'!P486,'Raw Data'!R486,'Raw Data'!T486,'Raw Data'!V486,'Raw Data'!X486),"")</f>
        <v/>
      </c>
      <c r="J499" s="11" t="str">
        <f>IF('Raw Data'!A486&lt;&gt;"",AVERAGE('Raw Data'!Q486,'Raw Data'!S486,'Raw Data'!U486,'Raw Data'!W486,'Raw Data'!Y486),"")</f>
        <v/>
      </c>
      <c r="K499" s="11" t="str">
        <f t="shared" si="81"/>
        <v/>
      </c>
      <c r="L499" s="11" t="str">
        <f>IF('Raw Data'!A486&lt;&gt;"",AVERAGE('Raw Data'!Z486,'Raw Data'!AB486,'Raw Data'!AD486,'Raw Data'!AF486,'Raw Data'!AH486),"")</f>
        <v/>
      </c>
      <c r="M499" s="11" t="str">
        <f>IF('Raw Data'!A486&lt;&gt;"",AVERAGE('Raw Data'!AA486,'Raw Data'!AC486,'Raw Data'!AE486,'Raw Data'!AG486,'Raw Data'!AI486),"")</f>
        <v/>
      </c>
      <c r="N499" s="11" t="str">
        <f t="shared" si="82"/>
        <v/>
      </c>
      <c r="O499" s="11" t="str">
        <f>IF('Raw Data'!A486&lt;&gt;"",AVERAGE('Raw Data'!AJ486,'Raw Data'!AL486,'Raw Data'!AN486,'Raw Data'!AP486,'Raw Data'!AR486),"")</f>
        <v/>
      </c>
      <c r="P499" s="11" t="str">
        <f>IF('Raw Data'!A486&lt;&gt;"",AVERAGE('Raw Data'!AK486,'Raw Data'!AM486,'Raw Data'!AO486,'Raw Data'!AQ486,'Raw Data'!AS486),"")</f>
        <v/>
      </c>
      <c r="Q499" s="11" t="str">
        <f t="shared" si="83"/>
        <v/>
      </c>
      <c r="R499" s="11" t="str">
        <f>IF('Raw Data'!A486&lt;&gt;"",AVERAGE('Raw Data'!AT486,'Raw Data'!AV486,'Raw Data'!AX486,'Raw Data'!AZ486,'Raw Data'!BB486),"")</f>
        <v/>
      </c>
      <c r="S499" s="11" t="str">
        <f>IF('Raw Data'!A486&lt;&gt;"",AVERAGE('Raw Data'!AU486,'Raw Data'!AW486,'Raw Data'!AY486,'Raw Data'!BA486,'Raw Data'!BC486),"")</f>
        <v/>
      </c>
      <c r="T499" s="11" t="str">
        <f t="shared" si="84"/>
        <v/>
      </c>
      <c r="U499" s="11" t="str">
        <f>IF('Raw Data'!A486&lt;&gt;"",AVERAGE('Raw Data'!BD486,'Raw Data'!BF486,'Raw Data'!BH486,'Raw Data'!BJ486,'Raw Data'!BL486),"")</f>
        <v/>
      </c>
      <c r="V499" s="11" t="str">
        <f>IF('Raw Data'!A486&lt;&gt;"",AVERAGE('Raw Data'!BE486,'Raw Data'!BG486,'Raw Data'!BI486,'Raw Data'!BK486,'Raw Data'!BM486),"")</f>
        <v/>
      </c>
      <c r="W499" s="11" t="str">
        <f t="shared" si="85"/>
        <v/>
      </c>
      <c r="X499" s="11" t="str">
        <f t="shared" si="86"/>
        <v/>
      </c>
      <c r="Y499" s="11" t="str">
        <f t="shared" si="87"/>
        <v/>
      </c>
      <c r="Z499" s="11" t="str">
        <f t="shared" si="88"/>
        <v/>
      </c>
      <c r="AA499" s="11" t="str">
        <f t="shared" si="89"/>
        <v/>
      </c>
      <c r="AB499" s="24" t="str">
        <f t="shared" si="90"/>
        <v/>
      </c>
    </row>
    <row r="500" spans="1:28" x14ac:dyDescent="0.25">
      <c r="A500" s="10" t="str">
        <f>IF('Raw Data'!A487&lt;&gt;"",'Raw Data'!A487,"")</f>
        <v/>
      </c>
      <c r="B500" s="10" t="str">
        <f>IF('Raw Data'!B487&lt;&gt;"",'Raw Data'!B487,"")</f>
        <v/>
      </c>
      <c r="C500" s="10" t="str">
        <f>IF('Raw Data'!C487&lt;&gt;"",'Raw Data'!C487,"")</f>
        <v/>
      </c>
      <c r="D500" s="10" t="str">
        <f>IF('Raw Data'!D487&lt;&gt;"",'Raw Data'!D487,"")</f>
        <v/>
      </c>
      <c r="E500" s="10" t="str">
        <f>IF('Raw Data'!E487&lt;&gt;"",'Raw Data'!E487,"")</f>
        <v/>
      </c>
      <c r="F500" s="14" t="str">
        <f>IF('Raw Data'!A487&lt;&gt;"",AVERAGE('Raw Data'!F487,'Raw Data'!H487,'Raw Data'!J487,'Raw Data'!L487,'Raw Data'!N487),"")</f>
        <v/>
      </c>
      <c r="G500" s="14" t="str">
        <f>IF('Raw Data'!A487&lt;&gt;"",AVERAGE('Raw Data'!G487,'Raw Data'!I487,'Raw Data'!K487,'Raw Data'!M487,'Raw Data'!O487),"")</f>
        <v/>
      </c>
      <c r="H500" s="14" t="str">
        <f t="shared" si="80"/>
        <v/>
      </c>
      <c r="I500" s="14" t="str">
        <f>IF('Raw Data'!A487&lt;&gt;"",AVERAGE('Raw Data'!P487,'Raw Data'!R487,'Raw Data'!T487,'Raw Data'!V487,'Raw Data'!X487),"")</f>
        <v/>
      </c>
      <c r="J500" s="14" t="str">
        <f>IF('Raw Data'!A487&lt;&gt;"",AVERAGE('Raw Data'!Q487,'Raw Data'!S487,'Raw Data'!U487,'Raw Data'!W487,'Raw Data'!Y487),"")</f>
        <v/>
      </c>
      <c r="K500" s="14" t="str">
        <f t="shared" si="81"/>
        <v/>
      </c>
      <c r="L500" s="14" t="str">
        <f>IF('Raw Data'!A487&lt;&gt;"",AVERAGE('Raw Data'!Z487,'Raw Data'!AB487,'Raw Data'!AD487,'Raw Data'!AF487,'Raw Data'!AH487),"")</f>
        <v/>
      </c>
      <c r="M500" s="14" t="str">
        <f>IF('Raw Data'!A487&lt;&gt;"",AVERAGE('Raw Data'!AA487,'Raw Data'!AC487,'Raw Data'!AE487,'Raw Data'!AG487,'Raw Data'!AI487),"")</f>
        <v/>
      </c>
      <c r="N500" s="14" t="str">
        <f t="shared" si="82"/>
        <v/>
      </c>
      <c r="O500" s="14" t="str">
        <f>IF('Raw Data'!A487&lt;&gt;"",AVERAGE('Raw Data'!AJ487,'Raw Data'!AL487,'Raw Data'!AN487,'Raw Data'!AP487,'Raw Data'!AR487),"")</f>
        <v/>
      </c>
      <c r="P500" s="14" t="str">
        <f>IF('Raw Data'!A487&lt;&gt;"",AVERAGE('Raw Data'!AK487,'Raw Data'!AM487,'Raw Data'!AO487,'Raw Data'!AQ487,'Raw Data'!AS487),"")</f>
        <v/>
      </c>
      <c r="Q500" s="14" t="str">
        <f t="shared" si="83"/>
        <v/>
      </c>
      <c r="R500" s="14" t="str">
        <f>IF('Raw Data'!A487&lt;&gt;"",AVERAGE('Raw Data'!AT487,'Raw Data'!AV487,'Raw Data'!AX487,'Raw Data'!AZ487,'Raw Data'!BB487),"")</f>
        <v/>
      </c>
      <c r="S500" s="14" t="str">
        <f>IF('Raw Data'!A487&lt;&gt;"",AVERAGE('Raw Data'!AU487,'Raw Data'!AW487,'Raw Data'!AY487,'Raw Data'!BA487,'Raw Data'!BC487),"")</f>
        <v/>
      </c>
      <c r="T500" s="14" t="str">
        <f t="shared" si="84"/>
        <v/>
      </c>
      <c r="U500" s="14" t="str">
        <f>IF('Raw Data'!A487&lt;&gt;"",AVERAGE('Raw Data'!BD487,'Raw Data'!BF487,'Raw Data'!BH487,'Raw Data'!BJ487,'Raw Data'!BL487),"")</f>
        <v/>
      </c>
      <c r="V500" s="14" t="str">
        <f>IF('Raw Data'!A487&lt;&gt;"",AVERAGE('Raw Data'!BE487,'Raw Data'!BG487,'Raw Data'!BI487,'Raw Data'!BK487,'Raw Data'!BM487),"")</f>
        <v/>
      </c>
      <c r="W500" s="14" t="str">
        <f t="shared" si="85"/>
        <v/>
      </c>
      <c r="X500" s="14" t="str">
        <f t="shared" si="86"/>
        <v/>
      </c>
      <c r="Y500" s="14" t="str">
        <f t="shared" si="87"/>
        <v/>
      </c>
      <c r="Z500" s="14" t="str">
        <f t="shared" si="88"/>
        <v/>
      </c>
      <c r="AA500" s="14" t="str">
        <f t="shared" si="89"/>
        <v/>
      </c>
      <c r="AB500" s="25" t="str">
        <f t="shared" si="90"/>
        <v/>
      </c>
    </row>
    <row r="501" spans="1:28" x14ac:dyDescent="0.25">
      <c r="A501" s="2" t="str">
        <f>IF('Raw Data'!A488&lt;&gt;"",'Raw Data'!A488,"")</f>
        <v/>
      </c>
      <c r="B501" s="2" t="str">
        <f>IF('Raw Data'!B488&lt;&gt;"",'Raw Data'!B488,"")</f>
        <v/>
      </c>
      <c r="C501" s="2" t="str">
        <f>IF('Raw Data'!C488&lt;&gt;"",'Raw Data'!C488,"")</f>
        <v/>
      </c>
      <c r="D501" s="2" t="str">
        <f>IF('Raw Data'!D488&lt;&gt;"",'Raw Data'!D488,"")</f>
        <v/>
      </c>
      <c r="E501" s="2" t="str">
        <f>IF('Raw Data'!E488&lt;&gt;"",'Raw Data'!E488,"")</f>
        <v/>
      </c>
      <c r="F501" s="11" t="str">
        <f>IF('Raw Data'!A488&lt;&gt;"",AVERAGE('Raw Data'!F488,'Raw Data'!H488,'Raw Data'!J488,'Raw Data'!L488,'Raw Data'!N488),"")</f>
        <v/>
      </c>
      <c r="G501" s="11" t="str">
        <f>IF('Raw Data'!A488&lt;&gt;"",AVERAGE('Raw Data'!G488,'Raw Data'!I488,'Raw Data'!K488,'Raw Data'!M488,'Raw Data'!O488),"")</f>
        <v/>
      </c>
      <c r="H501" s="11" t="str">
        <f t="shared" si="80"/>
        <v/>
      </c>
      <c r="I501" s="11" t="str">
        <f>IF('Raw Data'!A488&lt;&gt;"",AVERAGE('Raw Data'!P488,'Raw Data'!R488,'Raw Data'!T488,'Raw Data'!V488,'Raw Data'!X488),"")</f>
        <v/>
      </c>
      <c r="J501" s="11" t="str">
        <f>IF('Raw Data'!A488&lt;&gt;"",AVERAGE('Raw Data'!Q488,'Raw Data'!S488,'Raw Data'!U488,'Raw Data'!W488,'Raw Data'!Y488),"")</f>
        <v/>
      </c>
      <c r="K501" s="11" t="str">
        <f t="shared" si="81"/>
        <v/>
      </c>
      <c r="L501" s="11" t="str">
        <f>IF('Raw Data'!A488&lt;&gt;"",AVERAGE('Raw Data'!Z488,'Raw Data'!AB488,'Raw Data'!AD488,'Raw Data'!AF488,'Raw Data'!AH488),"")</f>
        <v/>
      </c>
      <c r="M501" s="11" t="str">
        <f>IF('Raw Data'!A488&lt;&gt;"",AVERAGE('Raw Data'!AA488,'Raw Data'!AC488,'Raw Data'!AE488,'Raw Data'!AG488,'Raw Data'!AI488),"")</f>
        <v/>
      </c>
      <c r="N501" s="11" t="str">
        <f t="shared" si="82"/>
        <v/>
      </c>
      <c r="O501" s="11" t="str">
        <f>IF('Raw Data'!A488&lt;&gt;"",AVERAGE('Raw Data'!AJ488,'Raw Data'!AL488,'Raw Data'!AN488,'Raw Data'!AP488,'Raw Data'!AR488),"")</f>
        <v/>
      </c>
      <c r="P501" s="11" t="str">
        <f>IF('Raw Data'!A488&lt;&gt;"",AVERAGE('Raw Data'!AK488,'Raw Data'!AM488,'Raw Data'!AO488,'Raw Data'!AQ488,'Raw Data'!AS488),"")</f>
        <v/>
      </c>
      <c r="Q501" s="11" t="str">
        <f t="shared" si="83"/>
        <v/>
      </c>
      <c r="R501" s="11" t="str">
        <f>IF('Raw Data'!A488&lt;&gt;"",AVERAGE('Raw Data'!AT488,'Raw Data'!AV488,'Raw Data'!AX488,'Raw Data'!AZ488,'Raw Data'!BB488),"")</f>
        <v/>
      </c>
      <c r="S501" s="11" t="str">
        <f>IF('Raw Data'!A488&lt;&gt;"",AVERAGE('Raw Data'!AU488,'Raw Data'!AW488,'Raw Data'!AY488,'Raw Data'!BA488,'Raw Data'!BC488),"")</f>
        <v/>
      </c>
      <c r="T501" s="11" t="str">
        <f t="shared" si="84"/>
        <v/>
      </c>
      <c r="U501" s="11" t="str">
        <f>IF('Raw Data'!A488&lt;&gt;"",AVERAGE('Raw Data'!BD488,'Raw Data'!BF488,'Raw Data'!BH488,'Raw Data'!BJ488,'Raw Data'!BL488),"")</f>
        <v/>
      </c>
      <c r="V501" s="11" t="str">
        <f>IF('Raw Data'!A488&lt;&gt;"",AVERAGE('Raw Data'!BE488,'Raw Data'!BG488,'Raw Data'!BI488,'Raw Data'!BK488,'Raw Data'!BM488),"")</f>
        <v/>
      </c>
      <c r="W501" s="11" t="str">
        <f t="shared" si="85"/>
        <v/>
      </c>
      <c r="X501" s="11" t="str">
        <f t="shared" si="86"/>
        <v/>
      </c>
      <c r="Y501" s="11" t="str">
        <f t="shared" si="87"/>
        <v/>
      </c>
      <c r="Z501" s="11" t="str">
        <f t="shared" si="88"/>
        <v/>
      </c>
      <c r="AA501" s="11" t="str">
        <f t="shared" si="89"/>
        <v/>
      </c>
      <c r="AB501" s="24" t="str">
        <f t="shared" si="90"/>
        <v/>
      </c>
    </row>
    <row r="502" spans="1:28" x14ac:dyDescent="0.25">
      <c r="A502" s="10" t="str">
        <f>IF('Raw Data'!A489&lt;&gt;"",'Raw Data'!A489,"")</f>
        <v/>
      </c>
      <c r="B502" s="10" t="str">
        <f>IF('Raw Data'!B489&lt;&gt;"",'Raw Data'!B489,"")</f>
        <v/>
      </c>
      <c r="C502" s="10" t="str">
        <f>IF('Raw Data'!C489&lt;&gt;"",'Raw Data'!C489,"")</f>
        <v/>
      </c>
      <c r="D502" s="10" t="str">
        <f>IF('Raw Data'!D489&lt;&gt;"",'Raw Data'!D489,"")</f>
        <v/>
      </c>
      <c r="E502" s="10" t="str">
        <f>IF('Raw Data'!E489&lt;&gt;"",'Raw Data'!E489,"")</f>
        <v/>
      </c>
      <c r="F502" s="14" t="str">
        <f>IF('Raw Data'!A489&lt;&gt;"",AVERAGE('Raw Data'!F489,'Raw Data'!H489,'Raw Data'!J489,'Raw Data'!L489,'Raw Data'!N489),"")</f>
        <v/>
      </c>
      <c r="G502" s="14" t="str">
        <f>IF('Raw Data'!A489&lt;&gt;"",AVERAGE('Raw Data'!G489,'Raw Data'!I489,'Raw Data'!K489,'Raw Data'!M489,'Raw Data'!O489),"")</f>
        <v/>
      </c>
      <c r="H502" s="14" t="str">
        <f t="shared" si="80"/>
        <v/>
      </c>
      <c r="I502" s="14" t="str">
        <f>IF('Raw Data'!A489&lt;&gt;"",AVERAGE('Raw Data'!P489,'Raw Data'!R489,'Raw Data'!T489,'Raw Data'!V489,'Raw Data'!X489),"")</f>
        <v/>
      </c>
      <c r="J502" s="14" t="str">
        <f>IF('Raw Data'!A489&lt;&gt;"",AVERAGE('Raw Data'!Q489,'Raw Data'!S489,'Raw Data'!U489,'Raw Data'!W489,'Raw Data'!Y489),"")</f>
        <v/>
      </c>
      <c r="K502" s="14" t="str">
        <f t="shared" si="81"/>
        <v/>
      </c>
      <c r="L502" s="14" t="str">
        <f>IF('Raw Data'!A489&lt;&gt;"",AVERAGE('Raw Data'!Z489,'Raw Data'!AB489,'Raw Data'!AD489,'Raw Data'!AF489,'Raw Data'!AH489),"")</f>
        <v/>
      </c>
      <c r="M502" s="14" t="str">
        <f>IF('Raw Data'!A489&lt;&gt;"",AVERAGE('Raw Data'!AA489,'Raw Data'!AC489,'Raw Data'!AE489,'Raw Data'!AG489,'Raw Data'!AI489),"")</f>
        <v/>
      </c>
      <c r="N502" s="14" t="str">
        <f t="shared" si="82"/>
        <v/>
      </c>
      <c r="O502" s="14" t="str">
        <f>IF('Raw Data'!A489&lt;&gt;"",AVERAGE('Raw Data'!AJ489,'Raw Data'!AL489,'Raw Data'!AN489,'Raw Data'!AP489,'Raw Data'!AR489),"")</f>
        <v/>
      </c>
      <c r="P502" s="14" t="str">
        <f>IF('Raw Data'!A489&lt;&gt;"",AVERAGE('Raw Data'!AK489,'Raw Data'!AM489,'Raw Data'!AO489,'Raw Data'!AQ489,'Raw Data'!AS489),"")</f>
        <v/>
      </c>
      <c r="Q502" s="14" t="str">
        <f t="shared" si="83"/>
        <v/>
      </c>
      <c r="R502" s="14" t="str">
        <f>IF('Raw Data'!A489&lt;&gt;"",AVERAGE('Raw Data'!AT489,'Raw Data'!AV489,'Raw Data'!AX489,'Raw Data'!AZ489,'Raw Data'!BB489),"")</f>
        <v/>
      </c>
      <c r="S502" s="14" t="str">
        <f>IF('Raw Data'!A489&lt;&gt;"",AVERAGE('Raw Data'!AU489,'Raw Data'!AW489,'Raw Data'!AY489,'Raw Data'!BA489,'Raw Data'!BC489),"")</f>
        <v/>
      </c>
      <c r="T502" s="14" t="str">
        <f t="shared" si="84"/>
        <v/>
      </c>
      <c r="U502" s="14" t="str">
        <f>IF('Raw Data'!A489&lt;&gt;"",AVERAGE('Raw Data'!BD489,'Raw Data'!BF489,'Raw Data'!BH489,'Raw Data'!BJ489,'Raw Data'!BL489),"")</f>
        <v/>
      </c>
      <c r="V502" s="14" t="str">
        <f>IF('Raw Data'!A489&lt;&gt;"",AVERAGE('Raw Data'!BE489,'Raw Data'!BG489,'Raw Data'!BI489,'Raw Data'!BK489,'Raw Data'!BM489),"")</f>
        <v/>
      </c>
      <c r="W502" s="14" t="str">
        <f t="shared" si="85"/>
        <v/>
      </c>
      <c r="X502" s="14" t="str">
        <f t="shared" si="86"/>
        <v/>
      </c>
      <c r="Y502" s="14" t="str">
        <f t="shared" si="87"/>
        <v/>
      </c>
      <c r="Z502" s="14" t="str">
        <f t="shared" si="88"/>
        <v/>
      </c>
      <c r="AA502" s="14" t="str">
        <f t="shared" si="89"/>
        <v/>
      </c>
      <c r="AB502" s="25" t="str">
        <f t="shared" si="90"/>
        <v/>
      </c>
    </row>
    <row r="503" spans="1:28" x14ac:dyDescent="0.25">
      <c r="A503" s="2" t="str">
        <f>IF('Raw Data'!A490&lt;&gt;"",'Raw Data'!A490,"")</f>
        <v/>
      </c>
      <c r="B503" s="2" t="str">
        <f>IF('Raw Data'!B490&lt;&gt;"",'Raw Data'!B490,"")</f>
        <v/>
      </c>
      <c r="C503" s="2" t="str">
        <f>IF('Raw Data'!C490&lt;&gt;"",'Raw Data'!C490,"")</f>
        <v/>
      </c>
      <c r="D503" s="2" t="str">
        <f>IF('Raw Data'!D490&lt;&gt;"",'Raw Data'!D490,"")</f>
        <v/>
      </c>
      <c r="E503" s="2" t="str">
        <f>IF('Raw Data'!E490&lt;&gt;"",'Raw Data'!E490,"")</f>
        <v/>
      </c>
      <c r="F503" s="11" t="str">
        <f>IF('Raw Data'!A490&lt;&gt;"",AVERAGE('Raw Data'!F490,'Raw Data'!H490,'Raw Data'!J490,'Raw Data'!L490,'Raw Data'!N490),"")</f>
        <v/>
      </c>
      <c r="G503" s="11" t="str">
        <f>IF('Raw Data'!A490&lt;&gt;"",AVERAGE('Raw Data'!G490,'Raw Data'!I490,'Raw Data'!K490,'Raw Data'!M490,'Raw Data'!O490),"")</f>
        <v/>
      </c>
      <c r="H503" s="11" t="str">
        <f t="shared" si="80"/>
        <v/>
      </c>
      <c r="I503" s="11" t="str">
        <f>IF('Raw Data'!A490&lt;&gt;"",AVERAGE('Raw Data'!P490,'Raw Data'!R490,'Raw Data'!T490,'Raw Data'!V490,'Raw Data'!X490),"")</f>
        <v/>
      </c>
      <c r="J503" s="11" t="str">
        <f>IF('Raw Data'!A490&lt;&gt;"",AVERAGE('Raw Data'!Q490,'Raw Data'!S490,'Raw Data'!U490,'Raw Data'!W490,'Raw Data'!Y490),"")</f>
        <v/>
      </c>
      <c r="K503" s="11" t="str">
        <f t="shared" si="81"/>
        <v/>
      </c>
      <c r="L503" s="11" t="str">
        <f>IF('Raw Data'!A490&lt;&gt;"",AVERAGE('Raw Data'!Z490,'Raw Data'!AB490,'Raw Data'!AD490,'Raw Data'!AF490,'Raw Data'!AH490),"")</f>
        <v/>
      </c>
      <c r="M503" s="11" t="str">
        <f>IF('Raw Data'!A490&lt;&gt;"",AVERAGE('Raw Data'!AA490,'Raw Data'!AC490,'Raw Data'!AE490,'Raw Data'!AG490,'Raw Data'!AI490),"")</f>
        <v/>
      </c>
      <c r="N503" s="11" t="str">
        <f t="shared" si="82"/>
        <v/>
      </c>
      <c r="O503" s="11" t="str">
        <f>IF('Raw Data'!A490&lt;&gt;"",AVERAGE('Raw Data'!AJ490,'Raw Data'!AL490,'Raw Data'!AN490,'Raw Data'!AP490,'Raw Data'!AR490),"")</f>
        <v/>
      </c>
      <c r="P503" s="11" t="str">
        <f>IF('Raw Data'!A490&lt;&gt;"",AVERAGE('Raw Data'!AK490,'Raw Data'!AM490,'Raw Data'!AO490,'Raw Data'!AQ490,'Raw Data'!AS490),"")</f>
        <v/>
      </c>
      <c r="Q503" s="11" t="str">
        <f t="shared" si="83"/>
        <v/>
      </c>
      <c r="R503" s="11" t="str">
        <f>IF('Raw Data'!A490&lt;&gt;"",AVERAGE('Raw Data'!AT490,'Raw Data'!AV490,'Raw Data'!AX490,'Raw Data'!AZ490,'Raw Data'!BB490),"")</f>
        <v/>
      </c>
      <c r="S503" s="11" t="str">
        <f>IF('Raw Data'!A490&lt;&gt;"",AVERAGE('Raw Data'!AU490,'Raw Data'!AW490,'Raw Data'!AY490,'Raw Data'!BA490,'Raw Data'!BC490),"")</f>
        <v/>
      </c>
      <c r="T503" s="11" t="str">
        <f t="shared" si="84"/>
        <v/>
      </c>
      <c r="U503" s="11" t="str">
        <f>IF('Raw Data'!A490&lt;&gt;"",AVERAGE('Raw Data'!BD490,'Raw Data'!BF490,'Raw Data'!BH490,'Raw Data'!BJ490,'Raw Data'!BL490),"")</f>
        <v/>
      </c>
      <c r="V503" s="11" t="str">
        <f>IF('Raw Data'!A490&lt;&gt;"",AVERAGE('Raw Data'!BE490,'Raw Data'!BG490,'Raw Data'!BI490,'Raw Data'!BK490,'Raw Data'!BM490),"")</f>
        <v/>
      </c>
      <c r="W503" s="11" t="str">
        <f t="shared" si="85"/>
        <v/>
      </c>
      <c r="X503" s="11" t="str">
        <f t="shared" si="86"/>
        <v/>
      </c>
      <c r="Y503" s="11" t="str">
        <f t="shared" si="87"/>
        <v/>
      </c>
      <c r="Z503" s="11" t="str">
        <f t="shared" si="88"/>
        <v/>
      </c>
      <c r="AA503" s="11" t="str">
        <f t="shared" si="89"/>
        <v/>
      </c>
      <c r="AB503" s="24" t="str">
        <f t="shared" si="90"/>
        <v/>
      </c>
    </row>
    <row r="504" spans="1:28" x14ac:dyDescent="0.25">
      <c r="A504" s="10" t="str">
        <f>IF('Raw Data'!A491&lt;&gt;"",'Raw Data'!A491,"")</f>
        <v/>
      </c>
      <c r="B504" s="10" t="str">
        <f>IF('Raw Data'!B491&lt;&gt;"",'Raw Data'!B491,"")</f>
        <v/>
      </c>
      <c r="C504" s="10" t="str">
        <f>IF('Raw Data'!C491&lt;&gt;"",'Raw Data'!C491,"")</f>
        <v/>
      </c>
      <c r="D504" s="10" t="str">
        <f>IF('Raw Data'!D491&lt;&gt;"",'Raw Data'!D491,"")</f>
        <v/>
      </c>
      <c r="E504" s="10" t="str">
        <f>IF('Raw Data'!E491&lt;&gt;"",'Raw Data'!E491,"")</f>
        <v/>
      </c>
      <c r="F504" s="14" t="str">
        <f>IF('Raw Data'!A491&lt;&gt;"",AVERAGE('Raw Data'!F491,'Raw Data'!H491,'Raw Data'!J491,'Raw Data'!L491,'Raw Data'!N491),"")</f>
        <v/>
      </c>
      <c r="G504" s="14" t="str">
        <f>IF('Raw Data'!A491&lt;&gt;"",AVERAGE('Raw Data'!G491,'Raw Data'!I491,'Raw Data'!K491,'Raw Data'!M491,'Raw Data'!O491),"")</f>
        <v/>
      </c>
      <c r="H504" s="14" t="str">
        <f t="shared" si="80"/>
        <v/>
      </c>
      <c r="I504" s="14" t="str">
        <f>IF('Raw Data'!A491&lt;&gt;"",AVERAGE('Raw Data'!P491,'Raw Data'!R491,'Raw Data'!T491,'Raw Data'!V491,'Raw Data'!X491),"")</f>
        <v/>
      </c>
      <c r="J504" s="14" t="str">
        <f>IF('Raw Data'!A491&lt;&gt;"",AVERAGE('Raw Data'!Q491,'Raw Data'!S491,'Raw Data'!U491,'Raw Data'!W491,'Raw Data'!Y491),"")</f>
        <v/>
      </c>
      <c r="K504" s="14" t="str">
        <f t="shared" si="81"/>
        <v/>
      </c>
      <c r="L504" s="14" t="str">
        <f>IF('Raw Data'!A491&lt;&gt;"",AVERAGE('Raw Data'!Z491,'Raw Data'!AB491,'Raw Data'!AD491,'Raw Data'!AF491,'Raw Data'!AH491),"")</f>
        <v/>
      </c>
      <c r="M504" s="14" t="str">
        <f>IF('Raw Data'!A491&lt;&gt;"",AVERAGE('Raw Data'!AA491,'Raw Data'!AC491,'Raw Data'!AE491,'Raw Data'!AG491,'Raw Data'!AI491),"")</f>
        <v/>
      </c>
      <c r="N504" s="14" t="str">
        <f t="shared" si="82"/>
        <v/>
      </c>
      <c r="O504" s="14" t="str">
        <f>IF('Raw Data'!A491&lt;&gt;"",AVERAGE('Raw Data'!AJ491,'Raw Data'!AL491,'Raw Data'!AN491,'Raw Data'!AP491,'Raw Data'!AR491),"")</f>
        <v/>
      </c>
      <c r="P504" s="14" t="str">
        <f>IF('Raw Data'!A491&lt;&gt;"",AVERAGE('Raw Data'!AK491,'Raw Data'!AM491,'Raw Data'!AO491,'Raw Data'!AQ491,'Raw Data'!AS491),"")</f>
        <v/>
      </c>
      <c r="Q504" s="14" t="str">
        <f t="shared" si="83"/>
        <v/>
      </c>
      <c r="R504" s="14" t="str">
        <f>IF('Raw Data'!A491&lt;&gt;"",AVERAGE('Raw Data'!AT491,'Raw Data'!AV491,'Raw Data'!AX491,'Raw Data'!AZ491,'Raw Data'!BB491),"")</f>
        <v/>
      </c>
      <c r="S504" s="14" t="str">
        <f>IF('Raw Data'!A491&lt;&gt;"",AVERAGE('Raw Data'!AU491,'Raw Data'!AW491,'Raw Data'!AY491,'Raw Data'!BA491,'Raw Data'!BC491),"")</f>
        <v/>
      </c>
      <c r="T504" s="14" t="str">
        <f t="shared" si="84"/>
        <v/>
      </c>
      <c r="U504" s="14" t="str">
        <f>IF('Raw Data'!A491&lt;&gt;"",AVERAGE('Raw Data'!BD491,'Raw Data'!BF491,'Raw Data'!BH491,'Raw Data'!BJ491,'Raw Data'!BL491),"")</f>
        <v/>
      </c>
      <c r="V504" s="14" t="str">
        <f>IF('Raw Data'!A491&lt;&gt;"",AVERAGE('Raw Data'!BE491,'Raw Data'!BG491,'Raw Data'!BI491,'Raw Data'!BK491,'Raw Data'!BM491),"")</f>
        <v/>
      </c>
      <c r="W504" s="14" t="str">
        <f t="shared" si="85"/>
        <v/>
      </c>
      <c r="X504" s="14" t="str">
        <f t="shared" si="86"/>
        <v/>
      </c>
      <c r="Y504" s="14" t="str">
        <f t="shared" si="87"/>
        <v/>
      </c>
      <c r="Z504" s="14" t="str">
        <f t="shared" si="88"/>
        <v/>
      </c>
      <c r="AA504" s="14" t="str">
        <f t="shared" si="89"/>
        <v/>
      </c>
      <c r="AB504" s="25" t="str">
        <f t="shared" si="90"/>
        <v/>
      </c>
    </row>
    <row r="505" spans="1:28" x14ac:dyDescent="0.25">
      <c r="A505" s="2" t="str">
        <f>IF('Raw Data'!A492&lt;&gt;"",'Raw Data'!A492,"")</f>
        <v/>
      </c>
      <c r="B505" s="2" t="str">
        <f>IF('Raw Data'!B492&lt;&gt;"",'Raw Data'!B492,"")</f>
        <v/>
      </c>
      <c r="C505" s="2" t="str">
        <f>IF('Raw Data'!C492&lt;&gt;"",'Raw Data'!C492,"")</f>
        <v/>
      </c>
      <c r="D505" s="2" t="str">
        <f>IF('Raw Data'!D492&lt;&gt;"",'Raw Data'!D492,"")</f>
        <v/>
      </c>
      <c r="E505" s="2" t="str">
        <f>IF('Raw Data'!E492&lt;&gt;"",'Raw Data'!E492,"")</f>
        <v/>
      </c>
      <c r="F505" s="11" t="str">
        <f>IF('Raw Data'!A492&lt;&gt;"",AVERAGE('Raw Data'!F492,'Raw Data'!H492,'Raw Data'!J492,'Raw Data'!L492,'Raw Data'!N492),"")</f>
        <v/>
      </c>
      <c r="G505" s="11" t="str">
        <f>IF('Raw Data'!A492&lt;&gt;"",AVERAGE('Raw Data'!G492,'Raw Data'!I492,'Raw Data'!K492,'Raw Data'!M492,'Raw Data'!O492),"")</f>
        <v/>
      </c>
      <c r="H505" s="11" t="str">
        <f t="shared" si="80"/>
        <v/>
      </c>
      <c r="I505" s="11" t="str">
        <f>IF('Raw Data'!A492&lt;&gt;"",AVERAGE('Raw Data'!P492,'Raw Data'!R492,'Raw Data'!T492,'Raw Data'!V492,'Raw Data'!X492),"")</f>
        <v/>
      </c>
      <c r="J505" s="11" t="str">
        <f>IF('Raw Data'!A492&lt;&gt;"",AVERAGE('Raw Data'!Q492,'Raw Data'!S492,'Raw Data'!U492,'Raw Data'!W492,'Raw Data'!Y492),"")</f>
        <v/>
      </c>
      <c r="K505" s="11" t="str">
        <f t="shared" si="81"/>
        <v/>
      </c>
      <c r="L505" s="11" t="str">
        <f>IF('Raw Data'!A492&lt;&gt;"",AVERAGE('Raw Data'!Z492,'Raw Data'!AB492,'Raw Data'!AD492,'Raw Data'!AF492,'Raw Data'!AH492),"")</f>
        <v/>
      </c>
      <c r="M505" s="11" t="str">
        <f>IF('Raw Data'!A492&lt;&gt;"",AVERAGE('Raw Data'!AA492,'Raw Data'!AC492,'Raw Data'!AE492,'Raw Data'!AG492,'Raw Data'!AI492),"")</f>
        <v/>
      </c>
      <c r="N505" s="11" t="str">
        <f t="shared" si="82"/>
        <v/>
      </c>
      <c r="O505" s="11" t="str">
        <f>IF('Raw Data'!A492&lt;&gt;"",AVERAGE('Raw Data'!AJ492,'Raw Data'!AL492,'Raw Data'!AN492,'Raw Data'!AP492,'Raw Data'!AR492),"")</f>
        <v/>
      </c>
      <c r="P505" s="11" t="str">
        <f>IF('Raw Data'!A492&lt;&gt;"",AVERAGE('Raw Data'!AK492,'Raw Data'!AM492,'Raw Data'!AO492,'Raw Data'!AQ492,'Raw Data'!AS492),"")</f>
        <v/>
      </c>
      <c r="Q505" s="11" t="str">
        <f t="shared" si="83"/>
        <v/>
      </c>
      <c r="R505" s="11" t="str">
        <f>IF('Raw Data'!A492&lt;&gt;"",AVERAGE('Raw Data'!AT492,'Raw Data'!AV492,'Raw Data'!AX492,'Raw Data'!AZ492,'Raw Data'!BB492),"")</f>
        <v/>
      </c>
      <c r="S505" s="11" t="str">
        <f>IF('Raw Data'!A492&lt;&gt;"",AVERAGE('Raw Data'!AU492,'Raw Data'!AW492,'Raw Data'!AY492,'Raw Data'!BA492,'Raw Data'!BC492),"")</f>
        <v/>
      </c>
      <c r="T505" s="11" t="str">
        <f t="shared" si="84"/>
        <v/>
      </c>
      <c r="U505" s="11" t="str">
        <f>IF('Raw Data'!A492&lt;&gt;"",AVERAGE('Raw Data'!BD492,'Raw Data'!BF492,'Raw Data'!BH492,'Raw Data'!BJ492,'Raw Data'!BL492),"")</f>
        <v/>
      </c>
      <c r="V505" s="11" t="str">
        <f>IF('Raw Data'!A492&lt;&gt;"",AVERAGE('Raw Data'!BE492,'Raw Data'!BG492,'Raw Data'!BI492,'Raw Data'!BK492,'Raw Data'!BM492),"")</f>
        <v/>
      </c>
      <c r="W505" s="11" t="str">
        <f t="shared" si="85"/>
        <v/>
      </c>
      <c r="X505" s="11" t="str">
        <f t="shared" si="86"/>
        <v/>
      </c>
      <c r="Y505" s="11" t="str">
        <f t="shared" si="87"/>
        <v/>
      </c>
      <c r="Z505" s="11" t="str">
        <f t="shared" si="88"/>
        <v/>
      </c>
      <c r="AA505" s="11" t="str">
        <f t="shared" si="89"/>
        <v/>
      </c>
      <c r="AB505" s="24" t="str">
        <f t="shared" si="90"/>
        <v/>
      </c>
    </row>
    <row r="506" spans="1:28" x14ac:dyDescent="0.25">
      <c r="A506" s="10" t="str">
        <f>IF('Raw Data'!A493&lt;&gt;"",'Raw Data'!A493,"")</f>
        <v/>
      </c>
      <c r="B506" s="10" t="str">
        <f>IF('Raw Data'!B493&lt;&gt;"",'Raw Data'!B493,"")</f>
        <v/>
      </c>
      <c r="C506" s="10" t="str">
        <f>IF('Raw Data'!C493&lt;&gt;"",'Raw Data'!C493,"")</f>
        <v/>
      </c>
      <c r="D506" s="10" t="str">
        <f>IF('Raw Data'!D493&lt;&gt;"",'Raw Data'!D493,"")</f>
        <v/>
      </c>
      <c r="E506" s="10" t="str">
        <f>IF('Raw Data'!E493&lt;&gt;"",'Raw Data'!E493,"")</f>
        <v/>
      </c>
      <c r="F506" s="14" t="str">
        <f>IF('Raw Data'!A493&lt;&gt;"",AVERAGE('Raw Data'!F493,'Raw Data'!H493,'Raw Data'!J493,'Raw Data'!L493,'Raw Data'!N493),"")</f>
        <v/>
      </c>
      <c r="G506" s="14" t="str">
        <f>IF('Raw Data'!A493&lt;&gt;"",AVERAGE('Raw Data'!G493,'Raw Data'!I493,'Raw Data'!K493,'Raw Data'!M493,'Raw Data'!O493),"")</f>
        <v/>
      </c>
      <c r="H506" s="14" t="str">
        <f t="shared" si="80"/>
        <v/>
      </c>
      <c r="I506" s="14" t="str">
        <f>IF('Raw Data'!A493&lt;&gt;"",AVERAGE('Raw Data'!P493,'Raw Data'!R493,'Raw Data'!T493,'Raw Data'!V493,'Raw Data'!X493),"")</f>
        <v/>
      </c>
      <c r="J506" s="14" t="str">
        <f>IF('Raw Data'!A493&lt;&gt;"",AVERAGE('Raw Data'!Q493,'Raw Data'!S493,'Raw Data'!U493,'Raw Data'!W493,'Raw Data'!Y493),"")</f>
        <v/>
      </c>
      <c r="K506" s="14" t="str">
        <f t="shared" si="81"/>
        <v/>
      </c>
      <c r="L506" s="14" t="str">
        <f>IF('Raw Data'!A493&lt;&gt;"",AVERAGE('Raw Data'!Z493,'Raw Data'!AB493,'Raw Data'!AD493,'Raw Data'!AF493,'Raw Data'!AH493),"")</f>
        <v/>
      </c>
      <c r="M506" s="14" t="str">
        <f>IF('Raw Data'!A493&lt;&gt;"",AVERAGE('Raw Data'!AA493,'Raw Data'!AC493,'Raw Data'!AE493,'Raw Data'!AG493,'Raw Data'!AI493),"")</f>
        <v/>
      </c>
      <c r="N506" s="14" t="str">
        <f t="shared" si="82"/>
        <v/>
      </c>
      <c r="O506" s="14" t="str">
        <f>IF('Raw Data'!A493&lt;&gt;"",AVERAGE('Raw Data'!AJ493,'Raw Data'!AL493,'Raw Data'!AN493,'Raw Data'!AP493,'Raw Data'!AR493),"")</f>
        <v/>
      </c>
      <c r="P506" s="14" t="str">
        <f>IF('Raw Data'!A493&lt;&gt;"",AVERAGE('Raw Data'!AK493,'Raw Data'!AM493,'Raw Data'!AO493,'Raw Data'!AQ493,'Raw Data'!AS493),"")</f>
        <v/>
      </c>
      <c r="Q506" s="14" t="str">
        <f t="shared" si="83"/>
        <v/>
      </c>
      <c r="R506" s="14" t="str">
        <f>IF('Raw Data'!A493&lt;&gt;"",AVERAGE('Raw Data'!AT493,'Raw Data'!AV493,'Raw Data'!AX493,'Raw Data'!AZ493,'Raw Data'!BB493),"")</f>
        <v/>
      </c>
      <c r="S506" s="14" t="str">
        <f>IF('Raw Data'!A493&lt;&gt;"",AVERAGE('Raw Data'!AU493,'Raw Data'!AW493,'Raw Data'!AY493,'Raw Data'!BA493,'Raw Data'!BC493),"")</f>
        <v/>
      </c>
      <c r="T506" s="14" t="str">
        <f t="shared" si="84"/>
        <v/>
      </c>
      <c r="U506" s="14" t="str">
        <f>IF('Raw Data'!A493&lt;&gt;"",AVERAGE('Raw Data'!BD493,'Raw Data'!BF493,'Raw Data'!BH493,'Raw Data'!BJ493,'Raw Data'!BL493),"")</f>
        <v/>
      </c>
      <c r="V506" s="14" t="str">
        <f>IF('Raw Data'!A493&lt;&gt;"",AVERAGE('Raw Data'!BE493,'Raw Data'!BG493,'Raw Data'!BI493,'Raw Data'!BK493,'Raw Data'!BM493),"")</f>
        <v/>
      </c>
      <c r="W506" s="14" t="str">
        <f t="shared" si="85"/>
        <v/>
      </c>
      <c r="X506" s="14" t="str">
        <f t="shared" si="86"/>
        <v/>
      </c>
      <c r="Y506" s="14" t="str">
        <f t="shared" si="87"/>
        <v/>
      </c>
      <c r="Z506" s="14" t="str">
        <f t="shared" si="88"/>
        <v/>
      </c>
      <c r="AA506" s="14" t="str">
        <f t="shared" si="89"/>
        <v/>
      </c>
      <c r="AB506" s="25" t="str">
        <f t="shared" si="90"/>
        <v/>
      </c>
    </row>
    <row r="507" spans="1:28" x14ac:dyDescent="0.25">
      <c r="A507" s="2" t="str">
        <f>IF('Raw Data'!A494&lt;&gt;"",'Raw Data'!A494,"")</f>
        <v/>
      </c>
      <c r="B507" s="2" t="str">
        <f>IF('Raw Data'!B494&lt;&gt;"",'Raw Data'!B494,"")</f>
        <v/>
      </c>
      <c r="C507" s="2" t="str">
        <f>IF('Raw Data'!C494&lt;&gt;"",'Raw Data'!C494,"")</f>
        <v/>
      </c>
      <c r="D507" s="2" t="str">
        <f>IF('Raw Data'!D494&lt;&gt;"",'Raw Data'!D494,"")</f>
        <v/>
      </c>
      <c r="E507" s="2" t="str">
        <f>IF('Raw Data'!E494&lt;&gt;"",'Raw Data'!E494,"")</f>
        <v/>
      </c>
      <c r="F507" s="11" t="str">
        <f>IF('Raw Data'!A494&lt;&gt;"",AVERAGE('Raw Data'!F494,'Raw Data'!H494,'Raw Data'!J494,'Raw Data'!L494,'Raw Data'!N494),"")</f>
        <v/>
      </c>
      <c r="G507" s="11" t="str">
        <f>IF('Raw Data'!A494&lt;&gt;"",AVERAGE('Raw Data'!G494,'Raw Data'!I494,'Raw Data'!K494,'Raw Data'!M494,'Raw Data'!O494),"")</f>
        <v/>
      </c>
      <c r="H507" s="11" t="str">
        <f t="shared" si="80"/>
        <v/>
      </c>
      <c r="I507" s="11" t="str">
        <f>IF('Raw Data'!A494&lt;&gt;"",AVERAGE('Raw Data'!P494,'Raw Data'!R494,'Raw Data'!T494,'Raw Data'!V494,'Raw Data'!X494),"")</f>
        <v/>
      </c>
      <c r="J507" s="11" t="str">
        <f>IF('Raw Data'!A494&lt;&gt;"",AVERAGE('Raw Data'!Q494,'Raw Data'!S494,'Raw Data'!U494,'Raw Data'!W494,'Raw Data'!Y494),"")</f>
        <v/>
      </c>
      <c r="K507" s="11" t="str">
        <f t="shared" si="81"/>
        <v/>
      </c>
      <c r="L507" s="11" t="str">
        <f>IF('Raw Data'!A494&lt;&gt;"",AVERAGE('Raw Data'!Z494,'Raw Data'!AB494,'Raw Data'!AD494,'Raw Data'!AF494,'Raw Data'!AH494),"")</f>
        <v/>
      </c>
      <c r="M507" s="11" t="str">
        <f>IF('Raw Data'!A494&lt;&gt;"",AVERAGE('Raw Data'!AA494,'Raw Data'!AC494,'Raw Data'!AE494,'Raw Data'!AG494,'Raw Data'!AI494),"")</f>
        <v/>
      </c>
      <c r="N507" s="11" t="str">
        <f t="shared" si="82"/>
        <v/>
      </c>
      <c r="O507" s="11" t="str">
        <f>IF('Raw Data'!A494&lt;&gt;"",AVERAGE('Raw Data'!AJ494,'Raw Data'!AL494,'Raw Data'!AN494,'Raw Data'!AP494,'Raw Data'!AR494),"")</f>
        <v/>
      </c>
      <c r="P507" s="11" t="str">
        <f>IF('Raw Data'!A494&lt;&gt;"",AVERAGE('Raw Data'!AK494,'Raw Data'!AM494,'Raw Data'!AO494,'Raw Data'!AQ494,'Raw Data'!AS494),"")</f>
        <v/>
      </c>
      <c r="Q507" s="11" t="str">
        <f t="shared" si="83"/>
        <v/>
      </c>
      <c r="R507" s="11" t="str">
        <f>IF('Raw Data'!A494&lt;&gt;"",AVERAGE('Raw Data'!AT494,'Raw Data'!AV494,'Raw Data'!AX494,'Raw Data'!AZ494,'Raw Data'!BB494),"")</f>
        <v/>
      </c>
      <c r="S507" s="11" t="str">
        <f>IF('Raw Data'!A494&lt;&gt;"",AVERAGE('Raw Data'!AU494,'Raw Data'!AW494,'Raw Data'!AY494,'Raw Data'!BA494,'Raw Data'!BC494),"")</f>
        <v/>
      </c>
      <c r="T507" s="11" t="str">
        <f t="shared" si="84"/>
        <v/>
      </c>
      <c r="U507" s="11" t="str">
        <f>IF('Raw Data'!A494&lt;&gt;"",AVERAGE('Raw Data'!BD494,'Raw Data'!BF494,'Raw Data'!BH494,'Raw Data'!BJ494,'Raw Data'!BL494),"")</f>
        <v/>
      </c>
      <c r="V507" s="11" t="str">
        <f>IF('Raw Data'!A494&lt;&gt;"",AVERAGE('Raw Data'!BE494,'Raw Data'!BG494,'Raw Data'!BI494,'Raw Data'!BK494,'Raw Data'!BM494),"")</f>
        <v/>
      </c>
      <c r="W507" s="11" t="str">
        <f t="shared" si="85"/>
        <v/>
      </c>
      <c r="X507" s="11" t="str">
        <f t="shared" si="86"/>
        <v/>
      </c>
      <c r="Y507" s="11" t="str">
        <f t="shared" si="87"/>
        <v/>
      </c>
      <c r="Z507" s="11" t="str">
        <f t="shared" si="88"/>
        <v/>
      </c>
      <c r="AA507" s="11" t="str">
        <f t="shared" si="89"/>
        <v/>
      </c>
      <c r="AB507" s="24" t="str">
        <f t="shared" si="90"/>
        <v/>
      </c>
    </row>
    <row r="508" spans="1:28" x14ac:dyDescent="0.25">
      <c r="A508" s="10" t="str">
        <f>IF('Raw Data'!A495&lt;&gt;"",'Raw Data'!A495,"")</f>
        <v/>
      </c>
      <c r="B508" s="10" t="str">
        <f>IF('Raw Data'!B495&lt;&gt;"",'Raw Data'!B495,"")</f>
        <v/>
      </c>
      <c r="C508" s="10" t="str">
        <f>IF('Raw Data'!C495&lt;&gt;"",'Raw Data'!C495,"")</f>
        <v/>
      </c>
      <c r="D508" s="10" t="str">
        <f>IF('Raw Data'!D495&lt;&gt;"",'Raw Data'!D495,"")</f>
        <v/>
      </c>
      <c r="E508" s="10" t="str">
        <f>IF('Raw Data'!E495&lt;&gt;"",'Raw Data'!E495,"")</f>
        <v/>
      </c>
      <c r="F508" s="14" t="str">
        <f>IF('Raw Data'!A495&lt;&gt;"",AVERAGE('Raw Data'!F495,'Raw Data'!H495,'Raw Data'!J495,'Raw Data'!L495,'Raw Data'!N495),"")</f>
        <v/>
      </c>
      <c r="G508" s="14" t="str">
        <f>IF('Raw Data'!A495&lt;&gt;"",AVERAGE('Raw Data'!G495,'Raw Data'!I495,'Raw Data'!K495,'Raw Data'!M495,'Raw Data'!O495),"")</f>
        <v/>
      </c>
      <c r="H508" s="14" t="str">
        <f t="shared" si="80"/>
        <v/>
      </c>
      <c r="I508" s="14" t="str">
        <f>IF('Raw Data'!A495&lt;&gt;"",AVERAGE('Raw Data'!P495,'Raw Data'!R495,'Raw Data'!T495,'Raw Data'!V495,'Raw Data'!X495),"")</f>
        <v/>
      </c>
      <c r="J508" s="14" t="str">
        <f>IF('Raw Data'!A495&lt;&gt;"",AVERAGE('Raw Data'!Q495,'Raw Data'!S495,'Raw Data'!U495,'Raw Data'!W495,'Raw Data'!Y495),"")</f>
        <v/>
      </c>
      <c r="K508" s="14" t="str">
        <f t="shared" si="81"/>
        <v/>
      </c>
      <c r="L508" s="14" t="str">
        <f>IF('Raw Data'!A495&lt;&gt;"",AVERAGE('Raw Data'!Z495,'Raw Data'!AB495,'Raw Data'!AD495,'Raw Data'!AF495,'Raw Data'!AH495),"")</f>
        <v/>
      </c>
      <c r="M508" s="14" t="str">
        <f>IF('Raw Data'!A495&lt;&gt;"",AVERAGE('Raw Data'!AA495,'Raw Data'!AC495,'Raw Data'!AE495,'Raw Data'!AG495,'Raw Data'!AI495),"")</f>
        <v/>
      </c>
      <c r="N508" s="14" t="str">
        <f t="shared" si="82"/>
        <v/>
      </c>
      <c r="O508" s="14" t="str">
        <f>IF('Raw Data'!A495&lt;&gt;"",AVERAGE('Raw Data'!AJ495,'Raw Data'!AL495,'Raw Data'!AN495,'Raw Data'!AP495,'Raw Data'!AR495),"")</f>
        <v/>
      </c>
      <c r="P508" s="14" t="str">
        <f>IF('Raw Data'!A495&lt;&gt;"",AVERAGE('Raw Data'!AK495,'Raw Data'!AM495,'Raw Data'!AO495,'Raw Data'!AQ495,'Raw Data'!AS495),"")</f>
        <v/>
      </c>
      <c r="Q508" s="14" t="str">
        <f t="shared" si="83"/>
        <v/>
      </c>
      <c r="R508" s="14" t="str">
        <f>IF('Raw Data'!A495&lt;&gt;"",AVERAGE('Raw Data'!AT495,'Raw Data'!AV495,'Raw Data'!AX495,'Raw Data'!AZ495,'Raw Data'!BB495),"")</f>
        <v/>
      </c>
      <c r="S508" s="14" t="str">
        <f>IF('Raw Data'!A495&lt;&gt;"",AVERAGE('Raw Data'!AU495,'Raw Data'!AW495,'Raw Data'!AY495,'Raw Data'!BA495,'Raw Data'!BC495),"")</f>
        <v/>
      </c>
      <c r="T508" s="14" t="str">
        <f t="shared" si="84"/>
        <v/>
      </c>
      <c r="U508" s="14" t="str">
        <f>IF('Raw Data'!A495&lt;&gt;"",AVERAGE('Raw Data'!BD495,'Raw Data'!BF495,'Raw Data'!BH495,'Raw Data'!BJ495,'Raw Data'!BL495),"")</f>
        <v/>
      </c>
      <c r="V508" s="14" t="str">
        <f>IF('Raw Data'!A495&lt;&gt;"",AVERAGE('Raw Data'!BE495,'Raw Data'!BG495,'Raw Data'!BI495,'Raw Data'!BK495,'Raw Data'!BM495),"")</f>
        <v/>
      </c>
      <c r="W508" s="14" t="str">
        <f t="shared" si="85"/>
        <v/>
      </c>
      <c r="X508" s="14" t="str">
        <f t="shared" si="86"/>
        <v/>
      </c>
      <c r="Y508" s="14" t="str">
        <f t="shared" si="87"/>
        <v/>
      </c>
      <c r="Z508" s="14" t="str">
        <f t="shared" si="88"/>
        <v/>
      </c>
      <c r="AA508" s="14" t="str">
        <f t="shared" si="89"/>
        <v/>
      </c>
      <c r="AB508" s="25" t="str">
        <f t="shared" si="90"/>
        <v/>
      </c>
    </row>
    <row r="509" spans="1:28" x14ac:dyDescent="0.25">
      <c r="A509" s="2" t="str">
        <f>IF('Raw Data'!A496&lt;&gt;"",'Raw Data'!A496,"")</f>
        <v/>
      </c>
      <c r="B509" s="2" t="str">
        <f>IF('Raw Data'!B496&lt;&gt;"",'Raw Data'!B496,"")</f>
        <v/>
      </c>
      <c r="C509" s="2" t="str">
        <f>IF('Raw Data'!C496&lt;&gt;"",'Raw Data'!C496,"")</f>
        <v/>
      </c>
      <c r="D509" s="2" t="str">
        <f>IF('Raw Data'!D496&lt;&gt;"",'Raw Data'!D496,"")</f>
        <v/>
      </c>
      <c r="E509" s="2" t="str">
        <f>IF('Raw Data'!E496&lt;&gt;"",'Raw Data'!E496,"")</f>
        <v/>
      </c>
      <c r="F509" s="11" t="str">
        <f>IF('Raw Data'!A496&lt;&gt;"",AVERAGE('Raw Data'!F496,'Raw Data'!H496,'Raw Data'!J496,'Raw Data'!L496,'Raw Data'!N496),"")</f>
        <v/>
      </c>
      <c r="G509" s="11" t="str">
        <f>IF('Raw Data'!A496&lt;&gt;"",AVERAGE('Raw Data'!G496,'Raw Data'!I496,'Raw Data'!K496,'Raw Data'!M496,'Raw Data'!O496),"")</f>
        <v/>
      </c>
      <c r="H509" s="11" t="str">
        <f t="shared" si="80"/>
        <v/>
      </c>
      <c r="I509" s="11" t="str">
        <f>IF('Raw Data'!A496&lt;&gt;"",AVERAGE('Raw Data'!P496,'Raw Data'!R496,'Raw Data'!T496,'Raw Data'!V496,'Raw Data'!X496),"")</f>
        <v/>
      </c>
      <c r="J509" s="11" t="str">
        <f>IF('Raw Data'!A496&lt;&gt;"",AVERAGE('Raw Data'!Q496,'Raw Data'!S496,'Raw Data'!U496,'Raw Data'!W496,'Raw Data'!Y496),"")</f>
        <v/>
      </c>
      <c r="K509" s="11" t="str">
        <f t="shared" si="81"/>
        <v/>
      </c>
      <c r="L509" s="11" t="str">
        <f>IF('Raw Data'!A496&lt;&gt;"",AVERAGE('Raw Data'!Z496,'Raw Data'!AB496,'Raw Data'!AD496,'Raw Data'!AF496,'Raw Data'!AH496),"")</f>
        <v/>
      </c>
      <c r="M509" s="11" t="str">
        <f>IF('Raw Data'!A496&lt;&gt;"",AVERAGE('Raw Data'!AA496,'Raw Data'!AC496,'Raw Data'!AE496,'Raw Data'!AG496,'Raw Data'!AI496),"")</f>
        <v/>
      </c>
      <c r="N509" s="11" t="str">
        <f t="shared" si="82"/>
        <v/>
      </c>
      <c r="O509" s="11" t="str">
        <f>IF('Raw Data'!A496&lt;&gt;"",AVERAGE('Raw Data'!AJ496,'Raw Data'!AL496,'Raw Data'!AN496,'Raw Data'!AP496,'Raw Data'!AR496),"")</f>
        <v/>
      </c>
      <c r="P509" s="11" t="str">
        <f>IF('Raw Data'!A496&lt;&gt;"",AVERAGE('Raw Data'!AK496,'Raw Data'!AM496,'Raw Data'!AO496,'Raw Data'!AQ496,'Raw Data'!AS496),"")</f>
        <v/>
      </c>
      <c r="Q509" s="11" t="str">
        <f t="shared" si="83"/>
        <v/>
      </c>
      <c r="R509" s="11" t="str">
        <f>IF('Raw Data'!A496&lt;&gt;"",AVERAGE('Raw Data'!AT496,'Raw Data'!AV496,'Raw Data'!AX496,'Raw Data'!AZ496,'Raw Data'!BB496),"")</f>
        <v/>
      </c>
      <c r="S509" s="11" t="str">
        <f>IF('Raw Data'!A496&lt;&gt;"",AVERAGE('Raw Data'!AU496,'Raw Data'!AW496,'Raw Data'!AY496,'Raw Data'!BA496,'Raw Data'!BC496),"")</f>
        <v/>
      </c>
      <c r="T509" s="11" t="str">
        <f t="shared" si="84"/>
        <v/>
      </c>
      <c r="U509" s="11" t="str">
        <f>IF('Raw Data'!A496&lt;&gt;"",AVERAGE('Raw Data'!BD496,'Raw Data'!BF496,'Raw Data'!BH496,'Raw Data'!BJ496,'Raw Data'!BL496),"")</f>
        <v/>
      </c>
      <c r="V509" s="11" t="str">
        <f>IF('Raw Data'!A496&lt;&gt;"",AVERAGE('Raw Data'!BE496,'Raw Data'!BG496,'Raw Data'!BI496,'Raw Data'!BK496,'Raw Data'!BM496),"")</f>
        <v/>
      </c>
      <c r="W509" s="11" t="str">
        <f t="shared" si="85"/>
        <v/>
      </c>
      <c r="X509" s="11" t="str">
        <f t="shared" si="86"/>
        <v/>
      </c>
      <c r="Y509" s="11" t="str">
        <f t="shared" si="87"/>
        <v/>
      </c>
      <c r="Z509" s="11" t="str">
        <f t="shared" si="88"/>
        <v/>
      </c>
      <c r="AA509" s="11" t="str">
        <f t="shared" si="89"/>
        <v/>
      </c>
      <c r="AB509" s="24" t="str">
        <f t="shared" si="90"/>
        <v/>
      </c>
    </row>
    <row r="510" spans="1:28" x14ac:dyDescent="0.25">
      <c r="A510" s="10" t="str">
        <f>IF('Raw Data'!A497&lt;&gt;"",'Raw Data'!A497,"")</f>
        <v/>
      </c>
      <c r="B510" s="10" t="str">
        <f>IF('Raw Data'!B497&lt;&gt;"",'Raw Data'!B497,"")</f>
        <v/>
      </c>
      <c r="C510" s="10" t="str">
        <f>IF('Raw Data'!C497&lt;&gt;"",'Raw Data'!C497,"")</f>
        <v/>
      </c>
      <c r="D510" s="10" t="str">
        <f>IF('Raw Data'!D497&lt;&gt;"",'Raw Data'!D497,"")</f>
        <v/>
      </c>
      <c r="E510" s="10" t="str">
        <f>IF('Raw Data'!E497&lt;&gt;"",'Raw Data'!E497,"")</f>
        <v/>
      </c>
      <c r="F510" s="14" t="str">
        <f>IF('Raw Data'!A497&lt;&gt;"",AVERAGE('Raw Data'!F497,'Raw Data'!H497,'Raw Data'!J497,'Raw Data'!L497,'Raw Data'!N497),"")</f>
        <v/>
      </c>
      <c r="G510" s="14" t="str">
        <f>IF('Raw Data'!A497&lt;&gt;"",AVERAGE('Raw Data'!G497,'Raw Data'!I497,'Raw Data'!K497,'Raw Data'!M497,'Raw Data'!O497),"")</f>
        <v/>
      </c>
      <c r="H510" s="14" t="str">
        <f t="shared" si="80"/>
        <v/>
      </c>
      <c r="I510" s="14" t="str">
        <f>IF('Raw Data'!A497&lt;&gt;"",AVERAGE('Raw Data'!P497,'Raw Data'!R497,'Raw Data'!T497,'Raw Data'!V497,'Raw Data'!X497),"")</f>
        <v/>
      </c>
      <c r="J510" s="14" t="str">
        <f>IF('Raw Data'!A497&lt;&gt;"",AVERAGE('Raw Data'!Q497,'Raw Data'!S497,'Raw Data'!U497,'Raw Data'!W497,'Raw Data'!Y497),"")</f>
        <v/>
      </c>
      <c r="K510" s="14" t="str">
        <f t="shared" si="81"/>
        <v/>
      </c>
      <c r="L510" s="14" t="str">
        <f>IF('Raw Data'!A497&lt;&gt;"",AVERAGE('Raw Data'!Z497,'Raw Data'!AB497,'Raw Data'!AD497,'Raw Data'!AF497,'Raw Data'!AH497),"")</f>
        <v/>
      </c>
      <c r="M510" s="14" t="str">
        <f>IF('Raw Data'!A497&lt;&gt;"",AVERAGE('Raw Data'!AA497,'Raw Data'!AC497,'Raw Data'!AE497,'Raw Data'!AG497,'Raw Data'!AI497),"")</f>
        <v/>
      </c>
      <c r="N510" s="14" t="str">
        <f t="shared" si="82"/>
        <v/>
      </c>
      <c r="O510" s="14" t="str">
        <f>IF('Raw Data'!A497&lt;&gt;"",AVERAGE('Raw Data'!AJ497,'Raw Data'!AL497,'Raw Data'!AN497,'Raw Data'!AP497,'Raw Data'!AR497),"")</f>
        <v/>
      </c>
      <c r="P510" s="14" t="str">
        <f>IF('Raw Data'!A497&lt;&gt;"",AVERAGE('Raw Data'!AK497,'Raw Data'!AM497,'Raw Data'!AO497,'Raw Data'!AQ497,'Raw Data'!AS497),"")</f>
        <v/>
      </c>
      <c r="Q510" s="14" t="str">
        <f t="shared" si="83"/>
        <v/>
      </c>
      <c r="R510" s="14" t="str">
        <f>IF('Raw Data'!A497&lt;&gt;"",AVERAGE('Raw Data'!AT497,'Raw Data'!AV497,'Raw Data'!AX497,'Raw Data'!AZ497,'Raw Data'!BB497),"")</f>
        <v/>
      </c>
      <c r="S510" s="14" t="str">
        <f>IF('Raw Data'!A497&lt;&gt;"",AVERAGE('Raw Data'!AU497,'Raw Data'!AW497,'Raw Data'!AY497,'Raw Data'!BA497,'Raw Data'!BC497),"")</f>
        <v/>
      </c>
      <c r="T510" s="14" t="str">
        <f t="shared" si="84"/>
        <v/>
      </c>
      <c r="U510" s="14" t="str">
        <f>IF('Raw Data'!A497&lt;&gt;"",AVERAGE('Raw Data'!BD497,'Raw Data'!BF497,'Raw Data'!BH497,'Raw Data'!BJ497,'Raw Data'!BL497),"")</f>
        <v/>
      </c>
      <c r="V510" s="14" t="str">
        <f>IF('Raw Data'!A497&lt;&gt;"",AVERAGE('Raw Data'!BE497,'Raw Data'!BG497,'Raw Data'!BI497,'Raw Data'!BK497,'Raw Data'!BM497),"")</f>
        <v/>
      </c>
      <c r="W510" s="14" t="str">
        <f t="shared" si="85"/>
        <v/>
      </c>
      <c r="X510" s="14" t="str">
        <f t="shared" si="86"/>
        <v/>
      </c>
      <c r="Y510" s="14" t="str">
        <f t="shared" si="87"/>
        <v/>
      </c>
      <c r="Z510" s="14" t="str">
        <f t="shared" si="88"/>
        <v/>
      </c>
      <c r="AA510" s="14" t="str">
        <f t="shared" si="89"/>
        <v/>
      </c>
      <c r="AB510" s="25" t="str">
        <f t="shared" si="90"/>
        <v/>
      </c>
    </row>
    <row r="511" spans="1:28" x14ac:dyDescent="0.25">
      <c r="A511" s="2" t="str">
        <f>IF('Raw Data'!A498&lt;&gt;"",'Raw Data'!A498,"")</f>
        <v/>
      </c>
      <c r="B511" s="2" t="str">
        <f>IF('Raw Data'!B498&lt;&gt;"",'Raw Data'!B498,"")</f>
        <v/>
      </c>
      <c r="C511" s="2" t="str">
        <f>IF('Raw Data'!C498&lt;&gt;"",'Raw Data'!C498,"")</f>
        <v/>
      </c>
      <c r="D511" s="2" t="str">
        <f>IF('Raw Data'!D498&lt;&gt;"",'Raw Data'!D498,"")</f>
        <v/>
      </c>
      <c r="E511" s="2" t="str">
        <f>IF('Raw Data'!E498&lt;&gt;"",'Raw Data'!E498,"")</f>
        <v/>
      </c>
      <c r="F511" s="11" t="str">
        <f>IF('Raw Data'!A498&lt;&gt;"",AVERAGE('Raw Data'!F498,'Raw Data'!H498,'Raw Data'!J498,'Raw Data'!L498,'Raw Data'!N498),"")</f>
        <v/>
      </c>
      <c r="G511" s="11" t="str">
        <f>IF('Raw Data'!A498&lt;&gt;"",AVERAGE('Raw Data'!G498,'Raw Data'!I498,'Raw Data'!K498,'Raw Data'!M498,'Raw Data'!O498),"")</f>
        <v/>
      </c>
      <c r="H511" s="11" t="str">
        <f t="shared" si="80"/>
        <v/>
      </c>
      <c r="I511" s="11" t="str">
        <f>IF('Raw Data'!A498&lt;&gt;"",AVERAGE('Raw Data'!P498,'Raw Data'!R498,'Raw Data'!T498,'Raw Data'!V498,'Raw Data'!X498),"")</f>
        <v/>
      </c>
      <c r="J511" s="11" t="str">
        <f>IF('Raw Data'!A498&lt;&gt;"",AVERAGE('Raw Data'!Q498,'Raw Data'!S498,'Raw Data'!U498,'Raw Data'!W498,'Raw Data'!Y498),"")</f>
        <v/>
      </c>
      <c r="K511" s="11" t="str">
        <f t="shared" si="81"/>
        <v/>
      </c>
      <c r="L511" s="11" t="str">
        <f>IF('Raw Data'!A498&lt;&gt;"",AVERAGE('Raw Data'!Z498,'Raw Data'!AB498,'Raw Data'!AD498,'Raw Data'!AF498,'Raw Data'!AH498),"")</f>
        <v/>
      </c>
      <c r="M511" s="11" t="str">
        <f>IF('Raw Data'!A498&lt;&gt;"",AVERAGE('Raw Data'!AA498,'Raw Data'!AC498,'Raw Data'!AE498,'Raw Data'!AG498,'Raw Data'!AI498),"")</f>
        <v/>
      </c>
      <c r="N511" s="11" t="str">
        <f t="shared" si="82"/>
        <v/>
      </c>
      <c r="O511" s="11" t="str">
        <f>IF('Raw Data'!A498&lt;&gt;"",AVERAGE('Raw Data'!AJ498,'Raw Data'!AL498,'Raw Data'!AN498,'Raw Data'!AP498,'Raw Data'!AR498),"")</f>
        <v/>
      </c>
      <c r="P511" s="11" t="str">
        <f>IF('Raw Data'!A498&lt;&gt;"",AVERAGE('Raw Data'!AK498,'Raw Data'!AM498,'Raw Data'!AO498,'Raw Data'!AQ498,'Raw Data'!AS498),"")</f>
        <v/>
      </c>
      <c r="Q511" s="11" t="str">
        <f t="shared" si="83"/>
        <v/>
      </c>
      <c r="R511" s="11" t="str">
        <f>IF('Raw Data'!A498&lt;&gt;"",AVERAGE('Raw Data'!AT498,'Raw Data'!AV498,'Raw Data'!AX498,'Raw Data'!AZ498,'Raw Data'!BB498),"")</f>
        <v/>
      </c>
      <c r="S511" s="11" t="str">
        <f>IF('Raw Data'!A498&lt;&gt;"",AVERAGE('Raw Data'!AU498,'Raw Data'!AW498,'Raw Data'!AY498,'Raw Data'!BA498,'Raw Data'!BC498),"")</f>
        <v/>
      </c>
      <c r="T511" s="11" t="str">
        <f t="shared" si="84"/>
        <v/>
      </c>
      <c r="U511" s="11" t="str">
        <f>IF('Raw Data'!A498&lt;&gt;"",AVERAGE('Raw Data'!BD498,'Raw Data'!BF498,'Raw Data'!BH498,'Raw Data'!BJ498,'Raw Data'!BL498),"")</f>
        <v/>
      </c>
      <c r="V511" s="11" t="str">
        <f>IF('Raw Data'!A498&lt;&gt;"",AVERAGE('Raw Data'!BE498,'Raw Data'!BG498,'Raw Data'!BI498,'Raw Data'!BK498,'Raw Data'!BM498),"")</f>
        <v/>
      </c>
      <c r="W511" s="11" t="str">
        <f t="shared" si="85"/>
        <v/>
      </c>
      <c r="X511" s="11" t="str">
        <f t="shared" si="86"/>
        <v/>
      </c>
      <c r="Y511" s="11" t="str">
        <f t="shared" si="87"/>
        <v/>
      </c>
      <c r="Z511" s="11" t="str">
        <f t="shared" si="88"/>
        <v/>
      </c>
      <c r="AA511" s="11" t="str">
        <f t="shared" si="89"/>
        <v/>
      </c>
      <c r="AB511" s="24" t="str">
        <f t="shared" si="90"/>
        <v/>
      </c>
    </row>
    <row r="512" spans="1:28" x14ac:dyDescent="0.25">
      <c r="A512" s="10" t="str">
        <f>IF('Raw Data'!A499&lt;&gt;"",'Raw Data'!A499,"")</f>
        <v/>
      </c>
      <c r="B512" s="10" t="str">
        <f>IF('Raw Data'!B499&lt;&gt;"",'Raw Data'!B499,"")</f>
        <v/>
      </c>
      <c r="C512" s="10" t="str">
        <f>IF('Raw Data'!C499&lt;&gt;"",'Raw Data'!C499,"")</f>
        <v/>
      </c>
      <c r="D512" s="10" t="str">
        <f>IF('Raw Data'!D499&lt;&gt;"",'Raw Data'!D499,"")</f>
        <v/>
      </c>
      <c r="E512" s="10" t="str">
        <f>IF('Raw Data'!E499&lt;&gt;"",'Raw Data'!E499,"")</f>
        <v/>
      </c>
      <c r="F512" s="14" t="str">
        <f>IF('Raw Data'!A499&lt;&gt;"",AVERAGE('Raw Data'!F499,'Raw Data'!H499,'Raw Data'!J499,'Raw Data'!L499,'Raw Data'!N499),"")</f>
        <v/>
      </c>
      <c r="G512" s="14" t="str">
        <f>IF('Raw Data'!A499&lt;&gt;"",AVERAGE('Raw Data'!G499,'Raw Data'!I499,'Raw Data'!K499,'Raw Data'!M499,'Raw Data'!O499),"")</f>
        <v/>
      </c>
      <c r="H512" s="14" t="str">
        <f t="shared" si="80"/>
        <v/>
      </c>
      <c r="I512" s="14" t="str">
        <f>IF('Raw Data'!A499&lt;&gt;"",AVERAGE('Raw Data'!P499,'Raw Data'!R499,'Raw Data'!T499,'Raw Data'!V499,'Raw Data'!X499),"")</f>
        <v/>
      </c>
      <c r="J512" s="14" t="str">
        <f>IF('Raw Data'!A499&lt;&gt;"",AVERAGE('Raw Data'!Q499,'Raw Data'!S499,'Raw Data'!U499,'Raw Data'!W499,'Raw Data'!Y499),"")</f>
        <v/>
      </c>
      <c r="K512" s="14" t="str">
        <f t="shared" si="81"/>
        <v/>
      </c>
      <c r="L512" s="14" t="str">
        <f>IF('Raw Data'!A499&lt;&gt;"",AVERAGE('Raw Data'!Z499,'Raw Data'!AB499,'Raw Data'!AD499,'Raw Data'!AF499,'Raw Data'!AH499),"")</f>
        <v/>
      </c>
      <c r="M512" s="14" t="str">
        <f>IF('Raw Data'!A499&lt;&gt;"",AVERAGE('Raw Data'!AA499,'Raw Data'!AC499,'Raw Data'!AE499,'Raw Data'!AG499,'Raw Data'!AI499),"")</f>
        <v/>
      </c>
      <c r="N512" s="14" t="str">
        <f t="shared" si="82"/>
        <v/>
      </c>
      <c r="O512" s="14" t="str">
        <f>IF('Raw Data'!A499&lt;&gt;"",AVERAGE('Raw Data'!AJ499,'Raw Data'!AL499,'Raw Data'!AN499,'Raw Data'!AP499,'Raw Data'!AR499),"")</f>
        <v/>
      </c>
      <c r="P512" s="14" t="str">
        <f>IF('Raw Data'!A499&lt;&gt;"",AVERAGE('Raw Data'!AK499,'Raw Data'!AM499,'Raw Data'!AO499,'Raw Data'!AQ499,'Raw Data'!AS499),"")</f>
        <v/>
      </c>
      <c r="Q512" s="14" t="str">
        <f t="shared" si="83"/>
        <v/>
      </c>
      <c r="R512" s="14" t="str">
        <f>IF('Raw Data'!A499&lt;&gt;"",AVERAGE('Raw Data'!AT499,'Raw Data'!AV499,'Raw Data'!AX499,'Raw Data'!AZ499,'Raw Data'!BB499),"")</f>
        <v/>
      </c>
      <c r="S512" s="14" t="str">
        <f>IF('Raw Data'!A499&lt;&gt;"",AVERAGE('Raw Data'!AU499,'Raw Data'!AW499,'Raw Data'!AY499,'Raw Data'!BA499,'Raw Data'!BC499),"")</f>
        <v/>
      </c>
      <c r="T512" s="14" t="str">
        <f t="shared" si="84"/>
        <v/>
      </c>
      <c r="U512" s="14" t="str">
        <f>IF('Raw Data'!A499&lt;&gt;"",AVERAGE('Raw Data'!BD499,'Raw Data'!BF499,'Raw Data'!BH499,'Raw Data'!BJ499,'Raw Data'!BL499),"")</f>
        <v/>
      </c>
      <c r="V512" s="14" t="str">
        <f>IF('Raw Data'!A499&lt;&gt;"",AVERAGE('Raw Data'!BE499,'Raw Data'!BG499,'Raw Data'!BI499,'Raw Data'!BK499,'Raw Data'!BM499),"")</f>
        <v/>
      </c>
      <c r="W512" s="14" t="str">
        <f t="shared" si="85"/>
        <v/>
      </c>
      <c r="X512" s="14" t="str">
        <f t="shared" si="86"/>
        <v/>
      </c>
      <c r="Y512" s="14" t="str">
        <f t="shared" si="87"/>
        <v/>
      </c>
      <c r="Z512" s="14" t="str">
        <f t="shared" si="88"/>
        <v/>
      </c>
      <c r="AA512" s="14" t="str">
        <f t="shared" si="89"/>
        <v/>
      </c>
      <c r="AB512" s="25" t="str">
        <f t="shared" si="90"/>
        <v/>
      </c>
    </row>
    <row r="513" spans="1:28" x14ac:dyDescent="0.25">
      <c r="A513" s="2" t="str">
        <f>IF('Raw Data'!A500&lt;&gt;"",'Raw Data'!A500,"")</f>
        <v/>
      </c>
      <c r="B513" s="2" t="str">
        <f>IF('Raw Data'!B500&lt;&gt;"",'Raw Data'!B500,"")</f>
        <v/>
      </c>
      <c r="C513" s="2" t="str">
        <f>IF('Raw Data'!C500&lt;&gt;"",'Raw Data'!C500,"")</f>
        <v/>
      </c>
      <c r="D513" s="2" t="str">
        <f>IF('Raw Data'!D500&lt;&gt;"",'Raw Data'!D500,"")</f>
        <v/>
      </c>
      <c r="E513" s="2" t="str">
        <f>IF('Raw Data'!E500&lt;&gt;"",'Raw Data'!E500,"")</f>
        <v/>
      </c>
      <c r="F513" s="11" t="str">
        <f>IF('Raw Data'!A500&lt;&gt;"",AVERAGE('Raw Data'!F500,'Raw Data'!H500,'Raw Data'!J500,'Raw Data'!L500,'Raw Data'!N500),"")</f>
        <v/>
      </c>
      <c r="G513" s="11" t="str">
        <f>IF('Raw Data'!A500&lt;&gt;"",AVERAGE('Raw Data'!G500,'Raw Data'!I500,'Raw Data'!K500,'Raw Data'!M500,'Raw Data'!O500),"")</f>
        <v/>
      </c>
      <c r="H513" s="11" t="str">
        <f t="shared" si="80"/>
        <v/>
      </c>
      <c r="I513" s="11" t="str">
        <f>IF('Raw Data'!A500&lt;&gt;"",AVERAGE('Raw Data'!P500,'Raw Data'!R500,'Raw Data'!T500,'Raw Data'!V500,'Raw Data'!X500),"")</f>
        <v/>
      </c>
      <c r="J513" s="11" t="str">
        <f>IF('Raw Data'!A500&lt;&gt;"",AVERAGE('Raw Data'!Q500,'Raw Data'!S500,'Raw Data'!U500,'Raw Data'!W500,'Raw Data'!Y500),"")</f>
        <v/>
      </c>
      <c r="K513" s="11" t="str">
        <f t="shared" si="81"/>
        <v/>
      </c>
      <c r="L513" s="11" t="str">
        <f>IF('Raw Data'!A500&lt;&gt;"",AVERAGE('Raw Data'!Z500,'Raw Data'!AB500,'Raw Data'!AD500,'Raw Data'!AF500,'Raw Data'!AH500),"")</f>
        <v/>
      </c>
      <c r="M513" s="11" t="str">
        <f>IF('Raw Data'!A500&lt;&gt;"",AVERAGE('Raw Data'!AA500,'Raw Data'!AC500,'Raw Data'!AE500,'Raw Data'!AG500,'Raw Data'!AI500),"")</f>
        <v/>
      </c>
      <c r="N513" s="11" t="str">
        <f t="shared" si="82"/>
        <v/>
      </c>
      <c r="O513" s="11" t="str">
        <f>IF('Raw Data'!A500&lt;&gt;"",AVERAGE('Raw Data'!AJ500,'Raw Data'!AL500,'Raw Data'!AN500,'Raw Data'!AP500,'Raw Data'!AR500),"")</f>
        <v/>
      </c>
      <c r="P513" s="11" t="str">
        <f>IF('Raw Data'!A500&lt;&gt;"",AVERAGE('Raw Data'!AK500,'Raw Data'!AM500,'Raw Data'!AO500,'Raw Data'!AQ500,'Raw Data'!AS500),"")</f>
        <v/>
      </c>
      <c r="Q513" s="11" t="str">
        <f t="shared" si="83"/>
        <v/>
      </c>
      <c r="R513" s="11" t="str">
        <f>IF('Raw Data'!A500&lt;&gt;"",AVERAGE('Raw Data'!AT500,'Raw Data'!AV500,'Raw Data'!AX500,'Raw Data'!AZ500,'Raw Data'!BB500),"")</f>
        <v/>
      </c>
      <c r="S513" s="11" t="str">
        <f>IF('Raw Data'!A500&lt;&gt;"",AVERAGE('Raw Data'!AU500,'Raw Data'!AW500,'Raw Data'!AY500,'Raw Data'!BA500,'Raw Data'!BC500),"")</f>
        <v/>
      </c>
      <c r="T513" s="11" t="str">
        <f t="shared" si="84"/>
        <v/>
      </c>
      <c r="U513" s="11" t="str">
        <f>IF('Raw Data'!A500&lt;&gt;"",AVERAGE('Raw Data'!BD500,'Raw Data'!BF500,'Raw Data'!BH500,'Raw Data'!BJ500,'Raw Data'!BL500),"")</f>
        <v/>
      </c>
      <c r="V513" s="11" t="str">
        <f>IF('Raw Data'!A500&lt;&gt;"",AVERAGE('Raw Data'!BE500,'Raw Data'!BG500,'Raw Data'!BI500,'Raw Data'!BK500,'Raw Data'!BM500),"")</f>
        <v/>
      </c>
      <c r="W513" s="11" t="str">
        <f t="shared" si="85"/>
        <v/>
      </c>
      <c r="X513" s="11" t="str">
        <f t="shared" si="86"/>
        <v/>
      </c>
      <c r="Y513" s="11" t="str">
        <f t="shared" si="87"/>
        <v/>
      </c>
      <c r="Z513" s="11" t="str">
        <f t="shared" si="88"/>
        <v/>
      </c>
      <c r="AA513" s="11" t="str">
        <f t="shared" si="89"/>
        <v/>
      </c>
      <c r="AB513" s="24" t="str">
        <f t="shared" si="90"/>
        <v/>
      </c>
    </row>
    <row r="514" spans="1:28" x14ac:dyDescent="0.25">
      <c r="A514" s="10" t="str">
        <f>IF('Raw Data'!A501&lt;&gt;"",'Raw Data'!A501,"")</f>
        <v/>
      </c>
      <c r="B514" s="10" t="str">
        <f>IF('Raw Data'!B501&lt;&gt;"",'Raw Data'!B501,"")</f>
        <v/>
      </c>
      <c r="C514" s="10" t="str">
        <f>IF('Raw Data'!C501&lt;&gt;"",'Raw Data'!C501,"")</f>
        <v/>
      </c>
      <c r="D514" s="10" t="str">
        <f>IF('Raw Data'!D501&lt;&gt;"",'Raw Data'!D501,"")</f>
        <v/>
      </c>
      <c r="E514" s="10" t="str">
        <f>IF('Raw Data'!E501&lt;&gt;"",'Raw Data'!E501,"")</f>
        <v/>
      </c>
      <c r="F514" s="14" t="str">
        <f>IF('Raw Data'!A501&lt;&gt;"",AVERAGE('Raw Data'!F501,'Raw Data'!H501,'Raw Data'!J501,'Raw Data'!L501,'Raw Data'!N501),"")</f>
        <v/>
      </c>
      <c r="G514" s="14" t="str">
        <f>IF('Raw Data'!A501&lt;&gt;"",AVERAGE('Raw Data'!G501,'Raw Data'!I501,'Raw Data'!K501,'Raw Data'!M501,'Raw Data'!O501),"")</f>
        <v/>
      </c>
      <c r="H514" s="14" t="str">
        <f t="shared" si="80"/>
        <v/>
      </c>
      <c r="I514" s="14" t="str">
        <f>IF('Raw Data'!A501&lt;&gt;"",AVERAGE('Raw Data'!P501,'Raw Data'!R501,'Raw Data'!T501,'Raw Data'!V501,'Raw Data'!X501),"")</f>
        <v/>
      </c>
      <c r="J514" s="14" t="str">
        <f>IF('Raw Data'!A501&lt;&gt;"",AVERAGE('Raw Data'!Q501,'Raw Data'!S501,'Raw Data'!U501,'Raw Data'!W501,'Raw Data'!Y501),"")</f>
        <v/>
      </c>
      <c r="K514" s="14" t="str">
        <f t="shared" si="81"/>
        <v/>
      </c>
      <c r="L514" s="14" t="str">
        <f>IF('Raw Data'!A501&lt;&gt;"",AVERAGE('Raw Data'!Z501,'Raw Data'!AB501,'Raw Data'!AD501,'Raw Data'!AF501,'Raw Data'!AH501),"")</f>
        <v/>
      </c>
      <c r="M514" s="14" t="str">
        <f>IF('Raw Data'!A501&lt;&gt;"",AVERAGE('Raw Data'!AA501,'Raw Data'!AC501,'Raw Data'!AE501,'Raw Data'!AG501,'Raw Data'!AI501),"")</f>
        <v/>
      </c>
      <c r="N514" s="14" t="str">
        <f t="shared" si="82"/>
        <v/>
      </c>
      <c r="O514" s="14" t="str">
        <f>IF('Raw Data'!A501&lt;&gt;"",AVERAGE('Raw Data'!AJ501,'Raw Data'!AL501,'Raw Data'!AN501,'Raw Data'!AP501,'Raw Data'!AR501),"")</f>
        <v/>
      </c>
      <c r="P514" s="14" t="str">
        <f>IF('Raw Data'!A501&lt;&gt;"",AVERAGE('Raw Data'!AK501,'Raw Data'!AM501,'Raw Data'!AO501,'Raw Data'!AQ501,'Raw Data'!AS501),"")</f>
        <v/>
      </c>
      <c r="Q514" s="14" t="str">
        <f t="shared" si="83"/>
        <v/>
      </c>
      <c r="R514" s="14" t="str">
        <f>IF('Raw Data'!A501&lt;&gt;"",AVERAGE('Raw Data'!AT501,'Raw Data'!AV501,'Raw Data'!AX501,'Raw Data'!AZ501,'Raw Data'!BB501),"")</f>
        <v/>
      </c>
      <c r="S514" s="14" t="str">
        <f>IF('Raw Data'!A501&lt;&gt;"",AVERAGE('Raw Data'!AU501,'Raw Data'!AW501,'Raw Data'!AY501,'Raw Data'!BA501,'Raw Data'!BC501),"")</f>
        <v/>
      </c>
      <c r="T514" s="14" t="str">
        <f t="shared" si="84"/>
        <v/>
      </c>
      <c r="U514" s="14" t="str">
        <f>IF('Raw Data'!A501&lt;&gt;"",AVERAGE('Raw Data'!BD501,'Raw Data'!BF501,'Raw Data'!BH501,'Raw Data'!BJ501,'Raw Data'!BL501),"")</f>
        <v/>
      </c>
      <c r="V514" s="14" t="str">
        <f>IF('Raw Data'!A501&lt;&gt;"",AVERAGE('Raw Data'!BE501,'Raw Data'!BG501,'Raw Data'!BI501,'Raw Data'!BK501,'Raw Data'!BM501),"")</f>
        <v/>
      </c>
      <c r="W514" s="14" t="str">
        <f t="shared" si="85"/>
        <v/>
      </c>
      <c r="X514" s="14" t="str">
        <f t="shared" si="86"/>
        <v/>
      </c>
      <c r="Y514" s="14" t="str">
        <f t="shared" si="87"/>
        <v/>
      </c>
      <c r="Z514" s="14" t="str">
        <f t="shared" si="88"/>
        <v/>
      </c>
      <c r="AA514" s="14" t="str">
        <f t="shared" si="89"/>
        <v/>
      </c>
      <c r="AB514" s="25" t="str">
        <f t="shared" si="90"/>
        <v/>
      </c>
    </row>
    <row r="515" spans="1:28" x14ac:dyDescent="0.25">
      <c r="A515" s="2" t="str">
        <f>IF('Raw Data'!A502&lt;&gt;"",'Raw Data'!A502,"")</f>
        <v/>
      </c>
      <c r="B515" s="2" t="str">
        <f>IF('Raw Data'!B502&lt;&gt;"",'Raw Data'!B502,"")</f>
        <v/>
      </c>
      <c r="C515" s="2" t="str">
        <f>IF('Raw Data'!C502&lt;&gt;"",'Raw Data'!C502,"")</f>
        <v/>
      </c>
      <c r="D515" s="2" t="str">
        <f>IF('Raw Data'!D502&lt;&gt;"",'Raw Data'!D502,"")</f>
        <v/>
      </c>
      <c r="E515" s="2" t="str">
        <f>IF('Raw Data'!E502&lt;&gt;"",'Raw Data'!E502,"")</f>
        <v/>
      </c>
      <c r="F515" s="11" t="str">
        <f>IF('Raw Data'!A502&lt;&gt;"",AVERAGE('Raw Data'!F502,'Raw Data'!H502,'Raw Data'!J502,'Raw Data'!L502,'Raw Data'!N502),"")</f>
        <v/>
      </c>
      <c r="G515" s="11" t="str">
        <f>IF('Raw Data'!A502&lt;&gt;"",AVERAGE('Raw Data'!G502,'Raw Data'!I502,'Raw Data'!K502,'Raw Data'!M502,'Raw Data'!O502),"")</f>
        <v/>
      </c>
      <c r="H515" s="11" t="str">
        <f t="shared" si="80"/>
        <v/>
      </c>
      <c r="I515" s="11" t="str">
        <f>IF('Raw Data'!A502&lt;&gt;"",AVERAGE('Raw Data'!P502,'Raw Data'!R502,'Raw Data'!T502,'Raw Data'!V502,'Raw Data'!X502),"")</f>
        <v/>
      </c>
      <c r="J515" s="11" t="str">
        <f>IF('Raw Data'!A502&lt;&gt;"",AVERAGE('Raw Data'!Q502,'Raw Data'!S502,'Raw Data'!U502,'Raw Data'!W502,'Raw Data'!Y502),"")</f>
        <v/>
      </c>
      <c r="K515" s="11" t="str">
        <f t="shared" si="81"/>
        <v/>
      </c>
      <c r="L515" s="11" t="str">
        <f>IF('Raw Data'!A502&lt;&gt;"",AVERAGE('Raw Data'!Z502,'Raw Data'!AB502,'Raw Data'!AD502,'Raw Data'!AF502,'Raw Data'!AH502),"")</f>
        <v/>
      </c>
      <c r="M515" s="11" t="str">
        <f>IF('Raw Data'!A502&lt;&gt;"",AVERAGE('Raw Data'!AA502,'Raw Data'!AC502,'Raw Data'!AE502,'Raw Data'!AG502,'Raw Data'!AI502),"")</f>
        <v/>
      </c>
      <c r="N515" s="11" t="str">
        <f t="shared" si="82"/>
        <v/>
      </c>
      <c r="O515" s="11" t="str">
        <f>IF('Raw Data'!A502&lt;&gt;"",AVERAGE('Raw Data'!AJ502,'Raw Data'!AL502,'Raw Data'!AN502,'Raw Data'!AP502,'Raw Data'!AR502),"")</f>
        <v/>
      </c>
      <c r="P515" s="11" t="str">
        <f>IF('Raw Data'!A502&lt;&gt;"",AVERAGE('Raw Data'!AK502,'Raw Data'!AM502,'Raw Data'!AO502,'Raw Data'!AQ502,'Raw Data'!AS502),"")</f>
        <v/>
      </c>
      <c r="Q515" s="11" t="str">
        <f t="shared" si="83"/>
        <v/>
      </c>
      <c r="R515" s="11" t="str">
        <f>IF('Raw Data'!A502&lt;&gt;"",AVERAGE('Raw Data'!AT502,'Raw Data'!AV502,'Raw Data'!AX502,'Raw Data'!AZ502,'Raw Data'!BB502),"")</f>
        <v/>
      </c>
      <c r="S515" s="11" t="str">
        <f>IF('Raw Data'!A502&lt;&gt;"",AVERAGE('Raw Data'!AU502,'Raw Data'!AW502,'Raw Data'!AY502,'Raw Data'!BA502,'Raw Data'!BC502),"")</f>
        <v/>
      </c>
      <c r="T515" s="11" t="str">
        <f t="shared" si="84"/>
        <v/>
      </c>
      <c r="U515" s="11" t="str">
        <f>IF('Raw Data'!A502&lt;&gt;"",AVERAGE('Raw Data'!BD502,'Raw Data'!BF502,'Raw Data'!BH502,'Raw Data'!BJ502,'Raw Data'!BL502),"")</f>
        <v/>
      </c>
      <c r="V515" s="11" t="str">
        <f>IF('Raw Data'!A502&lt;&gt;"",AVERAGE('Raw Data'!BE502,'Raw Data'!BG502,'Raw Data'!BI502,'Raw Data'!BK502,'Raw Data'!BM502),"")</f>
        <v/>
      </c>
      <c r="W515" s="11" t="str">
        <f t="shared" si="85"/>
        <v/>
      </c>
      <c r="X515" s="11" t="str">
        <f t="shared" si="86"/>
        <v/>
      </c>
      <c r="Y515" s="11" t="str">
        <f t="shared" si="87"/>
        <v/>
      </c>
      <c r="Z515" s="11" t="str">
        <f t="shared" si="88"/>
        <v/>
      </c>
      <c r="AA515" s="11" t="str">
        <f t="shared" si="89"/>
        <v/>
      </c>
      <c r="AB515" s="24" t="str">
        <f t="shared" si="90"/>
        <v/>
      </c>
    </row>
    <row r="516" spans="1:28" x14ac:dyDescent="0.25">
      <c r="A516" s="10" t="str">
        <f>IF('Raw Data'!A503&lt;&gt;"",'Raw Data'!A503,"")</f>
        <v/>
      </c>
      <c r="B516" s="10" t="str">
        <f>IF('Raw Data'!B503&lt;&gt;"",'Raw Data'!B503,"")</f>
        <v/>
      </c>
      <c r="C516" s="10" t="str">
        <f>IF('Raw Data'!C503&lt;&gt;"",'Raw Data'!C503,"")</f>
        <v/>
      </c>
      <c r="D516" s="10" t="str">
        <f>IF('Raw Data'!D503&lt;&gt;"",'Raw Data'!D503,"")</f>
        <v/>
      </c>
      <c r="E516" s="10" t="str">
        <f>IF('Raw Data'!E503&lt;&gt;"",'Raw Data'!E503,"")</f>
        <v/>
      </c>
      <c r="F516" s="14" t="str">
        <f>IF('Raw Data'!A503&lt;&gt;"",AVERAGE('Raw Data'!F503,'Raw Data'!H503,'Raw Data'!J503,'Raw Data'!L503,'Raw Data'!N503),"")</f>
        <v/>
      </c>
      <c r="G516" s="14" t="str">
        <f>IF('Raw Data'!A503&lt;&gt;"",AVERAGE('Raw Data'!G503,'Raw Data'!I503,'Raw Data'!K503,'Raw Data'!M503,'Raw Data'!O503),"")</f>
        <v/>
      </c>
      <c r="H516" s="14" t="str">
        <f t="shared" si="80"/>
        <v/>
      </c>
      <c r="I516" s="14" t="str">
        <f>IF('Raw Data'!A503&lt;&gt;"",AVERAGE('Raw Data'!P503,'Raw Data'!R503,'Raw Data'!T503,'Raw Data'!V503,'Raw Data'!X503),"")</f>
        <v/>
      </c>
      <c r="J516" s="14" t="str">
        <f>IF('Raw Data'!A503&lt;&gt;"",AVERAGE('Raw Data'!Q503,'Raw Data'!S503,'Raw Data'!U503,'Raw Data'!W503,'Raw Data'!Y503),"")</f>
        <v/>
      </c>
      <c r="K516" s="14" t="str">
        <f t="shared" si="81"/>
        <v/>
      </c>
      <c r="L516" s="14" t="str">
        <f>IF('Raw Data'!A503&lt;&gt;"",AVERAGE('Raw Data'!Z503,'Raw Data'!AB503,'Raw Data'!AD503,'Raw Data'!AF503,'Raw Data'!AH503),"")</f>
        <v/>
      </c>
      <c r="M516" s="14" t="str">
        <f>IF('Raw Data'!A503&lt;&gt;"",AVERAGE('Raw Data'!AA503,'Raw Data'!AC503,'Raw Data'!AE503,'Raw Data'!AG503,'Raw Data'!AI503),"")</f>
        <v/>
      </c>
      <c r="N516" s="14" t="str">
        <f t="shared" si="82"/>
        <v/>
      </c>
      <c r="O516" s="14" t="str">
        <f>IF('Raw Data'!A503&lt;&gt;"",AVERAGE('Raw Data'!AJ503,'Raw Data'!AL503,'Raw Data'!AN503,'Raw Data'!AP503,'Raw Data'!AR503),"")</f>
        <v/>
      </c>
      <c r="P516" s="14" t="str">
        <f>IF('Raw Data'!A503&lt;&gt;"",AVERAGE('Raw Data'!AK503,'Raw Data'!AM503,'Raw Data'!AO503,'Raw Data'!AQ503,'Raw Data'!AS503),"")</f>
        <v/>
      </c>
      <c r="Q516" s="14" t="str">
        <f t="shared" si="83"/>
        <v/>
      </c>
      <c r="R516" s="14" t="str">
        <f>IF('Raw Data'!A503&lt;&gt;"",AVERAGE('Raw Data'!AT503,'Raw Data'!AV503,'Raw Data'!AX503,'Raw Data'!AZ503,'Raw Data'!BB503),"")</f>
        <v/>
      </c>
      <c r="S516" s="14" t="str">
        <f>IF('Raw Data'!A503&lt;&gt;"",AVERAGE('Raw Data'!AU503,'Raw Data'!AW503,'Raw Data'!AY503,'Raw Data'!BA503,'Raw Data'!BC503),"")</f>
        <v/>
      </c>
      <c r="T516" s="14" t="str">
        <f t="shared" si="84"/>
        <v/>
      </c>
      <c r="U516" s="14" t="str">
        <f>IF('Raw Data'!A503&lt;&gt;"",AVERAGE('Raw Data'!BD503,'Raw Data'!BF503,'Raw Data'!BH503,'Raw Data'!BJ503,'Raw Data'!BL503),"")</f>
        <v/>
      </c>
      <c r="V516" s="14" t="str">
        <f>IF('Raw Data'!A503&lt;&gt;"",AVERAGE('Raw Data'!BE503,'Raw Data'!BG503,'Raw Data'!BI503,'Raw Data'!BK503,'Raw Data'!BM503),"")</f>
        <v/>
      </c>
      <c r="W516" s="14" t="str">
        <f t="shared" si="85"/>
        <v/>
      </c>
      <c r="X516" s="14" t="str">
        <f t="shared" si="86"/>
        <v/>
      </c>
      <c r="Y516" s="14" t="str">
        <f t="shared" si="87"/>
        <v/>
      </c>
      <c r="Z516" s="14" t="str">
        <f t="shared" si="88"/>
        <v/>
      </c>
      <c r="AA516" s="14" t="str">
        <f t="shared" si="89"/>
        <v/>
      </c>
      <c r="AB516" s="25" t="str">
        <f t="shared" si="90"/>
        <v/>
      </c>
    </row>
  </sheetData>
  <mergeCells count="3">
    <mergeCell ref="A2:H2"/>
    <mergeCell ref="A15:R15"/>
    <mergeCell ref="A1:H1"/>
  </mergeCells>
  <conditionalFormatting sqref="F5:F10">
    <cfRule type="cellIs" dxfId="8" priority="1" operator="equal">
      <formula>"Healthy"</formula>
    </cfRule>
    <cfRule type="cellIs" dxfId="7" priority="2" operator="equal">
      <formula>"Watch"</formula>
    </cfRule>
    <cfRule type="cellIs" dxfId="6" priority="3" operator="equal">
      <formula>"Concern"</formula>
    </cfRule>
    <cfRule type="cellIs" dxfId="5" priority="4" operator="equal">
      <formula>"High Risk"</formula>
    </cfRule>
  </conditionalFormatting>
  <pageMargins left="0.75" right="0.75" top="1" bottom="1" header="0.5" footer="0.5"/>
  <pageSetup paperSize="8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R53"/>
  <sheetViews>
    <sheetView showGridLines="0" workbookViewId="0">
      <pane ySplit="2" topLeftCell="A9" activePane="bottomLeft" state="frozen"/>
      <selection pane="bottomLeft" activeCell="N32" sqref="N32"/>
    </sheetView>
  </sheetViews>
  <sheetFormatPr defaultRowHeight="15" x14ac:dyDescent="0.25"/>
  <cols>
    <col min="1" max="1" width="24" customWidth="1"/>
    <col min="2" max="18" width="17" customWidth="1"/>
  </cols>
  <sheetData>
    <row r="1" spans="1:18" ht="38.1" customHeight="1" x14ac:dyDescent="0.25">
      <c r="A1" s="70" t="s">
        <v>276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</row>
    <row r="2" spans="1:18" ht="21.95" customHeight="1" x14ac:dyDescent="0.25">
      <c r="A2" s="57" t="s">
        <v>277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</row>
    <row r="3" spans="1:18" ht="6" customHeight="1" x14ac:dyDescent="0.25"/>
    <row r="4" spans="1:18" ht="26.1" customHeight="1" x14ac:dyDescent="0.25">
      <c r="A4" s="63" t="s">
        <v>278</v>
      </c>
      <c r="B4" s="64"/>
      <c r="C4" s="64"/>
      <c r="D4" s="59" t="s">
        <v>279</v>
      </c>
      <c r="E4" s="60"/>
      <c r="F4" s="60"/>
      <c r="G4" s="61" t="s">
        <v>280</v>
      </c>
      <c r="H4" s="62"/>
      <c r="I4" s="62"/>
      <c r="J4" s="50" t="s">
        <v>281</v>
      </c>
      <c r="K4" s="51"/>
      <c r="L4" s="51"/>
      <c r="M4" s="63" t="s">
        <v>282</v>
      </c>
      <c r="N4" s="64"/>
      <c r="O4" s="64"/>
      <c r="P4" s="67" t="s">
        <v>283</v>
      </c>
      <c r="Q4" s="68"/>
      <c r="R4" s="68"/>
    </row>
    <row r="5" spans="1:18" ht="38.1" customHeight="1" x14ac:dyDescent="0.25">
      <c r="A5" s="54">
        <f>ROUND('Scoring Engine'!B11,1)</f>
        <v>58.5</v>
      </c>
      <c r="B5" s="55"/>
      <c r="C5" s="55"/>
      <c r="D5" s="65">
        <f>ROUND('Scoring Engine'!B12,1)</f>
        <v>2.2000000000000002</v>
      </c>
      <c r="E5" s="55"/>
      <c r="F5" s="55"/>
      <c r="G5" s="56">
        <f>ROUND(('Scoring Engine'!E5+'Scoring Engine'!E6+'Scoring Engine'!E7+'Scoring Engine'!E8+'Scoring Engine'!E9+'Scoring Engine'!E10)/6,1)</f>
        <v>57.9</v>
      </c>
      <c r="H5" s="55"/>
      <c r="I5" s="55"/>
      <c r="J5" s="69" t="str">
        <f>INDEX('Scoring Engine'!A5:A10,MATCH(MAX('Scoring Engine'!D5:D10),'Scoring Engine'!D5:D10,0))</f>
        <v>Rewards &amp; Growth</v>
      </c>
      <c r="K5" s="55"/>
      <c r="L5" s="55"/>
      <c r="M5" s="54" t="str">
        <f>INDEX('Scoring Engine'!A5:A10,MATCH(MAX('Scoring Engine'!E5:E10),'Scoring Engine'!E5:E10,0))</f>
        <v>Team Collaboration</v>
      </c>
      <c r="N5" s="55"/>
      <c r="O5" s="55"/>
      <c r="P5" s="66">
        <f>COUNTA('Raw Data'!A4:A53)</f>
        <v>50</v>
      </c>
      <c r="Q5" s="55"/>
      <c r="R5" s="55"/>
    </row>
    <row r="6" spans="1:18" ht="20.100000000000001" customHeight="1" x14ac:dyDescent="0.25">
      <c r="A6" s="48" t="s">
        <v>284</v>
      </c>
      <c r="B6" s="49"/>
      <c r="C6" s="49"/>
      <c r="D6" s="48" t="s">
        <v>285</v>
      </c>
      <c r="E6" s="49"/>
      <c r="F6" s="49"/>
      <c r="G6" s="48" t="s">
        <v>286</v>
      </c>
      <c r="H6" s="49"/>
      <c r="I6" s="49"/>
      <c r="J6" s="48" t="s">
        <v>287</v>
      </c>
      <c r="K6" s="49"/>
      <c r="L6" s="49"/>
      <c r="M6" s="48" t="s">
        <v>288</v>
      </c>
      <c r="N6" s="49"/>
      <c r="O6" s="49"/>
      <c r="P6" s="48" t="s">
        <v>289</v>
      </c>
      <c r="Q6" s="49"/>
      <c r="R6" s="49"/>
    </row>
    <row r="7" spans="1:18" ht="8.1" customHeight="1" x14ac:dyDescent="0.25"/>
    <row r="8" spans="1:18" ht="27.95" customHeight="1" x14ac:dyDescent="0.25">
      <c r="A8" s="52" t="s">
        <v>290</v>
      </c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</row>
    <row r="9" spans="1:18" x14ac:dyDescent="0.25">
      <c r="A9" s="1" t="s">
        <v>2</v>
      </c>
      <c r="B9" s="1" t="s">
        <v>291</v>
      </c>
      <c r="C9" s="1" t="s">
        <v>292</v>
      </c>
    </row>
    <row r="10" spans="1:18" x14ac:dyDescent="0.25">
      <c r="A10" s="2" t="s">
        <v>8</v>
      </c>
      <c r="B10" s="11">
        <f>'Scoring Engine'!B5</f>
        <v>7.9240000000000004</v>
      </c>
      <c r="C10" s="11">
        <f>'Scoring Engine'!C5</f>
        <v>5.8</v>
      </c>
    </row>
    <row r="11" spans="1:18" x14ac:dyDescent="0.25">
      <c r="A11" s="10" t="s">
        <v>24</v>
      </c>
      <c r="B11" s="14">
        <f>'Scoring Engine'!B6</f>
        <v>8.1760000000000002</v>
      </c>
      <c r="C11" s="14">
        <f>'Scoring Engine'!C6</f>
        <v>6.7320000000000002</v>
      </c>
    </row>
    <row r="12" spans="1:18" x14ac:dyDescent="0.25">
      <c r="A12" s="2" t="s">
        <v>40</v>
      </c>
      <c r="B12" s="11">
        <f>'Scoring Engine'!B7</f>
        <v>7.4320000000000004</v>
      </c>
      <c r="C12" s="11">
        <f>'Scoring Engine'!C7</f>
        <v>6.3959999999999999</v>
      </c>
    </row>
    <row r="13" spans="1:18" x14ac:dyDescent="0.25">
      <c r="A13" s="10" t="s">
        <v>56</v>
      </c>
      <c r="B13" s="14">
        <f>'Scoring Engine'!B8</f>
        <v>8</v>
      </c>
      <c r="C13" s="14">
        <f>'Scoring Engine'!C8</f>
        <v>5.2839999999999998</v>
      </c>
    </row>
    <row r="14" spans="1:18" x14ac:dyDescent="0.25">
      <c r="A14" s="2" t="s">
        <v>72</v>
      </c>
      <c r="B14" s="11">
        <f>'Scoring Engine'!B9</f>
        <v>7.6280000000000001</v>
      </c>
      <c r="C14" s="11">
        <f>'Scoring Engine'!C9</f>
        <v>5.3440000000000003</v>
      </c>
    </row>
    <row r="15" spans="1:18" x14ac:dyDescent="0.25">
      <c r="A15" s="10" t="s">
        <v>88</v>
      </c>
      <c r="B15" s="14">
        <f>'Scoring Engine'!B10</f>
        <v>8.0239999999999991</v>
      </c>
      <c r="C15" s="14">
        <f>'Scoring Engine'!C10</f>
        <v>4.9880000000000004</v>
      </c>
    </row>
    <row r="16" spans="1:18" ht="8.1" customHeight="1" x14ac:dyDescent="0.25"/>
    <row r="17" spans="1:18" ht="27.95" customHeight="1" x14ac:dyDescent="0.25">
      <c r="A17" s="52" t="s">
        <v>293</v>
      </c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</row>
    <row r="18" spans="1:18" x14ac:dyDescent="0.25">
      <c r="A18" s="1" t="s">
        <v>2</v>
      </c>
      <c r="B18" s="1" t="s">
        <v>294</v>
      </c>
      <c r="C18" s="1" t="s">
        <v>295</v>
      </c>
      <c r="D18" s="1" t="s">
        <v>296</v>
      </c>
      <c r="E18" s="1" t="s">
        <v>297</v>
      </c>
      <c r="F18" s="1" t="s">
        <v>298</v>
      </c>
    </row>
    <row r="19" spans="1:18" x14ac:dyDescent="0.25">
      <c r="A19" s="26" t="s">
        <v>8</v>
      </c>
      <c r="B19" s="11">
        <f>AVERAGE('Raw Data'!F4:F53)-AVERAGE('Raw Data'!G4:G53)</f>
        <v>1.7999999999999998</v>
      </c>
      <c r="C19" s="11">
        <f>AVERAGE('Raw Data'!H4:H53)-AVERAGE('Raw Data'!I4:I53)</f>
        <v>2.2800000000000002</v>
      </c>
      <c r="D19" s="11">
        <f>AVERAGE('Raw Data'!J4:J53)-AVERAGE('Raw Data'!K4:K53)</f>
        <v>2.2600000000000007</v>
      </c>
      <c r="E19" s="11">
        <f>AVERAGE('Raw Data'!L4:L53)-AVERAGE('Raw Data'!M4:M53)</f>
        <v>2.3800000000000008</v>
      </c>
      <c r="F19" s="11">
        <f>AVERAGE('Raw Data'!N4:N53)-AVERAGE('Raw Data'!O4:O53)</f>
        <v>1.9000000000000004</v>
      </c>
    </row>
    <row r="20" spans="1:18" x14ac:dyDescent="0.25">
      <c r="A20" s="27" t="s">
        <v>24</v>
      </c>
      <c r="B20" s="14">
        <f>AVERAGE('Raw Data'!P4:P53)-AVERAGE('Raw Data'!Q4:Q53)</f>
        <v>1.5200000000000005</v>
      </c>
      <c r="C20" s="14">
        <f>AVERAGE('Raw Data'!R4:R53)-AVERAGE('Raw Data'!S4:S53)</f>
        <v>1.2599999999999998</v>
      </c>
      <c r="D20" s="14">
        <f>AVERAGE('Raw Data'!T4:T53)-AVERAGE('Raw Data'!U4:U53)</f>
        <v>1.1799999999999997</v>
      </c>
      <c r="E20" s="14">
        <f>AVERAGE('Raw Data'!V4:V53)-AVERAGE('Raw Data'!W4:W53)</f>
        <v>1.4000000000000004</v>
      </c>
      <c r="F20" s="14">
        <f>AVERAGE('Raw Data'!X4:X53)-AVERAGE('Raw Data'!Y4:Y53)</f>
        <v>1.8600000000000003</v>
      </c>
    </row>
    <row r="21" spans="1:18" x14ac:dyDescent="0.25">
      <c r="A21" s="26" t="s">
        <v>40</v>
      </c>
      <c r="B21" s="11">
        <f>AVERAGE('Raw Data'!Z4:Z53)-AVERAGE('Raw Data'!AA4:AA53)</f>
        <v>1.04</v>
      </c>
      <c r="C21" s="11">
        <f>AVERAGE('Raw Data'!AB4:AB53)-AVERAGE('Raw Data'!AC4:AC53)</f>
        <v>1.54</v>
      </c>
      <c r="D21" s="11">
        <f>AVERAGE('Raw Data'!AD4:AD53)-AVERAGE('Raw Data'!AE4:AE53)</f>
        <v>0.87999999999999989</v>
      </c>
      <c r="E21" s="11">
        <f>AVERAGE('Raw Data'!AF4:AF53)-AVERAGE('Raw Data'!AG4:AG53)</f>
        <v>1.0799999999999992</v>
      </c>
      <c r="F21" s="11">
        <f>AVERAGE('Raw Data'!AH4:AH53)-AVERAGE('Raw Data'!AI4:AI53)</f>
        <v>0.64000000000000057</v>
      </c>
    </row>
    <row r="22" spans="1:18" x14ac:dyDescent="0.25">
      <c r="A22" s="27" t="s">
        <v>56</v>
      </c>
      <c r="B22" s="14">
        <f>AVERAGE('Raw Data'!AJ4:AJ53)-AVERAGE('Raw Data'!AK4:AK53)</f>
        <v>3.2000000000000011</v>
      </c>
      <c r="C22" s="14">
        <f>AVERAGE('Raw Data'!AL4:AL53)-AVERAGE('Raw Data'!AM4:AM53)</f>
        <v>2.6000000000000005</v>
      </c>
      <c r="D22" s="14">
        <f>AVERAGE('Raw Data'!AN4:AN53)-AVERAGE('Raw Data'!AO4:AO53)</f>
        <v>2.7199999999999998</v>
      </c>
      <c r="E22" s="14">
        <f>AVERAGE('Raw Data'!AP4:AP53)-AVERAGE('Raw Data'!AQ4:AQ53)</f>
        <v>2.5999999999999996</v>
      </c>
      <c r="F22" s="14">
        <f>AVERAGE('Raw Data'!AR4:AR53)-AVERAGE('Raw Data'!AS4:AS53)</f>
        <v>2.4599999999999991</v>
      </c>
    </row>
    <row r="23" spans="1:18" x14ac:dyDescent="0.25">
      <c r="A23" s="26" t="s">
        <v>72</v>
      </c>
      <c r="B23" s="11">
        <f>AVERAGE('Raw Data'!AT4:AT53)-AVERAGE('Raw Data'!AU4:AU53)</f>
        <v>2.12</v>
      </c>
      <c r="C23" s="11">
        <f>AVERAGE('Raw Data'!AV4:AV53)-AVERAGE('Raw Data'!AW4:AW53)</f>
        <v>3.0599999999999987</v>
      </c>
      <c r="D23" s="11">
        <f>AVERAGE('Raw Data'!AX4:AX53)-AVERAGE('Raw Data'!AY4:AY53)</f>
        <v>2.2400000000000002</v>
      </c>
      <c r="E23" s="11">
        <f>AVERAGE('Raw Data'!AZ4:AZ53)-AVERAGE('Raw Data'!BA4:BA53)</f>
        <v>2.0600000000000005</v>
      </c>
      <c r="F23" s="11">
        <f>AVERAGE('Raw Data'!BB4:BB53)-AVERAGE('Raw Data'!BC4:BC53)</f>
        <v>1.9399999999999995</v>
      </c>
    </row>
    <row r="24" spans="1:18" x14ac:dyDescent="0.25">
      <c r="A24" s="27" t="s">
        <v>88</v>
      </c>
      <c r="B24" s="14">
        <f>AVERAGE('Raw Data'!BD4:BD53)-AVERAGE('Raw Data'!BE4:BE53)</f>
        <v>2.6400000000000006</v>
      </c>
      <c r="C24" s="14">
        <f>AVERAGE('Raw Data'!BF4:BF53)-AVERAGE('Raw Data'!BG4:BG53)</f>
        <v>3.0200000000000005</v>
      </c>
      <c r="D24" s="14">
        <f>AVERAGE('Raw Data'!BH4:BH53)-AVERAGE('Raw Data'!BI4:BI53)</f>
        <v>3.04</v>
      </c>
      <c r="E24" s="14">
        <f>AVERAGE('Raw Data'!BJ4:BJ53)-AVERAGE('Raw Data'!BK4:BK53)</f>
        <v>3.3800000000000008</v>
      </c>
      <c r="F24" s="14">
        <f>AVERAGE('Raw Data'!BL4:BL53)-AVERAGE('Raw Data'!BM4:BM53)</f>
        <v>3.0999999999999996</v>
      </c>
    </row>
    <row r="25" spans="1:18" ht="21.95" customHeight="1" x14ac:dyDescent="0.25">
      <c r="A25" s="72" t="s">
        <v>299</v>
      </c>
      <c r="B25" s="43"/>
      <c r="C25" s="43"/>
      <c r="D25" s="43"/>
      <c r="E25" s="43"/>
      <c r="F25" s="43"/>
    </row>
    <row r="26" spans="1:18" ht="8.1" customHeight="1" x14ac:dyDescent="0.25"/>
    <row r="27" spans="1:18" ht="27.95" customHeight="1" x14ac:dyDescent="0.25">
      <c r="A27" s="52" t="s">
        <v>300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</row>
    <row r="28" spans="1:18" x14ac:dyDescent="0.25">
      <c r="A28" s="1" t="s">
        <v>2</v>
      </c>
      <c r="B28" s="1" t="s">
        <v>301</v>
      </c>
      <c r="C28" s="1" t="s">
        <v>7</v>
      </c>
      <c r="D28" s="1" t="s">
        <v>302</v>
      </c>
    </row>
    <row r="29" spans="1:18" x14ac:dyDescent="0.25">
      <c r="A29" s="2" t="s">
        <v>8</v>
      </c>
      <c r="B29" s="11">
        <f>'Scoring Engine'!D5</f>
        <v>2.1240000000000006</v>
      </c>
      <c r="C29" s="13">
        <v>0.2</v>
      </c>
      <c r="D29" s="12">
        <f t="shared" ref="D29:D34" si="0">B29*C29*100</f>
        <v>42.480000000000011</v>
      </c>
      <c r="E29" s="28">
        <v>20</v>
      </c>
      <c r="F29" s="8" t="str">
        <f t="shared" ref="F29:F34" si="1">A29</f>
        <v>Job Fit</v>
      </c>
    </row>
    <row r="30" spans="1:18" x14ac:dyDescent="0.25">
      <c r="A30" s="10" t="s">
        <v>24</v>
      </c>
      <c r="B30" s="14">
        <f>'Scoring Engine'!D6</f>
        <v>1.444</v>
      </c>
      <c r="C30" s="16">
        <v>0.2</v>
      </c>
      <c r="D30" s="15">
        <f t="shared" si="0"/>
        <v>28.88</v>
      </c>
      <c r="E30" s="28">
        <v>20</v>
      </c>
      <c r="F30" s="8" t="str">
        <f t="shared" si="1"/>
        <v>Manager Effectiveness</v>
      </c>
    </row>
    <row r="31" spans="1:18" x14ac:dyDescent="0.25">
      <c r="A31" s="2" t="s">
        <v>40</v>
      </c>
      <c r="B31" s="11">
        <f>'Scoring Engine'!D7</f>
        <v>1.0360000000000005</v>
      </c>
      <c r="C31" s="13">
        <v>0.15</v>
      </c>
      <c r="D31" s="12">
        <f t="shared" si="0"/>
        <v>15.540000000000006</v>
      </c>
      <c r="E31" s="28">
        <v>15</v>
      </c>
      <c r="F31" s="8" t="str">
        <f t="shared" si="1"/>
        <v>Team Collaboration</v>
      </c>
    </row>
    <row r="32" spans="1:18" x14ac:dyDescent="0.25">
      <c r="A32" s="10" t="s">
        <v>56</v>
      </c>
      <c r="B32" s="14">
        <f>'Scoring Engine'!D8</f>
        <v>2.7160000000000002</v>
      </c>
      <c r="C32" s="16">
        <v>0.15</v>
      </c>
      <c r="D32" s="15">
        <f t="shared" si="0"/>
        <v>40.74</v>
      </c>
      <c r="E32" s="28">
        <v>15</v>
      </c>
      <c r="F32" s="8" t="str">
        <f t="shared" si="1"/>
        <v>Workplace Culture</v>
      </c>
    </row>
    <row r="33" spans="1:18" x14ac:dyDescent="0.25">
      <c r="A33" s="2" t="s">
        <v>72</v>
      </c>
      <c r="B33" s="11">
        <f>'Scoring Engine'!D9</f>
        <v>2.2839999999999998</v>
      </c>
      <c r="C33" s="13">
        <v>0.15</v>
      </c>
      <c r="D33" s="12">
        <f t="shared" si="0"/>
        <v>34.26</v>
      </c>
      <c r="E33" s="28">
        <v>15</v>
      </c>
      <c r="F33" s="8" t="str">
        <f t="shared" si="1"/>
        <v>Innovation &amp; Empowerment</v>
      </c>
    </row>
    <row r="34" spans="1:18" x14ac:dyDescent="0.25">
      <c r="A34" s="10" t="s">
        <v>88</v>
      </c>
      <c r="B34" s="14">
        <f>'Scoring Engine'!D10</f>
        <v>3.0359999999999987</v>
      </c>
      <c r="C34" s="16">
        <v>0.15</v>
      </c>
      <c r="D34" s="15">
        <f t="shared" si="0"/>
        <v>45.539999999999978</v>
      </c>
      <c r="E34" s="28">
        <v>15</v>
      </c>
      <c r="F34" s="8" t="str">
        <f t="shared" si="1"/>
        <v>Rewards &amp; Growth</v>
      </c>
    </row>
    <row r="43" spans="1:18" ht="8.1" customHeight="1" x14ac:dyDescent="0.25"/>
    <row r="44" spans="1:18" ht="27.95" customHeight="1" x14ac:dyDescent="0.25">
      <c r="A44" s="52" t="s">
        <v>303</v>
      </c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</row>
    <row r="45" spans="1:18" x14ac:dyDescent="0.25">
      <c r="A45" s="29" t="s">
        <v>304</v>
      </c>
      <c r="B45" s="30" t="s">
        <v>305</v>
      </c>
    </row>
    <row r="47" spans="1:18" x14ac:dyDescent="0.25">
      <c r="A47" s="1" t="s">
        <v>2</v>
      </c>
      <c r="B47" s="1" t="s">
        <v>244</v>
      </c>
      <c r="C47" s="1" t="s">
        <v>245</v>
      </c>
      <c r="D47" s="1" t="s">
        <v>246</v>
      </c>
      <c r="E47" s="1" t="s">
        <v>306</v>
      </c>
    </row>
    <row r="48" spans="1:18" x14ac:dyDescent="0.25">
      <c r="A48" s="26" t="s">
        <v>8</v>
      </c>
      <c r="B48" s="11">
        <f>(IF($B$45="All",AVERAGE('Raw Data'!F$4:F$53),AVERAGEIF('Raw Data'!$B$4:$B$53,$B$45,'Raw Data'!F$4:F$53))+IF($B$45="All",AVERAGE('Raw Data'!H$4:H$53),AVERAGEIF('Raw Data'!$B$4:$B$53,$B$45,'Raw Data'!H$4:H$53))+IF($B$45="All",AVERAGE('Raw Data'!J$4:J$53),AVERAGEIF('Raw Data'!$B$4:$B$53,$B$45,'Raw Data'!J$4:J$53))+IF($B$45="All",AVERAGE('Raw Data'!L$4:L$53),AVERAGEIF('Raw Data'!$B$4:$B$53,$B$45,'Raw Data'!L$4:L$53))+IF($B$45="All",AVERAGE('Raw Data'!N$4:N$53),AVERAGEIF('Raw Data'!$B$4:$B$53,$B$45,'Raw Data'!N$4:N$53)))/5</f>
        <v>7.9240000000000013</v>
      </c>
      <c r="C48" s="11">
        <f>(IF($B$45="All",AVERAGE('Raw Data'!G$4:G$53),AVERAGEIF('Raw Data'!$B$4:$B$53,$B$45,'Raw Data'!G$4:G$53))+IF($B$45="All",AVERAGE('Raw Data'!I$4:I$53),AVERAGEIF('Raw Data'!$B$4:$B$53,$B$45,'Raw Data'!I$4:I$53))+IF($B$45="All",AVERAGE('Raw Data'!K$4:K$53),AVERAGEIF('Raw Data'!$B$4:$B$53,$B$45,'Raw Data'!K$4:K$53))+IF($B$45="All",AVERAGE('Raw Data'!M$4:M$53),AVERAGEIF('Raw Data'!$B$4:$B$53,$B$45,'Raw Data'!M$4:M$53))+IF($B$45="All",AVERAGE('Raw Data'!O$4:O$53),AVERAGEIF('Raw Data'!$B$4:$B$53,$B$45,'Raw Data'!O$4:O$53)))/5</f>
        <v>5.8</v>
      </c>
      <c r="D48" s="11">
        <f t="shared" ref="D48:D53" si="2">B48-C48</f>
        <v>2.1240000000000014</v>
      </c>
      <c r="E48" s="12">
        <f t="shared" ref="E48:E53" si="3">MAX(0,MIN(100,100-D48*20))</f>
        <v>57.519999999999968</v>
      </c>
    </row>
    <row r="49" spans="1:5" x14ac:dyDescent="0.25">
      <c r="A49" s="27" t="s">
        <v>24</v>
      </c>
      <c r="B49" s="14">
        <f>(IF($B$45="All",AVERAGE('Raw Data'!P$4:P$53),AVERAGEIF('Raw Data'!$B$4:$B$53,$B$45,'Raw Data'!P$4:P$53))+IF($B$45="All",AVERAGE('Raw Data'!R$4:R$53),AVERAGEIF('Raw Data'!$B$4:$B$53,$B$45,'Raw Data'!R$4:R$53))+IF($B$45="All",AVERAGE('Raw Data'!T$4:T$53),AVERAGEIF('Raw Data'!$B$4:$B$53,$B$45,'Raw Data'!T$4:T$53))+IF($B$45="All",AVERAGE('Raw Data'!V$4:V$53),AVERAGEIF('Raw Data'!$B$4:$B$53,$B$45,'Raw Data'!V$4:V$53))+IF($B$45="All",AVERAGE('Raw Data'!X$4:X$53),AVERAGEIF('Raw Data'!$B$4:$B$53,$B$45,'Raw Data'!X$4:X$53)))/5</f>
        <v>8.1759999999999984</v>
      </c>
      <c r="C49" s="14">
        <f>(IF($B$45="All",AVERAGE('Raw Data'!Q$4:Q$53),AVERAGEIF('Raw Data'!$B$4:$B$53,$B$45,'Raw Data'!Q$4:Q$53))+IF($B$45="All",AVERAGE('Raw Data'!S$4:S$53),AVERAGEIF('Raw Data'!$B$4:$B$53,$B$45,'Raw Data'!S$4:S$53))+IF($B$45="All",AVERAGE('Raw Data'!U$4:U$53),AVERAGEIF('Raw Data'!$B$4:$B$53,$B$45,'Raw Data'!U$4:U$53))+IF($B$45="All",AVERAGE('Raw Data'!W$4:W$53),AVERAGEIF('Raw Data'!$B$4:$B$53,$B$45,'Raw Data'!W$4:W$53))+IF($B$45="All",AVERAGE('Raw Data'!Y$4:Y$53),AVERAGEIF('Raw Data'!$B$4:$B$53,$B$45,'Raw Data'!Y$4:Y$53)))/5</f>
        <v>6.7319999999999993</v>
      </c>
      <c r="D49" s="14">
        <f t="shared" si="2"/>
        <v>1.4439999999999991</v>
      </c>
      <c r="E49" s="15">
        <f t="shared" si="3"/>
        <v>71.120000000000019</v>
      </c>
    </row>
    <row r="50" spans="1:5" x14ac:dyDescent="0.25">
      <c r="A50" s="26" t="s">
        <v>40</v>
      </c>
      <c r="B50" s="11">
        <f>(IF($B$45="All",AVERAGE('Raw Data'!Z$4:Z$53),AVERAGEIF('Raw Data'!$B$4:$B$53,$B$45,'Raw Data'!Z$4:Z$53))+IF($B$45="All",AVERAGE('Raw Data'!AB$4:AB$53),AVERAGEIF('Raw Data'!$B$4:$B$53,$B$45,'Raw Data'!AB$4:AB$53))+IF($B$45="All",AVERAGE('Raw Data'!AD$4:AD$53),AVERAGEIF('Raw Data'!$B$4:$B$53,$B$45,'Raw Data'!AD$4:AD$53))+IF($B$45="All",AVERAGE('Raw Data'!AF$4:AF$53),AVERAGEIF('Raw Data'!$B$4:$B$53,$B$45,'Raw Data'!AF$4:AF$53))+IF($B$45="All",AVERAGE('Raw Data'!AH$4:AH$53),AVERAGEIF('Raw Data'!$B$4:$B$53,$B$45,'Raw Data'!AH$4:AH$53)))/5</f>
        <v>7.4319999999999995</v>
      </c>
      <c r="C50" s="11">
        <f>(IF($B$45="All",AVERAGE('Raw Data'!AA$4:AA$53),AVERAGEIF('Raw Data'!$B$4:$B$53,$B$45,'Raw Data'!AA$4:AA$53))+IF($B$45="All",AVERAGE('Raw Data'!AC$4:AC$53),AVERAGEIF('Raw Data'!$B$4:$B$53,$B$45,'Raw Data'!AC$4:AC$53))+IF($B$45="All",AVERAGE('Raw Data'!AE$4:AE$53),AVERAGEIF('Raw Data'!$B$4:$B$53,$B$45,'Raw Data'!AE$4:AE$53))+IF($B$45="All",AVERAGE('Raw Data'!AG$4:AG$53),AVERAGEIF('Raw Data'!$B$4:$B$53,$B$45,'Raw Data'!AG$4:AG$53))+IF($B$45="All",AVERAGE('Raw Data'!AI$4:AI$53),AVERAGEIF('Raw Data'!$B$4:$B$53,$B$45,'Raw Data'!AI$4:AI$53)))/5</f>
        <v>6.3959999999999999</v>
      </c>
      <c r="D50" s="11">
        <f t="shared" si="2"/>
        <v>1.0359999999999996</v>
      </c>
      <c r="E50" s="12">
        <f t="shared" si="3"/>
        <v>79.28</v>
      </c>
    </row>
    <row r="51" spans="1:5" x14ac:dyDescent="0.25">
      <c r="A51" s="27" t="s">
        <v>56</v>
      </c>
      <c r="B51" s="14">
        <f>(IF($B$45="All",AVERAGE('Raw Data'!AJ$4:AJ$53),AVERAGEIF('Raw Data'!$B$4:$B$53,$B$45,'Raw Data'!AJ$4:AJ$53))+IF($B$45="All",AVERAGE('Raw Data'!AL$4:AL$53),AVERAGEIF('Raw Data'!$B$4:$B$53,$B$45,'Raw Data'!AL$4:AL$53))+IF($B$45="All",AVERAGE('Raw Data'!AN$4:AN$53),AVERAGEIF('Raw Data'!$B$4:$B$53,$B$45,'Raw Data'!AN$4:AN$53))+IF($B$45="All",AVERAGE('Raw Data'!AP$4:AP$53),AVERAGEIF('Raw Data'!$B$4:$B$53,$B$45,'Raw Data'!AP$4:AP$53))+IF($B$45="All",AVERAGE('Raw Data'!AR$4:AR$53),AVERAGEIF('Raw Data'!$B$4:$B$53,$B$45,'Raw Data'!AR$4:AR$53)))/5</f>
        <v>8</v>
      </c>
      <c r="C51" s="14">
        <f>(IF($B$45="All",AVERAGE('Raw Data'!AK$4:AK$53),AVERAGEIF('Raw Data'!$B$4:$B$53,$B$45,'Raw Data'!AK$4:AK$53))+IF($B$45="All",AVERAGE('Raw Data'!AM$4:AM$53),AVERAGEIF('Raw Data'!$B$4:$B$53,$B$45,'Raw Data'!AM$4:AM$53))+IF($B$45="All",AVERAGE('Raw Data'!AO$4:AO$53),AVERAGEIF('Raw Data'!$B$4:$B$53,$B$45,'Raw Data'!AO$4:AO$53))+IF($B$45="All",AVERAGE('Raw Data'!AQ$4:AQ$53),AVERAGEIF('Raw Data'!$B$4:$B$53,$B$45,'Raw Data'!AQ$4:AQ$53))+IF($B$45="All",AVERAGE('Raw Data'!AS$4:AS$53),AVERAGEIF('Raw Data'!$B$4:$B$53,$B$45,'Raw Data'!AS$4:AS$53)))/5</f>
        <v>5.2840000000000007</v>
      </c>
      <c r="D51" s="14">
        <f t="shared" si="2"/>
        <v>2.7159999999999993</v>
      </c>
      <c r="E51" s="15">
        <f t="shared" si="3"/>
        <v>45.680000000000014</v>
      </c>
    </row>
    <row r="52" spans="1:5" x14ac:dyDescent="0.25">
      <c r="A52" s="26" t="s">
        <v>72</v>
      </c>
      <c r="B52" s="11">
        <f>(IF($B$45="All",AVERAGE('Raw Data'!AT$4:AT$53),AVERAGEIF('Raw Data'!$B$4:$B$53,$B$45,'Raw Data'!AT$4:AT$53))+IF($B$45="All",AVERAGE('Raw Data'!AV$4:AV$53),AVERAGEIF('Raw Data'!$B$4:$B$53,$B$45,'Raw Data'!AV$4:AV$53))+IF($B$45="All",AVERAGE('Raw Data'!AX$4:AX$53),AVERAGEIF('Raw Data'!$B$4:$B$53,$B$45,'Raw Data'!AX$4:AX$53))+IF($B$45="All",AVERAGE('Raw Data'!AZ$4:AZ$53),AVERAGEIF('Raw Data'!$B$4:$B$53,$B$45,'Raw Data'!AZ$4:AZ$53))+IF($B$45="All",AVERAGE('Raw Data'!BB$4:BB$53),AVERAGEIF('Raw Data'!$B$4:$B$53,$B$45,'Raw Data'!BB$4:BB$53)))/5</f>
        <v>7.6280000000000001</v>
      </c>
      <c r="C52" s="11">
        <f>(IF($B$45="All",AVERAGE('Raw Data'!AU$4:AU$53),AVERAGEIF('Raw Data'!$B$4:$B$53,$B$45,'Raw Data'!AU$4:AU$53))+IF($B$45="All",AVERAGE('Raw Data'!AW$4:AW$53),AVERAGEIF('Raw Data'!$B$4:$B$53,$B$45,'Raw Data'!AW$4:AW$53))+IF($B$45="All",AVERAGE('Raw Data'!AY$4:AY$53),AVERAGEIF('Raw Data'!$B$4:$B$53,$B$45,'Raw Data'!AY$4:AY$53))+IF($B$45="All",AVERAGE('Raw Data'!BA$4:BA$53),AVERAGEIF('Raw Data'!$B$4:$B$53,$B$45,'Raw Data'!BA$4:BA$53))+IF($B$45="All",AVERAGE('Raw Data'!BC$4:BC$53),AVERAGEIF('Raw Data'!$B$4:$B$53,$B$45,'Raw Data'!BC$4:BC$53)))/5</f>
        <v>5.3439999999999994</v>
      </c>
      <c r="D52" s="11">
        <f t="shared" si="2"/>
        <v>2.2840000000000007</v>
      </c>
      <c r="E52" s="12">
        <f t="shared" si="3"/>
        <v>54.319999999999986</v>
      </c>
    </row>
    <row r="53" spans="1:5" x14ac:dyDescent="0.25">
      <c r="A53" s="27" t="s">
        <v>88</v>
      </c>
      <c r="B53" s="14">
        <f>(IF($B$45="All",AVERAGE('Raw Data'!BD$4:BD$53),AVERAGEIF('Raw Data'!$B$4:$B$53,$B$45,'Raw Data'!BD$4:BD$53))+IF($B$45="All",AVERAGE('Raw Data'!BF$4:BF$53),AVERAGEIF('Raw Data'!$B$4:$B$53,$B$45,'Raw Data'!BF$4:BF$53))+IF($B$45="All",AVERAGE('Raw Data'!BH$4:BH$53),AVERAGEIF('Raw Data'!$B$4:$B$53,$B$45,'Raw Data'!BH$4:BH$53))+IF($B$45="All",AVERAGE('Raw Data'!BJ$4:BJ$53),AVERAGEIF('Raw Data'!$B$4:$B$53,$B$45,'Raw Data'!BJ$4:BJ$53))+IF($B$45="All",AVERAGE('Raw Data'!BL$4:BL$53),AVERAGEIF('Raw Data'!$B$4:$B$53,$B$45,'Raw Data'!BL$4:BL$53)))/5</f>
        <v>8.0240000000000009</v>
      </c>
      <c r="C53" s="14">
        <f>(IF($B$45="All",AVERAGE('Raw Data'!BE$4:BE$53),AVERAGEIF('Raw Data'!$B$4:$B$53,$B$45,'Raw Data'!BE$4:BE$53))+IF($B$45="All",AVERAGE('Raw Data'!BG$4:BG$53),AVERAGEIF('Raw Data'!$B$4:$B$53,$B$45,'Raw Data'!BG$4:BG$53))+IF($B$45="All",AVERAGE('Raw Data'!BI$4:BI$53),AVERAGEIF('Raw Data'!$B$4:$B$53,$B$45,'Raw Data'!BI$4:BI$53))+IF($B$45="All",AVERAGE('Raw Data'!BK$4:BK$53),AVERAGEIF('Raw Data'!$B$4:$B$53,$B$45,'Raw Data'!BK$4:BK$53))+IF($B$45="All",AVERAGE('Raw Data'!BM$4:BM$53),AVERAGEIF('Raw Data'!$B$4:$B$53,$B$45,'Raw Data'!BM$4:BM$53)))/5</f>
        <v>4.9879999999999995</v>
      </c>
      <c r="D53" s="14">
        <f t="shared" si="2"/>
        <v>3.0360000000000014</v>
      </c>
      <c r="E53" s="15">
        <f t="shared" si="3"/>
        <v>39.279999999999973</v>
      </c>
    </row>
  </sheetData>
  <mergeCells count="25">
    <mergeCell ref="A1:R1"/>
    <mergeCell ref="D6:F6"/>
    <mergeCell ref="P6:R6"/>
    <mergeCell ref="A25:F25"/>
    <mergeCell ref="A44:R44"/>
    <mergeCell ref="P4:R4"/>
    <mergeCell ref="J5:L5"/>
    <mergeCell ref="A6:C6"/>
    <mergeCell ref="M5:O5"/>
    <mergeCell ref="A2:R2"/>
    <mergeCell ref="D4:F4"/>
    <mergeCell ref="G4:I4"/>
    <mergeCell ref="A17:R17"/>
    <mergeCell ref="A4:C4"/>
    <mergeCell ref="A8:R8"/>
    <mergeCell ref="D5:F5"/>
    <mergeCell ref="P5:R5"/>
    <mergeCell ref="M4:O4"/>
    <mergeCell ref="J6:L6"/>
    <mergeCell ref="G6:I6"/>
    <mergeCell ref="J4:L4"/>
    <mergeCell ref="A27:R27"/>
    <mergeCell ref="M6:O6"/>
    <mergeCell ref="A5:C5"/>
    <mergeCell ref="G5:I5"/>
  </mergeCells>
  <conditionalFormatting sqref="B19:F24">
    <cfRule type="colorScale" priority="1">
      <colorScale>
        <cfvo type="num" val="0"/>
        <cfvo type="num" val="1.5"/>
        <cfvo type="num" val="3.5"/>
        <color rgb="FF00B050"/>
        <color rgb="FFFFC000"/>
        <color rgb="FFC00000"/>
      </colorScale>
    </cfRule>
  </conditionalFormatting>
  <conditionalFormatting sqref="D48:D53">
    <cfRule type="colorScale" priority="2">
      <colorScale>
        <cfvo type="num" val="0"/>
        <cfvo type="num" val="1.5"/>
        <cfvo type="num" val="3.5"/>
        <color rgb="FF00B050"/>
        <color rgb="FFFFC000"/>
        <color rgb="FFC00000"/>
      </colorScale>
    </cfRule>
  </conditionalFormatting>
  <dataValidations count="1">
    <dataValidation type="list" allowBlank="1" promptTitle="Department Filter" prompt="Select a department to filter the table below" sqref="B45" xr:uid="{00000000-0002-0000-0300-000000000000}">
      <formula1>"All,Engineering,Marketing,Sales,Human Resources,Finance,Operations"</formula1>
    </dataValidation>
  </dataValidations>
  <pageMargins left="0.75" right="0.75" top="1" bottom="1" header="0.5" footer="0.5"/>
  <pageSetup paperSize="8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404"/>
  <sheetViews>
    <sheetView showGridLines="0" workbookViewId="0">
      <pane ySplit="4" topLeftCell="A5" activePane="bottomLeft" state="frozen"/>
      <selection pane="bottomLeft" sqref="A1:H1"/>
    </sheetView>
  </sheetViews>
  <sheetFormatPr defaultRowHeight="15" x14ac:dyDescent="0.25"/>
  <cols>
    <col min="1" max="1" width="24" customWidth="1"/>
    <col min="2" max="2" width="12" customWidth="1"/>
    <col min="3" max="3" width="18" customWidth="1"/>
    <col min="4" max="4" width="20" customWidth="1"/>
    <col min="5" max="5" width="16" customWidth="1"/>
    <col min="6" max="6" width="18" customWidth="1"/>
  </cols>
  <sheetData>
    <row r="1" spans="1:8" ht="27.95" customHeight="1" x14ac:dyDescent="0.3">
      <c r="A1" s="46" t="s">
        <v>307</v>
      </c>
      <c r="B1" s="43"/>
      <c r="C1" s="43"/>
      <c r="D1" s="43"/>
      <c r="E1" s="43"/>
      <c r="F1" s="43"/>
      <c r="G1" s="43"/>
      <c r="H1" s="43"/>
    </row>
    <row r="2" spans="1:8" x14ac:dyDescent="0.25">
      <c r="A2" s="42" t="s">
        <v>308</v>
      </c>
      <c r="B2" s="43"/>
      <c r="C2" s="43"/>
      <c r="D2" s="43"/>
      <c r="E2" s="43"/>
      <c r="F2" s="43"/>
      <c r="G2" s="43"/>
      <c r="H2" s="43"/>
    </row>
    <row r="4" spans="1:8" x14ac:dyDescent="0.25">
      <c r="A4" s="1" t="s">
        <v>2</v>
      </c>
      <c r="B4" s="1" t="s">
        <v>309</v>
      </c>
      <c r="C4" s="1" t="s">
        <v>310</v>
      </c>
      <c r="D4" s="1" t="s">
        <v>311</v>
      </c>
      <c r="E4" s="1" t="s">
        <v>312</v>
      </c>
      <c r="F4" s="1" t="s">
        <v>313</v>
      </c>
    </row>
    <row r="5" spans="1:8" x14ac:dyDescent="0.25">
      <c r="A5" s="2" t="s">
        <v>8</v>
      </c>
      <c r="B5" s="2">
        <v>5</v>
      </c>
      <c r="C5" s="31">
        <f>SUM(VAR('Raw Data'!G4:G53),VAR('Raw Data'!I4:I53),VAR('Raw Data'!K4:K53),VAR('Raw Data'!M4:M53),VAR('Raw Data'!O4:O53))</f>
        <v>15.568163265306129</v>
      </c>
      <c r="D5" s="31">
        <f>VAR(G105:G154)</f>
        <v>15.551020408163266</v>
      </c>
      <c r="E5" s="31">
        <f t="shared" ref="E5:E10" si="0">(B5/(B5-1))*(1-C5/D5)</f>
        <v>-1.3779527559060201E-3</v>
      </c>
      <c r="F5" s="2" t="str">
        <f t="shared" ref="F5:F10" si="1">IF(E5&gt;=0.9,"Excellent",IF(E5&gt;=0.8,"Good",IF(E5&gt;=0.7,"Acceptable",IF(E5&gt;=0.6,"Questionable",IF(E5&gt;=0.5,"Poor","Unacceptable")))))</f>
        <v>Unacceptable</v>
      </c>
    </row>
    <row r="6" spans="1:8" x14ac:dyDescent="0.25">
      <c r="A6" s="10" t="s">
        <v>24</v>
      </c>
      <c r="B6" s="10">
        <v>5</v>
      </c>
      <c r="C6" s="32">
        <f>SUM(VAR('Raw Data'!Q4:Q53),VAR('Raw Data'!S4:S53),VAR('Raw Data'!U4:U53),VAR('Raw Data'!W4:W53),VAR('Raw Data'!Y4:Y53))</f>
        <v>16.372653061224494</v>
      </c>
      <c r="D6" s="32">
        <f>VAR(G155:G204)</f>
        <v>17.739183673469412</v>
      </c>
      <c r="E6" s="32">
        <f t="shared" si="0"/>
        <v>9.6293228411680754E-2</v>
      </c>
      <c r="F6" s="10" t="str">
        <f t="shared" si="1"/>
        <v>Unacceptable</v>
      </c>
    </row>
    <row r="7" spans="1:8" x14ac:dyDescent="0.25">
      <c r="A7" s="2" t="s">
        <v>40</v>
      </c>
      <c r="B7" s="2">
        <v>5</v>
      </c>
      <c r="C7" s="31">
        <f>SUM(VAR('Raw Data'!AA4:AA53),VAR('Raw Data'!AC4:AC53),VAR('Raw Data'!AE4:AE53),VAR('Raw Data'!AG4:AG53),VAR('Raw Data'!AI4:AI53))</f>
        <v>11.928571428571432</v>
      </c>
      <c r="D7" s="31">
        <f>VAR(G205:G254)</f>
        <v>12.264897959183738</v>
      </c>
      <c r="E7" s="31">
        <f t="shared" si="0"/>
        <v>3.4277346999906227E-2</v>
      </c>
      <c r="F7" s="2" t="str">
        <f t="shared" si="1"/>
        <v>Unacceptable</v>
      </c>
    </row>
    <row r="8" spans="1:8" x14ac:dyDescent="0.25">
      <c r="A8" s="10" t="s">
        <v>56</v>
      </c>
      <c r="B8" s="10">
        <v>5</v>
      </c>
      <c r="C8" s="32">
        <f>SUM(VAR('Raw Data'!AK4:AK53),VAR('Raw Data'!AM4:AM53),VAR('Raw Data'!AO4:AO53),VAR('Raw Data'!AQ4:AQ53),VAR('Raw Data'!AS4:AS53))</f>
        <v>17.006938775510207</v>
      </c>
      <c r="D8" s="32">
        <f>VAR(G255:G304)</f>
        <v>17.43224489795919</v>
      </c>
      <c r="E8" s="32">
        <f t="shared" si="0"/>
        <v>3.0497084923552659E-2</v>
      </c>
      <c r="F8" s="10" t="str">
        <f t="shared" si="1"/>
        <v>Unacceptable</v>
      </c>
    </row>
    <row r="9" spans="1:8" x14ac:dyDescent="0.25">
      <c r="A9" s="2" t="s">
        <v>72</v>
      </c>
      <c r="B9" s="2">
        <v>5</v>
      </c>
      <c r="C9" s="31">
        <f>SUM(VAR('Raw Data'!AU4:AU53),VAR('Raw Data'!AW4:AW53),VAR('Raw Data'!AY4:AY53),VAR('Raw Data'!BA4:BA53),VAR('Raw Data'!BC4:BC53))</f>
        <v>16.6669387755102</v>
      </c>
      <c r="D9" s="31">
        <f>VAR(G305:G354)</f>
        <v>15.552653061224525</v>
      </c>
      <c r="E9" s="31">
        <f t="shared" si="0"/>
        <v>-8.9557526768839768E-2</v>
      </c>
      <c r="F9" s="2" t="str">
        <f t="shared" si="1"/>
        <v>Unacceptable</v>
      </c>
    </row>
    <row r="10" spans="1:8" x14ac:dyDescent="0.25">
      <c r="A10" s="10" t="s">
        <v>88</v>
      </c>
      <c r="B10" s="10">
        <v>5</v>
      </c>
      <c r="C10" s="32">
        <f>SUM(VAR('Raw Data'!BE4:BE53),VAR('Raw Data'!BG4:BG53),VAR('Raw Data'!BI4:BI53),VAR('Raw Data'!BK4:BK53),VAR('Raw Data'!BM4:BM53))</f>
        <v>15.651020408163262</v>
      </c>
      <c r="D10" s="32">
        <f>VAR(G355:G404)</f>
        <v>15.404489795918362</v>
      </c>
      <c r="E10" s="32">
        <f t="shared" si="0"/>
        <v>-2.0004769348984097E-2</v>
      </c>
      <c r="F10" s="10" t="str">
        <f t="shared" si="1"/>
        <v>Unacceptable</v>
      </c>
    </row>
    <row r="12" spans="1:8" x14ac:dyDescent="0.25">
      <c r="A12" s="45" t="s">
        <v>314</v>
      </c>
      <c r="B12" s="43"/>
      <c r="C12" s="43"/>
      <c r="D12" s="43"/>
      <c r="E12" s="43"/>
      <c r="F12" s="43"/>
    </row>
    <row r="105" spans="7:7" x14ac:dyDescent="0.25">
      <c r="G105">
        <f>SUM('Raw Data'!G4+'Raw Data'!I4+'Raw Data'!K4+'Raw Data'!M4+'Raw Data'!O4)</f>
        <v>27</v>
      </c>
    </row>
    <row r="106" spans="7:7" x14ac:dyDescent="0.25">
      <c r="G106">
        <f>SUM('Raw Data'!G5+'Raw Data'!I5+'Raw Data'!K5+'Raw Data'!M5+'Raw Data'!O5)</f>
        <v>31</v>
      </c>
    </row>
    <row r="107" spans="7:7" x14ac:dyDescent="0.25">
      <c r="G107">
        <f>SUM('Raw Data'!G6+'Raw Data'!I6+'Raw Data'!K6+'Raw Data'!M6+'Raw Data'!O6)</f>
        <v>25</v>
      </c>
    </row>
    <row r="108" spans="7:7" x14ac:dyDescent="0.25">
      <c r="G108">
        <f>SUM('Raw Data'!G7+'Raw Data'!I7+'Raw Data'!K7+'Raw Data'!M7+'Raw Data'!O7)</f>
        <v>23</v>
      </c>
    </row>
    <row r="109" spans="7:7" x14ac:dyDescent="0.25">
      <c r="G109">
        <f>SUM('Raw Data'!G8+'Raw Data'!I8+'Raw Data'!K8+'Raw Data'!M8+'Raw Data'!O8)</f>
        <v>32</v>
      </c>
    </row>
    <row r="110" spans="7:7" x14ac:dyDescent="0.25">
      <c r="G110">
        <f>SUM('Raw Data'!G9+'Raw Data'!I9+'Raw Data'!K9+'Raw Data'!M9+'Raw Data'!O9)</f>
        <v>22</v>
      </c>
    </row>
    <row r="111" spans="7:7" x14ac:dyDescent="0.25">
      <c r="G111">
        <f>SUM('Raw Data'!G10+'Raw Data'!I10+'Raw Data'!K10+'Raw Data'!M10+'Raw Data'!O10)</f>
        <v>28</v>
      </c>
    </row>
    <row r="112" spans="7:7" x14ac:dyDescent="0.25">
      <c r="G112">
        <f>SUM('Raw Data'!G11+'Raw Data'!I11+'Raw Data'!K11+'Raw Data'!M11+'Raw Data'!O11)</f>
        <v>31</v>
      </c>
    </row>
    <row r="113" spans="7:7" x14ac:dyDescent="0.25">
      <c r="G113">
        <f>SUM('Raw Data'!G12+'Raw Data'!I12+'Raw Data'!K12+'Raw Data'!M12+'Raw Data'!O12)</f>
        <v>31</v>
      </c>
    </row>
    <row r="114" spans="7:7" x14ac:dyDescent="0.25">
      <c r="G114">
        <f>SUM('Raw Data'!G13+'Raw Data'!I13+'Raw Data'!K13+'Raw Data'!M13+'Raw Data'!O13)</f>
        <v>22</v>
      </c>
    </row>
    <row r="115" spans="7:7" x14ac:dyDescent="0.25">
      <c r="G115">
        <f>SUM('Raw Data'!G14+'Raw Data'!I14+'Raw Data'!K14+'Raw Data'!M14+'Raw Data'!O14)</f>
        <v>28</v>
      </c>
    </row>
    <row r="116" spans="7:7" x14ac:dyDescent="0.25">
      <c r="G116">
        <f>SUM('Raw Data'!G15+'Raw Data'!I15+'Raw Data'!K15+'Raw Data'!M15+'Raw Data'!O15)</f>
        <v>28</v>
      </c>
    </row>
    <row r="117" spans="7:7" x14ac:dyDescent="0.25">
      <c r="G117">
        <f>SUM('Raw Data'!G16+'Raw Data'!I16+'Raw Data'!K16+'Raw Data'!M16+'Raw Data'!O16)</f>
        <v>26</v>
      </c>
    </row>
    <row r="118" spans="7:7" x14ac:dyDescent="0.25">
      <c r="G118">
        <f>SUM('Raw Data'!G17+'Raw Data'!I17+'Raw Data'!K17+'Raw Data'!M17+'Raw Data'!O17)</f>
        <v>24</v>
      </c>
    </row>
    <row r="119" spans="7:7" x14ac:dyDescent="0.25">
      <c r="G119">
        <f>SUM('Raw Data'!G18+'Raw Data'!I18+'Raw Data'!K18+'Raw Data'!M18+'Raw Data'!O18)</f>
        <v>30</v>
      </c>
    </row>
    <row r="120" spans="7:7" x14ac:dyDescent="0.25">
      <c r="G120">
        <f>SUM('Raw Data'!G19+'Raw Data'!I19+'Raw Data'!K19+'Raw Data'!M19+'Raw Data'!O19)</f>
        <v>31</v>
      </c>
    </row>
    <row r="121" spans="7:7" x14ac:dyDescent="0.25">
      <c r="G121">
        <f>SUM('Raw Data'!G20+'Raw Data'!I20+'Raw Data'!K20+'Raw Data'!M20+'Raw Data'!O20)</f>
        <v>24</v>
      </c>
    </row>
    <row r="122" spans="7:7" x14ac:dyDescent="0.25">
      <c r="G122">
        <f>SUM('Raw Data'!G21+'Raw Data'!I21+'Raw Data'!K21+'Raw Data'!M21+'Raw Data'!O21)</f>
        <v>30</v>
      </c>
    </row>
    <row r="123" spans="7:7" x14ac:dyDescent="0.25">
      <c r="G123">
        <f>SUM('Raw Data'!G22+'Raw Data'!I22+'Raw Data'!K22+'Raw Data'!M22+'Raw Data'!O22)</f>
        <v>28</v>
      </c>
    </row>
    <row r="124" spans="7:7" x14ac:dyDescent="0.25">
      <c r="G124">
        <f>SUM('Raw Data'!G23+'Raw Data'!I23+'Raw Data'!K23+'Raw Data'!M23+'Raw Data'!O23)</f>
        <v>31</v>
      </c>
    </row>
    <row r="125" spans="7:7" x14ac:dyDescent="0.25">
      <c r="G125">
        <f>SUM('Raw Data'!G24+'Raw Data'!I24+'Raw Data'!K24+'Raw Data'!M24+'Raw Data'!O24)</f>
        <v>30</v>
      </c>
    </row>
    <row r="126" spans="7:7" x14ac:dyDescent="0.25">
      <c r="G126">
        <f>SUM('Raw Data'!G25+'Raw Data'!I25+'Raw Data'!K25+'Raw Data'!M25+'Raw Data'!O25)</f>
        <v>33</v>
      </c>
    </row>
    <row r="127" spans="7:7" x14ac:dyDescent="0.25">
      <c r="G127">
        <f>SUM('Raw Data'!G26+'Raw Data'!I26+'Raw Data'!K26+'Raw Data'!M26+'Raw Data'!O26)</f>
        <v>32</v>
      </c>
    </row>
    <row r="128" spans="7:7" x14ac:dyDescent="0.25">
      <c r="G128">
        <f>SUM('Raw Data'!G27+'Raw Data'!I27+'Raw Data'!K27+'Raw Data'!M27+'Raw Data'!O27)</f>
        <v>31</v>
      </c>
    </row>
    <row r="129" spans="7:7" x14ac:dyDescent="0.25">
      <c r="G129">
        <f>SUM('Raw Data'!G28+'Raw Data'!I28+'Raw Data'!K28+'Raw Data'!M28+'Raw Data'!O28)</f>
        <v>29</v>
      </c>
    </row>
    <row r="130" spans="7:7" x14ac:dyDescent="0.25">
      <c r="G130">
        <f>SUM('Raw Data'!G29+'Raw Data'!I29+'Raw Data'!K29+'Raw Data'!M29+'Raw Data'!O29)</f>
        <v>32</v>
      </c>
    </row>
    <row r="131" spans="7:7" x14ac:dyDescent="0.25">
      <c r="G131">
        <f>SUM('Raw Data'!G30+'Raw Data'!I30+'Raw Data'!K30+'Raw Data'!M30+'Raw Data'!O30)</f>
        <v>32</v>
      </c>
    </row>
    <row r="132" spans="7:7" x14ac:dyDescent="0.25">
      <c r="G132">
        <f>SUM('Raw Data'!G31+'Raw Data'!I31+'Raw Data'!K31+'Raw Data'!M31+'Raw Data'!O31)</f>
        <v>26</v>
      </c>
    </row>
    <row r="133" spans="7:7" x14ac:dyDescent="0.25">
      <c r="G133">
        <f>SUM('Raw Data'!G32+'Raw Data'!I32+'Raw Data'!K32+'Raw Data'!M32+'Raw Data'!O32)</f>
        <v>28</v>
      </c>
    </row>
    <row r="134" spans="7:7" x14ac:dyDescent="0.25">
      <c r="G134">
        <f>SUM('Raw Data'!G33+'Raw Data'!I33+'Raw Data'!K33+'Raw Data'!M33+'Raw Data'!O33)</f>
        <v>31</v>
      </c>
    </row>
    <row r="135" spans="7:7" x14ac:dyDescent="0.25">
      <c r="G135">
        <f>SUM('Raw Data'!G34+'Raw Data'!I34+'Raw Data'!K34+'Raw Data'!M34+'Raw Data'!O34)</f>
        <v>28</v>
      </c>
    </row>
    <row r="136" spans="7:7" x14ac:dyDescent="0.25">
      <c r="G136">
        <f>SUM('Raw Data'!G35+'Raw Data'!I35+'Raw Data'!K35+'Raw Data'!M35+'Raw Data'!O35)</f>
        <v>33</v>
      </c>
    </row>
    <row r="137" spans="7:7" x14ac:dyDescent="0.25">
      <c r="G137">
        <f>SUM('Raw Data'!G36+'Raw Data'!I36+'Raw Data'!K36+'Raw Data'!M36+'Raw Data'!O36)</f>
        <v>30</v>
      </c>
    </row>
    <row r="138" spans="7:7" x14ac:dyDescent="0.25">
      <c r="G138">
        <f>SUM('Raw Data'!G37+'Raw Data'!I37+'Raw Data'!K37+'Raw Data'!M37+'Raw Data'!O37)</f>
        <v>38</v>
      </c>
    </row>
    <row r="139" spans="7:7" x14ac:dyDescent="0.25">
      <c r="G139">
        <f>SUM('Raw Data'!G38+'Raw Data'!I38+'Raw Data'!K38+'Raw Data'!M38+'Raw Data'!O38)</f>
        <v>27</v>
      </c>
    </row>
    <row r="140" spans="7:7" x14ac:dyDescent="0.25">
      <c r="G140">
        <f>SUM('Raw Data'!G39+'Raw Data'!I39+'Raw Data'!K39+'Raw Data'!M39+'Raw Data'!O39)</f>
        <v>21</v>
      </c>
    </row>
    <row r="141" spans="7:7" x14ac:dyDescent="0.25">
      <c r="G141">
        <f>SUM('Raw Data'!G40+'Raw Data'!I40+'Raw Data'!K40+'Raw Data'!M40+'Raw Data'!O40)</f>
        <v>28</v>
      </c>
    </row>
    <row r="142" spans="7:7" x14ac:dyDescent="0.25">
      <c r="G142">
        <f>SUM('Raw Data'!G41+'Raw Data'!I41+'Raw Data'!K41+'Raw Data'!M41+'Raw Data'!O41)</f>
        <v>25</v>
      </c>
    </row>
    <row r="143" spans="7:7" x14ac:dyDescent="0.25">
      <c r="G143">
        <f>SUM('Raw Data'!G42+'Raw Data'!I42+'Raw Data'!K42+'Raw Data'!M42+'Raw Data'!O42)</f>
        <v>23</v>
      </c>
    </row>
    <row r="144" spans="7:7" x14ac:dyDescent="0.25">
      <c r="G144">
        <f>SUM('Raw Data'!G43+'Raw Data'!I43+'Raw Data'!K43+'Raw Data'!M43+'Raw Data'!O43)</f>
        <v>35</v>
      </c>
    </row>
    <row r="145" spans="7:7" x14ac:dyDescent="0.25">
      <c r="G145">
        <f>SUM('Raw Data'!G44+'Raw Data'!I44+'Raw Data'!K44+'Raw Data'!M44+'Raw Data'!O44)</f>
        <v>34</v>
      </c>
    </row>
    <row r="146" spans="7:7" x14ac:dyDescent="0.25">
      <c r="G146">
        <f>SUM('Raw Data'!G45+'Raw Data'!I45+'Raw Data'!K45+'Raw Data'!M45+'Raw Data'!O45)</f>
        <v>29</v>
      </c>
    </row>
    <row r="147" spans="7:7" x14ac:dyDescent="0.25">
      <c r="G147">
        <f>SUM('Raw Data'!G46+'Raw Data'!I46+'Raw Data'!K46+'Raw Data'!M46+'Raw Data'!O46)</f>
        <v>25</v>
      </c>
    </row>
    <row r="148" spans="7:7" x14ac:dyDescent="0.25">
      <c r="G148">
        <f>SUM('Raw Data'!G47+'Raw Data'!I47+'Raw Data'!K47+'Raw Data'!M47+'Raw Data'!O47)</f>
        <v>25</v>
      </c>
    </row>
    <row r="149" spans="7:7" x14ac:dyDescent="0.25">
      <c r="G149">
        <f>SUM('Raw Data'!G48+'Raw Data'!I48+'Raw Data'!K48+'Raw Data'!M48+'Raw Data'!O48)</f>
        <v>31</v>
      </c>
    </row>
    <row r="150" spans="7:7" x14ac:dyDescent="0.25">
      <c r="G150">
        <f>SUM('Raw Data'!G49+'Raw Data'!I49+'Raw Data'!K49+'Raw Data'!M49+'Raw Data'!O49)</f>
        <v>36</v>
      </c>
    </row>
    <row r="151" spans="7:7" x14ac:dyDescent="0.25">
      <c r="G151">
        <f>SUM('Raw Data'!G50+'Raw Data'!I50+'Raw Data'!K50+'Raw Data'!M50+'Raw Data'!O50)</f>
        <v>25</v>
      </c>
    </row>
    <row r="152" spans="7:7" x14ac:dyDescent="0.25">
      <c r="G152">
        <f>SUM('Raw Data'!G51+'Raw Data'!I51+'Raw Data'!K51+'Raw Data'!M51+'Raw Data'!O51)</f>
        <v>32</v>
      </c>
    </row>
    <row r="153" spans="7:7" x14ac:dyDescent="0.25">
      <c r="G153">
        <f>SUM('Raw Data'!G52+'Raw Data'!I52+'Raw Data'!K52+'Raw Data'!M52+'Raw Data'!O52)</f>
        <v>35</v>
      </c>
    </row>
    <row r="154" spans="7:7" x14ac:dyDescent="0.25">
      <c r="G154">
        <f>SUM('Raw Data'!G53+'Raw Data'!I53+'Raw Data'!K53+'Raw Data'!M53+'Raw Data'!O53)</f>
        <v>34</v>
      </c>
    </row>
    <row r="155" spans="7:7" x14ac:dyDescent="0.25">
      <c r="G155">
        <f>SUM('Raw Data'!Q4+'Raw Data'!S4+'Raw Data'!U4+'Raw Data'!W4+'Raw Data'!Y4)</f>
        <v>42</v>
      </c>
    </row>
    <row r="156" spans="7:7" x14ac:dyDescent="0.25">
      <c r="G156">
        <f>SUM('Raw Data'!Q5+'Raw Data'!S5+'Raw Data'!U5+'Raw Data'!W5+'Raw Data'!Y5)</f>
        <v>35</v>
      </c>
    </row>
    <row r="157" spans="7:7" x14ac:dyDescent="0.25">
      <c r="G157">
        <f>SUM('Raw Data'!Q6+'Raw Data'!S6+'Raw Data'!U6+'Raw Data'!W6+'Raw Data'!Y6)</f>
        <v>34</v>
      </c>
    </row>
    <row r="158" spans="7:7" x14ac:dyDescent="0.25">
      <c r="G158">
        <f>SUM('Raw Data'!Q7+'Raw Data'!S7+'Raw Data'!U7+'Raw Data'!W7+'Raw Data'!Y7)</f>
        <v>24</v>
      </c>
    </row>
    <row r="159" spans="7:7" x14ac:dyDescent="0.25">
      <c r="G159">
        <f>SUM('Raw Data'!Q8+'Raw Data'!S8+'Raw Data'!U8+'Raw Data'!W8+'Raw Data'!Y8)</f>
        <v>35</v>
      </c>
    </row>
    <row r="160" spans="7:7" x14ac:dyDescent="0.25">
      <c r="G160">
        <f>SUM('Raw Data'!Q9+'Raw Data'!S9+'Raw Data'!U9+'Raw Data'!W9+'Raw Data'!Y9)</f>
        <v>31</v>
      </c>
    </row>
    <row r="161" spans="7:7" x14ac:dyDescent="0.25">
      <c r="G161">
        <f>SUM('Raw Data'!Q10+'Raw Data'!S10+'Raw Data'!U10+'Raw Data'!W10+'Raw Data'!Y10)</f>
        <v>39</v>
      </c>
    </row>
    <row r="162" spans="7:7" x14ac:dyDescent="0.25">
      <c r="G162">
        <f>SUM('Raw Data'!Q11+'Raw Data'!S11+'Raw Data'!U11+'Raw Data'!W11+'Raw Data'!Y11)</f>
        <v>35</v>
      </c>
    </row>
    <row r="163" spans="7:7" x14ac:dyDescent="0.25">
      <c r="G163">
        <f>SUM('Raw Data'!Q12+'Raw Data'!S12+'Raw Data'!U12+'Raw Data'!W12+'Raw Data'!Y12)</f>
        <v>42</v>
      </c>
    </row>
    <row r="164" spans="7:7" x14ac:dyDescent="0.25">
      <c r="G164">
        <f>SUM('Raw Data'!Q13+'Raw Data'!S13+'Raw Data'!U13+'Raw Data'!W13+'Raw Data'!Y13)</f>
        <v>34</v>
      </c>
    </row>
    <row r="165" spans="7:7" x14ac:dyDescent="0.25">
      <c r="G165">
        <f>SUM('Raw Data'!Q14+'Raw Data'!S14+'Raw Data'!U14+'Raw Data'!W14+'Raw Data'!Y14)</f>
        <v>33</v>
      </c>
    </row>
    <row r="166" spans="7:7" x14ac:dyDescent="0.25">
      <c r="G166">
        <f>SUM('Raw Data'!Q15+'Raw Data'!S15+'Raw Data'!U15+'Raw Data'!W15+'Raw Data'!Y15)</f>
        <v>32</v>
      </c>
    </row>
    <row r="167" spans="7:7" x14ac:dyDescent="0.25">
      <c r="G167">
        <f>SUM('Raw Data'!Q16+'Raw Data'!S16+'Raw Data'!U16+'Raw Data'!W16+'Raw Data'!Y16)</f>
        <v>35</v>
      </c>
    </row>
    <row r="168" spans="7:7" x14ac:dyDescent="0.25">
      <c r="G168">
        <f>SUM('Raw Data'!Q17+'Raw Data'!S17+'Raw Data'!U17+'Raw Data'!W17+'Raw Data'!Y17)</f>
        <v>31</v>
      </c>
    </row>
    <row r="169" spans="7:7" x14ac:dyDescent="0.25">
      <c r="G169">
        <f>SUM('Raw Data'!Q18+'Raw Data'!S18+'Raw Data'!U18+'Raw Data'!W18+'Raw Data'!Y18)</f>
        <v>36</v>
      </c>
    </row>
    <row r="170" spans="7:7" x14ac:dyDescent="0.25">
      <c r="G170">
        <f>SUM('Raw Data'!Q19+'Raw Data'!S19+'Raw Data'!U19+'Raw Data'!W19+'Raw Data'!Y19)</f>
        <v>36</v>
      </c>
    </row>
    <row r="171" spans="7:7" x14ac:dyDescent="0.25">
      <c r="G171">
        <f>SUM('Raw Data'!Q20+'Raw Data'!S20+'Raw Data'!U20+'Raw Data'!W20+'Raw Data'!Y20)</f>
        <v>39</v>
      </c>
    </row>
    <row r="172" spans="7:7" x14ac:dyDescent="0.25">
      <c r="G172">
        <f>SUM('Raw Data'!Q21+'Raw Data'!S21+'Raw Data'!U21+'Raw Data'!W21+'Raw Data'!Y21)</f>
        <v>34</v>
      </c>
    </row>
    <row r="173" spans="7:7" x14ac:dyDescent="0.25">
      <c r="G173">
        <f>SUM('Raw Data'!Q22+'Raw Data'!S22+'Raw Data'!U22+'Raw Data'!W22+'Raw Data'!Y22)</f>
        <v>29</v>
      </c>
    </row>
    <row r="174" spans="7:7" x14ac:dyDescent="0.25">
      <c r="G174">
        <f>SUM('Raw Data'!Q23+'Raw Data'!S23+'Raw Data'!U23+'Raw Data'!W23+'Raw Data'!Y23)</f>
        <v>33</v>
      </c>
    </row>
    <row r="175" spans="7:7" x14ac:dyDescent="0.25">
      <c r="G175">
        <f>SUM('Raw Data'!Q24+'Raw Data'!S24+'Raw Data'!U24+'Raw Data'!W24+'Raw Data'!Y24)</f>
        <v>29</v>
      </c>
    </row>
    <row r="176" spans="7:7" x14ac:dyDescent="0.25">
      <c r="G176">
        <f>SUM('Raw Data'!Q25+'Raw Data'!S25+'Raw Data'!U25+'Raw Data'!W25+'Raw Data'!Y25)</f>
        <v>35</v>
      </c>
    </row>
    <row r="177" spans="7:7" x14ac:dyDescent="0.25">
      <c r="G177">
        <f>SUM('Raw Data'!Q26+'Raw Data'!S26+'Raw Data'!U26+'Raw Data'!W26+'Raw Data'!Y26)</f>
        <v>28</v>
      </c>
    </row>
    <row r="178" spans="7:7" x14ac:dyDescent="0.25">
      <c r="G178">
        <f>SUM('Raw Data'!Q27+'Raw Data'!S27+'Raw Data'!U27+'Raw Data'!W27+'Raw Data'!Y27)</f>
        <v>37</v>
      </c>
    </row>
    <row r="179" spans="7:7" x14ac:dyDescent="0.25">
      <c r="G179">
        <f>SUM('Raw Data'!Q28+'Raw Data'!S28+'Raw Data'!U28+'Raw Data'!W28+'Raw Data'!Y28)</f>
        <v>33</v>
      </c>
    </row>
    <row r="180" spans="7:7" x14ac:dyDescent="0.25">
      <c r="G180">
        <f>SUM('Raw Data'!Q29+'Raw Data'!S29+'Raw Data'!U29+'Raw Data'!W29+'Raw Data'!Y29)</f>
        <v>32</v>
      </c>
    </row>
    <row r="181" spans="7:7" x14ac:dyDescent="0.25">
      <c r="G181">
        <f>SUM('Raw Data'!Q30+'Raw Data'!S30+'Raw Data'!U30+'Raw Data'!W30+'Raw Data'!Y30)</f>
        <v>34</v>
      </c>
    </row>
    <row r="182" spans="7:7" x14ac:dyDescent="0.25">
      <c r="G182">
        <f>SUM('Raw Data'!Q31+'Raw Data'!S31+'Raw Data'!U31+'Raw Data'!W31+'Raw Data'!Y31)</f>
        <v>37</v>
      </c>
    </row>
    <row r="183" spans="7:7" x14ac:dyDescent="0.25">
      <c r="G183">
        <f>SUM('Raw Data'!Q32+'Raw Data'!S32+'Raw Data'!U32+'Raw Data'!W32+'Raw Data'!Y32)</f>
        <v>35</v>
      </c>
    </row>
    <row r="184" spans="7:7" x14ac:dyDescent="0.25">
      <c r="G184">
        <f>SUM('Raw Data'!Q33+'Raw Data'!S33+'Raw Data'!U33+'Raw Data'!W33+'Raw Data'!Y33)</f>
        <v>31</v>
      </c>
    </row>
    <row r="185" spans="7:7" x14ac:dyDescent="0.25">
      <c r="G185">
        <f>SUM('Raw Data'!Q34+'Raw Data'!S34+'Raw Data'!U34+'Raw Data'!W34+'Raw Data'!Y34)</f>
        <v>33</v>
      </c>
    </row>
    <row r="186" spans="7:7" x14ac:dyDescent="0.25">
      <c r="G186">
        <f>SUM('Raw Data'!Q35+'Raw Data'!S35+'Raw Data'!U35+'Raw Data'!W35+'Raw Data'!Y35)</f>
        <v>34</v>
      </c>
    </row>
    <row r="187" spans="7:7" x14ac:dyDescent="0.25">
      <c r="G187">
        <f>SUM('Raw Data'!Q36+'Raw Data'!S36+'Raw Data'!U36+'Raw Data'!W36+'Raw Data'!Y36)</f>
        <v>34</v>
      </c>
    </row>
    <row r="188" spans="7:7" x14ac:dyDescent="0.25">
      <c r="G188">
        <f>SUM('Raw Data'!Q37+'Raw Data'!S37+'Raw Data'!U37+'Raw Data'!W37+'Raw Data'!Y37)</f>
        <v>36</v>
      </c>
    </row>
    <row r="189" spans="7:7" x14ac:dyDescent="0.25">
      <c r="G189">
        <f>SUM('Raw Data'!Q38+'Raw Data'!S38+'Raw Data'!U38+'Raw Data'!W38+'Raw Data'!Y38)</f>
        <v>31</v>
      </c>
    </row>
    <row r="190" spans="7:7" x14ac:dyDescent="0.25">
      <c r="G190">
        <f>SUM('Raw Data'!Q39+'Raw Data'!S39+'Raw Data'!U39+'Raw Data'!W39+'Raw Data'!Y39)</f>
        <v>24</v>
      </c>
    </row>
    <row r="191" spans="7:7" x14ac:dyDescent="0.25">
      <c r="G191">
        <f>SUM('Raw Data'!Q40+'Raw Data'!S40+'Raw Data'!U40+'Raw Data'!W40+'Raw Data'!Y40)</f>
        <v>30</v>
      </c>
    </row>
    <row r="192" spans="7:7" x14ac:dyDescent="0.25">
      <c r="G192">
        <f>SUM('Raw Data'!Q41+'Raw Data'!S41+'Raw Data'!U41+'Raw Data'!W41+'Raw Data'!Y41)</f>
        <v>36</v>
      </c>
    </row>
    <row r="193" spans="7:7" x14ac:dyDescent="0.25">
      <c r="G193">
        <f>SUM('Raw Data'!Q42+'Raw Data'!S42+'Raw Data'!U42+'Raw Data'!W42+'Raw Data'!Y42)</f>
        <v>40</v>
      </c>
    </row>
    <row r="194" spans="7:7" x14ac:dyDescent="0.25">
      <c r="G194">
        <f>SUM('Raw Data'!Q43+'Raw Data'!S43+'Raw Data'!U43+'Raw Data'!W43+'Raw Data'!Y43)</f>
        <v>20</v>
      </c>
    </row>
    <row r="195" spans="7:7" x14ac:dyDescent="0.25">
      <c r="G195">
        <f>SUM('Raw Data'!Q44+'Raw Data'!S44+'Raw Data'!U44+'Raw Data'!W44+'Raw Data'!Y44)</f>
        <v>34</v>
      </c>
    </row>
    <row r="196" spans="7:7" x14ac:dyDescent="0.25">
      <c r="G196">
        <f>SUM('Raw Data'!Q45+'Raw Data'!S45+'Raw Data'!U45+'Raw Data'!W45+'Raw Data'!Y45)</f>
        <v>38</v>
      </c>
    </row>
    <row r="197" spans="7:7" x14ac:dyDescent="0.25">
      <c r="G197">
        <f>SUM('Raw Data'!Q46+'Raw Data'!S46+'Raw Data'!U46+'Raw Data'!W46+'Raw Data'!Y46)</f>
        <v>38</v>
      </c>
    </row>
    <row r="198" spans="7:7" x14ac:dyDescent="0.25">
      <c r="G198">
        <f>SUM('Raw Data'!Q47+'Raw Data'!S47+'Raw Data'!U47+'Raw Data'!W47+'Raw Data'!Y47)</f>
        <v>33</v>
      </c>
    </row>
    <row r="199" spans="7:7" x14ac:dyDescent="0.25">
      <c r="G199">
        <f>SUM('Raw Data'!Q48+'Raw Data'!S48+'Raw Data'!U48+'Raw Data'!W48+'Raw Data'!Y48)</f>
        <v>30</v>
      </c>
    </row>
    <row r="200" spans="7:7" x14ac:dyDescent="0.25">
      <c r="G200">
        <f>SUM('Raw Data'!Q49+'Raw Data'!S49+'Raw Data'!U49+'Raw Data'!W49+'Raw Data'!Y49)</f>
        <v>38</v>
      </c>
    </row>
    <row r="201" spans="7:7" x14ac:dyDescent="0.25">
      <c r="G201">
        <f>SUM('Raw Data'!Q50+'Raw Data'!S50+'Raw Data'!U50+'Raw Data'!W50+'Raw Data'!Y50)</f>
        <v>33</v>
      </c>
    </row>
    <row r="202" spans="7:7" x14ac:dyDescent="0.25">
      <c r="G202">
        <f>SUM('Raw Data'!Q51+'Raw Data'!S51+'Raw Data'!U51+'Raw Data'!W51+'Raw Data'!Y51)</f>
        <v>36</v>
      </c>
    </row>
    <row r="203" spans="7:7" x14ac:dyDescent="0.25">
      <c r="G203">
        <f>SUM('Raw Data'!Q52+'Raw Data'!S52+'Raw Data'!U52+'Raw Data'!W52+'Raw Data'!Y52)</f>
        <v>32</v>
      </c>
    </row>
    <row r="204" spans="7:7" x14ac:dyDescent="0.25">
      <c r="G204">
        <f>SUM('Raw Data'!Q53+'Raw Data'!S53+'Raw Data'!U53+'Raw Data'!W53+'Raw Data'!Y53)</f>
        <v>33</v>
      </c>
    </row>
    <row r="205" spans="7:7" x14ac:dyDescent="0.25">
      <c r="G205">
        <f>SUM('Raw Data'!AA4+'Raw Data'!AC4+'Raw Data'!AE4+'Raw Data'!AG4+'Raw Data'!AI4)</f>
        <v>32</v>
      </c>
    </row>
    <row r="206" spans="7:7" x14ac:dyDescent="0.25">
      <c r="G206">
        <f>SUM('Raw Data'!AA5+'Raw Data'!AC5+'Raw Data'!AE5+'Raw Data'!AG5+'Raw Data'!AI5)</f>
        <v>30</v>
      </c>
    </row>
    <row r="207" spans="7:7" x14ac:dyDescent="0.25">
      <c r="G207">
        <f>SUM('Raw Data'!AA6+'Raw Data'!AC6+'Raw Data'!AE6+'Raw Data'!AG6+'Raw Data'!AI6)</f>
        <v>32</v>
      </c>
    </row>
    <row r="208" spans="7:7" x14ac:dyDescent="0.25">
      <c r="G208">
        <f>SUM('Raw Data'!AA7+'Raw Data'!AC7+'Raw Data'!AE7+'Raw Data'!AG7+'Raw Data'!AI7)</f>
        <v>29</v>
      </c>
    </row>
    <row r="209" spans="7:7" x14ac:dyDescent="0.25">
      <c r="G209">
        <f>SUM('Raw Data'!AA8+'Raw Data'!AC8+'Raw Data'!AE8+'Raw Data'!AG8+'Raw Data'!AI8)</f>
        <v>34</v>
      </c>
    </row>
    <row r="210" spans="7:7" x14ac:dyDescent="0.25">
      <c r="G210">
        <f>SUM('Raw Data'!AA9+'Raw Data'!AC9+'Raw Data'!AE9+'Raw Data'!AG9+'Raw Data'!AI9)</f>
        <v>33</v>
      </c>
    </row>
    <row r="211" spans="7:7" x14ac:dyDescent="0.25">
      <c r="G211">
        <f>SUM('Raw Data'!AA10+'Raw Data'!AC10+'Raw Data'!AE10+'Raw Data'!AG10+'Raw Data'!AI10)</f>
        <v>34</v>
      </c>
    </row>
    <row r="212" spans="7:7" x14ac:dyDescent="0.25">
      <c r="G212">
        <f>SUM('Raw Data'!AA11+'Raw Data'!AC11+'Raw Data'!AE11+'Raw Data'!AG11+'Raw Data'!AI11)</f>
        <v>30</v>
      </c>
    </row>
    <row r="213" spans="7:7" x14ac:dyDescent="0.25">
      <c r="G213">
        <f>SUM('Raw Data'!AA12+'Raw Data'!AC12+'Raw Data'!AE12+'Raw Data'!AG12+'Raw Data'!AI12)</f>
        <v>29</v>
      </c>
    </row>
    <row r="214" spans="7:7" x14ac:dyDescent="0.25">
      <c r="G214">
        <f>SUM('Raw Data'!AA13+'Raw Data'!AC13+'Raw Data'!AE13+'Raw Data'!AG13+'Raw Data'!AI13)</f>
        <v>36</v>
      </c>
    </row>
    <row r="215" spans="7:7" x14ac:dyDescent="0.25">
      <c r="G215">
        <f>SUM('Raw Data'!AA14+'Raw Data'!AC14+'Raw Data'!AE14+'Raw Data'!AG14+'Raw Data'!AI14)</f>
        <v>35</v>
      </c>
    </row>
    <row r="216" spans="7:7" x14ac:dyDescent="0.25">
      <c r="G216">
        <f>SUM('Raw Data'!AA15+'Raw Data'!AC15+'Raw Data'!AE15+'Raw Data'!AG15+'Raw Data'!AI15)</f>
        <v>34</v>
      </c>
    </row>
    <row r="217" spans="7:7" x14ac:dyDescent="0.25">
      <c r="G217">
        <f>SUM('Raw Data'!AA16+'Raw Data'!AC16+'Raw Data'!AE16+'Raw Data'!AG16+'Raw Data'!AI16)</f>
        <v>27</v>
      </c>
    </row>
    <row r="218" spans="7:7" x14ac:dyDescent="0.25">
      <c r="G218">
        <f>SUM('Raw Data'!AA17+'Raw Data'!AC17+'Raw Data'!AE17+'Raw Data'!AG17+'Raw Data'!AI17)</f>
        <v>33</v>
      </c>
    </row>
    <row r="219" spans="7:7" x14ac:dyDescent="0.25">
      <c r="G219">
        <f>SUM('Raw Data'!AA18+'Raw Data'!AC18+'Raw Data'!AE18+'Raw Data'!AG18+'Raw Data'!AI18)</f>
        <v>31</v>
      </c>
    </row>
    <row r="220" spans="7:7" x14ac:dyDescent="0.25">
      <c r="G220">
        <f>SUM('Raw Data'!AA19+'Raw Data'!AC19+'Raw Data'!AE19+'Raw Data'!AG19+'Raw Data'!AI19)</f>
        <v>35</v>
      </c>
    </row>
    <row r="221" spans="7:7" x14ac:dyDescent="0.25">
      <c r="G221">
        <f>SUM('Raw Data'!AA20+'Raw Data'!AC20+'Raw Data'!AE20+'Raw Data'!AG20+'Raw Data'!AI20)</f>
        <v>34</v>
      </c>
    </row>
    <row r="222" spans="7:7" x14ac:dyDescent="0.25">
      <c r="G222">
        <f>SUM('Raw Data'!AA21+'Raw Data'!AC21+'Raw Data'!AE21+'Raw Data'!AG21+'Raw Data'!AI21)</f>
        <v>31</v>
      </c>
    </row>
    <row r="223" spans="7:7" x14ac:dyDescent="0.25">
      <c r="G223">
        <f>SUM('Raw Data'!AA22+'Raw Data'!AC22+'Raw Data'!AE22+'Raw Data'!AG22+'Raw Data'!AI22)</f>
        <v>29</v>
      </c>
    </row>
    <row r="224" spans="7:7" x14ac:dyDescent="0.25">
      <c r="G224">
        <f>SUM('Raw Data'!AA23+'Raw Data'!AC23+'Raw Data'!AE23+'Raw Data'!AG23+'Raw Data'!AI23)</f>
        <v>33</v>
      </c>
    </row>
    <row r="225" spans="7:7" x14ac:dyDescent="0.25">
      <c r="G225">
        <f>SUM('Raw Data'!AA24+'Raw Data'!AC24+'Raw Data'!AE24+'Raw Data'!AG24+'Raw Data'!AI24)</f>
        <v>31</v>
      </c>
    </row>
    <row r="226" spans="7:7" x14ac:dyDescent="0.25">
      <c r="G226">
        <f>SUM('Raw Data'!AA25+'Raw Data'!AC25+'Raw Data'!AE25+'Raw Data'!AG25+'Raw Data'!AI25)</f>
        <v>36</v>
      </c>
    </row>
    <row r="227" spans="7:7" x14ac:dyDescent="0.25">
      <c r="G227">
        <f>SUM('Raw Data'!AA26+'Raw Data'!AC26+'Raw Data'!AE26+'Raw Data'!AG26+'Raw Data'!AI26)</f>
        <v>36</v>
      </c>
    </row>
    <row r="228" spans="7:7" x14ac:dyDescent="0.25">
      <c r="G228">
        <f>SUM('Raw Data'!AA27+'Raw Data'!AC27+'Raw Data'!AE27+'Raw Data'!AG27+'Raw Data'!AI27)</f>
        <v>32</v>
      </c>
    </row>
    <row r="229" spans="7:7" x14ac:dyDescent="0.25">
      <c r="G229">
        <f>SUM('Raw Data'!AA28+'Raw Data'!AC28+'Raw Data'!AE28+'Raw Data'!AG28+'Raw Data'!AI28)</f>
        <v>32</v>
      </c>
    </row>
    <row r="230" spans="7:7" x14ac:dyDescent="0.25">
      <c r="G230">
        <f>SUM('Raw Data'!AA29+'Raw Data'!AC29+'Raw Data'!AE29+'Raw Data'!AG29+'Raw Data'!AI29)</f>
        <v>33</v>
      </c>
    </row>
    <row r="231" spans="7:7" x14ac:dyDescent="0.25">
      <c r="G231">
        <f>SUM('Raw Data'!AA30+'Raw Data'!AC30+'Raw Data'!AE30+'Raw Data'!AG30+'Raw Data'!AI30)</f>
        <v>28</v>
      </c>
    </row>
    <row r="232" spans="7:7" x14ac:dyDescent="0.25">
      <c r="G232">
        <f>SUM('Raw Data'!AA31+'Raw Data'!AC31+'Raw Data'!AE31+'Raw Data'!AG31+'Raw Data'!AI31)</f>
        <v>34</v>
      </c>
    </row>
    <row r="233" spans="7:7" x14ac:dyDescent="0.25">
      <c r="G233">
        <f>SUM('Raw Data'!AA32+'Raw Data'!AC32+'Raw Data'!AE32+'Raw Data'!AG32+'Raw Data'!AI32)</f>
        <v>30</v>
      </c>
    </row>
    <row r="234" spans="7:7" x14ac:dyDescent="0.25">
      <c r="G234">
        <f>SUM('Raw Data'!AA33+'Raw Data'!AC33+'Raw Data'!AE33+'Raw Data'!AG33+'Raw Data'!AI33)</f>
        <v>35</v>
      </c>
    </row>
    <row r="235" spans="7:7" x14ac:dyDescent="0.25">
      <c r="G235">
        <f>SUM('Raw Data'!AA34+'Raw Data'!AC34+'Raw Data'!AE34+'Raw Data'!AG34+'Raw Data'!AI34)</f>
        <v>29</v>
      </c>
    </row>
    <row r="236" spans="7:7" x14ac:dyDescent="0.25">
      <c r="G236">
        <f>SUM('Raw Data'!AA35+'Raw Data'!AC35+'Raw Data'!AE35+'Raw Data'!AG35+'Raw Data'!AI35)</f>
        <v>24</v>
      </c>
    </row>
    <row r="237" spans="7:7" x14ac:dyDescent="0.25">
      <c r="G237">
        <f>SUM('Raw Data'!AA36+'Raw Data'!AC36+'Raw Data'!AE36+'Raw Data'!AG36+'Raw Data'!AI36)</f>
        <v>34</v>
      </c>
    </row>
    <row r="238" spans="7:7" x14ac:dyDescent="0.25">
      <c r="G238">
        <f>SUM('Raw Data'!AA37+'Raw Data'!AC37+'Raw Data'!AE37+'Raw Data'!AG37+'Raw Data'!AI37)</f>
        <v>36</v>
      </c>
    </row>
    <row r="239" spans="7:7" x14ac:dyDescent="0.25">
      <c r="G239">
        <f>SUM('Raw Data'!AA38+'Raw Data'!AC38+'Raw Data'!AE38+'Raw Data'!AG38+'Raw Data'!AI38)</f>
        <v>31</v>
      </c>
    </row>
    <row r="240" spans="7:7" x14ac:dyDescent="0.25">
      <c r="G240">
        <f>SUM('Raw Data'!AA39+'Raw Data'!AC39+'Raw Data'!AE39+'Raw Data'!AG39+'Raw Data'!AI39)</f>
        <v>32</v>
      </c>
    </row>
    <row r="241" spans="7:7" x14ac:dyDescent="0.25">
      <c r="G241">
        <f>SUM('Raw Data'!AA40+'Raw Data'!AC40+'Raw Data'!AE40+'Raw Data'!AG40+'Raw Data'!AI40)</f>
        <v>33</v>
      </c>
    </row>
    <row r="242" spans="7:7" x14ac:dyDescent="0.25">
      <c r="G242">
        <f>SUM('Raw Data'!AA41+'Raw Data'!AC41+'Raw Data'!AE41+'Raw Data'!AG41+'Raw Data'!AI41)</f>
        <v>31</v>
      </c>
    </row>
    <row r="243" spans="7:7" x14ac:dyDescent="0.25">
      <c r="G243">
        <f>SUM('Raw Data'!AA42+'Raw Data'!AC42+'Raw Data'!AE42+'Raw Data'!AG42+'Raw Data'!AI42)</f>
        <v>20</v>
      </c>
    </row>
    <row r="244" spans="7:7" x14ac:dyDescent="0.25">
      <c r="G244">
        <f>SUM('Raw Data'!AA43+'Raw Data'!AC43+'Raw Data'!AE43+'Raw Data'!AG43+'Raw Data'!AI43)</f>
        <v>33</v>
      </c>
    </row>
    <row r="245" spans="7:7" x14ac:dyDescent="0.25">
      <c r="G245">
        <f>SUM('Raw Data'!AA44+'Raw Data'!AC44+'Raw Data'!AE44+'Raw Data'!AG44+'Raw Data'!AI44)</f>
        <v>31</v>
      </c>
    </row>
    <row r="246" spans="7:7" x14ac:dyDescent="0.25">
      <c r="G246">
        <f>SUM('Raw Data'!AA45+'Raw Data'!AC45+'Raw Data'!AE45+'Raw Data'!AG45+'Raw Data'!AI45)</f>
        <v>37</v>
      </c>
    </row>
    <row r="247" spans="7:7" x14ac:dyDescent="0.25">
      <c r="G247">
        <f>SUM('Raw Data'!AA46+'Raw Data'!AC46+'Raw Data'!AE46+'Raw Data'!AG46+'Raw Data'!AI46)</f>
        <v>32</v>
      </c>
    </row>
    <row r="248" spans="7:7" x14ac:dyDescent="0.25">
      <c r="G248">
        <f>SUM('Raw Data'!AA47+'Raw Data'!AC47+'Raw Data'!AE47+'Raw Data'!AG47+'Raw Data'!AI47)</f>
        <v>24</v>
      </c>
    </row>
    <row r="249" spans="7:7" x14ac:dyDescent="0.25">
      <c r="G249">
        <f>SUM('Raw Data'!AA48+'Raw Data'!AC48+'Raw Data'!AE48+'Raw Data'!AG48+'Raw Data'!AI48)</f>
        <v>30</v>
      </c>
    </row>
    <row r="250" spans="7:7" x14ac:dyDescent="0.25">
      <c r="G250">
        <f>SUM('Raw Data'!AA49+'Raw Data'!AC49+'Raw Data'!AE49+'Raw Data'!AG49+'Raw Data'!AI49)</f>
        <v>31</v>
      </c>
    </row>
    <row r="251" spans="7:7" x14ac:dyDescent="0.25">
      <c r="G251">
        <f>SUM('Raw Data'!AA50+'Raw Data'!AC50+'Raw Data'!AE50+'Raw Data'!AG50+'Raw Data'!AI50)</f>
        <v>40</v>
      </c>
    </row>
    <row r="252" spans="7:7" x14ac:dyDescent="0.25">
      <c r="G252">
        <f>SUM('Raw Data'!AA51+'Raw Data'!AC51+'Raw Data'!AE51+'Raw Data'!AG51+'Raw Data'!AI51)</f>
        <v>35</v>
      </c>
    </row>
    <row r="253" spans="7:7" x14ac:dyDescent="0.25">
      <c r="G253">
        <f>SUM('Raw Data'!AA52+'Raw Data'!AC52+'Raw Data'!AE52+'Raw Data'!AG52+'Raw Data'!AI52)</f>
        <v>35</v>
      </c>
    </row>
    <row r="254" spans="7:7" x14ac:dyDescent="0.25">
      <c r="G254">
        <f>SUM('Raw Data'!AA53+'Raw Data'!AC53+'Raw Data'!AE53+'Raw Data'!AG53+'Raw Data'!AI53)</f>
        <v>33</v>
      </c>
    </row>
    <row r="255" spans="7:7" x14ac:dyDescent="0.25">
      <c r="G255">
        <f>SUM('Raw Data'!AK4+'Raw Data'!AM4+'Raw Data'!AO4+'Raw Data'!AQ4+'Raw Data'!AS4)</f>
        <v>32</v>
      </c>
    </row>
    <row r="256" spans="7:7" x14ac:dyDescent="0.25">
      <c r="G256">
        <f>SUM('Raw Data'!AK5+'Raw Data'!AM5+'Raw Data'!AO5+'Raw Data'!AQ5+'Raw Data'!AS5)</f>
        <v>25</v>
      </c>
    </row>
    <row r="257" spans="7:7" x14ac:dyDescent="0.25">
      <c r="G257">
        <f>SUM('Raw Data'!AK6+'Raw Data'!AM6+'Raw Data'!AO6+'Raw Data'!AQ6+'Raw Data'!AS6)</f>
        <v>22</v>
      </c>
    </row>
    <row r="258" spans="7:7" x14ac:dyDescent="0.25">
      <c r="G258">
        <f>SUM('Raw Data'!AK7+'Raw Data'!AM7+'Raw Data'!AO7+'Raw Data'!AQ7+'Raw Data'!AS7)</f>
        <v>23</v>
      </c>
    </row>
    <row r="259" spans="7:7" x14ac:dyDescent="0.25">
      <c r="G259">
        <f>SUM('Raw Data'!AK8+'Raw Data'!AM8+'Raw Data'!AO8+'Raw Data'!AQ8+'Raw Data'!AS8)</f>
        <v>22</v>
      </c>
    </row>
    <row r="260" spans="7:7" x14ac:dyDescent="0.25">
      <c r="G260">
        <f>SUM('Raw Data'!AK9+'Raw Data'!AM9+'Raw Data'!AO9+'Raw Data'!AQ9+'Raw Data'!AS9)</f>
        <v>31</v>
      </c>
    </row>
    <row r="261" spans="7:7" x14ac:dyDescent="0.25">
      <c r="G261">
        <f>SUM('Raw Data'!AK10+'Raw Data'!AM10+'Raw Data'!AO10+'Raw Data'!AQ10+'Raw Data'!AS10)</f>
        <v>29</v>
      </c>
    </row>
    <row r="262" spans="7:7" x14ac:dyDescent="0.25">
      <c r="G262">
        <f>SUM('Raw Data'!AK11+'Raw Data'!AM11+'Raw Data'!AO11+'Raw Data'!AQ11+'Raw Data'!AS11)</f>
        <v>23</v>
      </c>
    </row>
    <row r="263" spans="7:7" x14ac:dyDescent="0.25">
      <c r="G263">
        <f>SUM('Raw Data'!AK12+'Raw Data'!AM12+'Raw Data'!AO12+'Raw Data'!AQ12+'Raw Data'!AS12)</f>
        <v>29</v>
      </c>
    </row>
    <row r="264" spans="7:7" x14ac:dyDescent="0.25">
      <c r="G264">
        <f>SUM('Raw Data'!AK13+'Raw Data'!AM13+'Raw Data'!AO13+'Raw Data'!AQ13+'Raw Data'!AS13)</f>
        <v>24</v>
      </c>
    </row>
    <row r="265" spans="7:7" x14ac:dyDescent="0.25">
      <c r="G265">
        <f>SUM('Raw Data'!AK14+'Raw Data'!AM14+'Raw Data'!AO14+'Raw Data'!AQ14+'Raw Data'!AS14)</f>
        <v>28</v>
      </c>
    </row>
    <row r="266" spans="7:7" x14ac:dyDescent="0.25">
      <c r="G266">
        <f>SUM('Raw Data'!AK15+'Raw Data'!AM15+'Raw Data'!AO15+'Raw Data'!AQ15+'Raw Data'!AS15)</f>
        <v>31</v>
      </c>
    </row>
    <row r="267" spans="7:7" x14ac:dyDescent="0.25">
      <c r="G267">
        <f>SUM('Raw Data'!AK16+'Raw Data'!AM16+'Raw Data'!AO16+'Raw Data'!AQ16+'Raw Data'!AS16)</f>
        <v>28</v>
      </c>
    </row>
    <row r="268" spans="7:7" x14ac:dyDescent="0.25">
      <c r="G268">
        <f>SUM('Raw Data'!AK17+'Raw Data'!AM17+'Raw Data'!AO17+'Raw Data'!AQ17+'Raw Data'!AS17)</f>
        <v>34</v>
      </c>
    </row>
    <row r="269" spans="7:7" x14ac:dyDescent="0.25">
      <c r="G269">
        <f>SUM('Raw Data'!AK18+'Raw Data'!AM18+'Raw Data'!AO18+'Raw Data'!AQ18+'Raw Data'!AS18)</f>
        <v>18</v>
      </c>
    </row>
    <row r="270" spans="7:7" x14ac:dyDescent="0.25">
      <c r="G270">
        <f>SUM('Raw Data'!AK19+'Raw Data'!AM19+'Raw Data'!AO19+'Raw Data'!AQ19+'Raw Data'!AS19)</f>
        <v>25</v>
      </c>
    </row>
    <row r="271" spans="7:7" x14ac:dyDescent="0.25">
      <c r="G271">
        <f>SUM('Raw Data'!AK20+'Raw Data'!AM20+'Raw Data'!AO20+'Raw Data'!AQ20+'Raw Data'!AS20)</f>
        <v>30</v>
      </c>
    </row>
    <row r="272" spans="7:7" x14ac:dyDescent="0.25">
      <c r="G272">
        <f>SUM('Raw Data'!AK21+'Raw Data'!AM21+'Raw Data'!AO21+'Raw Data'!AQ21+'Raw Data'!AS21)</f>
        <v>29</v>
      </c>
    </row>
    <row r="273" spans="7:7" x14ac:dyDescent="0.25">
      <c r="G273">
        <f>SUM('Raw Data'!AK22+'Raw Data'!AM22+'Raw Data'!AO22+'Raw Data'!AQ22+'Raw Data'!AS22)</f>
        <v>22</v>
      </c>
    </row>
    <row r="274" spans="7:7" x14ac:dyDescent="0.25">
      <c r="G274">
        <f>SUM('Raw Data'!AK23+'Raw Data'!AM23+'Raw Data'!AO23+'Raw Data'!AQ23+'Raw Data'!AS23)</f>
        <v>24</v>
      </c>
    </row>
    <row r="275" spans="7:7" x14ac:dyDescent="0.25">
      <c r="G275">
        <f>SUM('Raw Data'!AK24+'Raw Data'!AM24+'Raw Data'!AO24+'Raw Data'!AQ24+'Raw Data'!AS24)</f>
        <v>30</v>
      </c>
    </row>
    <row r="276" spans="7:7" x14ac:dyDescent="0.25">
      <c r="G276">
        <f>SUM('Raw Data'!AK25+'Raw Data'!AM25+'Raw Data'!AO25+'Raw Data'!AQ25+'Raw Data'!AS25)</f>
        <v>21</v>
      </c>
    </row>
    <row r="277" spans="7:7" x14ac:dyDescent="0.25">
      <c r="G277">
        <f>SUM('Raw Data'!AK26+'Raw Data'!AM26+'Raw Data'!AO26+'Raw Data'!AQ26+'Raw Data'!AS26)</f>
        <v>24</v>
      </c>
    </row>
    <row r="278" spans="7:7" x14ac:dyDescent="0.25">
      <c r="G278">
        <f>SUM('Raw Data'!AK27+'Raw Data'!AM27+'Raw Data'!AO27+'Raw Data'!AQ27+'Raw Data'!AS27)</f>
        <v>29</v>
      </c>
    </row>
    <row r="279" spans="7:7" x14ac:dyDescent="0.25">
      <c r="G279">
        <f>SUM('Raw Data'!AK28+'Raw Data'!AM28+'Raw Data'!AO28+'Raw Data'!AQ28+'Raw Data'!AS28)</f>
        <v>31</v>
      </c>
    </row>
    <row r="280" spans="7:7" x14ac:dyDescent="0.25">
      <c r="G280">
        <f>SUM('Raw Data'!AK29+'Raw Data'!AM29+'Raw Data'!AO29+'Raw Data'!AQ29+'Raw Data'!AS29)</f>
        <v>23</v>
      </c>
    </row>
    <row r="281" spans="7:7" x14ac:dyDescent="0.25">
      <c r="G281">
        <f>SUM('Raw Data'!AK30+'Raw Data'!AM30+'Raw Data'!AO30+'Raw Data'!AQ30+'Raw Data'!AS30)</f>
        <v>32</v>
      </c>
    </row>
    <row r="282" spans="7:7" x14ac:dyDescent="0.25">
      <c r="G282">
        <f>SUM('Raw Data'!AK31+'Raw Data'!AM31+'Raw Data'!AO31+'Raw Data'!AQ31+'Raw Data'!AS31)</f>
        <v>33</v>
      </c>
    </row>
    <row r="283" spans="7:7" x14ac:dyDescent="0.25">
      <c r="G283">
        <f>SUM('Raw Data'!AK32+'Raw Data'!AM32+'Raw Data'!AO32+'Raw Data'!AQ32+'Raw Data'!AS32)</f>
        <v>25</v>
      </c>
    </row>
    <row r="284" spans="7:7" x14ac:dyDescent="0.25">
      <c r="G284">
        <f>SUM('Raw Data'!AK33+'Raw Data'!AM33+'Raw Data'!AO33+'Raw Data'!AQ33+'Raw Data'!AS33)</f>
        <v>28</v>
      </c>
    </row>
    <row r="285" spans="7:7" x14ac:dyDescent="0.25">
      <c r="G285">
        <f>SUM('Raw Data'!AK34+'Raw Data'!AM34+'Raw Data'!AO34+'Raw Data'!AQ34+'Raw Data'!AS34)</f>
        <v>26</v>
      </c>
    </row>
    <row r="286" spans="7:7" x14ac:dyDescent="0.25">
      <c r="G286">
        <f>SUM('Raw Data'!AK35+'Raw Data'!AM35+'Raw Data'!AO35+'Raw Data'!AQ35+'Raw Data'!AS35)</f>
        <v>31</v>
      </c>
    </row>
    <row r="287" spans="7:7" x14ac:dyDescent="0.25">
      <c r="G287">
        <f>SUM('Raw Data'!AK36+'Raw Data'!AM36+'Raw Data'!AO36+'Raw Data'!AQ36+'Raw Data'!AS36)</f>
        <v>23</v>
      </c>
    </row>
    <row r="288" spans="7:7" x14ac:dyDescent="0.25">
      <c r="G288">
        <f>SUM('Raw Data'!AK37+'Raw Data'!AM37+'Raw Data'!AO37+'Raw Data'!AQ37+'Raw Data'!AS37)</f>
        <v>26</v>
      </c>
    </row>
    <row r="289" spans="7:7" x14ac:dyDescent="0.25">
      <c r="G289">
        <f>SUM('Raw Data'!AK38+'Raw Data'!AM38+'Raw Data'!AO38+'Raw Data'!AQ38+'Raw Data'!AS38)</f>
        <v>29</v>
      </c>
    </row>
    <row r="290" spans="7:7" x14ac:dyDescent="0.25">
      <c r="G290">
        <f>SUM('Raw Data'!AK39+'Raw Data'!AM39+'Raw Data'!AO39+'Raw Data'!AQ39+'Raw Data'!AS39)</f>
        <v>26</v>
      </c>
    </row>
    <row r="291" spans="7:7" x14ac:dyDescent="0.25">
      <c r="G291">
        <f>SUM('Raw Data'!AK40+'Raw Data'!AM40+'Raw Data'!AO40+'Raw Data'!AQ40+'Raw Data'!AS40)</f>
        <v>23</v>
      </c>
    </row>
    <row r="292" spans="7:7" x14ac:dyDescent="0.25">
      <c r="G292">
        <f>SUM('Raw Data'!AK41+'Raw Data'!AM41+'Raw Data'!AO41+'Raw Data'!AQ41+'Raw Data'!AS41)</f>
        <v>29</v>
      </c>
    </row>
    <row r="293" spans="7:7" x14ac:dyDescent="0.25">
      <c r="G293">
        <f>SUM('Raw Data'!AK42+'Raw Data'!AM42+'Raw Data'!AO42+'Raw Data'!AQ42+'Raw Data'!AS42)</f>
        <v>35</v>
      </c>
    </row>
    <row r="294" spans="7:7" x14ac:dyDescent="0.25">
      <c r="G294">
        <f>SUM('Raw Data'!AK43+'Raw Data'!AM43+'Raw Data'!AO43+'Raw Data'!AQ43+'Raw Data'!AS43)</f>
        <v>25</v>
      </c>
    </row>
    <row r="295" spans="7:7" x14ac:dyDescent="0.25">
      <c r="G295">
        <f>SUM('Raw Data'!AK44+'Raw Data'!AM44+'Raw Data'!AO44+'Raw Data'!AQ44+'Raw Data'!AS44)</f>
        <v>16</v>
      </c>
    </row>
    <row r="296" spans="7:7" x14ac:dyDescent="0.25">
      <c r="G296">
        <f>SUM('Raw Data'!AK45+'Raw Data'!AM45+'Raw Data'!AO45+'Raw Data'!AQ45+'Raw Data'!AS45)</f>
        <v>20</v>
      </c>
    </row>
    <row r="297" spans="7:7" x14ac:dyDescent="0.25">
      <c r="G297">
        <f>SUM('Raw Data'!AK46+'Raw Data'!AM46+'Raw Data'!AO46+'Raw Data'!AQ46+'Raw Data'!AS46)</f>
        <v>21</v>
      </c>
    </row>
    <row r="298" spans="7:7" x14ac:dyDescent="0.25">
      <c r="G298">
        <f>SUM('Raw Data'!AK47+'Raw Data'!AM47+'Raw Data'!AO47+'Raw Data'!AQ47+'Raw Data'!AS47)</f>
        <v>30</v>
      </c>
    </row>
    <row r="299" spans="7:7" x14ac:dyDescent="0.25">
      <c r="G299">
        <f>SUM('Raw Data'!AK48+'Raw Data'!AM48+'Raw Data'!AO48+'Raw Data'!AQ48+'Raw Data'!AS48)</f>
        <v>28</v>
      </c>
    </row>
    <row r="300" spans="7:7" x14ac:dyDescent="0.25">
      <c r="G300">
        <f>SUM('Raw Data'!AK49+'Raw Data'!AM49+'Raw Data'!AO49+'Raw Data'!AQ49+'Raw Data'!AS49)</f>
        <v>26</v>
      </c>
    </row>
    <row r="301" spans="7:7" x14ac:dyDescent="0.25">
      <c r="G301">
        <f>SUM('Raw Data'!AK50+'Raw Data'!AM50+'Raw Data'!AO50+'Raw Data'!AQ50+'Raw Data'!AS50)</f>
        <v>25</v>
      </c>
    </row>
    <row r="302" spans="7:7" x14ac:dyDescent="0.25">
      <c r="G302">
        <f>SUM('Raw Data'!AK51+'Raw Data'!AM51+'Raw Data'!AO51+'Raw Data'!AQ51+'Raw Data'!AS51)</f>
        <v>23</v>
      </c>
    </row>
    <row r="303" spans="7:7" x14ac:dyDescent="0.25">
      <c r="G303">
        <f>SUM('Raw Data'!AK52+'Raw Data'!AM52+'Raw Data'!AO52+'Raw Data'!AQ52+'Raw Data'!AS52)</f>
        <v>29</v>
      </c>
    </row>
    <row r="304" spans="7:7" x14ac:dyDescent="0.25">
      <c r="G304">
        <f>SUM('Raw Data'!AK53+'Raw Data'!AM53+'Raw Data'!AO53+'Raw Data'!AQ53+'Raw Data'!AS53)</f>
        <v>25</v>
      </c>
    </row>
    <row r="305" spans="7:7" x14ac:dyDescent="0.25">
      <c r="G305">
        <f>SUM('Raw Data'!AU4+'Raw Data'!AW4+'Raw Data'!AY4+'Raw Data'!BA4+'Raw Data'!BC4)</f>
        <v>30</v>
      </c>
    </row>
    <row r="306" spans="7:7" x14ac:dyDescent="0.25">
      <c r="G306">
        <f>SUM('Raw Data'!AU5+'Raw Data'!AW5+'Raw Data'!AY5+'Raw Data'!BA5+'Raw Data'!BC5)</f>
        <v>28</v>
      </c>
    </row>
    <row r="307" spans="7:7" x14ac:dyDescent="0.25">
      <c r="G307">
        <f>SUM('Raw Data'!AU6+'Raw Data'!AW6+'Raw Data'!AY6+'Raw Data'!BA6+'Raw Data'!BC6)</f>
        <v>28</v>
      </c>
    </row>
    <row r="308" spans="7:7" x14ac:dyDescent="0.25">
      <c r="G308">
        <f>SUM('Raw Data'!AU7+'Raw Data'!AW7+'Raw Data'!AY7+'Raw Data'!BA7+'Raw Data'!BC7)</f>
        <v>29</v>
      </c>
    </row>
    <row r="309" spans="7:7" x14ac:dyDescent="0.25">
      <c r="G309">
        <f>SUM('Raw Data'!AU8+'Raw Data'!AW8+'Raw Data'!AY8+'Raw Data'!BA8+'Raw Data'!BC8)</f>
        <v>23</v>
      </c>
    </row>
    <row r="310" spans="7:7" x14ac:dyDescent="0.25">
      <c r="G310">
        <f>SUM('Raw Data'!AU9+'Raw Data'!AW9+'Raw Data'!AY9+'Raw Data'!BA9+'Raw Data'!BC9)</f>
        <v>27</v>
      </c>
    </row>
    <row r="311" spans="7:7" x14ac:dyDescent="0.25">
      <c r="G311">
        <f>SUM('Raw Data'!AU10+'Raw Data'!AW10+'Raw Data'!AY10+'Raw Data'!BA10+'Raw Data'!BC10)</f>
        <v>32</v>
      </c>
    </row>
    <row r="312" spans="7:7" x14ac:dyDescent="0.25">
      <c r="G312">
        <f>SUM('Raw Data'!AU11+'Raw Data'!AW11+'Raw Data'!AY11+'Raw Data'!BA11+'Raw Data'!BC11)</f>
        <v>29</v>
      </c>
    </row>
    <row r="313" spans="7:7" x14ac:dyDescent="0.25">
      <c r="G313">
        <f>SUM('Raw Data'!AU12+'Raw Data'!AW12+'Raw Data'!AY12+'Raw Data'!BA12+'Raw Data'!BC12)</f>
        <v>19</v>
      </c>
    </row>
    <row r="314" spans="7:7" x14ac:dyDescent="0.25">
      <c r="G314">
        <f>SUM('Raw Data'!AU13+'Raw Data'!AW13+'Raw Data'!AY13+'Raw Data'!BA13+'Raw Data'!BC13)</f>
        <v>23</v>
      </c>
    </row>
    <row r="315" spans="7:7" x14ac:dyDescent="0.25">
      <c r="G315">
        <f>SUM('Raw Data'!AU14+'Raw Data'!AW14+'Raw Data'!AY14+'Raw Data'!BA14+'Raw Data'!BC14)</f>
        <v>27</v>
      </c>
    </row>
    <row r="316" spans="7:7" x14ac:dyDescent="0.25">
      <c r="G316">
        <f>SUM('Raw Data'!AU15+'Raw Data'!AW15+'Raw Data'!AY15+'Raw Data'!BA15+'Raw Data'!BC15)</f>
        <v>24</v>
      </c>
    </row>
    <row r="317" spans="7:7" x14ac:dyDescent="0.25">
      <c r="G317">
        <f>SUM('Raw Data'!AU16+'Raw Data'!AW16+'Raw Data'!AY16+'Raw Data'!BA16+'Raw Data'!BC16)</f>
        <v>33</v>
      </c>
    </row>
    <row r="318" spans="7:7" x14ac:dyDescent="0.25">
      <c r="G318">
        <f>SUM('Raw Data'!AU17+'Raw Data'!AW17+'Raw Data'!AY17+'Raw Data'!BA17+'Raw Data'!BC17)</f>
        <v>29</v>
      </c>
    </row>
    <row r="319" spans="7:7" x14ac:dyDescent="0.25">
      <c r="G319">
        <f>SUM('Raw Data'!AU18+'Raw Data'!AW18+'Raw Data'!AY18+'Raw Data'!BA18+'Raw Data'!BC18)</f>
        <v>28</v>
      </c>
    </row>
    <row r="320" spans="7:7" x14ac:dyDescent="0.25">
      <c r="G320">
        <f>SUM('Raw Data'!AU19+'Raw Data'!AW19+'Raw Data'!AY19+'Raw Data'!BA19+'Raw Data'!BC19)</f>
        <v>20</v>
      </c>
    </row>
    <row r="321" spans="7:7" x14ac:dyDescent="0.25">
      <c r="G321">
        <f>SUM('Raw Data'!AU20+'Raw Data'!AW20+'Raw Data'!AY20+'Raw Data'!BA20+'Raw Data'!BC20)</f>
        <v>22</v>
      </c>
    </row>
    <row r="322" spans="7:7" x14ac:dyDescent="0.25">
      <c r="G322">
        <f>SUM('Raw Data'!AU21+'Raw Data'!AW21+'Raw Data'!AY21+'Raw Data'!BA21+'Raw Data'!BC21)</f>
        <v>33</v>
      </c>
    </row>
    <row r="323" spans="7:7" x14ac:dyDescent="0.25">
      <c r="G323">
        <f>SUM('Raw Data'!AU22+'Raw Data'!AW22+'Raw Data'!AY22+'Raw Data'!BA22+'Raw Data'!BC22)</f>
        <v>32</v>
      </c>
    </row>
    <row r="324" spans="7:7" x14ac:dyDescent="0.25">
      <c r="G324">
        <f>SUM('Raw Data'!AU23+'Raw Data'!AW23+'Raw Data'!AY23+'Raw Data'!BA23+'Raw Data'!BC23)</f>
        <v>32</v>
      </c>
    </row>
    <row r="325" spans="7:7" x14ac:dyDescent="0.25">
      <c r="G325">
        <f>SUM('Raw Data'!AU24+'Raw Data'!AW24+'Raw Data'!AY24+'Raw Data'!BA24+'Raw Data'!BC24)</f>
        <v>25</v>
      </c>
    </row>
    <row r="326" spans="7:7" x14ac:dyDescent="0.25">
      <c r="G326">
        <f>SUM('Raw Data'!AU25+'Raw Data'!AW25+'Raw Data'!AY25+'Raw Data'!BA25+'Raw Data'!BC25)</f>
        <v>24</v>
      </c>
    </row>
    <row r="327" spans="7:7" x14ac:dyDescent="0.25">
      <c r="G327">
        <f>SUM('Raw Data'!AU26+'Raw Data'!AW26+'Raw Data'!AY26+'Raw Data'!BA26+'Raw Data'!BC26)</f>
        <v>23</v>
      </c>
    </row>
    <row r="328" spans="7:7" x14ac:dyDescent="0.25">
      <c r="G328">
        <f>SUM('Raw Data'!AU27+'Raw Data'!AW27+'Raw Data'!AY27+'Raw Data'!BA27+'Raw Data'!BC27)</f>
        <v>30</v>
      </c>
    </row>
    <row r="329" spans="7:7" x14ac:dyDescent="0.25">
      <c r="G329">
        <f>SUM('Raw Data'!AU28+'Raw Data'!AW28+'Raw Data'!AY28+'Raw Data'!BA28+'Raw Data'!BC28)</f>
        <v>30</v>
      </c>
    </row>
    <row r="330" spans="7:7" x14ac:dyDescent="0.25">
      <c r="G330">
        <f>SUM('Raw Data'!AU29+'Raw Data'!AW29+'Raw Data'!AY29+'Raw Data'!BA29+'Raw Data'!BC29)</f>
        <v>26</v>
      </c>
    </row>
    <row r="331" spans="7:7" x14ac:dyDescent="0.25">
      <c r="G331">
        <f>SUM('Raw Data'!AU30+'Raw Data'!AW30+'Raw Data'!AY30+'Raw Data'!BA30+'Raw Data'!BC30)</f>
        <v>35</v>
      </c>
    </row>
    <row r="332" spans="7:7" x14ac:dyDescent="0.25">
      <c r="G332">
        <f>SUM('Raw Data'!AU31+'Raw Data'!AW31+'Raw Data'!AY31+'Raw Data'!BA31+'Raw Data'!BC31)</f>
        <v>28</v>
      </c>
    </row>
    <row r="333" spans="7:7" x14ac:dyDescent="0.25">
      <c r="G333">
        <f>SUM('Raw Data'!AU32+'Raw Data'!AW32+'Raw Data'!AY32+'Raw Data'!BA32+'Raw Data'!BC32)</f>
        <v>31</v>
      </c>
    </row>
    <row r="334" spans="7:7" x14ac:dyDescent="0.25">
      <c r="G334">
        <f>SUM('Raw Data'!AU33+'Raw Data'!AW33+'Raw Data'!AY33+'Raw Data'!BA33+'Raw Data'!BC33)</f>
        <v>32</v>
      </c>
    </row>
    <row r="335" spans="7:7" x14ac:dyDescent="0.25">
      <c r="G335">
        <f>SUM('Raw Data'!AU34+'Raw Data'!AW34+'Raw Data'!AY34+'Raw Data'!BA34+'Raw Data'!BC34)</f>
        <v>24</v>
      </c>
    </row>
    <row r="336" spans="7:7" x14ac:dyDescent="0.25">
      <c r="G336">
        <f>SUM('Raw Data'!AU35+'Raw Data'!AW35+'Raw Data'!AY35+'Raw Data'!BA35+'Raw Data'!BC35)</f>
        <v>21</v>
      </c>
    </row>
    <row r="337" spans="7:7" x14ac:dyDescent="0.25">
      <c r="G337">
        <f>SUM('Raw Data'!AU36+'Raw Data'!AW36+'Raw Data'!AY36+'Raw Data'!BA36+'Raw Data'!BC36)</f>
        <v>22</v>
      </c>
    </row>
    <row r="338" spans="7:7" x14ac:dyDescent="0.25">
      <c r="G338">
        <f>SUM('Raw Data'!AU37+'Raw Data'!AW37+'Raw Data'!AY37+'Raw Data'!BA37+'Raw Data'!BC37)</f>
        <v>26</v>
      </c>
    </row>
    <row r="339" spans="7:7" x14ac:dyDescent="0.25">
      <c r="G339">
        <f>SUM('Raw Data'!AU38+'Raw Data'!AW38+'Raw Data'!AY38+'Raw Data'!BA38+'Raw Data'!BC38)</f>
        <v>27</v>
      </c>
    </row>
    <row r="340" spans="7:7" x14ac:dyDescent="0.25">
      <c r="G340">
        <f>SUM('Raw Data'!AU39+'Raw Data'!AW39+'Raw Data'!AY39+'Raw Data'!BA39+'Raw Data'!BC39)</f>
        <v>24</v>
      </c>
    </row>
    <row r="341" spans="7:7" x14ac:dyDescent="0.25">
      <c r="G341">
        <f>SUM('Raw Data'!AU40+'Raw Data'!AW40+'Raw Data'!AY40+'Raw Data'!BA40+'Raw Data'!BC40)</f>
        <v>31</v>
      </c>
    </row>
    <row r="342" spans="7:7" x14ac:dyDescent="0.25">
      <c r="G342">
        <f>SUM('Raw Data'!AU41+'Raw Data'!AW41+'Raw Data'!AY41+'Raw Data'!BA41+'Raw Data'!BC41)</f>
        <v>25</v>
      </c>
    </row>
    <row r="343" spans="7:7" x14ac:dyDescent="0.25">
      <c r="G343">
        <f>SUM('Raw Data'!AU42+'Raw Data'!AW42+'Raw Data'!AY42+'Raw Data'!BA42+'Raw Data'!BC42)</f>
        <v>28</v>
      </c>
    </row>
    <row r="344" spans="7:7" x14ac:dyDescent="0.25">
      <c r="G344">
        <f>SUM('Raw Data'!AU43+'Raw Data'!AW43+'Raw Data'!AY43+'Raw Data'!BA43+'Raw Data'!BC43)</f>
        <v>21</v>
      </c>
    </row>
    <row r="345" spans="7:7" x14ac:dyDescent="0.25">
      <c r="G345">
        <f>SUM('Raw Data'!AU44+'Raw Data'!AW44+'Raw Data'!AY44+'Raw Data'!BA44+'Raw Data'!BC44)</f>
        <v>26</v>
      </c>
    </row>
    <row r="346" spans="7:7" x14ac:dyDescent="0.25">
      <c r="G346">
        <f>SUM('Raw Data'!AU45+'Raw Data'!AW45+'Raw Data'!AY45+'Raw Data'!BA45+'Raw Data'!BC45)</f>
        <v>27</v>
      </c>
    </row>
    <row r="347" spans="7:7" x14ac:dyDescent="0.25">
      <c r="G347">
        <f>SUM('Raw Data'!AU46+'Raw Data'!AW46+'Raw Data'!AY46+'Raw Data'!BA46+'Raw Data'!BC46)</f>
        <v>25</v>
      </c>
    </row>
    <row r="348" spans="7:7" x14ac:dyDescent="0.25">
      <c r="G348">
        <f>SUM('Raw Data'!AU47+'Raw Data'!AW47+'Raw Data'!AY47+'Raw Data'!BA47+'Raw Data'!BC47)</f>
        <v>25</v>
      </c>
    </row>
    <row r="349" spans="7:7" x14ac:dyDescent="0.25">
      <c r="G349">
        <f>SUM('Raw Data'!AU48+'Raw Data'!AW48+'Raw Data'!AY48+'Raw Data'!BA48+'Raw Data'!BC48)</f>
        <v>28</v>
      </c>
    </row>
    <row r="350" spans="7:7" x14ac:dyDescent="0.25">
      <c r="G350">
        <f>SUM('Raw Data'!AU49+'Raw Data'!AW49+'Raw Data'!AY49+'Raw Data'!BA49+'Raw Data'!BC49)</f>
        <v>21</v>
      </c>
    </row>
    <row r="351" spans="7:7" x14ac:dyDescent="0.25">
      <c r="G351">
        <f>SUM('Raw Data'!AU50+'Raw Data'!AW50+'Raw Data'!AY50+'Raw Data'!BA50+'Raw Data'!BC50)</f>
        <v>32</v>
      </c>
    </row>
    <row r="352" spans="7:7" x14ac:dyDescent="0.25">
      <c r="G352">
        <f>SUM('Raw Data'!AU51+'Raw Data'!AW51+'Raw Data'!AY51+'Raw Data'!BA51+'Raw Data'!BC51)</f>
        <v>26</v>
      </c>
    </row>
    <row r="353" spans="7:7" x14ac:dyDescent="0.25">
      <c r="G353">
        <f>SUM('Raw Data'!AU52+'Raw Data'!AW52+'Raw Data'!AY52+'Raw Data'!BA52+'Raw Data'!BC52)</f>
        <v>20</v>
      </c>
    </row>
    <row r="354" spans="7:7" x14ac:dyDescent="0.25">
      <c r="G354">
        <f>SUM('Raw Data'!AU53+'Raw Data'!AW53+'Raw Data'!AY53+'Raw Data'!BA53+'Raw Data'!BC53)</f>
        <v>25</v>
      </c>
    </row>
    <row r="355" spans="7:7" x14ac:dyDescent="0.25">
      <c r="G355">
        <f>SUM('Raw Data'!BE4+'Raw Data'!BG4+'Raw Data'!BI4+'Raw Data'!BK4+'Raw Data'!BM4)</f>
        <v>25</v>
      </c>
    </row>
    <row r="356" spans="7:7" x14ac:dyDescent="0.25">
      <c r="G356">
        <f>SUM('Raw Data'!BE5+'Raw Data'!BG5+'Raw Data'!BI5+'Raw Data'!BK5+'Raw Data'!BM5)</f>
        <v>27</v>
      </c>
    </row>
    <row r="357" spans="7:7" x14ac:dyDescent="0.25">
      <c r="G357">
        <f>SUM('Raw Data'!BE6+'Raw Data'!BG6+'Raw Data'!BI6+'Raw Data'!BK6+'Raw Data'!BM6)</f>
        <v>21</v>
      </c>
    </row>
    <row r="358" spans="7:7" x14ac:dyDescent="0.25">
      <c r="G358">
        <f>SUM('Raw Data'!BE7+'Raw Data'!BG7+'Raw Data'!BI7+'Raw Data'!BK7+'Raw Data'!BM7)</f>
        <v>24</v>
      </c>
    </row>
    <row r="359" spans="7:7" x14ac:dyDescent="0.25">
      <c r="G359">
        <f>SUM('Raw Data'!BE8+'Raw Data'!BG8+'Raw Data'!BI8+'Raw Data'!BK8+'Raw Data'!BM8)</f>
        <v>26</v>
      </c>
    </row>
    <row r="360" spans="7:7" x14ac:dyDescent="0.25">
      <c r="G360">
        <f>SUM('Raw Data'!BE9+'Raw Data'!BG9+'Raw Data'!BI9+'Raw Data'!BK9+'Raw Data'!BM9)</f>
        <v>26</v>
      </c>
    </row>
    <row r="361" spans="7:7" x14ac:dyDescent="0.25">
      <c r="G361">
        <f>SUM('Raw Data'!BE10+'Raw Data'!BG10+'Raw Data'!BI10+'Raw Data'!BK10+'Raw Data'!BM10)</f>
        <v>24</v>
      </c>
    </row>
    <row r="362" spans="7:7" x14ac:dyDescent="0.25">
      <c r="G362">
        <f>SUM('Raw Data'!BE11+'Raw Data'!BG11+'Raw Data'!BI11+'Raw Data'!BK11+'Raw Data'!BM11)</f>
        <v>28</v>
      </c>
    </row>
    <row r="363" spans="7:7" x14ac:dyDescent="0.25">
      <c r="G363">
        <f>SUM('Raw Data'!BE12+'Raw Data'!BG12+'Raw Data'!BI12+'Raw Data'!BK12+'Raw Data'!BM12)</f>
        <v>25</v>
      </c>
    </row>
    <row r="364" spans="7:7" x14ac:dyDescent="0.25">
      <c r="G364">
        <f>SUM('Raw Data'!BE13+'Raw Data'!BG13+'Raw Data'!BI13+'Raw Data'!BK13+'Raw Data'!BM13)</f>
        <v>29</v>
      </c>
    </row>
    <row r="365" spans="7:7" x14ac:dyDescent="0.25">
      <c r="G365">
        <f>SUM('Raw Data'!BE14+'Raw Data'!BG14+'Raw Data'!BI14+'Raw Data'!BK14+'Raw Data'!BM14)</f>
        <v>20</v>
      </c>
    </row>
    <row r="366" spans="7:7" x14ac:dyDescent="0.25">
      <c r="G366">
        <f>SUM('Raw Data'!BE15+'Raw Data'!BG15+'Raw Data'!BI15+'Raw Data'!BK15+'Raw Data'!BM15)</f>
        <v>22</v>
      </c>
    </row>
    <row r="367" spans="7:7" x14ac:dyDescent="0.25">
      <c r="G367">
        <f>SUM('Raw Data'!BE16+'Raw Data'!BG16+'Raw Data'!BI16+'Raw Data'!BK16+'Raw Data'!BM16)</f>
        <v>22</v>
      </c>
    </row>
    <row r="368" spans="7:7" x14ac:dyDescent="0.25">
      <c r="G368">
        <f>SUM('Raw Data'!BE17+'Raw Data'!BG17+'Raw Data'!BI17+'Raw Data'!BK17+'Raw Data'!BM17)</f>
        <v>17</v>
      </c>
    </row>
    <row r="369" spans="7:7" x14ac:dyDescent="0.25">
      <c r="G369">
        <f>SUM('Raw Data'!BE18+'Raw Data'!BG18+'Raw Data'!BI18+'Raw Data'!BK18+'Raw Data'!BM18)</f>
        <v>25</v>
      </c>
    </row>
    <row r="370" spans="7:7" x14ac:dyDescent="0.25">
      <c r="G370">
        <f>SUM('Raw Data'!BE19+'Raw Data'!BG19+'Raw Data'!BI19+'Raw Data'!BK19+'Raw Data'!BM19)</f>
        <v>25</v>
      </c>
    </row>
    <row r="371" spans="7:7" x14ac:dyDescent="0.25">
      <c r="G371">
        <f>SUM('Raw Data'!BE20+'Raw Data'!BG20+'Raw Data'!BI20+'Raw Data'!BK20+'Raw Data'!BM20)</f>
        <v>30</v>
      </c>
    </row>
    <row r="372" spans="7:7" x14ac:dyDescent="0.25">
      <c r="G372">
        <f>SUM('Raw Data'!BE21+'Raw Data'!BG21+'Raw Data'!BI21+'Raw Data'!BK21+'Raw Data'!BM21)</f>
        <v>29</v>
      </c>
    </row>
    <row r="373" spans="7:7" x14ac:dyDescent="0.25">
      <c r="G373">
        <f>SUM('Raw Data'!BE22+'Raw Data'!BG22+'Raw Data'!BI22+'Raw Data'!BK22+'Raw Data'!BM22)</f>
        <v>23</v>
      </c>
    </row>
    <row r="374" spans="7:7" x14ac:dyDescent="0.25">
      <c r="G374">
        <f>SUM('Raw Data'!BE23+'Raw Data'!BG23+'Raw Data'!BI23+'Raw Data'!BK23+'Raw Data'!BM23)</f>
        <v>30</v>
      </c>
    </row>
    <row r="375" spans="7:7" x14ac:dyDescent="0.25">
      <c r="G375">
        <f>SUM('Raw Data'!BE24+'Raw Data'!BG24+'Raw Data'!BI24+'Raw Data'!BK24+'Raw Data'!BM24)</f>
        <v>20</v>
      </c>
    </row>
    <row r="376" spans="7:7" x14ac:dyDescent="0.25">
      <c r="G376">
        <f>SUM('Raw Data'!BE25+'Raw Data'!BG25+'Raw Data'!BI25+'Raw Data'!BK25+'Raw Data'!BM25)</f>
        <v>25</v>
      </c>
    </row>
    <row r="377" spans="7:7" x14ac:dyDescent="0.25">
      <c r="G377">
        <f>SUM('Raw Data'!BE26+'Raw Data'!BG26+'Raw Data'!BI26+'Raw Data'!BK26+'Raw Data'!BM26)</f>
        <v>28</v>
      </c>
    </row>
    <row r="378" spans="7:7" x14ac:dyDescent="0.25">
      <c r="G378">
        <f>SUM('Raw Data'!BE27+'Raw Data'!BG27+'Raw Data'!BI27+'Raw Data'!BK27+'Raw Data'!BM27)</f>
        <v>26</v>
      </c>
    </row>
    <row r="379" spans="7:7" x14ac:dyDescent="0.25">
      <c r="G379">
        <f>SUM('Raw Data'!BE28+'Raw Data'!BG28+'Raw Data'!BI28+'Raw Data'!BK28+'Raw Data'!BM28)</f>
        <v>26</v>
      </c>
    </row>
    <row r="380" spans="7:7" x14ac:dyDescent="0.25">
      <c r="G380">
        <f>SUM('Raw Data'!BE29+'Raw Data'!BG29+'Raw Data'!BI29+'Raw Data'!BK29+'Raw Data'!BM29)</f>
        <v>19</v>
      </c>
    </row>
    <row r="381" spans="7:7" x14ac:dyDescent="0.25">
      <c r="G381">
        <f>SUM('Raw Data'!BE30+'Raw Data'!BG30+'Raw Data'!BI30+'Raw Data'!BK30+'Raw Data'!BM30)</f>
        <v>25</v>
      </c>
    </row>
    <row r="382" spans="7:7" x14ac:dyDescent="0.25">
      <c r="G382">
        <f>SUM('Raw Data'!BE31+'Raw Data'!BG31+'Raw Data'!BI31+'Raw Data'!BK31+'Raw Data'!BM31)</f>
        <v>28</v>
      </c>
    </row>
    <row r="383" spans="7:7" x14ac:dyDescent="0.25">
      <c r="G383">
        <f>SUM('Raw Data'!BE32+'Raw Data'!BG32+'Raw Data'!BI32+'Raw Data'!BK32+'Raw Data'!BM32)</f>
        <v>26</v>
      </c>
    </row>
    <row r="384" spans="7:7" x14ac:dyDescent="0.25">
      <c r="G384">
        <f>SUM('Raw Data'!BE33+'Raw Data'!BG33+'Raw Data'!BI33+'Raw Data'!BK33+'Raw Data'!BM33)</f>
        <v>30</v>
      </c>
    </row>
    <row r="385" spans="7:7" x14ac:dyDescent="0.25">
      <c r="G385">
        <f>SUM('Raw Data'!BE34+'Raw Data'!BG34+'Raw Data'!BI34+'Raw Data'!BK34+'Raw Data'!BM34)</f>
        <v>31</v>
      </c>
    </row>
    <row r="386" spans="7:7" x14ac:dyDescent="0.25">
      <c r="G386">
        <f>SUM('Raw Data'!BE35+'Raw Data'!BG35+'Raw Data'!BI35+'Raw Data'!BK35+'Raw Data'!BM35)</f>
        <v>22</v>
      </c>
    </row>
    <row r="387" spans="7:7" x14ac:dyDescent="0.25">
      <c r="G387">
        <f>SUM('Raw Data'!BE36+'Raw Data'!BG36+'Raw Data'!BI36+'Raw Data'!BK36+'Raw Data'!BM36)</f>
        <v>23</v>
      </c>
    </row>
    <row r="388" spans="7:7" x14ac:dyDescent="0.25">
      <c r="G388">
        <f>SUM('Raw Data'!BE37+'Raw Data'!BG37+'Raw Data'!BI37+'Raw Data'!BK37+'Raw Data'!BM37)</f>
        <v>24</v>
      </c>
    </row>
    <row r="389" spans="7:7" x14ac:dyDescent="0.25">
      <c r="G389">
        <f>SUM('Raw Data'!BE38+'Raw Data'!BG38+'Raw Data'!BI38+'Raw Data'!BK38+'Raw Data'!BM38)</f>
        <v>22</v>
      </c>
    </row>
    <row r="390" spans="7:7" x14ac:dyDescent="0.25">
      <c r="G390">
        <f>SUM('Raw Data'!BE39+'Raw Data'!BG39+'Raw Data'!BI39+'Raw Data'!BK39+'Raw Data'!BM39)</f>
        <v>26</v>
      </c>
    </row>
    <row r="391" spans="7:7" x14ac:dyDescent="0.25">
      <c r="G391">
        <f>SUM('Raw Data'!BE40+'Raw Data'!BG40+'Raw Data'!BI40+'Raw Data'!BK40+'Raw Data'!BM40)</f>
        <v>21</v>
      </c>
    </row>
    <row r="392" spans="7:7" x14ac:dyDescent="0.25">
      <c r="G392">
        <f>SUM('Raw Data'!BE41+'Raw Data'!BG41+'Raw Data'!BI41+'Raw Data'!BK41+'Raw Data'!BM41)</f>
        <v>21</v>
      </c>
    </row>
    <row r="393" spans="7:7" x14ac:dyDescent="0.25">
      <c r="G393">
        <f>SUM('Raw Data'!BE42+'Raw Data'!BG42+'Raw Data'!BI42+'Raw Data'!BK42+'Raw Data'!BM42)</f>
        <v>27</v>
      </c>
    </row>
    <row r="394" spans="7:7" x14ac:dyDescent="0.25">
      <c r="G394">
        <f>SUM('Raw Data'!BE43+'Raw Data'!BG43+'Raw Data'!BI43+'Raw Data'!BK43+'Raw Data'!BM43)</f>
        <v>20</v>
      </c>
    </row>
    <row r="395" spans="7:7" x14ac:dyDescent="0.25">
      <c r="G395">
        <f>SUM('Raw Data'!BE44+'Raw Data'!BG44+'Raw Data'!BI44+'Raw Data'!BK44+'Raw Data'!BM44)</f>
        <v>21</v>
      </c>
    </row>
    <row r="396" spans="7:7" x14ac:dyDescent="0.25">
      <c r="G396">
        <f>SUM('Raw Data'!BE45+'Raw Data'!BG45+'Raw Data'!BI45+'Raw Data'!BK45+'Raw Data'!BM45)</f>
        <v>24</v>
      </c>
    </row>
    <row r="397" spans="7:7" x14ac:dyDescent="0.25">
      <c r="G397">
        <f>SUM('Raw Data'!BE46+'Raw Data'!BG46+'Raw Data'!BI46+'Raw Data'!BK46+'Raw Data'!BM46)</f>
        <v>22</v>
      </c>
    </row>
    <row r="398" spans="7:7" x14ac:dyDescent="0.25">
      <c r="G398">
        <f>SUM('Raw Data'!BE47+'Raw Data'!BG47+'Raw Data'!BI47+'Raw Data'!BK47+'Raw Data'!BM47)</f>
        <v>29</v>
      </c>
    </row>
    <row r="399" spans="7:7" x14ac:dyDescent="0.25">
      <c r="G399">
        <f>SUM('Raw Data'!BE48+'Raw Data'!BG48+'Raw Data'!BI48+'Raw Data'!BK48+'Raw Data'!BM48)</f>
        <v>24</v>
      </c>
    </row>
    <row r="400" spans="7:7" x14ac:dyDescent="0.25">
      <c r="G400">
        <f>SUM('Raw Data'!BE49+'Raw Data'!BG49+'Raw Data'!BI49+'Raw Data'!BK49+'Raw Data'!BM49)</f>
        <v>29</v>
      </c>
    </row>
    <row r="401" spans="7:7" x14ac:dyDescent="0.25">
      <c r="G401">
        <f>SUM('Raw Data'!BE50+'Raw Data'!BG50+'Raw Data'!BI50+'Raw Data'!BK50+'Raw Data'!BM50)</f>
        <v>31</v>
      </c>
    </row>
    <row r="402" spans="7:7" x14ac:dyDescent="0.25">
      <c r="G402">
        <f>SUM('Raw Data'!BE51+'Raw Data'!BG51+'Raw Data'!BI51+'Raw Data'!BK51+'Raw Data'!BM51)</f>
        <v>16</v>
      </c>
    </row>
    <row r="403" spans="7:7" x14ac:dyDescent="0.25">
      <c r="G403">
        <f>SUM('Raw Data'!BE52+'Raw Data'!BG52+'Raw Data'!BI52+'Raw Data'!BK52+'Raw Data'!BM52)</f>
        <v>27</v>
      </c>
    </row>
    <row r="404" spans="7:7" x14ac:dyDescent="0.25">
      <c r="G404">
        <f>SUM('Raw Data'!BE53+'Raw Data'!BG53+'Raw Data'!BI53+'Raw Data'!BK53+'Raw Data'!BM53)</f>
        <v>36</v>
      </c>
    </row>
  </sheetData>
  <mergeCells count="3">
    <mergeCell ref="A2:H2"/>
    <mergeCell ref="A12:F12"/>
    <mergeCell ref="A1:H1"/>
  </mergeCells>
  <conditionalFormatting sqref="E5:E10">
    <cfRule type="colorScale" priority="1">
      <colorScale>
        <cfvo type="num" val="0.5"/>
        <cfvo type="num" val="0.7"/>
        <cfvo type="num" val="0.95"/>
        <color rgb="FFC00000"/>
        <color rgb="FFFFC000"/>
        <color rgb="FF00B050"/>
      </colorScale>
    </cfRule>
  </conditionalFormatting>
  <pageMargins left="0.75" right="0.75" top="1" bottom="1" header="0.5" footer="0.5"/>
  <pageSetup paperSize="8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H14"/>
  <sheetViews>
    <sheetView showGridLines="0" workbookViewId="0">
      <pane ySplit="4" topLeftCell="A5" activePane="bottomLeft" state="frozen"/>
      <selection pane="bottomLeft" activeCell="M24" sqref="M24"/>
    </sheetView>
  </sheetViews>
  <sheetFormatPr defaultRowHeight="15" x14ac:dyDescent="0.25"/>
  <cols>
    <col min="1" max="1" width="24" customWidth="1"/>
    <col min="2" max="2" width="32" customWidth="1"/>
    <col min="3" max="3" width="16" customWidth="1"/>
    <col min="4" max="4" width="22" customWidth="1"/>
  </cols>
  <sheetData>
    <row r="1" spans="1:8" ht="27.95" customHeight="1" x14ac:dyDescent="0.3">
      <c r="A1" s="46" t="s">
        <v>315</v>
      </c>
      <c r="B1" s="43"/>
      <c r="C1" s="43"/>
      <c r="D1" s="43"/>
      <c r="E1" s="43"/>
      <c r="F1" s="43"/>
      <c r="G1" s="43"/>
      <c r="H1" s="43"/>
    </row>
    <row r="2" spans="1:8" x14ac:dyDescent="0.25">
      <c r="A2" s="42" t="s">
        <v>316</v>
      </c>
      <c r="B2" s="43"/>
      <c r="C2" s="43"/>
      <c r="D2" s="43"/>
      <c r="E2" s="43"/>
      <c r="F2" s="43"/>
      <c r="G2" s="43"/>
      <c r="H2" s="43"/>
    </row>
    <row r="4" spans="1:8" x14ac:dyDescent="0.25">
      <c r="A4" s="1" t="s">
        <v>2</v>
      </c>
      <c r="B4" s="1" t="s">
        <v>317</v>
      </c>
      <c r="C4" s="1" t="s">
        <v>318</v>
      </c>
      <c r="D4" s="1" t="s">
        <v>319</v>
      </c>
    </row>
    <row r="5" spans="1:8" x14ac:dyDescent="0.25">
      <c r="A5" s="2" t="s">
        <v>8</v>
      </c>
      <c r="B5" s="31">
        <f>CORREL('Scoring Engine'!G17:G66,'Scoring Engine'!Y17:Y66)</f>
        <v>0.28604009722952439</v>
      </c>
      <c r="C5" s="2" t="str">
        <f t="shared" ref="C5:C10" si="0">IF(ABS(B5)&gt;=0.7,"Strong",IF(ABS(B5)&gt;=0.5,"Moderate",IF(ABS(B5)&gt;=0.3,"Weak","Negligible")))</f>
        <v>Negligible</v>
      </c>
      <c r="D5" s="2">
        <f t="shared" ref="D5:D10" si="1">IF(B5&lt;&gt;"",RANK(B5,$B$5:$B$10),"")</f>
        <v>5</v>
      </c>
    </row>
    <row r="6" spans="1:8" x14ac:dyDescent="0.25">
      <c r="A6" s="10" t="s">
        <v>24</v>
      </c>
      <c r="B6" s="32">
        <f>CORREL('Scoring Engine'!J17:J66,'Scoring Engine'!Y17:Y66)</f>
        <v>0.56696262466538394</v>
      </c>
      <c r="C6" s="10" t="str">
        <f t="shared" si="0"/>
        <v>Moderate</v>
      </c>
      <c r="D6" s="10">
        <f t="shared" si="1"/>
        <v>1</v>
      </c>
    </row>
    <row r="7" spans="1:8" x14ac:dyDescent="0.25">
      <c r="A7" s="2" t="s">
        <v>40</v>
      </c>
      <c r="B7" s="31">
        <f>CORREL('Scoring Engine'!M17:M66,'Scoring Engine'!Y17:Y66)</f>
        <v>0.23372948605956811</v>
      </c>
      <c r="C7" s="2" t="str">
        <f t="shared" si="0"/>
        <v>Negligible</v>
      </c>
      <c r="D7" s="2">
        <f t="shared" si="1"/>
        <v>6</v>
      </c>
    </row>
    <row r="8" spans="1:8" x14ac:dyDescent="0.25">
      <c r="A8" s="10" t="s">
        <v>56</v>
      </c>
      <c r="B8" s="32">
        <f>CORREL('Scoring Engine'!P17:P66,'Scoring Engine'!Y17:Y66)</f>
        <v>0.35036515924840478</v>
      </c>
      <c r="C8" s="10" t="str">
        <f t="shared" si="0"/>
        <v>Weak</v>
      </c>
      <c r="D8" s="10">
        <f t="shared" si="1"/>
        <v>3</v>
      </c>
    </row>
    <row r="9" spans="1:8" x14ac:dyDescent="0.25">
      <c r="A9" s="2" t="s">
        <v>72</v>
      </c>
      <c r="B9" s="31">
        <f>CORREL('Scoring Engine'!S17:S66,'Scoring Engine'!Y17:Y66)</f>
        <v>0.34771763898939634</v>
      </c>
      <c r="C9" s="2" t="str">
        <f t="shared" si="0"/>
        <v>Weak</v>
      </c>
      <c r="D9" s="2">
        <f t="shared" si="1"/>
        <v>4</v>
      </c>
    </row>
    <row r="10" spans="1:8" x14ac:dyDescent="0.25">
      <c r="A10" s="10" t="s">
        <v>88</v>
      </c>
      <c r="B10" s="32">
        <f>CORREL('Scoring Engine'!V17:V66,'Scoring Engine'!Y17:Y66)</f>
        <v>0.547539315533497</v>
      </c>
      <c r="C10" s="10" t="str">
        <f t="shared" si="0"/>
        <v>Moderate</v>
      </c>
      <c r="D10" s="10">
        <f t="shared" si="1"/>
        <v>2</v>
      </c>
    </row>
    <row r="13" spans="1:8" x14ac:dyDescent="0.25">
      <c r="A13" s="45" t="s">
        <v>320</v>
      </c>
      <c r="B13" s="43"/>
      <c r="C13" s="43"/>
      <c r="D13" s="43"/>
    </row>
    <row r="14" spans="1:8" x14ac:dyDescent="0.25">
      <c r="A14" s="45" t="s">
        <v>321</v>
      </c>
      <c r="B14" s="43"/>
      <c r="C14" s="43"/>
      <c r="D14" s="43"/>
    </row>
  </sheetData>
  <mergeCells count="4">
    <mergeCell ref="A2:H2"/>
    <mergeCell ref="A13:D13"/>
    <mergeCell ref="A14:D14"/>
    <mergeCell ref="A1:H1"/>
  </mergeCells>
  <pageMargins left="0.75" right="0.75" top="1" bottom="1" header="0.5" footer="0.5"/>
  <pageSetup paperSize="8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H69"/>
  <sheetViews>
    <sheetView showGridLines="0" workbookViewId="0">
      <pane ySplit="13" topLeftCell="A14" activePane="bottomLeft" state="frozen"/>
      <selection pane="bottomLeft" sqref="A1:H1"/>
    </sheetView>
  </sheetViews>
  <sheetFormatPr defaultRowHeight="15" x14ac:dyDescent="0.25"/>
  <cols>
    <col min="1" max="1" width="12" customWidth="1"/>
    <col min="2" max="2" width="20" customWidth="1"/>
    <col min="3" max="4" width="15" customWidth="1"/>
    <col min="5" max="5" width="16" customWidth="1"/>
    <col min="6" max="6" width="20" customWidth="1"/>
    <col min="7" max="7" width="14" customWidth="1"/>
  </cols>
  <sheetData>
    <row r="1" spans="1:8" ht="27.95" customHeight="1" x14ac:dyDescent="0.3">
      <c r="A1" s="46" t="s">
        <v>322</v>
      </c>
      <c r="B1" s="43"/>
      <c r="C1" s="43"/>
      <c r="D1" s="43"/>
      <c r="E1" s="43"/>
      <c r="F1" s="43"/>
      <c r="G1" s="43"/>
      <c r="H1" s="43"/>
    </row>
    <row r="2" spans="1:8" x14ac:dyDescent="0.25">
      <c r="A2" s="42" t="s">
        <v>323</v>
      </c>
      <c r="B2" s="43"/>
      <c r="C2" s="43"/>
      <c r="D2" s="43"/>
      <c r="E2" s="43"/>
      <c r="F2" s="43"/>
      <c r="G2" s="43"/>
      <c r="H2" s="43"/>
    </row>
    <row r="4" spans="1:8" ht="15.75" x14ac:dyDescent="0.25">
      <c r="A4" s="47" t="s">
        <v>324</v>
      </c>
      <c r="B4" s="43"/>
      <c r="C4" s="43"/>
      <c r="D4" s="43"/>
      <c r="E4" s="43"/>
      <c r="F4" s="43"/>
    </row>
    <row r="5" spans="1:8" ht="15.75" x14ac:dyDescent="0.25">
      <c r="A5" s="33" t="s">
        <v>250</v>
      </c>
      <c r="B5" s="34">
        <f>'Scoring Engine'!B12</f>
        <v>2.1619999999999999</v>
      </c>
    </row>
    <row r="6" spans="1:8" ht="15.75" x14ac:dyDescent="0.25">
      <c r="A6" s="33" t="s">
        <v>325</v>
      </c>
      <c r="B6" s="35">
        <f>'Scoring Engine'!D6</f>
        <v>1.444</v>
      </c>
    </row>
    <row r="7" spans="1:8" ht="15.75" x14ac:dyDescent="0.25">
      <c r="A7" s="33" t="s">
        <v>326</v>
      </c>
      <c r="B7" s="35">
        <f>'Scoring Engine'!D8</f>
        <v>2.7160000000000002</v>
      </c>
    </row>
    <row r="8" spans="1:8" ht="15.75" x14ac:dyDescent="0.25">
      <c r="A8" s="20" t="s">
        <v>327</v>
      </c>
      <c r="B8" s="36">
        <f>(B5*0.5)+(B6*0.3)+(B7*0.2)</f>
        <v>2.0573999999999999</v>
      </c>
    </row>
    <row r="9" spans="1:8" ht="15.75" x14ac:dyDescent="0.25">
      <c r="A9" s="33" t="s">
        <v>328</v>
      </c>
      <c r="B9" s="37" t="str">
        <f>IF(B8&lt;=0.2,"Very Low",IF(B8&lt;=0.4,"Low",IF(B8&lt;=0.6,"Moderate",IF(B8&lt;=0.8,"High","Critical"))))</f>
        <v>Critical</v>
      </c>
    </row>
    <row r="12" spans="1:8" ht="15.75" x14ac:dyDescent="0.25">
      <c r="A12" s="47" t="s">
        <v>329</v>
      </c>
      <c r="B12" s="43"/>
      <c r="C12" s="43"/>
      <c r="D12" s="43"/>
      <c r="E12" s="43"/>
      <c r="F12" s="43"/>
      <c r="G12" s="43"/>
      <c r="H12" s="43"/>
    </row>
    <row r="13" spans="1:8" x14ac:dyDescent="0.25">
      <c r="A13" s="1" t="s">
        <v>104</v>
      </c>
      <c r="B13" s="1" t="s">
        <v>105</v>
      </c>
      <c r="C13" s="1" t="s">
        <v>330</v>
      </c>
      <c r="D13" s="1" t="s">
        <v>331</v>
      </c>
      <c r="E13" s="1" t="s">
        <v>332</v>
      </c>
      <c r="F13" s="1" t="s">
        <v>327</v>
      </c>
      <c r="G13" s="1" t="s">
        <v>333</v>
      </c>
    </row>
    <row r="14" spans="1:8" x14ac:dyDescent="0.25">
      <c r="A14" s="10" t="str">
        <f>'Scoring Engine'!A17</f>
        <v>R001</v>
      </c>
      <c r="B14" s="10" t="str">
        <f>'Scoring Engine'!B17</f>
        <v>Operations</v>
      </c>
      <c r="C14" s="14">
        <f>'Scoring Engine'!K17</f>
        <v>-0.20000000000000107</v>
      </c>
      <c r="D14" s="14">
        <f>'Scoring Engine'!Q17</f>
        <v>0.79999999999999982</v>
      </c>
      <c r="E14" s="14">
        <f>'Scoring Engine'!AA17</f>
        <v>1.1999999999999995</v>
      </c>
      <c r="F14" s="25">
        <f>'Scoring Engine'!AB17</f>
        <v>0.69999999999999951</v>
      </c>
      <c r="G14" s="10" t="str">
        <f t="shared" ref="G14:G45" si="0">IF(F14&lt;=0.2,"Very Low",IF(F14&lt;=0.4,"Low",IF(F14&lt;=0.6,"Moderate",IF(F14&lt;=0.8,"High","Critical"))))</f>
        <v>High</v>
      </c>
    </row>
    <row r="15" spans="1:8" x14ac:dyDescent="0.25">
      <c r="A15" s="2" t="str">
        <f>'Scoring Engine'!A18</f>
        <v>R002</v>
      </c>
      <c r="B15" s="2" t="str">
        <f>'Scoring Engine'!B18</f>
        <v>Operations</v>
      </c>
      <c r="C15" s="11">
        <f>'Scoring Engine'!K18</f>
        <v>2</v>
      </c>
      <c r="D15" s="11">
        <f>'Scoring Engine'!Q18</f>
        <v>3.1999999999999993</v>
      </c>
      <c r="E15" s="11">
        <f>'Scoring Engine'!AA18</f>
        <v>2.4299999999999997</v>
      </c>
      <c r="F15" s="24">
        <f>'Scoring Engine'!AB18</f>
        <v>2.4550000000000001</v>
      </c>
      <c r="G15" s="2" t="str">
        <f t="shared" si="0"/>
        <v>Critical</v>
      </c>
    </row>
    <row r="16" spans="1:8" x14ac:dyDescent="0.25">
      <c r="A16" s="10" t="str">
        <f>'Scoring Engine'!A19</f>
        <v>R003</v>
      </c>
      <c r="B16" s="10" t="str">
        <f>'Scoring Engine'!B19</f>
        <v>Engineering</v>
      </c>
      <c r="C16" s="14">
        <f>'Scoring Engine'!K19</f>
        <v>1.7999999999999998</v>
      </c>
      <c r="D16" s="14">
        <f>'Scoring Engine'!Q19</f>
        <v>3.1999999999999993</v>
      </c>
      <c r="E16" s="14">
        <f>'Scoring Engine'!AA19</f>
        <v>2.64</v>
      </c>
      <c r="F16" s="25">
        <f>'Scoring Engine'!AB19</f>
        <v>2.5</v>
      </c>
      <c r="G16" s="10" t="str">
        <f t="shared" si="0"/>
        <v>Critical</v>
      </c>
    </row>
    <row r="17" spans="1:7" x14ac:dyDescent="0.25">
      <c r="A17" s="2" t="str">
        <f>'Scoring Engine'!A20</f>
        <v>R004</v>
      </c>
      <c r="B17" s="2" t="str">
        <f>'Scoring Engine'!B20</f>
        <v>Marketing</v>
      </c>
      <c r="C17" s="11">
        <f>'Scoring Engine'!K20</f>
        <v>3.3999999999999995</v>
      </c>
      <c r="D17" s="11">
        <f>'Scoring Engine'!Q20</f>
        <v>4.4000000000000004</v>
      </c>
      <c r="E17" s="11">
        <f>'Scoring Engine'!AA20</f>
        <v>3.6100000000000003</v>
      </c>
      <c r="F17" s="24">
        <f>'Scoring Engine'!AB20</f>
        <v>3.7050000000000001</v>
      </c>
      <c r="G17" s="2" t="str">
        <f t="shared" si="0"/>
        <v>Critical</v>
      </c>
    </row>
    <row r="18" spans="1:7" x14ac:dyDescent="0.25">
      <c r="A18" s="10" t="str">
        <f>'Scoring Engine'!A21</f>
        <v>R005</v>
      </c>
      <c r="B18" s="10" t="str">
        <f>'Scoring Engine'!B21</f>
        <v>Operations</v>
      </c>
      <c r="C18" s="14">
        <f>'Scoring Engine'!K21</f>
        <v>1.5999999999999996</v>
      </c>
      <c r="D18" s="14">
        <f>'Scoring Engine'!Q21</f>
        <v>3.7999999999999989</v>
      </c>
      <c r="E18" s="14">
        <f>'Scoring Engine'!AA21</f>
        <v>2.1699999999999995</v>
      </c>
      <c r="F18" s="25">
        <f>'Scoring Engine'!AB21</f>
        <v>2.3249999999999993</v>
      </c>
      <c r="G18" s="10" t="str">
        <f t="shared" si="0"/>
        <v>Critical</v>
      </c>
    </row>
    <row r="19" spans="1:7" x14ac:dyDescent="0.25">
      <c r="A19" s="2" t="str">
        <f>'Scoring Engine'!A22</f>
        <v>R006</v>
      </c>
      <c r="B19" s="2" t="str">
        <f>'Scoring Engine'!B22</f>
        <v>Engineering</v>
      </c>
      <c r="C19" s="11">
        <f>'Scoring Engine'!K22</f>
        <v>2.3999999999999995</v>
      </c>
      <c r="D19" s="11">
        <f>'Scoring Engine'!Q22</f>
        <v>1.5999999999999996</v>
      </c>
      <c r="E19" s="11">
        <f>'Scoring Engine'!AA22</f>
        <v>2.5699999999999994</v>
      </c>
      <c r="F19" s="24">
        <f>'Scoring Engine'!AB22</f>
        <v>2.3249999999999993</v>
      </c>
      <c r="G19" s="2" t="str">
        <f t="shared" si="0"/>
        <v>Critical</v>
      </c>
    </row>
    <row r="20" spans="1:7" x14ac:dyDescent="0.25">
      <c r="A20" s="10" t="str">
        <f>'Scoring Engine'!A23</f>
        <v>R007</v>
      </c>
      <c r="B20" s="10" t="str">
        <f>'Scoring Engine'!B23</f>
        <v>Engineering</v>
      </c>
      <c r="C20" s="14">
        <f>'Scoring Engine'!K23</f>
        <v>0.20000000000000018</v>
      </c>
      <c r="D20" s="14">
        <f>'Scoring Engine'!Q23</f>
        <v>1.6000000000000005</v>
      </c>
      <c r="E20" s="14">
        <f>'Scoring Engine'!AA23</f>
        <v>1.4500000000000002</v>
      </c>
      <c r="F20" s="25">
        <f>'Scoring Engine'!AB23</f>
        <v>1.1050000000000002</v>
      </c>
      <c r="G20" s="10" t="str">
        <f t="shared" si="0"/>
        <v>Critical</v>
      </c>
    </row>
    <row r="21" spans="1:7" x14ac:dyDescent="0.25">
      <c r="A21" s="2" t="str">
        <f>'Scoring Engine'!A24</f>
        <v>R008</v>
      </c>
      <c r="B21" s="2" t="str">
        <f>'Scoring Engine'!B24</f>
        <v>Finance</v>
      </c>
      <c r="C21" s="11">
        <f>'Scoring Engine'!K24</f>
        <v>1.4000000000000004</v>
      </c>
      <c r="D21" s="11">
        <f>'Scoring Engine'!Q24</f>
        <v>4</v>
      </c>
      <c r="E21" s="11">
        <f>'Scoring Engine'!AA24</f>
        <v>2.1700000000000004</v>
      </c>
      <c r="F21" s="24">
        <f>'Scoring Engine'!AB24</f>
        <v>2.3050000000000006</v>
      </c>
      <c r="G21" s="2" t="str">
        <f t="shared" si="0"/>
        <v>Critical</v>
      </c>
    </row>
    <row r="22" spans="1:7" x14ac:dyDescent="0.25">
      <c r="A22" s="10" t="str">
        <f>'Scoring Engine'!A25</f>
        <v>R009</v>
      </c>
      <c r="B22" s="10" t="str">
        <f>'Scoring Engine'!B25</f>
        <v>Engineering</v>
      </c>
      <c r="C22" s="14">
        <f>'Scoring Engine'!K25</f>
        <v>-0.40000000000000036</v>
      </c>
      <c r="D22" s="14">
        <f>'Scoring Engine'!Q25</f>
        <v>2.3999999999999995</v>
      </c>
      <c r="E22" s="14">
        <f>'Scoring Engine'!AA25</f>
        <v>1.65</v>
      </c>
      <c r="F22" s="25">
        <f>'Scoring Engine'!AB25</f>
        <v>1.1849999999999998</v>
      </c>
      <c r="G22" s="10" t="str">
        <f t="shared" si="0"/>
        <v>Critical</v>
      </c>
    </row>
    <row r="23" spans="1:7" x14ac:dyDescent="0.25">
      <c r="A23" s="2" t="str">
        <f>'Scoring Engine'!A26</f>
        <v>R010</v>
      </c>
      <c r="B23" s="2" t="str">
        <f>'Scoring Engine'!B26</f>
        <v>Finance</v>
      </c>
      <c r="C23" s="11">
        <f>'Scoring Engine'!K26</f>
        <v>1</v>
      </c>
      <c r="D23" s="11">
        <f>'Scoring Engine'!Q26</f>
        <v>4.6000000000000005</v>
      </c>
      <c r="E23" s="11">
        <f>'Scoring Engine'!AA26</f>
        <v>2.5100000000000007</v>
      </c>
      <c r="F23" s="24">
        <f>'Scoring Engine'!AB26</f>
        <v>2.4750000000000005</v>
      </c>
      <c r="G23" s="2" t="str">
        <f t="shared" si="0"/>
        <v>Critical</v>
      </c>
    </row>
    <row r="24" spans="1:7" x14ac:dyDescent="0.25">
      <c r="A24" s="10" t="str">
        <f>'Scoring Engine'!A27</f>
        <v>R011</v>
      </c>
      <c r="B24" s="10" t="str">
        <f>'Scoring Engine'!B27</f>
        <v>Marketing</v>
      </c>
      <c r="C24" s="14">
        <f>'Scoring Engine'!K27</f>
        <v>2.2000000000000011</v>
      </c>
      <c r="D24" s="14">
        <f>'Scoring Engine'!Q27</f>
        <v>2.4000000000000004</v>
      </c>
      <c r="E24" s="14">
        <f>'Scoring Engine'!AA27</f>
        <v>2.5300000000000002</v>
      </c>
      <c r="F24" s="25">
        <f>'Scoring Engine'!AB27</f>
        <v>2.4050000000000002</v>
      </c>
      <c r="G24" s="10" t="str">
        <f t="shared" si="0"/>
        <v>Critical</v>
      </c>
    </row>
    <row r="25" spans="1:7" x14ac:dyDescent="0.25">
      <c r="A25" s="2" t="str">
        <f>'Scoring Engine'!A28</f>
        <v>R012</v>
      </c>
      <c r="B25" s="2" t="str">
        <f>'Scoring Engine'!B28</f>
        <v>Operations</v>
      </c>
      <c r="C25" s="11">
        <f>'Scoring Engine'!K28</f>
        <v>1.1999999999999993</v>
      </c>
      <c r="D25" s="11">
        <f>'Scoring Engine'!Q28</f>
        <v>1</v>
      </c>
      <c r="E25" s="11">
        <f>'Scoring Engine'!AA28</f>
        <v>1.8699999999999999</v>
      </c>
      <c r="F25" s="24">
        <f>'Scoring Engine'!AB28</f>
        <v>1.4949999999999997</v>
      </c>
      <c r="G25" s="2" t="str">
        <f t="shared" si="0"/>
        <v>Critical</v>
      </c>
    </row>
    <row r="26" spans="1:7" x14ac:dyDescent="0.25">
      <c r="A26" s="10" t="str">
        <f>'Scoring Engine'!A29</f>
        <v>R013</v>
      </c>
      <c r="B26" s="10" t="str">
        <f>'Scoring Engine'!B29</f>
        <v>Marketing</v>
      </c>
      <c r="C26" s="14">
        <f>'Scoring Engine'!K29</f>
        <v>1</v>
      </c>
      <c r="D26" s="14">
        <f>'Scoring Engine'!Q29</f>
        <v>2.2000000000000002</v>
      </c>
      <c r="E26" s="14">
        <f>'Scoring Engine'!AA29</f>
        <v>1.89</v>
      </c>
      <c r="F26" s="25">
        <f>'Scoring Engine'!AB29</f>
        <v>1.6850000000000001</v>
      </c>
      <c r="G26" s="10" t="str">
        <f t="shared" si="0"/>
        <v>Critical</v>
      </c>
    </row>
    <row r="27" spans="1:7" x14ac:dyDescent="0.25">
      <c r="A27" s="2" t="str">
        <f>'Scoring Engine'!A30</f>
        <v>R014</v>
      </c>
      <c r="B27" s="2" t="str">
        <f>'Scoring Engine'!B30</f>
        <v>Human Resources</v>
      </c>
      <c r="C27" s="11">
        <f>'Scoring Engine'!K30</f>
        <v>1.5999999999999996</v>
      </c>
      <c r="D27" s="11">
        <f>'Scoring Engine'!Q30</f>
        <v>1.3999999999999995</v>
      </c>
      <c r="E27" s="11">
        <f>'Scoring Engine'!AA30</f>
        <v>2.31</v>
      </c>
      <c r="F27" s="24">
        <f>'Scoring Engine'!AB30</f>
        <v>1.9149999999999996</v>
      </c>
      <c r="G27" s="2" t="str">
        <f t="shared" si="0"/>
        <v>Critical</v>
      </c>
    </row>
    <row r="28" spans="1:7" x14ac:dyDescent="0.25">
      <c r="A28" s="10" t="str">
        <f>'Scoring Engine'!A31</f>
        <v>R015</v>
      </c>
      <c r="B28" s="10" t="str">
        <f>'Scoring Engine'!B31</f>
        <v>Operations</v>
      </c>
      <c r="C28" s="14">
        <f>'Scoring Engine'!K31</f>
        <v>0.79999999999999982</v>
      </c>
      <c r="D28" s="14">
        <f>'Scoring Engine'!Q31</f>
        <v>5</v>
      </c>
      <c r="E28" s="14">
        <f>'Scoring Engine'!AA31</f>
        <v>2.39</v>
      </c>
      <c r="F28" s="25">
        <f>'Scoring Engine'!AB31</f>
        <v>2.4350000000000001</v>
      </c>
      <c r="G28" s="10" t="str">
        <f t="shared" si="0"/>
        <v>Critical</v>
      </c>
    </row>
    <row r="29" spans="1:7" x14ac:dyDescent="0.25">
      <c r="A29" s="2" t="str">
        <f>'Scoring Engine'!A32</f>
        <v>R016</v>
      </c>
      <c r="B29" s="2" t="str">
        <f>'Scoring Engine'!B32</f>
        <v>Sales</v>
      </c>
      <c r="C29" s="11">
        <f>'Scoring Engine'!K32</f>
        <v>1.2000000000000002</v>
      </c>
      <c r="D29" s="11">
        <f>'Scoring Engine'!Q32</f>
        <v>2.8</v>
      </c>
      <c r="E29" s="11">
        <f>'Scoring Engine'!AA32</f>
        <v>2.29</v>
      </c>
      <c r="F29" s="24">
        <f>'Scoring Engine'!AB32</f>
        <v>2.0649999999999999</v>
      </c>
      <c r="G29" s="2" t="str">
        <f t="shared" si="0"/>
        <v>Critical</v>
      </c>
    </row>
    <row r="30" spans="1:7" x14ac:dyDescent="0.25">
      <c r="A30" s="10" t="str">
        <f>'Scoring Engine'!A33</f>
        <v>R017</v>
      </c>
      <c r="B30" s="10" t="str">
        <f>'Scoring Engine'!B33</f>
        <v>Operations</v>
      </c>
      <c r="C30" s="14">
        <f>'Scoring Engine'!K33</f>
        <v>0.60000000000000053</v>
      </c>
      <c r="D30" s="14">
        <f>'Scoring Engine'!Q33</f>
        <v>2.1999999999999993</v>
      </c>
      <c r="E30" s="14">
        <f>'Scoring Engine'!AA33</f>
        <v>1.7500000000000002</v>
      </c>
      <c r="F30" s="25">
        <f>'Scoring Engine'!AB33</f>
        <v>1.4950000000000001</v>
      </c>
      <c r="G30" s="10" t="str">
        <f t="shared" si="0"/>
        <v>Critical</v>
      </c>
    </row>
    <row r="31" spans="1:7" x14ac:dyDescent="0.25">
      <c r="A31" s="2" t="str">
        <f>'Scoring Engine'!A34</f>
        <v>R018</v>
      </c>
      <c r="B31" s="2" t="str">
        <f>'Scoring Engine'!B34</f>
        <v>Human Resources</v>
      </c>
      <c r="C31" s="11">
        <f>'Scoring Engine'!K34</f>
        <v>0.79999999999999982</v>
      </c>
      <c r="D31" s="11">
        <f>'Scoring Engine'!Q34</f>
        <v>2.2000000000000002</v>
      </c>
      <c r="E31" s="11">
        <f>'Scoring Engine'!AA34</f>
        <v>1.3800000000000001</v>
      </c>
      <c r="F31" s="24">
        <f>'Scoring Engine'!AB34</f>
        <v>1.37</v>
      </c>
      <c r="G31" s="2" t="str">
        <f t="shared" si="0"/>
        <v>Critical</v>
      </c>
    </row>
    <row r="32" spans="1:7" x14ac:dyDescent="0.25">
      <c r="A32" s="10" t="str">
        <f>'Scoring Engine'!A35</f>
        <v>R019</v>
      </c>
      <c r="B32" s="10" t="str">
        <f>'Scoring Engine'!B35</f>
        <v>Human Resources</v>
      </c>
      <c r="C32" s="14">
        <f>'Scoring Engine'!K35</f>
        <v>1.7999999999999998</v>
      </c>
      <c r="D32" s="14">
        <f>'Scoring Engine'!Q35</f>
        <v>3.3999999999999995</v>
      </c>
      <c r="E32" s="14">
        <f>'Scoring Engine'!AA35</f>
        <v>2.5500000000000003</v>
      </c>
      <c r="F32" s="25">
        <f>'Scoring Engine'!AB35</f>
        <v>2.4950000000000001</v>
      </c>
      <c r="G32" s="10" t="str">
        <f t="shared" si="0"/>
        <v>Critical</v>
      </c>
    </row>
    <row r="33" spans="1:7" x14ac:dyDescent="0.25">
      <c r="A33" s="2" t="str">
        <f>'Scoring Engine'!A36</f>
        <v>R020</v>
      </c>
      <c r="B33" s="2" t="str">
        <f>'Scoring Engine'!B36</f>
        <v>Human Resources</v>
      </c>
      <c r="C33" s="11">
        <f>'Scoring Engine'!K36</f>
        <v>0.40000000000000036</v>
      </c>
      <c r="D33" s="11">
        <f>'Scoring Engine'!Q36</f>
        <v>3.2</v>
      </c>
      <c r="E33" s="11">
        <f>'Scoring Engine'!AA36</f>
        <v>1.7300000000000002</v>
      </c>
      <c r="F33" s="24">
        <f>'Scoring Engine'!AB36</f>
        <v>1.6250000000000004</v>
      </c>
      <c r="G33" s="2" t="str">
        <f t="shared" si="0"/>
        <v>Critical</v>
      </c>
    </row>
    <row r="34" spans="1:7" x14ac:dyDescent="0.25">
      <c r="A34" s="10" t="str">
        <f>'Scoring Engine'!A37</f>
        <v>R021</v>
      </c>
      <c r="B34" s="10" t="str">
        <f>'Scoring Engine'!B37</f>
        <v>Finance</v>
      </c>
      <c r="C34" s="14">
        <f>'Scoring Engine'!K37</f>
        <v>2.8</v>
      </c>
      <c r="D34" s="14">
        <f>'Scoring Engine'!Q37</f>
        <v>2.5999999999999996</v>
      </c>
      <c r="E34" s="14">
        <f>'Scoring Engine'!AA37</f>
        <v>2.919999999999999</v>
      </c>
      <c r="F34" s="25">
        <f>'Scoring Engine'!AB37</f>
        <v>2.8199999999999994</v>
      </c>
      <c r="G34" s="10" t="str">
        <f t="shared" si="0"/>
        <v>Critical</v>
      </c>
    </row>
    <row r="35" spans="1:7" x14ac:dyDescent="0.25">
      <c r="A35" s="2" t="str">
        <f>'Scoring Engine'!A38</f>
        <v>R022</v>
      </c>
      <c r="B35" s="2" t="str">
        <f>'Scoring Engine'!B38</f>
        <v>Sales</v>
      </c>
      <c r="C35" s="11">
        <f>'Scoring Engine'!K38</f>
        <v>0.59999999999999964</v>
      </c>
      <c r="D35" s="11">
        <f>'Scoring Engine'!Q38</f>
        <v>3.8</v>
      </c>
      <c r="E35" s="11">
        <f>'Scoring Engine'!AA38</f>
        <v>1.7300000000000002</v>
      </c>
      <c r="F35" s="24">
        <f>'Scoring Engine'!AB38</f>
        <v>1.8049999999999999</v>
      </c>
      <c r="G35" s="2" t="str">
        <f t="shared" si="0"/>
        <v>Critical</v>
      </c>
    </row>
    <row r="36" spans="1:7" x14ac:dyDescent="0.25">
      <c r="A36" s="10" t="str">
        <f>'Scoring Engine'!A39</f>
        <v>R023</v>
      </c>
      <c r="B36" s="10" t="str">
        <f>'Scoring Engine'!B39</f>
        <v>Operations</v>
      </c>
      <c r="C36" s="14">
        <f>'Scoring Engine'!K39</f>
        <v>3</v>
      </c>
      <c r="D36" s="14">
        <f>'Scoring Engine'!Q39</f>
        <v>2.8</v>
      </c>
      <c r="E36" s="14">
        <f>'Scoring Engine'!AA39</f>
        <v>2.2199999999999998</v>
      </c>
      <c r="F36" s="25">
        <f>'Scoring Engine'!AB39</f>
        <v>2.57</v>
      </c>
      <c r="G36" s="10" t="str">
        <f t="shared" si="0"/>
        <v>Critical</v>
      </c>
    </row>
    <row r="37" spans="1:7" x14ac:dyDescent="0.25">
      <c r="A37" s="2" t="str">
        <f>'Scoring Engine'!A40</f>
        <v>R024</v>
      </c>
      <c r="B37" s="2" t="str">
        <f>'Scoring Engine'!B40</f>
        <v>Human Resources</v>
      </c>
      <c r="C37" s="11">
        <f>'Scoring Engine'!K40</f>
        <v>1.1999999999999993</v>
      </c>
      <c r="D37" s="11">
        <f>'Scoring Engine'!Q40</f>
        <v>2.3999999999999995</v>
      </c>
      <c r="E37" s="11">
        <f>'Scoring Engine'!AA40</f>
        <v>1.6699999999999997</v>
      </c>
      <c r="F37" s="24">
        <f>'Scoring Engine'!AB40</f>
        <v>1.6749999999999996</v>
      </c>
      <c r="G37" s="2" t="str">
        <f t="shared" si="0"/>
        <v>Critical</v>
      </c>
    </row>
    <row r="38" spans="1:7" x14ac:dyDescent="0.25">
      <c r="A38" s="10" t="str">
        <f>'Scoring Engine'!A41</f>
        <v>R025</v>
      </c>
      <c r="B38" s="10" t="str">
        <f>'Scoring Engine'!B41</f>
        <v>Marketing</v>
      </c>
      <c r="C38" s="14">
        <f>'Scoring Engine'!K41</f>
        <v>1.5999999999999996</v>
      </c>
      <c r="D38" s="14">
        <f>'Scoring Engine'!Q41</f>
        <v>1.2000000000000002</v>
      </c>
      <c r="E38" s="14">
        <f>'Scoring Engine'!AA41</f>
        <v>1.5799999999999998</v>
      </c>
      <c r="F38" s="25">
        <f>'Scoring Engine'!AB41</f>
        <v>1.5099999999999998</v>
      </c>
      <c r="G38" s="10" t="str">
        <f t="shared" si="0"/>
        <v>Critical</v>
      </c>
    </row>
    <row r="39" spans="1:7" x14ac:dyDescent="0.25">
      <c r="A39" s="2" t="str">
        <f>'Scoring Engine'!A42</f>
        <v>R026</v>
      </c>
      <c r="B39" s="2" t="str">
        <f>'Scoring Engine'!B42</f>
        <v>Finance</v>
      </c>
      <c r="C39" s="11">
        <f>'Scoring Engine'!K42</f>
        <v>1</v>
      </c>
      <c r="D39" s="11">
        <f>'Scoring Engine'!Q42</f>
        <v>3</v>
      </c>
      <c r="E39" s="11">
        <f>'Scoring Engine'!AA42</f>
        <v>2.0500000000000003</v>
      </c>
      <c r="F39" s="24">
        <f>'Scoring Engine'!AB42</f>
        <v>1.9250000000000003</v>
      </c>
      <c r="G39" s="2" t="str">
        <f t="shared" si="0"/>
        <v>Critical</v>
      </c>
    </row>
    <row r="40" spans="1:7" x14ac:dyDescent="0.25">
      <c r="A40" s="10" t="str">
        <f>'Scoring Engine'!A43</f>
        <v>R027</v>
      </c>
      <c r="B40" s="10" t="str">
        <f>'Scoring Engine'!B43</f>
        <v>Finance</v>
      </c>
      <c r="C40" s="14">
        <f>'Scoring Engine'!K43</f>
        <v>1</v>
      </c>
      <c r="D40" s="14">
        <f>'Scoring Engine'!Q43</f>
        <v>1.1999999999999993</v>
      </c>
      <c r="E40" s="14">
        <f>'Scoring Engine'!AA43</f>
        <v>1.6</v>
      </c>
      <c r="F40" s="25">
        <f>'Scoring Engine'!AB43</f>
        <v>1.3399999999999999</v>
      </c>
      <c r="G40" s="10" t="str">
        <f t="shared" si="0"/>
        <v>Critical</v>
      </c>
    </row>
    <row r="41" spans="1:7" x14ac:dyDescent="0.25">
      <c r="A41" s="2" t="str">
        <f>'Scoring Engine'!A44</f>
        <v>R028</v>
      </c>
      <c r="B41" s="2" t="str">
        <f>'Scoring Engine'!B44</f>
        <v>Engineering</v>
      </c>
      <c r="C41" s="11">
        <f>'Scoring Engine'!K44</f>
        <v>1</v>
      </c>
      <c r="D41" s="11">
        <f>'Scoring Engine'!Q44</f>
        <v>0.60000000000000053</v>
      </c>
      <c r="E41" s="11">
        <f>'Scoring Engine'!AA44</f>
        <v>1.6700000000000004</v>
      </c>
      <c r="F41" s="24">
        <f>'Scoring Engine'!AB44</f>
        <v>1.2550000000000003</v>
      </c>
      <c r="G41" s="2" t="str">
        <f t="shared" si="0"/>
        <v>Critical</v>
      </c>
    </row>
    <row r="42" spans="1:7" x14ac:dyDescent="0.25">
      <c r="A42" s="10" t="str">
        <f>'Scoring Engine'!A45</f>
        <v>R029</v>
      </c>
      <c r="B42" s="10" t="str">
        <f>'Scoring Engine'!B45</f>
        <v>Engineering</v>
      </c>
      <c r="C42" s="14">
        <f>'Scoring Engine'!K45</f>
        <v>1.8000000000000007</v>
      </c>
      <c r="D42" s="14">
        <f>'Scoring Engine'!Q45</f>
        <v>3</v>
      </c>
      <c r="E42" s="14">
        <f>'Scoring Engine'!AA45</f>
        <v>2.3800000000000008</v>
      </c>
      <c r="F42" s="25">
        <f>'Scoring Engine'!AB45</f>
        <v>2.3300000000000005</v>
      </c>
      <c r="G42" s="10" t="str">
        <f t="shared" si="0"/>
        <v>Critical</v>
      </c>
    </row>
    <row r="43" spans="1:7" x14ac:dyDescent="0.25">
      <c r="A43" s="2" t="str">
        <f>'Scoring Engine'!A46</f>
        <v>R030</v>
      </c>
      <c r="B43" s="2" t="str">
        <f>'Scoring Engine'!B46</f>
        <v>Marketing</v>
      </c>
      <c r="C43" s="11">
        <f>'Scoring Engine'!K46</f>
        <v>1.9999999999999991</v>
      </c>
      <c r="D43" s="11">
        <f>'Scoring Engine'!Q46</f>
        <v>3</v>
      </c>
      <c r="E43" s="11">
        <f>'Scoring Engine'!AA46</f>
        <v>1.89</v>
      </c>
      <c r="F43" s="24">
        <f>'Scoring Engine'!AB46</f>
        <v>2.1449999999999996</v>
      </c>
      <c r="G43" s="2" t="str">
        <f t="shared" si="0"/>
        <v>Critical</v>
      </c>
    </row>
    <row r="44" spans="1:7" x14ac:dyDescent="0.25">
      <c r="A44" s="10" t="str">
        <f>'Scoring Engine'!A47</f>
        <v>R031</v>
      </c>
      <c r="B44" s="10" t="str">
        <f>'Scoring Engine'!B47</f>
        <v>Finance</v>
      </c>
      <c r="C44" s="14">
        <f>'Scoring Engine'!K47</f>
        <v>1.8000000000000007</v>
      </c>
      <c r="D44" s="14">
        <f>'Scoring Engine'!Q47</f>
        <v>3.6000000000000005</v>
      </c>
      <c r="E44" s="14">
        <f>'Scoring Engine'!AA47</f>
        <v>2.7300000000000004</v>
      </c>
      <c r="F44" s="25">
        <f>'Scoring Engine'!AB47</f>
        <v>2.6250000000000004</v>
      </c>
      <c r="G44" s="10" t="str">
        <f t="shared" si="0"/>
        <v>Critical</v>
      </c>
    </row>
    <row r="45" spans="1:7" x14ac:dyDescent="0.25">
      <c r="A45" s="2" t="str">
        <f>'Scoring Engine'!A48</f>
        <v>R032</v>
      </c>
      <c r="B45" s="2" t="str">
        <f>'Scoring Engine'!B48</f>
        <v>Sales</v>
      </c>
      <c r="C45" s="11">
        <f>'Scoring Engine'!K48</f>
        <v>1.3999999999999995</v>
      </c>
      <c r="D45" s="11">
        <f>'Scoring Engine'!Q48</f>
        <v>1.3999999999999995</v>
      </c>
      <c r="E45" s="11">
        <f>'Scoring Engine'!AA48</f>
        <v>2.3099999999999996</v>
      </c>
      <c r="F45" s="24">
        <f>'Scoring Engine'!AB48</f>
        <v>1.8549999999999995</v>
      </c>
      <c r="G45" s="2" t="str">
        <f t="shared" si="0"/>
        <v>Critical</v>
      </c>
    </row>
    <row r="46" spans="1:7" x14ac:dyDescent="0.25">
      <c r="A46" s="10" t="str">
        <f>'Scoring Engine'!A49</f>
        <v>R033</v>
      </c>
      <c r="B46" s="10" t="str">
        <f>'Scoring Engine'!B49</f>
        <v>Sales</v>
      </c>
      <c r="C46" s="14">
        <f>'Scoring Engine'!K49</f>
        <v>1.3999999999999995</v>
      </c>
      <c r="D46" s="14">
        <f>'Scoring Engine'!Q49</f>
        <v>2.6000000000000005</v>
      </c>
      <c r="E46" s="14">
        <f>'Scoring Engine'!AA49</f>
        <v>2.4199999999999995</v>
      </c>
      <c r="F46" s="25">
        <f>'Scoring Engine'!AB49</f>
        <v>2.1499999999999995</v>
      </c>
      <c r="G46" s="10" t="str">
        <f t="shared" ref="G46:G77" si="1">IF(F46&lt;=0.2,"Very Low",IF(F46&lt;=0.4,"Low",IF(F46&lt;=0.6,"Moderate",IF(F46&lt;=0.8,"High","Critical"))))</f>
        <v>Critical</v>
      </c>
    </row>
    <row r="47" spans="1:7" x14ac:dyDescent="0.25">
      <c r="A47" s="2" t="str">
        <f>'Scoring Engine'!A50</f>
        <v>R034</v>
      </c>
      <c r="B47" s="2" t="str">
        <f>'Scoring Engine'!B50</f>
        <v>Operations</v>
      </c>
      <c r="C47" s="11">
        <f>'Scoring Engine'!K50</f>
        <v>1.3999999999999995</v>
      </c>
      <c r="D47" s="11">
        <f>'Scoring Engine'!Q50</f>
        <v>2.3999999999999995</v>
      </c>
      <c r="E47" s="11">
        <f>'Scoring Engine'!AA50</f>
        <v>1.5699999999999998</v>
      </c>
      <c r="F47" s="24">
        <f>'Scoring Engine'!AB50</f>
        <v>1.6849999999999996</v>
      </c>
      <c r="G47" s="2" t="str">
        <f t="shared" si="1"/>
        <v>Critical</v>
      </c>
    </row>
    <row r="48" spans="1:7" x14ac:dyDescent="0.25">
      <c r="A48" s="10" t="str">
        <f>'Scoring Engine'!A51</f>
        <v>R035</v>
      </c>
      <c r="B48" s="10" t="str">
        <f>'Scoring Engine'!B51</f>
        <v>Operations</v>
      </c>
      <c r="C48" s="14">
        <f>'Scoring Engine'!K51</f>
        <v>1.9999999999999991</v>
      </c>
      <c r="D48" s="14">
        <f>'Scoring Engine'!Q51</f>
        <v>3.3999999999999995</v>
      </c>
      <c r="E48" s="14">
        <f>'Scoring Engine'!AA51</f>
        <v>2.7499999999999996</v>
      </c>
      <c r="F48" s="25">
        <f>'Scoring Engine'!AB51</f>
        <v>2.6549999999999994</v>
      </c>
      <c r="G48" s="10" t="str">
        <f t="shared" si="1"/>
        <v>Critical</v>
      </c>
    </row>
    <row r="49" spans="1:7" x14ac:dyDescent="0.25">
      <c r="A49" s="2" t="str">
        <f>'Scoring Engine'!A52</f>
        <v>R036</v>
      </c>
      <c r="B49" s="2" t="str">
        <f>'Scoring Engine'!B52</f>
        <v>Operations</v>
      </c>
      <c r="C49" s="11">
        <f>'Scoring Engine'!K52</f>
        <v>4.2</v>
      </c>
      <c r="D49" s="11">
        <f>'Scoring Engine'!Q52</f>
        <v>2.2000000000000002</v>
      </c>
      <c r="E49" s="11">
        <f>'Scoring Engine'!AA52</f>
        <v>3.2500000000000004</v>
      </c>
      <c r="F49" s="24">
        <f>'Scoring Engine'!AB52</f>
        <v>3.3250000000000002</v>
      </c>
      <c r="G49" s="2" t="str">
        <f t="shared" si="1"/>
        <v>Critical</v>
      </c>
    </row>
    <row r="50" spans="1:7" x14ac:dyDescent="0.25">
      <c r="A50" s="10" t="str">
        <f>'Scoring Engine'!A53</f>
        <v>R037</v>
      </c>
      <c r="B50" s="10" t="str">
        <f>'Scoring Engine'!B53</f>
        <v>Operations</v>
      </c>
      <c r="C50" s="14">
        <f>'Scoring Engine'!K53</f>
        <v>2.1999999999999993</v>
      </c>
      <c r="D50" s="14">
        <f>'Scoring Engine'!Q53</f>
        <v>3.2</v>
      </c>
      <c r="E50" s="14">
        <f>'Scoring Engine'!AA53</f>
        <v>2.5900000000000003</v>
      </c>
      <c r="F50" s="25">
        <f>'Scoring Engine'!AB53</f>
        <v>2.5950000000000002</v>
      </c>
      <c r="G50" s="10" t="str">
        <f t="shared" si="1"/>
        <v>Critical</v>
      </c>
    </row>
    <row r="51" spans="1:7" x14ac:dyDescent="0.25">
      <c r="A51" s="2" t="str">
        <f>'Scoring Engine'!A54</f>
        <v>R038</v>
      </c>
      <c r="B51" s="2" t="str">
        <f>'Scoring Engine'!B54</f>
        <v>Human Resources</v>
      </c>
      <c r="C51" s="11">
        <f>'Scoring Engine'!K54</f>
        <v>0.79999999999999982</v>
      </c>
      <c r="D51" s="11">
        <f>'Scoring Engine'!Q54</f>
        <v>2.3999999999999995</v>
      </c>
      <c r="E51" s="11">
        <f>'Scoring Engine'!AA54</f>
        <v>2.15</v>
      </c>
      <c r="F51" s="24">
        <f>'Scoring Engine'!AB54</f>
        <v>1.7949999999999999</v>
      </c>
      <c r="G51" s="2" t="str">
        <f t="shared" si="1"/>
        <v>Critical</v>
      </c>
    </row>
    <row r="52" spans="1:7" x14ac:dyDescent="0.25">
      <c r="A52" s="10" t="str">
        <f>'Scoring Engine'!A55</f>
        <v>R039</v>
      </c>
      <c r="B52" s="10" t="str">
        <f>'Scoring Engine'!B55</f>
        <v>Operations</v>
      </c>
      <c r="C52" s="14">
        <f>'Scoring Engine'!K55</f>
        <v>0.19999999999999929</v>
      </c>
      <c r="D52" s="14">
        <f>'Scoring Engine'!Q55</f>
        <v>0.79999999999999982</v>
      </c>
      <c r="E52" s="14">
        <f>'Scoring Engine'!AA55</f>
        <v>1.63</v>
      </c>
      <c r="F52" s="25">
        <f>'Scoring Engine'!AB55</f>
        <v>1.0349999999999997</v>
      </c>
      <c r="G52" s="10" t="str">
        <f t="shared" si="1"/>
        <v>Critical</v>
      </c>
    </row>
    <row r="53" spans="1:7" x14ac:dyDescent="0.25">
      <c r="A53" s="2" t="str">
        <f>'Scoring Engine'!A56</f>
        <v>R040</v>
      </c>
      <c r="B53" s="2" t="str">
        <f>'Scoring Engine'!B56</f>
        <v>Human Resources</v>
      </c>
      <c r="C53" s="11">
        <f>'Scoring Engine'!K56</f>
        <v>3.4000000000000004</v>
      </c>
      <c r="D53" s="11">
        <f>'Scoring Engine'!Q56</f>
        <v>3.1999999999999993</v>
      </c>
      <c r="E53" s="11">
        <f>'Scoring Engine'!AA56</f>
        <v>2.77</v>
      </c>
      <c r="F53" s="24">
        <f>'Scoring Engine'!AB56</f>
        <v>3.0449999999999999</v>
      </c>
      <c r="G53" s="2" t="str">
        <f t="shared" si="1"/>
        <v>Critical</v>
      </c>
    </row>
    <row r="54" spans="1:7" x14ac:dyDescent="0.25">
      <c r="A54" s="10" t="str">
        <f>'Scoring Engine'!A57</f>
        <v>R041</v>
      </c>
      <c r="B54" s="10" t="str">
        <f>'Scoring Engine'!B57</f>
        <v>Operations</v>
      </c>
      <c r="C54" s="14">
        <f>'Scoring Engine'!K57</f>
        <v>1</v>
      </c>
      <c r="D54" s="14">
        <f>'Scoring Engine'!Q57</f>
        <v>5.6000000000000005</v>
      </c>
      <c r="E54" s="14">
        <f>'Scoring Engine'!AA57</f>
        <v>2.7900000000000005</v>
      </c>
      <c r="F54" s="25">
        <f>'Scoring Engine'!AB57</f>
        <v>2.8150000000000004</v>
      </c>
      <c r="G54" s="10" t="str">
        <f t="shared" si="1"/>
        <v>Critical</v>
      </c>
    </row>
    <row r="55" spans="1:7" x14ac:dyDescent="0.25">
      <c r="A55" s="2" t="str">
        <f>'Scoring Engine'!A58</f>
        <v>R042</v>
      </c>
      <c r="B55" s="2" t="str">
        <f>'Scoring Engine'!B58</f>
        <v>Engineering</v>
      </c>
      <c r="C55" s="11">
        <f>'Scoring Engine'!K58</f>
        <v>-0.39999999999999947</v>
      </c>
      <c r="D55" s="11">
        <f>'Scoring Engine'!Q58</f>
        <v>4.5999999999999996</v>
      </c>
      <c r="E55" s="11">
        <f>'Scoring Engine'!AA58</f>
        <v>2.08</v>
      </c>
      <c r="F55" s="24">
        <f>'Scoring Engine'!AB58</f>
        <v>1.84</v>
      </c>
      <c r="G55" s="2" t="str">
        <f t="shared" si="1"/>
        <v>Critical</v>
      </c>
    </row>
    <row r="56" spans="1:7" x14ac:dyDescent="0.25">
      <c r="A56" s="10" t="str">
        <f>'Scoring Engine'!A59</f>
        <v>R043</v>
      </c>
      <c r="B56" s="10" t="str">
        <f>'Scoring Engine'!B59</f>
        <v>Engineering</v>
      </c>
      <c r="C56" s="14">
        <f>'Scoring Engine'!K59</f>
        <v>1</v>
      </c>
      <c r="D56" s="14">
        <f>'Scoring Engine'!Q59</f>
        <v>3</v>
      </c>
      <c r="E56" s="14">
        <f>'Scoring Engine'!AA59</f>
        <v>2.48</v>
      </c>
      <c r="F56" s="25">
        <f>'Scoring Engine'!AB59</f>
        <v>2.14</v>
      </c>
      <c r="G56" s="10" t="str">
        <f t="shared" si="1"/>
        <v>Critical</v>
      </c>
    </row>
    <row r="57" spans="1:7" x14ac:dyDescent="0.25">
      <c r="A57" s="2" t="str">
        <f>'Scoring Engine'!A60</f>
        <v>R044</v>
      </c>
      <c r="B57" s="2" t="str">
        <f>'Scoring Engine'!B60</f>
        <v>Engineering</v>
      </c>
      <c r="C57" s="11">
        <f>'Scoring Engine'!K60</f>
        <v>2.2000000000000011</v>
      </c>
      <c r="D57" s="11">
        <f>'Scoring Engine'!Q60</f>
        <v>2.4000000000000004</v>
      </c>
      <c r="E57" s="11">
        <f>'Scoring Engine'!AA60</f>
        <v>2.6100000000000003</v>
      </c>
      <c r="F57" s="24">
        <f>'Scoring Engine'!AB60</f>
        <v>2.4450000000000003</v>
      </c>
      <c r="G57" s="2" t="str">
        <f t="shared" si="1"/>
        <v>Critical</v>
      </c>
    </row>
    <row r="58" spans="1:7" x14ac:dyDescent="0.25">
      <c r="A58" s="10" t="str">
        <f>'Scoring Engine'!A61</f>
        <v>R045</v>
      </c>
      <c r="B58" s="10" t="str">
        <f>'Scoring Engine'!B61</f>
        <v>Engineering</v>
      </c>
      <c r="C58" s="14">
        <f>'Scoring Engine'!K61</f>
        <v>1.4000000000000004</v>
      </c>
      <c r="D58" s="14">
        <f>'Scoring Engine'!Q61</f>
        <v>2.4000000000000004</v>
      </c>
      <c r="E58" s="14">
        <f>'Scoring Engine'!AA61</f>
        <v>2.1900000000000004</v>
      </c>
      <c r="F58" s="25">
        <f>'Scoring Engine'!AB61</f>
        <v>1.9950000000000006</v>
      </c>
      <c r="G58" s="10" t="str">
        <f t="shared" si="1"/>
        <v>Critical</v>
      </c>
    </row>
    <row r="59" spans="1:7" x14ac:dyDescent="0.25">
      <c r="A59" s="2" t="str">
        <f>'Scoring Engine'!A62</f>
        <v>R046</v>
      </c>
      <c r="B59" s="2" t="str">
        <f>'Scoring Engine'!B62</f>
        <v>Human Resources</v>
      </c>
      <c r="C59" s="11">
        <f>'Scoring Engine'!K62</f>
        <v>1.4000000000000004</v>
      </c>
      <c r="D59" s="11">
        <f>'Scoring Engine'!Q62</f>
        <v>2.9999999999999991</v>
      </c>
      <c r="E59" s="11">
        <f>'Scoring Engine'!AA62</f>
        <v>2.1399999999999997</v>
      </c>
      <c r="F59" s="24">
        <f>'Scoring Engine'!AB62</f>
        <v>2.09</v>
      </c>
      <c r="G59" s="2" t="str">
        <f t="shared" si="1"/>
        <v>Critical</v>
      </c>
    </row>
    <row r="60" spans="1:7" x14ac:dyDescent="0.25">
      <c r="A60" s="10" t="str">
        <f>'Scoring Engine'!A63</f>
        <v>R047</v>
      </c>
      <c r="B60" s="10" t="str">
        <f>'Scoring Engine'!B63</f>
        <v>Human Resources</v>
      </c>
      <c r="C60" s="14">
        <f>'Scoring Engine'!K63</f>
        <v>1.8000000000000007</v>
      </c>
      <c r="D60" s="14">
        <f>'Scoring Engine'!Q63</f>
        <v>2.5999999999999996</v>
      </c>
      <c r="E60" s="14">
        <f>'Scoring Engine'!AA63</f>
        <v>1.88</v>
      </c>
      <c r="F60" s="25">
        <f>'Scoring Engine'!AB63</f>
        <v>2</v>
      </c>
      <c r="G60" s="10" t="str">
        <f t="shared" si="1"/>
        <v>Critical</v>
      </c>
    </row>
    <row r="61" spans="1:7" x14ac:dyDescent="0.25">
      <c r="A61" s="2" t="str">
        <f>'Scoring Engine'!A64</f>
        <v>R048</v>
      </c>
      <c r="B61" s="2" t="str">
        <f>'Scoring Engine'!B64</f>
        <v>Finance</v>
      </c>
      <c r="C61" s="11">
        <f>'Scoring Engine'!K64</f>
        <v>1.3999999999999995</v>
      </c>
      <c r="D61" s="11">
        <f>'Scoring Engine'!Q64</f>
        <v>4.4000000000000004</v>
      </c>
      <c r="E61" s="11">
        <f>'Scoring Engine'!AA64</f>
        <v>2.44</v>
      </c>
      <c r="F61" s="24">
        <f>'Scoring Engine'!AB64</f>
        <v>2.5199999999999996</v>
      </c>
      <c r="G61" s="2" t="str">
        <f t="shared" si="1"/>
        <v>Critical</v>
      </c>
    </row>
    <row r="62" spans="1:7" x14ac:dyDescent="0.25">
      <c r="A62" s="10" t="str">
        <f>'Scoring Engine'!A65</f>
        <v>R049</v>
      </c>
      <c r="B62" s="10" t="str">
        <f>'Scoring Engine'!B65</f>
        <v>Sales</v>
      </c>
      <c r="C62" s="14">
        <f>'Scoring Engine'!K65</f>
        <v>2</v>
      </c>
      <c r="D62" s="14">
        <f>'Scoring Engine'!Q65</f>
        <v>1.6000000000000005</v>
      </c>
      <c r="E62" s="14">
        <f>'Scoring Engine'!AA65</f>
        <v>1.34</v>
      </c>
      <c r="F62" s="25">
        <f>'Scoring Engine'!AB65</f>
        <v>1.59</v>
      </c>
      <c r="G62" s="10" t="str">
        <f t="shared" si="1"/>
        <v>Critical</v>
      </c>
    </row>
    <row r="63" spans="1:7" x14ac:dyDescent="0.25">
      <c r="A63" s="2" t="str">
        <f>'Scoring Engine'!A66</f>
        <v>R050</v>
      </c>
      <c r="B63" s="2" t="str">
        <f>'Scoring Engine'!B66</f>
        <v>Human Resources</v>
      </c>
      <c r="C63" s="11">
        <f>'Scoring Engine'!K66</f>
        <v>0.80000000000000071</v>
      </c>
      <c r="D63" s="11">
        <f>'Scoring Engine'!Q66</f>
        <v>2</v>
      </c>
      <c r="E63" s="11">
        <f>'Scoring Engine'!AA66</f>
        <v>1.1800000000000006</v>
      </c>
      <c r="F63" s="24">
        <f>'Scoring Engine'!AB66</f>
        <v>1.2300000000000004</v>
      </c>
      <c r="G63" s="2" t="str">
        <f t="shared" si="1"/>
        <v>Critical</v>
      </c>
    </row>
    <row r="65" spans="1:7" ht="15.75" x14ac:dyDescent="0.25">
      <c r="A65" s="47" t="s">
        <v>334</v>
      </c>
      <c r="B65" s="43"/>
      <c r="C65" s="43"/>
      <c r="D65" s="43"/>
      <c r="E65" s="43"/>
      <c r="F65" s="43"/>
      <c r="G65" s="43"/>
    </row>
    <row r="66" spans="1:7" ht="15.75" x14ac:dyDescent="0.25">
      <c r="A66" s="33" t="s">
        <v>335</v>
      </c>
      <c r="B66" s="38">
        <f>AVERAGE(F14:F63)</f>
        <v>2.0573999999999999</v>
      </c>
    </row>
    <row r="67" spans="1:7" ht="15.75" x14ac:dyDescent="0.25">
      <c r="A67" s="33" t="s">
        <v>336</v>
      </c>
      <c r="B67" s="39">
        <f>COUNTIF(F14:F63,"&gt;=0.6")</f>
        <v>50</v>
      </c>
    </row>
    <row r="68" spans="1:7" ht="15.75" x14ac:dyDescent="0.25">
      <c r="A68" s="33" t="s">
        <v>337</v>
      </c>
      <c r="B68" s="40">
        <f>COUNTIFS(F14:F63,"&gt;=0.4",F14:F63,"&lt;0.6")</f>
        <v>0</v>
      </c>
    </row>
    <row r="69" spans="1:7" ht="15.75" x14ac:dyDescent="0.25">
      <c r="A69" s="33" t="s">
        <v>338</v>
      </c>
      <c r="B69" s="41">
        <f>COUNTIF(F14:F63,"&lt;0.4")</f>
        <v>0</v>
      </c>
    </row>
  </sheetData>
  <mergeCells count="5">
    <mergeCell ref="A12:H12"/>
    <mergeCell ref="A1:H1"/>
    <mergeCell ref="A2:H2"/>
    <mergeCell ref="A4:F4"/>
    <mergeCell ref="A65:G65"/>
  </mergeCells>
  <conditionalFormatting sqref="F14:F63">
    <cfRule type="colorScale" priority="1">
      <colorScale>
        <cfvo type="num" val="0"/>
        <cfvo type="num" val="0.4"/>
        <cfvo type="num" val="0.8"/>
        <color rgb="FF00B050"/>
        <color rgb="FFFFC000"/>
        <color rgb="FFC00000"/>
      </colorScale>
    </cfRule>
  </conditionalFormatting>
  <conditionalFormatting sqref="G14:G63">
    <cfRule type="cellIs" dxfId="4" priority="2" operator="equal">
      <formula>"Very Low"</formula>
    </cfRule>
    <cfRule type="cellIs" dxfId="3" priority="3" operator="equal">
      <formula>"Low"</formula>
    </cfRule>
    <cfRule type="cellIs" dxfId="2" priority="4" operator="equal">
      <formula>"Moderate"</formula>
    </cfRule>
    <cfRule type="cellIs" dxfId="1" priority="5" operator="equal">
      <formula>"High"</formula>
    </cfRule>
    <cfRule type="cellIs" dxfId="0" priority="6" operator="equal">
      <formula>"Critical"</formula>
    </cfRule>
  </conditionalFormatting>
  <pageMargins left="0.75" right="0.75" top="1" bottom="1" header="0.5" footer="0.5"/>
  <pageSetup paperSize="8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Survey</vt:lpstr>
      <vt:lpstr>Raw Data</vt:lpstr>
      <vt:lpstr>Scoring Engine</vt:lpstr>
      <vt:lpstr>Dashboard</vt:lpstr>
      <vt:lpstr>Reliability Analysis</vt:lpstr>
      <vt:lpstr>Driver Analysis</vt:lpstr>
      <vt:lpstr>Turnover Prediction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 M</cp:lastModifiedBy>
  <dcterms:created xsi:type="dcterms:W3CDTF">2026-06-20T16:35:37Z</dcterms:created>
  <dcterms:modified xsi:type="dcterms:W3CDTF">2026-06-20T16:40:36Z</dcterms:modified>
</cp:coreProperties>
</file>