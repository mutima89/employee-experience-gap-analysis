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coring Engine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Reliability Analysis" sheetId="5" state="visible" r:id="rId5"/>
    <sheet xmlns:r="http://schemas.openxmlformats.org/officeDocument/2006/relationships" name="Driver Analysis" sheetId="6" state="visible" r:id="rId6"/>
    <sheet xmlns:r="http://schemas.openxmlformats.org/officeDocument/2006/relationships" name="Turnover Predi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"/>
  </numFmts>
  <fonts count="2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color rgb="00404040"/>
      <sz val="10"/>
    </font>
    <font>
      <name val="Calibri"/>
      <color rgb="00404040"/>
      <sz val="9"/>
    </font>
    <font>
      <name val="Calibri"/>
      <b val="1"/>
      <color rgb="00404040"/>
      <sz val="10"/>
    </font>
    <font>
      <name val="Calibri"/>
      <b val="1"/>
      <color rgb="00C00000"/>
      <sz val="14"/>
    </font>
    <font>
      <name val="Calibri"/>
      <b val="1"/>
      <color rgb="00C00000"/>
      <sz val="11"/>
    </font>
    <font>
      <name val="Calibri"/>
      <b val="1"/>
      <color rgb="002E75B6"/>
      <sz val="12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00B050"/>
      <sz val="24"/>
    </font>
    <font>
      <name val="Calibri"/>
      <i val="1"/>
      <color rgb="00999999"/>
      <sz val="8"/>
    </font>
    <font>
      <name val="Calibri"/>
      <b val="1"/>
      <color rgb="002E75B6"/>
      <sz val="24"/>
    </font>
    <font>
      <name val="Calibri"/>
      <b val="1"/>
      <color rgb="0000B0F0"/>
      <sz val="24"/>
    </font>
    <font>
      <name val="Calibri"/>
      <b val="1"/>
      <color rgb="00ED7D31"/>
      <sz val="24"/>
    </font>
    <font>
      <name val="Calibri"/>
      <b val="1"/>
      <color rgb="001F4E79"/>
      <sz val="24"/>
    </font>
    <font>
      <name val="Calibri"/>
      <b val="1"/>
      <color rgb="001F4E79"/>
      <sz val="11"/>
    </font>
    <font>
      <name val="Calibri"/>
      <b val="1"/>
      <color rgb="00C00000"/>
      <sz val="12"/>
    </font>
    <font>
      <name val="Calibri"/>
      <b val="1"/>
      <color rgb="00404040"/>
      <sz val="12"/>
    </font>
    <font>
      <name val="Calibri"/>
      <b val="1"/>
      <color rgb="00ED7D31"/>
      <sz val="12"/>
    </font>
    <font>
      <name val="Calibri"/>
      <b val="1"/>
      <color rgb="0000B050"/>
      <sz val="12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00B050"/>
        <bgColor rgb="0000B050"/>
      </patternFill>
    </fill>
    <fill>
      <patternFill patternType="solid">
        <fgColor rgb="00FFFFFF"/>
        <bgColor rgb="00FFFFFF"/>
      </patternFill>
    </fill>
    <fill>
      <patternFill patternType="solid">
        <fgColor rgb="0000B0F0"/>
        <bgColor rgb="0000B0F0"/>
      </patternFill>
    </fill>
    <fill>
      <patternFill patternType="solid">
        <fgColor rgb="00ED7D31"/>
        <bgColor rgb="00ED7D31"/>
      </patternFill>
    </fill>
    <fill>
      <patternFill patternType="solid">
        <fgColor rgb="00F4F4F4"/>
        <bgColor rgb="00F4F4F4"/>
      </patternFill>
    </fill>
    <fill>
      <patternFill patternType="solid">
        <fgColor rgb="00FFF8E1"/>
        <bgColor rgb="00FFF8E1"/>
      </patternFill>
    </fill>
  </fills>
  <borders count="5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2E75B6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9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9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1" fillId="0" borderId="0" pivotButton="0" quotePrefix="0" xfId="0"/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9" fontId="4" fillId="0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0" fontId="6" fillId="5" borderId="2" pivotButton="0" quotePrefix="0" xfId="0"/>
    <xf numFmtId="164" fontId="1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6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0" borderId="0" pivotButton="0" quotePrefix="0" xfId="0"/>
    <xf numFmtId="165" fontId="4" fillId="0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3" applyAlignment="1" pivotButton="0" quotePrefix="0" xfId="0">
      <alignment horizontal="center" vertical="center" wrapText="1"/>
    </xf>
    <xf numFmtId="0" fontId="0" fillId="8" borderId="3" pivotButton="0" quotePrefix="0" xfId="0"/>
    <xf numFmtId="0" fontId="12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12" fillId="10" borderId="3" applyAlignment="1" pivotButton="0" quotePrefix="0" xfId="0">
      <alignment horizontal="center" vertical="center" wrapText="1"/>
    </xf>
    <xf numFmtId="0" fontId="0" fillId="10" borderId="3" pivotButton="0" quotePrefix="0" xfId="0"/>
    <xf numFmtId="0" fontId="12" fillId="11" borderId="3" applyAlignment="1" pivotButton="0" quotePrefix="0" xfId="0">
      <alignment horizontal="center" vertical="center" wrapText="1"/>
    </xf>
    <xf numFmtId="0" fontId="0" fillId="11" borderId="3" pivotButton="0" quotePrefix="0" xfId="0"/>
    <xf numFmtId="0" fontId="12" fillId="2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15" fillId="9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14" fillId="9" borderId="3" pivotButton="0" quotePrefix="0" xfId="0"/>
    <xf numFmtId="0" fontId="19" fillId="12" borderId="4" applyAlignment="1" pivotButton="0" quotePrefix="0" xfId="0">
      <alignment horizontal="left" vertical="center"/>
    </xf>
    <xf numFmtId="0" fontId="0" fillId="12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6" fillId="0" borderId="0" pivotButton="0" quotePrefix="0" xfId="0"/>
    <xf numFmtId="0" fontId="6" fillId="13" borderId="2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6" fillId="4" borderId="2" pivotButton="0" quotePrefix="0" xfId="0"/>
    <xf numFmtId="164" fontId="20" fillId="4" borderId="2" applyAlignment="1" pivotButton="0" quotePrefix="0" xfId="0">
      <alignment horizontal="center" vertical="center" wrapText="1"/>
    </xf>
    <xf numFmtId="2" fontId="21" fillId="4" borderId="2" applyAlignment="1" pivotButton="0" quotePrefix="0" xfId="0">
      <alignment horizontal="center" vertical="center" wrapText="1"/>
    </xf>
    <xf numFmtId="165" fontId="20" fillId="6" borderId="2" applyAlignment="1" pivotButton="0" quotePrefix="0" xfId="0">
      <alignment horizontal="center" vertical="center" wrapText="1"/>
    </xf>
    <xf numFmtId="167" fontId="20" fillId="4" borderId="2" applyAlignment="1" pivotButton="0" quotePrefix="0" xfId="0">
      <alignment horizontal="center" vertical="center" wrapText="1"/>
    </xf>
    <xf numFmtId="165" fontId="20" fillId="4" borderId="2" applyAlignment="1" pivotButton="0" quotePrefix="0" xfId="0">
      <alignment horizontal="center" vertical="center" wrapText="1"/>
    </xf>
    <xf numFmtId="1" fontId="20" fillId="4" borderId="2" applyAlignment="1" pivotButton="0" quotePrefix="0" xfId="0">
      <alignment horizontal="center" vertical="center" wrapText="1"/>
    </xf>
    <xf numFmtId="1" fontId="22" fillId="4" borderId="2" applyAlignment="1" pivotButton="0" quotePrefix="0" xfId="0">
      <alignment horizontal="center" vertical="center" wrapText="1"/>
    </xf>
    <xf numFmtId="1" fontId="2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00B050"/>
      </font>
      <fill>
        <patternFill patternType="solid">
          <fgColor rgb="00E2EFDA"/>
          <bgColor rgb="00E2EFDA"/>
        </patternFill>
      </fill>
    </dxf>
    <dxf>
      <font>
        <b val="1"/>
        <color rgb="00FFC000"/>
      </font>
      <fill>
        <patternFill patternType="solid">
          <fgColor rgb="00FFF2CC"/>
          <bgColor rgb="00FFF2CC"/>
        </patternFill>
      </fill>
    </dxf>
    <dxf>
      <font>
        <b val="1"/>
        <color rgb="00ED7D31"/>
      </font>
      <fill>
        <patternFill patternType="solid">
          <fgColor rgb="00FCE4D6"/>
          <bgColor rgb="00FCE4D6"/>
        </patternFill>
      </fill>
    </dxf>
    <dxf>
      <font>
        <b val="1"/>
        <color rgb="00C00000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Experience Profile: Promise vs Actual</a:t>
            </a:r>
          </a:p>
        </rich>
      </tx>
    </title>
    <plotArea>
      <radarChart>
        <radarStyle val="filled"/>
        <ser>
          <idx val="0"/>
          <order val="0"/>
          <tx>
            <strRef>
              <f>'Dashboard'!B9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'Dashboard'!$A$10:$A$15</f>
            </numRef>
          </cat>
          <val>
            <numRef>
              <f>'Dashboard'!$B$10:$B$15</f>
            </numRef>
          </val>
        </ser>
        <ser>
          <idx val="1"/>
          <order val="1"/>
          <tx>
            <strRef>
              <f>'Dashboard'!C9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'Dashboard'!$C$10:$C$15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Matrix — Priority Quadrants</a:t>
            </a:r>
          </a:p>
        </rich>
      </tx>
    </title>
    <plotArea>
      <scatterChart>
        <ser>
          <idx val="0"/>
          <order val="0"/>
          <tx>
            <v>Dimensions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dLbls>
            <showVal val="0"/>
            <showCatName val="1"/>
          </dLbls>
          <xVal>
            <numRef>
              <f>'Dashboard'!$B$29:$B$34</f>
            </numRef>
          </xVal>
          <yVal>
            <numRef>
              <f>'Dashboard'!$E$29:$E$34</f>
            </numRef>
          </yVal>
        </ser>
        <axId val="10"/>
        <axId val="20"/>
      </scatterChart>
      <valAx>
        <axId val="1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Gap Size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 ×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Driver Strength -- Correlation with Overall Experience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'Driver Analysis'!B4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'Driver Analysis'!$A$5:$A$10</f>
            </numRef>
          </cat>
          <val>
            <numRef>
              <f>'Driver Analysis'!$B$5:$B$10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Correlation (r)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4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55" customWidth="1" min="4" max="4"/>
    <col width="55" customWidth="1" min="5" max="5"/>
    <col width="10" customWidth="1" min="6" max="6"/>
  </cols>
  <sheetData>
    <row r="1" ht="30" customHeight="1">
      <c r="A1" s="1" t="inlineStr">
        <is>
          <t>Employee Experience Survey -- Item Bank</t>
        </is>
      </c>
    </row>
    <row r="2" ht="22" customHeight="1">
      <c r="A2" s="2" t="inlineStr">
        <is>
          <t>Each item rated twice: Promise Score (1-10) = 'To what extent was this promised/expected?' | Experience Score (1-10) = 'To what extent do you experience this today?'</t>
        </is>
      </c>
    </row>
    <row r="4" ht="22" customHeight="1">
      <c r="A4" s="3" t="inlineStr">
        <is>
          <t>Dimension</t>
        </is>
      </c>
      <c r="B4" s="3" t="inlineStr">
        <is>
          <t>Item #</t>
        </is>
      </c>
      <c r="C4" s="3" t="inlineStr">
        <is>
          <t>Measure</t>
        </is>
      </c>
      <c r="D4" s="3" t="inlineStr">
        <is>
          <t>Promise Question</t>
        </is>
      </c>
      <c r="E4" s="3" t="inlineStr">
        <is>
          <t>Experience Question</t>
        </is>
      </c>
      <c r="F4" s="3" t="inlineStr">
        <is>
          <t>Weight</t>
        </is>
      </c>
    </row>
    <row r="5">
      <c r="A5" s="4" t="inlineStr">
        <is>
          <t>Job Fit</t>
        </is>
      </c>
      <c r="B5" s="4" t="n">
        <v>1</v>
      </c>
      <c r="C5" s="5" t="inlineStr">
        <is>
          <t>Role Clarity</t>
        </is>
      </c>
      <c r="D5" s="5" t="inlineStr">
        <is>
          <t>To what extent was 'Role Clarity' promised, communicated, or expected by the organization?</t>
        </is>
      </c>
      <c r="E5" s="5" t="inlineStr">
        <is>
          <t>To what extent do you actually experience 'Role Clarity' in your work today?</t>
        </is>
      </c>
      <c r="F5" s="6" t="n">
        <v>0.2</v>
      </c>
    </row>
    <row r="6">
      <c r="A6" s="4" t="inlineStr">
        <is>
          <t>Job Fit</t>
        </is>
      </c>
      <c r="B6" s="4" t="n">
        <v>2</v>
      </c>
      <c r="C6" s="5" t="inlineStr">
        <is>
          <t>Skill Utilization</t>
        </is>
      </c>
      <c r="D6" s="5" t="inlineStr">
        <is>
          <t>To what extent was 'Skill Utilization' promised, communicated, or expected by the organization?</t>
        </is>
      </c>
      <c r="E6" s="5" t="inlineStr">
        <is>
          <t>To what extent do you actually experience 'Skill Utilization' in your work today?</t>
        </is>
      </c>
      <c r="F6" s="6" t="n">
        <v>0.2</v>
      </c>
    </row>
    <row r="7">
      <c r="A7" s="4" t="inlineStr">
        <is>
          <t>Job Fit</t>
        </is>
      </c>
      <c r="B7" s="4" t="n">
        <v>3</v>
      </c>
      <c r="C7" s="5" t="inlineStr">
        <is>
          <t>Career Growth Alignment</t>
        </is>
      </c>
      <c r="D7" s="5" t="inlineStr">
        <is>
          <t>To what extent was 'Career Growth Alignment' promised, communicated, or expected by the organization?</t>
        </is>
      </c>
      <c r="E7" s="5" t="inlineStr">
        <is>
          <t>To what extent do you actually experience 'Career Growth Alignment' in your work today?</t>
        </is>
      </c>
      <c r="F7" s="6" t="n">
        <v>0.2</v>
      </c>
    </row>
    <row r="8">
      <c r="A8" s="4" t="inlineStr">
        <is>
          <t>Job Fit</t>
        </is>
      </c>
      <c r="B8" s="4" t="n">
        <v>4</v>
      </c>
      <c r="C8" s="5" t="inlineStr">
        <is>
          <t>Workload Appropriateness</t>
        </is>
      </c>
      <c r="D8" s="5" t="inlineStr">
        <is>
          <t>To what extent was 'Workload Appropriateness' promised, communicated, or expected by the organization?</t>
        </is>
      </c>
      <c r="E8" s="5" t="inlineStr">
        <is>
          <t>To what extent do you actually experience 'Workload Appropriateness' in your work today?</t>
        </is>
      </c>
      <c r="F8" s="6" t="n">
        <v>0.2</v>
      </c>
    </row>
    <row r="9">
      <c r="A9" s="4" t="inlineStr">
        <is>
          <t>Job Fit</t>
        </is>
      </c>
      <c r="B9" s="4" t="n">
        <v>5</v>
      </c>
      <c r="C9" s="5" t="inlineStr">
        <is>
          <t>Meaningfulness of Work</t>
        </is>
      </c>
      <c r="D9" s="5" t="inlineStr">
        <is>
          <t>To what extent was 'Meaningfulness of Work' promised, communicated, or expected by the organization?</t>
        </is>
      </c>
      <c r="E9" s="5" t="inlineStr">
        <is>
          <t>To what extent do you actually experience 'Meaningfulness of Work' in your work today?</t>
        </is>
      </c>
      <c r="F9" s="6" t="n">
        <v>0.2</v>
      </c>
    </row>
    <row r="11">
      <c r="A11" s="4" t="inlineStr">
        <is>
          <t>Manager Effectiveness</t>
        </is>
      </c>
      <c r="B11" s="4" t="n">
        <v>6</v>
      </c>
      <c r="C11" s="5" t="inlineStr">
        <is>
          <t>Coaching Quality</t>
        </is>
      </c>
      <c r="D11" s="5" t="inlineStr">
        <is>
          <t>To what extent was 'Coaching Quality' promised, communicated, or expected by the organization?</t>
        </is>
      </c>
      <c r="E11" s="5" t="inlineStr">
        <is>
          <t>To what extent do you actually experience 'Coaching Quality' in your work today?</t>
        </is>
      </c>
      <c r="F11" s="6" t="n">
        <v>0.2</v>
      </c>
    </row>
    <row r="12">
      <c r="A12" s="4" t="inlineStr">
        <is>
          <t>Manager Effectiveness</t>
        </is>
      </c>
      <c r="B12" s="4" t="n">
        <v>7</v>
      </c>
      <c r="C12" s="5" t="inlineStr">
        <is>
          <t>Feedback Quality</t>
        </is>
      </c>
      <c r="D12" s="5" t="inlineStr">
        <is>
          <t>To what extent was 'Feedback Quality' promised, communicated, or expected by the organization?</t>
        </is>
      </c>
      <c r="E12" s="5" t="inlineStr">
        <is>
          <t>To what extent do you actually experience 'Feedback Quality' in your work today?</t>
        </is>
      </c>
      <c r="F12" s="6" t="n">
        <v>0.2</v>
      </c>
    </row>
    <row r="13">
      <c r="A13" s="4" t="inlineStr">
        <is>
          <t>Manager Effectiveness</t>
        </is>
      </c>
      <c r="B13" s="4" t="n">
        <v>8</v>
      </c>
      <c r="C13" s="5" t="inlineStr">
        <is>
          <t>Fairness</t>
        </is>
      </c>
      <c r="D13" s="5" t="inlineStr">
        <is>
          <t>To what extent was 'Fairness' promised, communicated, or expected by the organization?</t>
        </is>
      </c>
      <c r="E13" s="5" t="inlineStr">
        <is>
          <t>To what extent do you actually experience 'Fairness' in your work today?</t>
        </is>
      </c>
      <c r="F13" s="6" t="n">
        <v>0.2</v>
      </c>
    </row>
    <row r="14">
      <c r="A14" s="4" t="inlineStr">
        <is>
          <t>Manager Effectiveness</t>
        </is>
      </c>
      <c r="B14" s="4" t="n">
        <v>9</v>
      </c>
      <c r="C14" s="5" t="inlineStr">
        <is>
          <t>Communication</t>
        </is>
      </c>
      <c r="D14" s="5" t="inlineStr">
        <is>
          <t>To what extent was 'Communication' promised, communicated, or expected by the organization?</t>
        </is>
      </c>
      <c r="E14" s="5" t="inlineStr">
        <is>
          <t>To what extent do you actually experience 'Communication' in your work today?</t>
        </is>
      </c>
      <c r="F14" s="6" t="n">
        <v>0.2</v>
      </c>
    </row>
    <row r="15">
      <c r="A15" s="4" t="inlineStr">
        <is>
          <t>Manager Effectiveness</t>
        </is>
      </c>
      <c r="B15" s="4" t="n">
        <v>10</v>
      </c>
      <c r="C15" s="5" t="inlineStr">
        <is>
          <t>Trust</t>
        </is>
      </c>
      <c r="D15" s="5" t="inlineStr">
        <is>
          <t>To what extent was 'Trust' promised, communicated, or expected by the organization?</t>
        </is>
      </c>
      <c r="E15" s="5" t="inlineStr">
        <is>
          <t>To what extent do you actually experience 'Trust' in your work today?</t>
        </is>
      </c>
      <c r="F15" s="6" t="n">
        <v>0.2</v>
      </c>
    </row>
    <row r="17">
      <c r="A17" s="7" t="inlineStr">
        <is>
          <t>Team Collaboration</t>
        </is>
      </c>
      <c r="B17" s="7" t="n">
        <v>11</v>
      </c>
      <c r="C17" s="8" t="inlineStr">
        <is>
          <t>Cooperation</t>
        </is>
      </c>
      <c r="D17" s="8" t="inlineStr">
        <is>
          <t>To what extent was 'Cooperation' promised, communicated, or expected by the organization?</t>
        </is>
      </c>
      <c r="E17" s="8" t="inlineStr">
        <is>
          <t>To what extent do you actually experience 'Cooperation' in your work today?</t>
        </is>
      </c>
      <c r="F17" s="9" t="n">
        <v>0.15</v>
      </c>
    </row>
    <row r="18">
      <c r="A18" s="7" t="inlineStr">
        <is>
          <t>Team Collaboration</t>
        </is>
      </c>
      <c r="B18" s="7" t="n">
        <v>12</v>
      </c>
      <c r="C18" s="8" t="inlineStr">
        <is>
          <t>Psychological Safety</t>
        </is>
      </c>
      <c r="D18" s="8" t="inlineStr">
        <is>
          <t>To what extent was 'Psychological Safety' promised, communicated, or expected by the organization?</t>
        </is>
      </c>
      <c r="E18" s="8" t="inlineStr">
        <is>
          <t>To what extent do you actually experience 'Psychological Safety' in your work today?</t>
        </is>
      </c>
      <c r="F18" s="9" t="n">
        <v>0.15</v>
      </c>
    </row>
    <row r="19">
      <c r="A19" s="7" t="inlineStr">
        <is>
          <t>Team Collaboration</t>
        </is>
      </c>
      <c r="B19" s="7" t="n">
        <v>13</v>
      </c>
      <c r="C19" s="8" t="inlineStr">
        <is>
          <t>Knowledge Sharing</t>
        </is>
      </c>
      <c r="D19" s="8" t="inlineStr">
        <is>
          <t>To what extent was 'Knowledge Sharing' promised, communicated, or expected by the organization?</t>
        </is>
      </c>
      <c r="E19" s="8" t="inlineStr">
        <is>
          <t>To what extent do you actually experience 'Knowledge Sharing' in your work today?</t>
        </is>
      </c>
      <c r="F19" s="9" t="n">
        <v>0.15</v>
      </c>
    </row>
    <row r="20">
      <c r="A20" s="7" t="inlineStr">
        <is>
          <t>Team Collaboration</t>
        </is>
      </c>
      <c r="B20" s="7" t="n">
        <v>14</v>
      </c>
      <c r="C20" s="8" t="inlineStr">
        <is>
          <t>Conflict Resolution</t>
        </is>
      </c>
      <c r="D20" s="8" t="inlineStr">
        <is>
          <t>To what extent was 'Conflict Resolution' promised, communicated, or expected by the organization?</t>
        </is>
      </c>
      <c r="E20" s="8" t="inlineStr">
        <is>
          <t>To what extent do you actually experience 'Conflict Resolution' in your work today?</t>
        </is>
      </c>
      <c r="F20" s="9" t="n">
        <v>0.15</v>
      </c>
    </row>
    <row r="21">
      <c r="A21" s="7" t="inlineStr">
        <is>
          <t>Team Collaboration</t>
        </is>
      </c>
      <c r="B21" s="7" t="n">
        <v>15</v>
      </c>
      <c r="C21" s="8" t="inlineStr">
        <is>
          <t>Supportiveness</t>
        </is>
      </c>
      <c r="D21" s="8" t="inlineStr">
        <is>
          <t>To what extent was 'Supportiveness' promised, communicated, or expected by the organization?</t>
        </is>
      </c>
      <c r="E21" s="8" t="inlineStr">
        <is>
          <t>To what extent do you actually experience 'Supportiveness' in your work today?</t>
        </is>
      </c>
      <c r="F21" s="9" t="n">
        <v>0.15</v>
      </c>
    </row>
    <row r="23">
      <c r="A23" s="4" t="inlineStr">
        <is>
          <t>Workplace Culture</t>
        </is>
      </c>
      <c r="B23" s="4" t="n">
        <v>16</v>
      </c>
      <c r="C23" s="5" t="inlineStr">
        <is>
          <t>Inclusion</t>
        </is>
      </c>
      <c r="D23" s="5" t="inlineStr">
        <is>
          <t>To what extent was 'Inclusion' promised, communicated, or expected by the organization?</t>
        </is>
      </c>
      <c r="E23" s="5" t="inlineStr">
        <is>
          <t>To what extent do you actually experience 'Inclusion' in your work today?</t>
        </is>
      </c>
      <c r="F23" s="6" t="n">
        <v>0.15</v>
      </c>
    </row>
    <row r="24">
      <c r="A24" s="4" t="inlineStr">
        <is>
          <t>Workplace Culture</t>
        </is>
      </c>
      <c r="B24" s="4" t="n">
        <v>17</v>
      </c>
      <c r="C24" s="5" t="inlineStr">
        <is>
          <t>Respect</t>
        </is>
      </c>
      <c r="D24" s="5" t="inlineStr">
        <is>
          <t>To what extent was 'Respect' promised, communicated, or expected by the organization?</t>
        </is>
      </c>
      <c r="E24" s="5" t="inlineStr">
        <is>
          <t>To what extent do you actually experience 'Respect' in your work today?</t>
        </is>
      </c>
      <c r="F24" s="6" t="n">
        <v>0.15</v>
      </c>
    </row>
    <row r="25">
      <c r="A25" s="4" t="inlineStr">
        <is>
          <t>Workplace Culture</t>
        </is>
      </c>
      <c r="B25" s="4" t="n">
        <v>18</v>
      </c>
      <c r="C25" s="5" t="inlineStr">
        <is>
          <t>Transparency</t>
        </is>
      </c>
      <c r="D25" s="5" t="inlineStr">
        <is>
          <t>To what extent was 'Transparency' promised, communicated, or expected by the organization?</t>
        </is>
      </c>
      <c r="E25" s="5" t="inlineStr">
        <is>
          <t>To what extent do you actually experience 'Transparency' in your work today?</t>
        </is>
      </c>
      <c r="F25" s="6" t="n">
        <v>0.15</v>
      </c>
    </row>
    <row r="26">
      <c r="A26" s="4" t="inlineStr">
        <is>
          <t>Workplace Culture</t>
        </is>
      </c>
      <c r="B26" s="4" t="n">
        <v>19</v>
      </c>
      <c r="C26" s="5" t="inlineStr">
        <is>
          <t>Recognition</t>
        </is>
      </c>
      <c r="D26" s="5" t="inlineStr">
        <is>
          <t>To what extent was 'Recognition' promised, communicated, or expected by the organization?</t>
        </is>
      </c>
      <c r="E26" s="5" t="inlineStr">
        <is>
          <t>To what extent do you actually experience 'Recognition' in your work today?</t>
        </is>
      </c>
      <c r="F26" s="6" t="n">
        <v>0.15</v>
      </c>
    </row>
    <row r="27">
      <c r="A27" s="4" t="inlineStr">
        <is>
          <t>Workplace Culture</t>
        </is>
      </c>
      <c r="B27" s="4" t="n">
        <v>20</v>
      </c>
      <c r="C27" s="5" t="inlineStr">
        <is>
          <t>Values Alignment</t>
        </is>
      </c>
      <c r="D27" s="5" t="inlineStr">
        <is>
          <t>To what extent was 'Values Alignment' promised, communicated, or expected by the organization?</t>
        </is>
      </c>
      <c r="E27" s="5" t="inlineStr">
        <is>
          <t>To what extent do you actually experience 'Values Alignment' in your work today?</t>
        </is>
      </c>
      <c r="F27" s="6" t="n">
        <v>0.15</v>
      </c>
    </row>
    <row r="29">
      <c r="A29" s="7" t="inlineStr">
        <is>
          <t>Innovation &amp; Empowerment</t>
        </is>
      </c>
      <c r="B29" s="7" t="n">
        <v>21</v>
      </c>
      <c r="C29" s="8" t="inlineStr">
        <is>
          <t>Autonomy</t>
        </is>
      </c>
      <c r="D29" s="8" t="inlineStr">
        <is>
          <t>To what extent was 'Autonomy' promised, communicated, or expected by the organization?</t>
        </is>
      </c>
      <c r="E29" s="8" t="inlineStr">
        <is>
          <t>To what extent do you actually experience 'Autonomy' in your work today?</t>
        </is>
      </c>
      <c r="F29" s="9" t="n">
        <v>0.15</v>
      </c>
    </row>
    <row r="30">
      <c r="A30" s="7" t="inlineStr">
        <is>
          <t>Innovation &amp; Empowerment</t>
        </is>
      </c>
      <c r="B30" s="7" t="n">
        <v>22</v>
      </c>
      <c r="C30" s="8" t="inlineStr">
        <is>
          <t>Decision Authority</t>
        </is>
      </c>
      <c r="D30" s="8" t="inlineStr">
        <is>
          <t>To what extent was 'Decision Authority' promised, communicated, or expected by the organization?</t>
        </is>
      </c>
      <c r="E30" s="8" t="inlineStr">
        <is>
          <t>To what extent do you actually experience 'Decision Authority' in your work today?</t>
        </is>
      </c>
      <c r="F30" s="9" t="n">
        <v>0.15</v>
      </c>
    </row>
    <row r="31">
      <c r="A31" s="7" t="inlineStr">
        <is>
          <t>Innovation &amp; Empowerment</t>
        </is>
      </c>
      <c r="B31" s="7" t="n">
        <v>23</v>
      </c>
      <c r="C31" s="8" t="inlineStr">
        <is>
          <t>Idea Acceptance</t>
        </is>
      </c>
      <c r="D31" s="8" t="inlineStr">
        <is>
          <t>To what extent was 'Idea Acceptance' promised, communicated, or expected by the organization?</t>
        </is>
      </c>
      <c r="E31" s="8" t="inlineStr">
        <is>
          <t>To what extent do you actually experience 'Idea Acceptance' in your work today?</t>
        </is>
      </c>
      <c r="F31" s="9" t="n">
        <v>0.15</v>
      </c>
    </row>
    <row r="32">
      <c r="A32" s="7" t="inlineStr">
        <is>
          <t>Innovation &amp; Empowerment</t>
        </is>
      </c>
      <c r="B32" s="7" t="n">
        <v>24</v>
      </c>
      <c r="C32" s="8" t="inlineStr">
        <is>
          <t>Learning Opportunities</t>
        </is>
      </c>
      <c r="D32" s="8" t="inlineStr">
        <is>
          <t>To what extent was 'Learning Opportunities' promised, communicated, or expected by the organization?</t>
        </is>
      </c>
      <c r="E32" s="8" t="inlineStr">
        <is>
          <t>To what extent do you actually experience 'Learning Opportunities' in your work today?</t>
        </is>
      </c>
      <c r="F32" s="9" t="n">
        <v>0.15</v>
      </c>
    </row>
    <row r="33">
      <c r="A33" s="7" t="inlineStr">
        <is>
          <t>Innovation &amp; Empowerment</t>
        </is>
      </c>
      <c r="B33" s="7" t="n">
        <v>25</v>
      </c>
      <c r="C33" s="8" t="inlineStr">
        <is>
          <t>Experimentation Support</t>
        </is>
      </c>
      <c r="D33" s="8" t="inlineStr">
        <is>
          <t>To what extent was 'Experimentation Support' promised, communicated, or expected by the organization?</t>
        </is>
      </c>
      <c r="E33" s="8" t="inlineStr">
        <is>
          <t>To what extent do you actually experience 'Experimentation Support' in your work today?</t>
        </is>
      </c>
      <c r="F33" s="9" t="n">
        <v>0.15</v>
      </c>
    </row>
    <row r="35">
      <c r="A35" s="4" t="inlineStr">
        <is>
          <t>Rewards &amp; Growth</t>
        </is>
      </c>
      <c r="B35" s="4" t="n">
        <v>26</v>
      </c>
      <c r="C35" s="5" t="inlineStr">
        <is>
          <t>Compensation Fairness</t>
        </is>
      </c>
      <c r="D35" s="5" t="inlineStr">
        <is>
          <t>To what extent was 'Compensation Fairness' promised, communicated, or expected by the organization?</t>
        </is>
      </c>
      <c r="E35" s="5" t="inlineStr">
        <is>
          <t>To what extent do you actually experience 'Compensation Fairness' in your work today?</t>
        </is>
      </c>
      <c r="F35" s="6" t="n">
        <v>0.15</v>
      </c>
    </row>
    <row r="36">
      <c r="A36" s="4" t="inlineStr">
        <is>
          <t>Rewards &amp; Growth</t>
        </is>
      </c>
      <c r="B36" s="4" t="n">
        <v>27</v>
      </c>
      <c r="C36" s="5" t="inlineStr">
        <is>
          <t>Promotion Opportunities</t>
        </is>
      </c>
      <c r="D36" s="5" t="inlineStr">
        <is>
          <t>To what extent was 'Promotion Opportunities' promised, communicated, or expected by the organization?</t>
        </is>
      </c>
      <c r="E36" s="5" t="inlineStr">
        <is>
          <t>To what extent do you actually experience 'Promotion Opportunities' in your work today?</t>
        </is>
      </c>
      <c r="F36" s="6" t="n">
        <v>0.15</v>
      </c>
    </row>
    <row r="37">
      <c r="A37" s="4" t="inlineStr">
        <is>
          <t>Rewards &amp; Growth</t>
        </is>
      </c>
      <c r="B37" s="4" t="n">
        <v>28</v>
      </c>
      <c r="C37" s="5" t="inlineStr">
        <is>
          <t>Recognition</t>
        </is>
      </c>
      <c r="D37" s="5" t="inlineStr">
        <is>
          <t>To what extent was 'Recognition' promised, communicated, or expected by the organization?</t>
        </is>
      </c>
      <c r="E37" s="5" t="inlineStr">
        <is>
          <t>To what extent do you actually experience 'Recognition' in your work today?</t>
        </is>
      </c>
      <c r="F37" s="6" t="n">
        <v>0.15</v>
      </c>
    </row>
    <row r="38">
      <c r="A38" s="4" t="inlineStr">
        <is>
          <t>Rewards &amp; Growth</t>
        </is>
      </c>
      <c r="B38" s="4" t="n">
        <v>29</v>
      </c>
      <c r="C38" s="5" t="inlineStr">
        <is>
          <t>Training</t>
        </is>
      </c>
      <c r="D38" s="5" t="inlineStr">
        <is>
          <t>To what extent was 'Training' promised, communicated, or expected by the organization?</t>
        </is>
      </c>
      <c r="E38" s="5" t="inlineStr">
        <is>
          <t>To what extent do you actually experience 'Training' in your work today?</t>
        </is>
      </c>
      <c r="F38" s="6" t="n">
        <v>0.15</v>
      </c>
    </row>
    <row r="39">
      <c r="A39" s="4" t="inlineStr">
        <is>
          <t>Rewards &amp; Growth</t>
        </is>
      </c>
      <c r="B39" s="4" t="n">
        <v>30</v>
      </c>
      <c r="C39" s="5" t="inlineStr">
        <is>
          <t>Career Progression</t>
        </is>
      </c>
      <c r="D39" s="5" t="inlineStr">
        <is>
          <t>To what extent was 'Career Progression' promised, communicated, or expected by the organization?</t>
        </is>
      </c>
      <c r="E39" s="5" t="inlineStr">
        <is>
          <t>To what extent do you actually experience 'Career Progression' in your work today?</t>
        </is>
      </c>
      <c r="F39" s="6" t="n">
        <v>0.15</v>
      </c>
    </row>
    <row r="42">
      <c r="A42" s="10" t="inlineStr">
        <is>
          <t>Scale: 1 = 'Not at all' | 10 = 'Completely/To a great extent'</t>
        </is>
      </c>
    </row>
    <row r="43">
      <c r="A43" s="10" t="inlineStr">
        <is>
          <t>Dimensions: 6 dimensions x 5 items = 30 items total | Weights: Job Fit(20%), Manager(20%), Team(15%), Culture(15%), Innovation(15%), Rewards(15%)</t>
        </is>
      </c>
    </row>
  </sheetData>
  <mergeCells count="4">
    <mergeCell ref="A2:F2"/>
    <mergeCell ref="A1:F1"/>
    <mergeCell ref="A42:F42"/>
    <mergeCell ref="A43:F4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M53"/>
  <sheetViews>
    <sheetView showGridLines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</cols>
  <sheetData>
    <row r="1" ht="28" customHeight="1">
      <c r="A1" s="11" t="inlineStr">
        <is>
          <t>Raw Survey Data -- Respondent Scores</t>
        </is>
      </c>
    </row>
    <row r="3" ht="20" customHeight="1">
      <c r="A3" s="3" t="inlineStr">
        <is>
          <t>RespID</t>
        </is>
      </c>
      <c r="B3" s="3" t="inlineStr">
        <is>
          <t>Department</t>
        </is>
      </c>
      <c r="C3" s="3" t="inlineStr">
        <is>
          <t>Location</t>
        </is>
      </c>
      <c r="D3" s="3" t="inlineStr">
        <is>
          <t>Business Unit</t>
        </is>
      </c>
      <c r="E3" s="3" t="inlineStr">
        <is>
          <t>Manager</t>
        </is>
      </c>
      <c r="F3" s="3" t="inlineStr">
        <is>
          <t>P01</t>
        </is>
      </c>
      <c r="G3" s="3" t="inlineStr">
        <is>
          <t>E01</t>
        </is>
      </c>
      <c r="H3" s="3" t="inlineStr">
        <is>
          <t>P02</t>
        </is>
      </c>
      <c r="I3" s="3" t="inlineStr">
        <is>
          <t>E02</t>
        </is>
      </c>
      <c r="J3" s="3" t="inlineStr">
        <is>
          <t>P03</t>
        </is>
      </c>
      <c r="K3" s="3" t="inlineStr">
        <is>
          <t>E03</t>
        </is>
      </c>
      <c r="L3" s="3" t="inlineStr">
        <is>
          <t>P04</t>
        </is>
      </c>
      <c r="M3" s="3" t="inlineStr">
        <is>
          <t>E04</t>
        </is>
      </c>
      <c r="N3" s="3" t="inlineStr">
        <is>
          <t>P05</t>
        </is>
      </c>
      <c r="O3" s="3" t="inlineStr">
        <is>
          <t>E05</t>
        </is>
      </c>
      <c r="P3" s="3" t="inlineStr">
        <is>
          <t>P06</t>
        </is>
      </c>
      <c r="Q3" s="3" t="inlineStr">
        <is>
          <t>E06</t>
        </is>
      </c>
      <c r="R3" s="3" t="inlineStr">
        <is>
          <t>P07</t>
        </is>
      </c>
      <c r="S3" s="3" t="inlineStr">
        <is>
          <t>E07</t>
        </is>
      </c>
      <c r="T3" s="3" t="inlineStr">
        <is>
          <t>P08</t>
        </is>
      </c>
      <c r="U3" s="3" t="inlineStr">
        <is>
          <t>E08</t>
        </is>
      </c>
      <c r="V3" s="3" t="inlineStr">
        <is>
          <t>P09</t>
        </is>
      </c>
      <c r="W3" s="3" t="inlineStr">
        <is>
          <t>E09</t>
        </is>
      </c>
      <c r="X3" s="3" t="inlineStr">
        <is>
          <t>P10</t>
        </is>
      </c>
      <c r="Y3" s="3" t="inlineStr">
        <is>
          <t>E10</t>
        </is>
      </c>
      <c r="Z3" s="3" t="inlineStr">
        <is>
          <t>P11</t>
        </is>
      </c>
      <c r="AA3" s="3" t="inlineStr">
        <is>
          <t>E11</t>
        </is>
      </c>
      <c r="AB3" s="3" t="inlineStr">
        <is>
          <t>P12</t>
        </is>
      </c>
      <c r="AC3" s="3" t="inlineStr">
        <is>
          <t>E12</t>
        </is>
      </c>
      <c r="AD3" s="3" t="inlineStr">
        <is>
          <t>P13</t>
        </is>
      </c>
      <c r="AE3" s="3" t="inlineStr">
        <is>
          <t>E13</t>
        </is>
      </c>
      <c r="AF3" s="3" t="inlineStr">
        <is>
          <t>P14</t>
        </is>
      </c>
      <c r="AG3" s="3" t="inlineStr">
        <is>
          <t>E14</t>
        </is>
      </c>
      <c r="AH3" s="3" t="inlineStr">
        <is>
          <t>P15</t>
        </is>
      </c>
      <c r="AI3" s="3" t="inlineStr">
        <is>
          <t>E15</t>
        </is>
      </c>
      <c r="AJ3" s="3" t="inlineStr">
        <is>
          <t>P16</t>
        </is>
      </c>
      <c r="AK3" s="3" t="inlineStr">
        <is>
          <t>E16</t>
        </is>
      </c>
      <c r="AL3" s="3" t="inlineStr">
        <is>
          <t>P17</t>
        </is>
      </c>
      <c r="AM3" s="3" t="inlineStr">
        <is>
          <t>E17</t>
        </is>
      </c>
      <c r="AN3" s="3" t="inlineStr">
        <is>
          <t>P18</t>
        </is>
      </c>
      <c r="AO3" s="3" t="inlineStr">
        <is>
          <t>E18</t>
        </is>
      </c>
      <c r="AP3" s="3" t="inlineStr">
        <is>
          <t>P19</t>
        </is>
      </c>
      <c r="AQ3" s="3" t="inlineStr">
        <is>
          <t>E19</t>
        </is>
      </c>
      <c r="AR3" s="3" t="inlineStr">
        <is>
          <t>P20</t>
        </is>
      </c>
      <c r="AS3" s="3" t="inlineStr">
        <is>
          <t>E20</t>
        </is>
      </c>
      <c r="AT3" s="3" t="inlineStr">
        <is>
          <t>P21</t>
        </is>
      </c>
      <c r="AU3" s="3" t="inlineStr">
        <is>
          <t>E21</t>
        </is>
      </c>
      <c r="AV3" s="3" t="inlineStr">
        <is>
          <t>P22</t>
        </is>
      </c>
      <c r="AW3" s="3" t="inlineStr">
        <is>
          <t>E22</t>
        </is>
      </c>
      <c r="AX3" s="3" t="inlineStr">
        <is>
          <t>P23</t>
        </is>
      </c>
      <c r="AY3" s="3" t="inlineStr">
        <is>
          <t>E23</t>
        </is>
      </c>
      <c r="AZ3" s="3" t="inlineStr">
        <is>
          <t>P24</t>
        </is>
      </c>
      <c r="BA3" s="3" t="inlineStr">
        <is>
          <t>E24</t>
        </is>
      </c>
      <c r="BB3" s="3" t="inlineStr">
        <is>
          <t>P25</t>
        </is>
      </c>
      <c r="BC3" s="3" t="inlineStr">
        <is>
          <t>E25</t>
        </is>
      </c>
      <c r="BD3" s="3" t="inlineStr">
        <is>
          <t>P26</t>
        </is>
      </c>
      <c r="BE3" s="3" t="inlineStr">
        <is>
          <t>E26</t>
        </is>
      </c>
      <c r="BF3" s="3" t="inlineStr">
        <is>
          <t>P27</t>
        </is>
      </c>
      <c r="BG3" s="3" t="inlineStr">
        <is>
          <t>E27</t>
        </is>
      </c>
      <c r="BH3" s="3" t="inlineStr">
        <is>
          <t>P28</t>
        </is>
      </c>
      <c r="BI3" s="3" t="inlineStr">
        <is>
          <t>E28</t>
        </is>
      </c>
      <c r="BJ3" s="3" t="inlineStr">
        <is>
          <t>P29</t>
        </is>
      </c>
      <c r="BK3" s="3" t="inlineStr">
        <is>
          <t>E29</t>
        </is>
      </c>
      <c r="BL3" s="3" t="inlineStr">
        <is>
          <t>P30</t>
        </is>
      </c>
      <c r="BM3" s="3" t="inlineStr">
        <is>
          <t>E30</t>
        </is>
      </c>
    </row>
    <row r="4">
      <c r="A4" s="12" t="inlineStr">
        <is>
          <t>R001</t>
        </is>
      </c>
      <c r="B4" s="12" t="inlineStr">
        <is>
          <t>Operations</t>
        </is>
      </c>
      <c r="C4" s="12" t="inlineStr">
        <is>
          <t>New York</t>
        </is>
      </c>
      <c r="D4" s="12" t="inlineStr">
        <is>
          <t>Core Product</t>
        </is>
      </c>
      <c r="E4" s="12" t="inlineStr">
        <is>
          <t>R. Kim</t>
        </is>
      </c>
      <c r="F4" s="13" t="n">
        <v>8</v>
      </c>
      <c r="G4" s="13" t="n">
        <v>7</v>
      </c>
      <c r="H4" s="13" t="n">
        <v>8</v>
      </c>
      <c r="I4" s="13" t="n">
        <v>4</v>
      </c>
      <c r="J4" s="13" t="n">
        <v>8</v>
      </c>
      <c r="K4" s="13" t="n">
        <v>6</v>
      </c>
      <c r="L4" s="13" t="n">
        <v>7</v>
      </c>
      <c r="M4" s="13" t="n">
        <v>5</v>
      </c>
      <c r="N4" s="13" t="n">
        <v>7</v>
      </c>
      <c r="O4" s="13" t="n">
        <v>5</v>
      </c>
      <c r="P4" s="13" t="n">
        <v>8</v>
      </c>
      <c r="Q4" s="13" t="n">
        <v>10</v>
      </c>
      <c r="R4" s="13" t="n">
        <v>9</v>
      </c>
      <c r="S4" s="13" t="n">
        <v>8</v>
      </c>
      <c r="T4" s="13" t="n">
        <v>9</v>
      </c>
      <c r="U4" s="13" t="n">
        <v>9</v>
      </c>
      <c r="V4" s="13" t="n">
        <v>7</v>
      </c>
      <c r="W4" s="13" t="n">
        <v>8</v>
      </c>
      <c r="X4" s="13" t="n">
        <v>8</v>
      </c>
      <c r="Y4" s="13" t="n">
        <v>7</v>
      </c>
      <c r="Z4" s="13" t="n">
        <v>9</v>
      </c>
      <c r="AA4" s="13" t="n">
        <v>9</v>
      </c>
      <c r="AB4" s="13" t="n">
        <v>7</v>
      </c>
      <c r="AC4" s="13" t="n">
        <v>8</v>
      </c>
      <c r="AD4" s="13" t="n">
        <v>7</v>
      </c>
      <c r="AE4" s="13" t="n">
        <v>7</v>
      </c>
      <c r="AF4" s="13" t="n">
        <v>6</v>
      </c>
      <c r="AG4" s="13" t="n">
        <v>4</v>
      </c>
      <c r="AH4" s="13" t="n">
        <v>9</v>
      </c>
      <c r="AI4" s="13" t="n">
        <v>4</v>
      </c>
      <c r="AJ4" s="13" t="n">
        <v>6</v>
      </c>
      <c r="AK4" s="13" t="n">
        <v>6</v>
      </c>
      <c r="AL4" s="13" t="n">
        <v>7</v>
      </c>
      <c r="AM4" s="13" t="n">
        <v>7</v>
      </c>
      <c r="AN4" s="13" t="n">
        <v>8</v>
      </c>
      <c r="AO4" s="13" t="n">
        <v>5</v>
      </c>
      <c r="AP4" s="13" t="n">
        <v>7</v>
      </c>
      <c r="AQ4" s="13" t="n">
        <v>5</v>
      </c>
      <c r="AR4" s="13" t="n">
        <v>8</v>
      </c>
      <c r="AS4" s="13" t="n">
        <v>9</v>
      </c>
      <c r="AT4" s="13" t="n">
        <v>8</v>
      </c>
      <c r="AU4" s="13" t="n">
        <v>7</v>
      </c>
      <c r="AV4" s="13" t="n">
        <v>10</v>
      </c>
      <c r="AW4" s="13" t="n">
        <v>7</v>
      </c>
      <c r="AX4" s="13" t="n">
        <v>7</v>
      </c>
      <c r="AY4" s="13" t="n">
        <v>6</v>
      </c>
      <c r="AZ4" s="13" t="n">
        <v>6</v>
      </c>
      <c r="BA4" s="13" t="n">
        <v>4</v>
      </c>
      <c r="BB4" s="13" t="n">
        <v>5</v>
      </c>
      <c r="BC4" s="13" t="n">
        <v>6</v>
      </c>
      <c r="BD4" s="13" t="n">
        <v>8</v>
      </c>
      <c r="BE4" s="13" t="n">
        <v>6</v>
      </c>
      <c r="BF4" s="13" t="n">
        <v>6</v>
      </c>
      <c r="BG4" s="13" t="n">
        <v>4</v>
      </c>
      <c r="BH4" s="13" t="n">
        <v>7</v>
      </c>
      <c r="BI4" s="13" t="n">
        <v>4</v>
      </c>
      <c r="BJ4" s="13" t="n">
        <v>9</v>
      </c>
      <c r="BK4" s="13" t="n">
        <v>7</v>
      </c>
      <c r="BL4" s="13" t="n">
        <v>8</v>
      </c>
      <c r="BM4" s="13" t="n">
        <v>4</v>
      </c>
    </row>
    <row r="5">
      <c r="A5" s="5" t="inlineStr">
        <is>
          <t>R002</t>
        </is>
      </c>
      <c r="B5" s="5" t="inlineStr">
        <is>
          <t>Operations</t>
        </is>
      </c>
      <c r="C5" s="5" t="inlineStr">
        <is>
          <t>Sydney</t>
        </is>
      </c>
      <c r="D5" s="5" t="inlineStr">
        <is>
          <t>Core Product</t>
        </is>
      </c>
      <c r="E5" s="5" t="inlineStr">
        <is>
          <t>J. Brown</t>
        </is>
      </c>
      <c r="F5" s="4" t="n">
        <v>5</v>
      </c>
      <c r="G5" s="4" t="n">
        <v>10</v>
      </c>
      <c r="H5" s="4" t="n">
        <v>9</v>
      </c>
      <c r="I5" s="4" t="n">
        <v>3</v>
      </c>
      <c r="J5" s="4" t="n">
        <v>9</v>
      </c>
      <c r="K5" s="4" t="n">
        <v>5</v>
      </c>
      <c r="L5" s="4" t="n">
        <v>7</v>
      </c>
      <c r="M5" s="4" t="n">
        <v>7</v>
      </c>
      <c r="N5" s="4" t="n">
        <v>10</v>
      </c>
      <c r="O5" s="4" t="n">
        <v>6</v>
      </c>
      <c r="P5" s="4" t="n">
        <v>10</v>
      </c>
      <c r="Q5" s="4" t="n">
        <v>6</v>
      </c>
      <c r="R5" s="4" t="n">
        <v>9</v>
      </c>
      <c r="S5" s="4" t="n">
        <v>8</v>
      </c>
      <c r="T5" s="4" t="n">
        <v>7</v>
      </c>
      <c r="U5" s="4" t="n">
        <v>6</v>
      </c>
      <c r="V5" s="4" t="n">
        <v>10</v>
      </c>
      <c r="W5" s="4" t="n">
        <v>10</v>
      </c>
      <c r="X5" s="4" t="n">
        <v>9</v>
      </c>
      <c r="Y5" s="4" t="n">
        <v>5</v>
      </c>
      <c r="Z5" s="4" t="n">
        <v>8</v>
      </c>
      <c r="AA5" s="4" t="n">
        <v>7</v>
      </c>
      <c r="AB5" s="4" t="n">
        <v>8</v>
      </c>
      <c r="AC5" s="4" t="n">
        <v>6</v>
      </c>
      <c r="AD5" s="4" t="n">
        <v>7</v>
      </c>
      <c r="AE5" s="4" t="n">
        <v>6</v>
      </c>
      <c r="AF5" s="4" t="n">
        <v>9</v>
      </c>
      <c r="AG5" s="4" t="n">
        <v>3</v>
      </c>
      <c r="AH5" s="4" t="n">
        <v>9</v>
      </c>
      <c r="AI5" s="4" t="n">
        <v>8</v>
      </c>
      <c r="AJ5" s="4" t="n">
        <v>9</v>
      </c>
      <c r="AK5" s="4" t="n">
        <v>7</v>
      </c>
      <c r="AL5" s="4" t="n">
        <v>10</v>
      </c>
      <c r="AM5" s="4" t="n">
        <v>5</v>
      </c>
      <c r="AN5" s="4" t="n">
        <v>7</v>
      </c>
      <c r="AO5" s="4" t="n">
        <v>3</v>
      </c>
      <c r="AP5" s="4" t="n">
        <v>8</v>
      </c>
      <c r="AQ5" s="4" t="n">
        <v>4</v>
      </c>
      <c r="AR5" s="4" t="n">
        <v>7</v>
      </c>
      <c r="AS5" s="4" t="n">
        <v>6</v>
      </c>
      <c r="AT5" s="4" t="n">
        <v>9</v>
      </c>
      <c r="AU5" s="4" t="n">
        <v>6</v>
      </c>
      <c r="AV5" s="4" t="n">
        <v>10</v>
      </c>
      <c r="AW5" s="4" t="n">
        <v>6</v>
      </c>
      <c r="AX5" s="4" t="n">
        <v>8</v>
      </c>
      <c r="AY5" s="4" t="n">
        <v>6</v>
      </c>
      <c r="AZ5" s="4" t="n">
        <v>6</v>
      </c>
      <c r="BA5" s="4" t="n">
        <v>5</v>
      </c>
      <c r="BB5" s="4" t="n">
        <v>5</v>
      </c>
      <c r="BC5" s="4" t="n">
        <v>5</v>
      </c>
      <c r="BD5" s="4" t="n">
        <v>7</v>
      </c>
      <c r="BE5" s="4" t="n">
        <v>4</v>
      </c>
      <c r="BF5" s="4" t="n">
        <v>8</v>
      </c>
      <c r="BG5" s="4" t="n">
        <v>5</v>
      </c>
      <c r="BH5" s="4" t="n">
        <v>7</v>
      </c>
      <c r="BI5" s="4" t="n">
        <v>6</v>
      </c>
      <c r="BJ5" s="4" t="n">
        <v>10</v>
      </c>
      <c r="BK5" s="4" t="n">
        <v>6</v>
      </c>
      <c r="BL5" s="4" t="n">
        <v>10</v>
      </c>
      <c r="BM5" s="4" t="n">
        <v>6</v>
      </c>
    </row>
    <row r="6">
      <c r="A6" s="12" t="inlineStr">
        <is>
          <t>R003</t>
        </is>
      </c>
      <c r="B6" s="12" t="inlineStr">
        <is>
          <t>Engineering</t>
        </is>
      </c>
      <c r="C6" s="12" t="inlineStr">
        <is>
          <t>London</t>
        </is>
      </c>
      <c r="D6" s="12" t="inlineStr">
        <is>
          <t>Growth</t>
        </is>
      </c>
      <c r="E6" s="12" t="inlineStr">
        <is>
          <t>L. Williams</t>
        </is>
      </c>
      <c r="F6" s="13" t="n">
        <v>7</v>
      </c>
      <c r="G6" s="13" t="n">
        <v>6</v>
      </c>
      <c r="H6" s="13" t="n">
        <v>5</v>
      </c>
      <c r="I6" s="13" t="n">
        <v>7</v>
      </c>
      <c r="J6" s="13" t="n">
        <v>9</v>
      </c>
      <c r="K6" s="13" t="n">
        <v>3</v>
      </c>
      <c r="L6" s="13" t="n">
        <v>9</v>
      </c>
      <c r="M6" s="13" t="n">
        <v>1</v>
      </c>
      <c r="N6" s="13" t="n">
        <v>8</v>
      </c>
      <c r="O6" s="13" t="n">
        <v>8</v>
      </c>
      <c r="P6" s="13" t="n">
        <v>8</v>
      </c>
      <c r="Q6" s="13" t="n">
        <v>7</v>
      </c>
      <c r="R6" s="13" t="n">
        <v>9</v>
      </c>
      <c r="S6" s="13" t="n">
        <v>6</v>
      </c>
      <c r="T6" s="13" t="n">
        <v>7</v>
      </c>
      <c r="U6" s="13" t="n">
        <v>7</v>
      </c>
      <c r="V6" s="13" t="n">
        <v>10</v>
      </c>
      <c r="W6" s="13" t="n">
        <v>6</v>
      </c>
      <c r="X6" s="13" t="n">
        <v>9</v>
      </c>
      <c r="Y6" s="13" t="n">
        <v>8</v>
      </c>
      <c r="Z6" s="13" t="n">
        <v>6</v>
      </c>
      <c r="AA6" s="13" t="n">
        <v>6</v>
      </c>
      <c r="AB6" s="13" t="n">
        <v>9</v>
      </c>
      <c r="AC6" s="13" t="n">
        <v>7</v>
      </c>
      <c r="AD6" s="13" t="n">
        <v>8</v>
      </c>
      <c r="AE6" s="13" t="n">
        <v>6</v>
      </c>
      <c r="AF6" s="13" t="n">
        <v>8</v>
      </c>
      <c r="AG6" s="13" t="n">
        <v>7</v>
      </c>
      <c r="AH6" s="13" t="n">
        <v>7</v>
      </c>
      <c r="AI6" s="13" t="n">
        <v>6</v>
      </c>
      <c r="AJ6" s="13" t="n">
        <v>9</v>
      </c>
      <c r="AK6" s="13" t="n">
        <v>5</v>
      </c>
      <c r="AL6" s="13" t="n">
        <v>7</v>
      </c>
      <c r="AM6" s="13" t="n">
        <v>4</v>
      </c>
      <c r="AN6" s="13" t="n">
        <v>6</v>
      </c>
      <c r="AO6" s="13" t="n">
        <v>5</v>
      </c>
      <c r="AP6" s="13" t="n">
        <v>8</v>
      </c>
      <c r="AQ6" s="13" t="n">
        <v>4</v>
      </c>
      <c r="AR6" s="13" t="n">
        <v>8</v>
      </c>
      <c r="AS6" s="13" t="n">
        <v>4</v>
      </c>
      <c r="AT6" s="13" t="n">
        <v>8</v>
      </c>
      <c r="AU6" s="13" t="n">
        <v>5</v>
      </c>
      <c r="AV6" s="13" t="n">
        <v>10</v>
      </c>
      <c r="AW6" s="13" t="n">
        <v>5</v>
      </c>
      <c r="AX6" s="13" t="n">
        <v>8</v>
      </c>
      <c r="AY6" s="13" t="n">
        <v>7</v>
      </c>
      <c r="AZ6" s="13" t="n">
        <v>9</v>
      </c>
      <c r="BA6" s="13" t="n">
        <v>3</v>
      </c>
      <c r="BB6" s="13" t="n">
        <v>9</v>
      </c>
      <c r="BC6" s="13" t="n">
        <v>8</v>
      </c>
      <c r="BD6" s="13" t="n">
        <v>6</v>
      </c>
      <c r="BE6" s="13" t="n">
        <v>2</v>
      </c>
      <c r="BF6" s="13" t="n">
        <v>10</v>
      </c>
      <c r="BG6" s="13" t="n">
        <v>5</v>
      </c>
      <c r="BH6" s="13" t="n">
        <v>7</v>
      </c>
      <c r="BI6" s="13" t="n">
        <v>1</v>
      </c>
      <c r="BJ6" s="13" t="n">
        <v>8</v>
      </c>
      <c r="BK6" s="13" t="n">
        <v>6</v>
      </c>
      <c r="BL6" s="13" t="n">
        <v>8</v>
      </c>
      <c r="BM6" s="13" t="n">
        <v>7</v>
      </c>
    </row>
    <row r="7">
      <c r="A7" s="5" t="inlineStr">
        <is>
          <t>R004</t>
        </is>
      </c>
      <c r="B7" s="5" t="inlineStr">
        <is>
          <t>Marketing</t>
        </is>
      </c>
      <c r="C7" s="5" t="inlineStr">
        <is>
          <t>Tokyo</t>
        </is>
      </c>
      <c r="D7" s="5" t="inlineStr">
        <is>
          <t>Corporate</t>
        </is>
      </c>
      <c r="E7" s="5" t="inlineStr">
        <is>
          <t>R. Kim</t>
        </is>
      </c>
      <c r="F7" s="4" t="n">
        <v>10</v>
      </c>
      <c r="G7" s="4" t="n">
        <v>5</v>
      </c>
      <c r="H7" s="4" t="n">
        <v>9</v>
      </c>
      <c r="I7" s="4" t="n">
        <v>3</v>
      </c>
      <c r="J7" s="4" t="n">
        <v>9</v>
      </c>
      <c r="K7" s="4" t="n">
        <v>6</v>
      </c>
      <c r="L7" s="4" t="n">
        <v>7</v>
      </c>
      <c r="M7" s="4" t="n">
        <v>4</v>
      </c>
      <c r="N7" s="4" t="n">
        <v>10</v>
      </c>
      <c r="O7" s="4" t="n">
        <v>5</v>
      </c>
      <c r="P7" s="4" t="n">
        <v>9</v>
      </c>
      <c r="Q7" s="4" t="n">
        <v>7</v>
      </c>
      <c r="R7" s="4" t="n">
        <v>8</v>
      </c>
      <c r="S7" s="4" t="n">
        <v>7</v>
      </c>
      <c r="T7" s="4" t="n">
        <v>10</v>
      </c>
      <c r="U7" s="4" t="n">
        <v>1</v>
      </c>
      <c r="V7" s="4" t="n">
        <v>8</v>
      </c>
      <c r="W7" s="4" t="n">
        <v>4</v>
      </c>
      <c r="X7" s="4" t="n">
        <v>6</v>
      </c>
      <c r="Y7" s="4" t="n">
        <v>5</v>
      </c>
      <c r="Z7" s="4" t="n">
        <v>7</v>
      </c>
      <c r="AA7" s="4" t="n">
        <v>3</v>
      </c>
      <c r="AB7" s="4" t="n">
        <v>9</v>
      </c>
      <c r="AC7" s="4" t="n">
        <v>9</v>
      </c>
      <c r="AD7" s="4" t="n">
        <v>7</v>
      </c>
      <c r="AE7" s="4" t="n">
        <v>7</v>
      </c>
      <c r="AF7" s="4" t="n">
        <v>8</v>
      </c>
      <c r="AG7" s="4" t="n">
        <v>5</v>
      </c>
      <c r="AH7" s="4" t="n">
        <v>7</v>
      </c>
      <c r="AI7" s="4" t="n">
        <v>5</v>
      </c>
      <c r="AJ7" s="4" t="n">
        <v>10</v>
      </c>
      <c r="AK7" s="4" t="n">
        <v>1</v>
      </c>
      <c r="AL7" s="4" t="n">
        <v>9</v>
      </c>
      <c r="AM7" s="4" t="n">
        <v>9</v>
      </c>
      <c r="AN7" s="4" t="n">
        <v>9</v>
      </c>
      <c r="AO7" s="4" t="n">
        <v>2</v>
      </c>
      <c r="AP7" s="4" t="n">
        <v>7</v>
      </c>
      <c r="AQ7" s="4" t="n">
        <v>4</v>
      </c>
      <c r="AR7" s="4" t="n">
        <v>10</v>
      </c>
      <c r="AS7" s="4" t="n">
        <v>7</v>
      </c>
      <c r="AT7" s="4" t="n">
        <v>6</v>
      </c>
      <c r="AU7" s="4" t="n">
        <v>5</v>
      </c>
      <c r="AV7" s="4" t="n">
        <v>7</v>
      </c>
      <c r="AW7" s="4" t="n">
        <v>6</v>
      </c>
      <c r="AX7" s="4" t="n">
        <v>7</v>
      </c>
      <c r="AY7" s="4" t="n">
        <v>8</v>
      </c>
      <c r="AZ7" s="4" t="n">
        <v>9</v>
      </c>
      <c r="BA7" s="4" t="n">
        <v>6</v>
      </c>
      <c r="BB7" s="4" t="n">
        <v>8</v>
      </c>
      <c r="BC7" s="4" t="n">
        <v>4</v>
      </c>
      <c r="BD7" s="4" t="n">
        <v>10</v>
      </c>
      <c r="BE7" s="4" t="n">
        <v>8</v>
      </c>
      <c r="BF7" s="4" t="n">
        <v>9</v>
      </c>
      <c r="BG7" s="4" t="n">
        <v>6</v>
      </c>
      <c r="BH7" s="4" t="n">
        <v>9</v>
      </c>
      <c r="BI7" s="4" t="n">
        <v>2</v>
      </c>
      <c r="BJ7" s="4" t="n">
        <v>8</v>
      </c>
      <c r="BK7" s="4" t="n">
        <v>4</v>
      </c>
      <c r="BL7" s="4" t="n">
        <v>10</v>
      </c>
      <c r="BM7" s="4" t="n">
        <v>4</v>
      </c>
    </row>
    <row r="8">
      <c r="A8" s="12" t="inlineStr">
        <is>
          <t>R005</t>
        </is>
      </c>
      <c r="B8" s="12" t="inlineStr">
        <is>
          <t>Operations</t>
        </is>
      </c>
      <c r="C8" s="12" t="inlineStr">
        <is>
          <t>New York</t>
        </is>
      </c>
      <c r="D8" s="12" t="inlineStr">
        <is>
          <t>Enterprise</t>
        </is>
      </c>
      <c r="E8" s="12" t="inlineStr">
        <is>
          <t>R. Kim</t>
        </is>
      </c>
      <c r="F8" s="13" t="n">
        <v>7</v>
      </c>
      <c r="G8" s="13" t="n">
        <v>5</v>
      </c>
      <c r="H8" s="13" t="n">
        <v>7</v>
      </c>
      <c r="I8" s="13" t="n">
        <v>6</v>
      </c>
      <c r="J8" s="13" t="n">
        <v>6</v>
      </c>
      <c r="K8" s="13" t="n">
        <v>8</v>
      </c>
      <c r="L8" s="13" t="n">
        <v>7</v>
      </c>
      <c r="M8" s="13" t="n">
        <v>6</v>
      </c>
      <c r="N8" s="13" t="n">
        <v>8</v>
      </c>
      <c r="O8" s="13" t="n">
        <v>7</v>
      </c>
      <c r="P8" s="13" t="n">
        <v>7</v>
      </c>
      <c r="Q8" s="13" t="n">
        <v>6</v>
      </c>
      <c r="R8" s="13" t="n">
        <v>8</v>
      </c>
      <c r="S8" s="13" t="n">
        <v>5</v>
      </c>
      <c r="T8" s="13" t="n">
        <v>10</v>
      </c>
      <c r="U8" s="13" t="n">
        <v>6</v>
      </c>
      <c r="V8" s="13" t="n">
        <v>8</v>
      </c>
      <c r="W8" s="13" t="n">
        <v>9</v>
      </c>
      <c r="X8" s="13" t="n">
        <v>10</v>
      </c>
      <c r="Y8" s="13" t="n">
        <v>9</v>
      </c>
      <c r="Z8" s="13" t="n">
        <v>7</v>
      </c>
      <c r="AA8" s="13" t="n">
        <v>9</v>
      </c>
      <c r="AB8" s="13" t="n">
        <v>10</v>
      </c>
      <c r="AC8" s="13" t="n">
        <v>8</v>
      </c>
      <c r="AD8" s="13" t="n">
        <v>8</v>
      </c>
      <c r="AE8" s="13" t="n">
        <v>5</v>
      </c>
      <c r="AF8" s="13" t="n">
        <v>6</v>
      </c>
      <c r="AG8" s="13" t="n">
        <v>5</v>
      </c>
      <c r="AH8" s="13" t="n">
        <v>7</v>
      </c>
      <c r="AI8" s="13" t="n">
        <v>7</v>
      </c>
      <c r="AJ8" s="13" t="n">
        <v>10</v>
      </c>
      <c r="AK8" s="13" t="n">
        <v>3</v>
      </c>
      <c r="AL8" s="13" t="n">
        <v>8</v>
      </c>
      <c r="AM8" s="13" t="n">
        <v>4</v>
      </c>
      <c r="AN8" s="13" t="n">
        <v>8</v>
      </c>
      <c r="AO8" s="13" t="n">
        <v>4</v>
      </c>
      <c r="AP8" s="13" t="n">
        <v>8</v>
      </c>
      <c r="AQ8" s="13" t="n">
        <v>5</v>
      </c>
      <c r="AR8" s="13" t="n">
        <v>7</v>
      </c>
      <c r="AS8" s="13" t="n">
        <v>6</v>
      </c>
      <c r="AT8" s="13" t="n">
        <v>7</v>
      </c>
      <c r="AU8" s="13" t="n">
        <v>8</v>
      </c>
      <c r="AV8" s="13" t="n">
        <v>9</v>
      </c>
      <c r="AW8" s="13" t="n">
        <v>2</v>
      </c>
      <c r="AX8" s="13" t="n">
        <v>9</v>
      </c>
      <c r="AY8" s="13" t="n">
        <v>5</v>
      </c>
      <c r="AZ8" s="13" t="n">
        <v>8</v>
      </c>
      <c r="BA8" s="13" t="n">
        <v>4</v>
      </c>
      <c r="BB8" s="13" t="n">
        <v>8</v>
      </c>
      <c r="BC8" s="13" t="n">
        <v>4</v>
      </c>
      <c r="BD8" s="13" t="n">
        <v>7</v>
      </c>
      <c r="BE8" s="13" t="n">
        <v>5</v>
      </c>
      <c r="BF8" s="13" t="n">
        <v>8</v>
      </c>
      <c r="BG8" s="13" t="n">
        <v>4</v>
      </c>
      <c r="BH8" s="13" t="n">
        <v>8</v>
      </c>
      <c r="BI8" s="13" t="n">
        <v>5</v>
      </c>
      <c r="BJ8" s="13" t="n">
        <v>8</v>
      </c>
      <c r="BK8" s="13" t="n">
        <v>6</v>
      </c>
      <c r="BL8" s="13" t="n">
        <v>7</v>
      </c>
      <c r="BM8" s="13" t="n">
        <v>6</v>
      </c>
    </row>
    <row r="9">
      <c r="A9" s="5" t="inlineStr">
        <is>
          <t>R006</t>
        </is>
      </c>
      <c r="B9" s="5" t="inlineStr">
        <is>
          <t>Engineering</t>
        </is>
      </c>
      <c r="C9" s="5" t="inlineStr">
        <is>
          <t>London</t>
        </is>
      </c>
      <c r="D9" s="5" t="inlineStr">
        <is>
          <t>Corporate</t>
        </is>
      </c>
      <c r="E9" s="5" t="inlineStr">
        <is>
          <t>J. Brown</t>
        </is>
      </c>
      <c r="F9" s="4" t="n">
        <v>9</v>
      </c>
      <c r="G9" s="4" t="n">
        <v>5</v>
      </c>
      <c r="H9" s="4" t="n">
        <v>9</v>
      </c>
      <c r="I9" s="4" t="n">
        <v>4</v>
      </c>
      <c r="J9" s="4" t="n">
        <v>9</v>
      </c>
      <c r="K9" s="4" t="n">
        <v>6</v>
      </c>
      <c r="L9" s="4" t="n">
        <v>10</v>
      </c>
      <c r="M9" s="4" t="n">
        <v>3</v>
      </c>
      <c r="N9" s="4" t="n">
        <v>8</v>
      </c>
      <c r="O9" s="4" t="n">
        <v>4</v>
      </c>
      <c r="P9" s="4" t="n">
        <v>8</v>
      </c>
      <c r="Q9" s="4" t="n">
        <v>8</v>
      </c>
      <c r="R9" s="4" t="n">
        <v>9</v>
      </c>
      <c r="S9" s="4" t="n">
        <v>7</v>
      </c>
      <c r="T9" s="4" t="n">
        <v>8</v>
      </c>
      <c r="U9" s="4" t="n">
        <v>7</v>
      </c>
      <c r="V9" s="4" t="n">
        <v>10</v>
      </c>
      <c r="W9" s="4" t="n">
        <v>3</v>
      </c>
      <c r="X9" s="4" t="n">
        <v>8</v>
      </c>
      <c r="Y9" s="4" t="n">
        <v>6</v>
      </c>
      <c r="Z9" s="4" t="n">
        <v>8</v>
      </c>
      <c r="AA9" s="4" t="n">
        <v>8</v>
      </c>
      <c r="AB9" s="4" t="n">
        <v>7</v>
      </c>
      <c r="AC9" s="4" t="n">
        <v>7</v>
      </c>
      <c r="AD9" s="4" t="n">
        <v>8</v>
      </c>
      <c r="AE9" s="4" t="n">
        <v>5</v>
      </c>
      <c r="AF9" s="4" t="n">
        <v>8</v>
      </c>
      <c r="AG9" s="4" t="n">
        <v>6</v>
      </c>
      <c r="AH9" s="4" t="n">
        <v>9</v>
      </c>
      <c r="AI9" s="4" t="n">
        <v>7</v>
      </c>
      <c r="AJ9" s="4" t="n">
        <v>7</v>
      </c>
      <c r="AK9" s="4" t="n">
        <v>7</v>
      </c>
      <c r="AL9" s="4" t="n">
        <v>7</v>
      </c>
      <c r="AM9" s="4" t="n">
        <v>3</v>
      </c>
      <c r="AN9" s="4" t="n">
        <v>8</v>
      </c>
      <c r="AO9" s="4" t="n">
        <v>6</v>
      </c>
      <c r="AP9" s="4" t="n">
        <v>9</v>
      </c>
      <c r="AQ9" s="4" t="n">
        <v>7</v>
      </c>
      <c r="AR9" s="4" t="n">
        <v>8</v>
      </c>
      <c r="AS9" s="4" t="n">
        <v>8</v>
      </c>
      <c r="AT9" s="4" t="n">
        <v>8</v>
      </c>
      <c r="AU9" s="4" t="n">
        <v>7</v>
      </c>
      <c r="AV9" s="4" t="n">
        <v>9</v>
      </c>
      <c r="AW9" s="4" t="n">
        <v>7</v>
      </c>
      <c r="AX9" s="4" t="n">
        <v>8</v>
      </c>
      <c r="AY9" s="4" t="n">
        <v>6</v>
      </c>
      <c r="AZ9" s="4" t="n">
        <v>6</v>
      </c>
      <c r="BA9" s="4" t="n">
        <v>2</v>
      </c>
      <c r="BB9" s="4" t="n">
        <v>7</v>
      </c>
      <c r="BC9" s="4" t="n">
        <v>5</v>
      </c>
      <c r="BD9" s="4" t="n">
        <v>8</v>
      </c>
      <c r="BE9" s="4" t="n">
        <v>4</v>
      </c>
      <c r="BF9" s="4" t="n">
        <v>9</v>
      </c>
      <c r="BG9" s="4" t="n">
        <v>3</v>
      </c>
      <c r="BH9" s="4" t="n">
        <v>10</v>
      </c>
      <c r="BI9" s="4" t="n">
        <v>5</v>
      </c>
      <c r="BJ9" s="4" t="n">
        <v>7</v>
      </c>
      <c r="BK9" s="4" t="n">
        <v>6</v>
      </c>
      <c r="BL9" s="4" t="n">
        <v>7</v>
      </c>
      <c r="BM9" s="4" t="n">
        <v>8</v>
      </c>
    </row>
    <row r="10">
      <c r="A10" s="12" t="inlineStr">
        <is>
          <t>R007</t>
        </is>
      </c>
      <c r="B10" s="12" t="inlineStr">
        <is>
          <t>Engineering</t>
        </is>
      </c>
      <c r="C10" s="12" t="inlineStr">
        <is>
          <t>Sydney</t>
        </is>
      </c>
      <c r="D10" s="12" t="inlineStr">
        <is>
          <t>Enterprise</t>
        </is>
      </c>
      <c r="E10" s="12" t="inlineStr">
        <is>
          <t>K. Taylor</t>
        </is>
      </c>
      <c r="F10" s="13" t="n">
        <v>7</v>
      </c>
      <c r="G10" s="13" t="n">
        <v>5</v>
      </c>
      <c r="H10" s="13" t="n">
        <v>9</v>
      </c>
      <c r="I10" s="13" t="n">
        <v>6</v>
      </c>
      <c r="J10" s="13" t="n">
        <v>6</v>
      </c>
      <c r="K10" s="13" t="n">
        <v>6</v>
      </c>
      <c r="L10" s="13" t="n">
        <v>8</v>
      </c>
      <c r="M10" s="13" t="n">
        <v>5</v>
      </c>
      <c r="N10" s="13" t="n">
        <v>8</v>
      </c>
      <c r="O10" s="13" t="n">
        <v>6</v>
      </c>
      <c r="P10" s="13" t="n">
        <v>8</v>
      </c>
      <c r="Q10" s="13" t="n">
        <v>8</v>
      </c>
      <c r="R10" s="13" t="n">
        <v>8</v>
      </c>
      <c r="S10" s="13" t="n">
        <v>7</v>
      </c>
      <c r="T10" s="13" t="n">
        <v>9</v>
      </c>
      <c r="U10" s="13" t="n">
        <v>8</v>
      </c>
      <c r="V10" s="13" t="n">
        <v>7</v>
      </c>
      <c r="W10" s="13" t="n">
        <v>9</v>
      </c>
      <c r="X10" s="13" t="n">
        <v>8</v>
      </c>
      <c r="Y10" s="13" t="n">
        <v>7</v>
      </c>
      <c r="Z10" s="13" t="n">
        <v>9</v>
      </c>
      <c r="AA10" s="13" t="n">
        <v>8</v>
      </c>
      <c r="AB10" s="13" t="n">
        <v>8</v>
      </c>
      <c r="AC10" s="13" t="n">
        <v>4</v>
      </c>
      <c r="AD10" s="13" t="n">
        <v>5</v>
      </c>
      <c r="AE10" s="13" t="n">
        <v>7</v>
      </c>
      <c r="AF10" s="13" t="n">
        <v>8</v>
      </c>
      <c r="AG10" s="13" t="n">
        <v>9</v>
      </c>
      <c r="AH10" s="13" t="n">
        <v>6</v>
      </c>
      <c r="AI10" s="13" t="n">
        <v>6</v>
      </c>
      <c r="AJ10" s="13" t="n">
        <v>7</v>
      </c>
      <c r="AK10" s="13" t="n">
        <v>7</v>
      </c>
      <c r="AL10" s="13" t="n">
        <v>8</v>
      </c>
      <c r="AM10" s="13" t="n">
        <v>4</v>
      </c>
      <c r="AN10" s="13" t="n">
        <v>8</v>
      </c>
      <c r="AO10" s="13" t="n">
        <v>6</v>
      </c>
      <c r="AP10" s="13" t="n">
        <v>6</v>
      </c>
      <c r="AQ10" s="13" t="n">
        <v>5</v>
      </c>
      <c r="AR10" s="13" t="n">
        <v>8</v>
      </c>
      <c r="AS10" s="13" t="n">
        <v>7</v>
      </c>
      <c r="AT10" s="13" t="n">
        <v>9</v>
      </c>
      <c r="AU10" s="13" t="n">
        <v>5</v>
      </c>
      <c r="AV10" s="13" t="n">
        <v>8</v>
      </c>
      <c r="AW10" s="13" t="n">
        <v>6</v>
      </c>
      <c r="AX10" s="13" t="n">
        <v>8</v>
      </c>
      <c r="AY10" s="13" t="n">
        <v>6</v>
      </c>
      <c r="AZ10" s="13" t="n">
        <v>7</v>
      </c>
      <c r="BA10" s="13" t="n">
        <v>10</v>
      </c>
      <c r="BB10" s="13" t="n">
        <v>7</v>
      </c>
      <c r="BC10" s="13" t="n">
        <v>5</v>
      </c>
      <c r="BD10" s="13" t="n">
        <v>6</v>
      </c>
      <c r="BE10" s="13" t="n">
        <v>5</v>
      </c>
      <c r="BF10" s="13" t="n">
        <v>7</v>
      </c>
      <c r="BG10" s="13" t="n">
        <v>5</v>
      </c>
      <c r="BH10" s="13" t="n">
        <v>10</v>
      </c>
      <c r="BI10" s="13" t="n">
        <v>6</v>
      </c>
      <c r="BJ10" s="13" t="n">
        <v>8</v>
      </c>
      <c r="BK10" s="13" t="n">
        <v>3</v>
      </c>
      <c r="BL10" s="13" t="n">
        <v>8</v>
      </c>
      <c r="BM10" s="13" t="n">
        <v>5</v>
      </c>
    </row>
    <row r="11">
      <c r="A11" s="5" t="inlineStr">
        <is>
          <t>R008</t>
        </is>
      </c>
      <c r="B11" s="5" t="inlineStr">
        <is>
          <t>Finance</t>
        </is>
      </c>
      <c r="C11" s="5" t="inlineStr">
        <is>
          <t>Tokyo</t>
        </is>
      </c>
      <c r="D11" s="5" t="inlineStr">
        <is>
          <t>Core Product</t>
        </is>
      </c>
      <c r="E11" s="5" t="inlineStr">
        <is>
          <t>L. Williams</t>
        </is>
      </c>
      <c r="F11" s="4" t="n">
        <v>9</v>
      </c>
      <c r="G11" s="4" t="n">
        <v>8</v>
      </c>
      <c r="H11" s="4" t="n">
        <v>8</v>
      </c>
      <c r="I11" s="4" t="n">
        <v>5</v>
      </c>
      <c r="J11" s="4" t="n">
        <v>7</v>
      </c>
      <c r="K11" s="4" t="n">
        <v>7</v>
      </c>
      <c r="L11" s="4" t="n">
        <v>9</v>
      </c>
      <c r="M11" s="4" t="n">
        <v>6</v>
      </c>
      <c r="N11" s="4" t="n">
        <v>6</v>
      </c>
      <c r="O11" s="4" t="n">
        <v>5</v>
      </c>
      <c r="P11" s="4" t="n">
        <v>8</v>
      </c>
      <c r="Q11" s="4" t="n">
        <v>8</v>
      </c>
      <c r="R11" s="4" t="n">
        <v>9</v>
      </c>
      <c r="S11" s="4" t="n">
        <v>7</v>
      </c>
      <c r="T11" s="4" t="n">
        <v>9</v>
      </c>
      <c r="U11" s="4" t="n">
        <v>7</v>
      </c>
      <c r="V11" s="4" t="n">
        <v>8</v>
      </c>
      <c r="W11" s="4" t="n">
        <v>8</v>
      </c>
      <c r="X11" s="4" t="n">
        <v>8</v>
      </c>
      <c r="Y11" s="4" t="n">
        <v>5</v>
      </c>
      <c r="Z11" s="4" t="n">
        <v>9</v>
      </c>
      <c r="AA11" s="4" t="n">
        <v>5</v>
      </c>
      <c r="AB11" s="4" t="n">
        <v>6</v>
      </c>
      <c r="AC11" s="4" t="n">
        <v>4</v>
      </c>
      <c r="AD11" s="4" t="n">
        <v>6</v>
      </c>
      <c r="AE11" s="4" t="n">
        <v>6</v>
      </c>
      <c r="AF11" s="4" t="n">
        <v>8</v>
      </c>
      <c r="AG11" s="4" t="n">
        <v>6</v>
      </c>
      <c r="AH11" s="4" t="n">
        <v>7</v>
      </c>
      <c r="AI11" s="4" t="n">
        <v>9</v>
      </c>
      <c r="AJ11" s="4" t="n">
        <v>8</v>
      </c>
      <c r="AK11" s="4" t="n">
        <v>6</v>
      </c>
      <c r="AL11" s="4" t="n">
        <v>7</v>
      </c>
      <c r="AM11" s="4" t="n">
        <v>2</v>
      </c>
      <c r="AN11" s="4" t="n">
        <v>10</v>
      </c>
      <c r="AO11" s="4" t="n">
        <v>3</v>
      </c>
      <c r="AP11" s="4" t="n">
        <v>8</v>
      </c>
      <c r="AQ11" s="4" t="n">
        <v>7</v>
      </c>
      <c r="AR11" s="4" t="n">
        <v>10</v>
      </c>
      <c r="AS11" s="4" t="n">
        <v>5</v>
      </c>
      <c r="AT11" s="4" t="n">
        <v>10</v>
      </c>
      <c r="AU11" s="4" t="n">
        <v>4</v>
      </c>
      <c r="AV11" s="4" t="n">
        <v>7</v>
      </c>
      <c r="AW11" s="4" t="n">
        <v>6</v>
      </c>
      <c r="AX11" s="4" t="n">
        <v>6</v>
      </c>
      <c r="AY11" s="4" t="n">
        <v>6</v>
      </c>
      <c r="AZ11" s="4" t="n">
        <v>8</v>
      </c>
      <c r="BA11" s="4" t="n">
        <v>7</v>
      </c>
      <c r="BB11" s="4" t="n">
        <v>7</v>
      </c>
      <c r="BC11" s="4" t="n">
        <v>6</v>
      </c>
      <c r="BD11" s="4" t="n">
        <v>7</v>
      </c>
      <c r="BE11" s="4" t="n">
        <v>7</v>
      </c>
      <c r="BF11" s="4" t="n">
        <v>7</v>
      </c>
      <c r="BG11" s="4" t="n">
        <v>7</v>
      </c>
      <c r="BH11" s="4" t="n">
        <v>10</v>
      </c>
      <c r="BI11" s="4" t="n">
        <v>4</v>
      </c>
      <c r="BJ11" s="4" t="n">
        <v>7</v>
      </c>
      <c r="BK11" s="4" t="n">
        <v>5</v>
      </c>
      <c r="BL11" s="4" t="n">
        <v>9</v>
      </c>
      <c r="BM11" s="4" t="n">
        <v>5</v>
      </c>
    </row>
    <row r="12">
      <c r="A12" s="12" t="inlineStr">
        <is>
          <t>R009</t>
        </is>
      </c>
      <c r="B12" s="12" t="inlineStr">
        <is>
          <t>Engineering</t>
        </is>
      </c>
      <c r="C12" s="12" t="inlineStr">
        <is>
          <t>Berlin</t>
        </is>
      </c>
      <c r="D12" s="12" t="inlineStr">
        <is>
          <t>Corporate</t>
        </is>
      </c>
      <c r="E12" s="12" t="inlineStr">
        <is>
          <t>J. Brown</t>
        </is>
      </c>
      <c r="F12" s="13" t="n">
        <v>9</v>
      </c>
      <c r="G12" s="13" t="n">
        <v>7</v>
      </c>
      <c r="H12" s="13" t="n">
        <v>7</v>
      </c>
      <c r="I12" s="13" t="n">
        <v>6</v>
      </c>
      <c r="J12" s="13" t="n">
        <v>8</v>
      </c>
      <c r="K12" s="13" t="n">
        <v>7</v>
      </c>
      <c r="L12" s="13" t="n">
        <v>9</v>
      </c>
      <c r="M12" s="13" t="n">
        <v>3</v>
      </c>
      <c r="N12" s="13" t="n">
        <v>9</v>
      </c>
      <c r="O12" s="13" t="n">
        <v>8</v>
      </c>
      <c r="P12" s="13" t="n">
        <v>10</v>
      </c>
      <c r="Q12" s="13" t="n">
        <v>9</v>
      </c>
      <c r="R12" s="13" t="n">
        <v>8</v>
      </c>
      <c r="S12" s="13" t="n">
        <v>7</v>
      </c>
      <c r="T12" s="13" t="n">
        <v>6</v>
      </c>
      <c r="U12" s="13" t="n">
        <v>7</v>
      </c>
      <c r="V12" s="13" t="n">
        <v>8</v>
      </c>
      <c r="W12" s="13" t="n">
        <v>10</v>
      </c>
      <c r="X12" s="13" t="n">
        <v>8</v>
      </c>
      <c r="Y12" s="13" t="n">
        <v>9</v>
      </c>
      <c r="Z12" s="13" t="n">
        <v>9</v>
      </c>
      <c r="AA12" s="13" t="n">
        <v>6</v>
      </c>
      <c r="AB12" s="13" t="n">
        <v>8</v>
      </c>
      <c r="AC12" s="13" t="n">
        <v>6</v>
      </c>
      <c r="AD12" s="13" t="n">
        <v>5</v>
      </c>
      <c r="AE12" s="13" t="n">
        <v>8</v>
      </c>
      <c r="AF12" s="13" t="n">
        <v>8</v>
      </c>
      <c r="AG12" s="13" t="n">
        <v>5</v>
      </c>
      <c r="AH12" s="13" t="n">
        <v>4</v>
      </c>
      <c r="AI12" s="13" t="n">
        <v>4</v>
      </c>
      <c r="AJ12" s="13" t="n">
        <v>9</v>
      </c>
      <c r="AK12" s="13" t="n">
        <v>7</v>
      </c>
      <c r="AL12" s="13" t="n">
        <v>7</v>
      </c>
      <c r="AM12" s="13" t="n">
        <v>5</v>
      </c>
      <c r="AN12" s="13" t="n">
        <v>8</v>
      </c>
      <c r="AO12" s="13" t="n">
        <v>6</v>
      </c>
      <c r="AP12" s="13" t="n">
        <v>7</v>
      </c>
      <c r="AQ12" s="13" t="n">
        <v>5</v>
      </c>
      <c r="AR12" s="13" t="n">
        <v>10</v>
      </c>
      <c r="AS12" s="13" t="n">
        <v>6</v>
      </c>
      <c r="AT12" s="13" t="n">
        <v>8</v>
      </c>
      <c r="AU12" s="13" t="n">
        <v>4</v>
      </c>
      <c r="AV12" s="13" t="n">
        <v>9</v>
      </c>
      <c r="AW12" s="13" t="n">
        <v>1</v>
      </c>
      <c r="AX12" s="13" t="n">
        <v>9</v>
      </c>
      <c r="AY12" s="13" t="n">
        <v>6</v>
      </c>
      <c r="AZ12" s="13" t="n">
        <v>9</v>
      </c>
      <c r="BA12" s="13" t="n">
        <v>3</v>
      </c>
      <c r="BB12" s="13" t="n">
        <v>6</v>
      </c>
      <c r="BC12" s="13" t="n">
        <v>5</v>
      </c>
      <c r="BD12" s="13" t="n">
        <v>7</v>
      </c>
      <c r="BE12" s="13" t="n">
        <v>6</v>
      </c>
      <c r="BF12" s="13" t="n">
        <v>5</v>
      </c>
      <c r="BG12" s="13" t="n">
        <v>6</v>
      </c>
      <c r="BH12" s="13" t="n">
        <v>7</v>
      </c>
      <c r="BI12" s="13" t="n">
        <v>3</v>
      </c>
      <c r="BJ12" s="13" t="n">
        <v>9</v>
      </c>
      <c r="BK12" s="13" t="n">
        <v>2</v>
      </c>
      <c r="BL12" s="13" t="n">
        <v>7</v>
      </c>
      <c r="BM12" s="13" t="n">
        <v>8</v>
      </c>
    </row>
    <row r="13">
      <c r="A13" s="5" t="inlineStr">
        <is>
          <t>R010</t>
        </is>
      </c>
      <c r="B13" s="5" t="inlineStr">
        <is>
          <t>Finance</t>
        </is>
      </c>
      <c r="C13" s="5" t="inlineStr">
        <is>
          <t>New York</t>
        </is>
      </c>
      <c r="D13" s="5" t="inlineStr">
        <is>
          <t>Core Product</t>
        </is>
      </c>
      <c r="E13" s="5" t="inlineStr">
        <is>
          <t>L. Williams</t>
        </is>
      </c>
      <c r="F13" s="4" t="n">
        <v>6</v>
      </c>
      <c r="G13" s="4" t="n">
        <v>4</v>
      </c>
      <c r="H13" s="4" t="n">
        <v>8</v>
      </c>
      <c r="I13" s="4" t="n">
        <v>5</v>
      </c>
      <c r="J13" s="4" t="n">
        <v>6</v>
      </c>
      <c r="K13" s="4" t="n">
        <v>4</v>
      </c>
      <c r="L13" s="4" t="n">
        <v>9</v>
      </c>
      <c r="M13" s="4" t="n">
        <v>2</v>
      </c>
      <c r="N13" s="4" t="n">
        <v>7</v>
      </c>
      <c r="O13" s="4" t="n">
        <v>7</v>
      </c>
      <c r="P13" s="4" t="n">
        <v>7</v>
      </c>
      <c r="Q13" s="4" t="n">
        <v>8</v>
      </c>
      <c r="R13" s="4" t="n">
        <v>9</v>
      </c>
      <c r="S13" s="4" t="n">
        <v>8</v>
      </c>
      <c r="T13" s="4" t="n">
        <v>8</v>
      </c>
      <c r="U13" s="4" t="n">
        <v>5</v>
      </c>
      <c r="V13" s="4" t="n">
        <v>8</v>
      </c>
      <c r="W13" s="4" t="n">
        <v>9</v>
      </c>
      <c r="X13" s="4" t="n">
        <v>7</v>
      </c>
      <c r="Y13" s="4" t="n">
        <v>4</v>
      </c>
      <c r="Z13" s="4" t="n">
        <v>7</v>
      </c>
      <c r="AA13" s="4" t="n">
        <v>8</v>
      </c>
      <c r="AB13" s="4" t="n">
        <v>10</v>
      </c>
      <c r="AC13" s="4" t="n">
        <v>5</v>
      </c>
      <c r="AD13" s="4" t="n">
        <v>9</v>
      </c>
      <c r="AE13" s="4" t="n">
        <v>6</v>
      </c>
      <c r="AF13" s="4" t="n">
        <v>6</v>
      </c>
      <c r="AG13" s="4" t="n">
        <v>10</v>
      </c>
      <c r="AH13" s="4" t="n">
        <v>8</v>
      </c>
      <c r="AI13" s="4" t="n">
        <v>7</v>
      </c>
      <c r="AJ13" s="4" t="n">
        <v>10</v>
      </c>
      <c r="AK13" s="4" t="n">
        <v>2</v>
      </c>
      <c r="AL13" s="4" t="n">
        <v>10</v>
      </c>
      <c r="AM13" s="4" t="n">
        <v>6</v>
      </c>
      <c r="AN13" s="4" t="n">
        <v>10</v>
      </c>
      <c r="AO13" s="4" t="n">
        <v>5</v>
      </c>
      <c r="AP13" s="4" t="n">
        <v>9</v>
      </c>
      <c r="AQ13" s="4" t="n">
        <v>2</v>
      </c>
      <c r="AR13" s="4" t="n">
        <v>8</v>
      </c>
      <c r="AS13" s="4" t="n">
        <v>9</v>
      </c>
      <c r="AT13" s="4" t="n">
        <v>8</v>
      </c>
      <c r="AU13" s="4" t="n">
        <v>7</v>
      </c>
      <c r="AV13" s="4" t="n">
        <v>8</v>
      </c>
      <c r="AW13" s="4" t="n">
        <v>3</v>
      </c>
      <c r="AX13" s="4" t="n">
        <v>10</v>
      </c>
      <c r="AY13" s="4" t="n">
        <v>1</v>
      </c>
      <c r="AZ13" s="4" t="n">
        <v>6</v>
      </c>
      <c r="BA13" s="4" t="n">
        <v>4</v>
      </c>
      <c r="BB13" s="4" t="n">
        <v>7</v>
      </c>
      <c r="BC13" s="4" t="n">
        <v>8</v>
      </c>
      <c r="BD13" s="4" t="n">
        <v>9</v>
      </c>
      <c r="BE13" s="4" t="n">
        <v>7</v>
      </c>
      <c r="BF13" s="4" t="n">
        <v>6</v>
      </c>
      <c r="BG13" s="4" t="n">
        <v>4</v>
      </c>
      <c r="BH13" s="4" t="n">
        <v>8</v>
      </c>
      <c r="BI13" s="4" t="n">
        <v>8</v>
      </c>
      <c r="BJ13" s="4" t="n">
        <v>9</v>
      </c>
      <c r="BK13" s="4" t="n">
        <v>2</v>
      </c>
      <c r="BL13" s="4" t="n">
        <v>10</v>
      </c>
      <c r="BM13" s="4" t="n">
        <v>8</v>
      </c>
    </row>
    <row r="14">
      <c r="A14" s="12" t="inlineStr">
        <is>
          <t>R011</t>
        </is>
      </c>
      <c r="B14" s="12" t="inlineStr">
        <is>
          <t>Marketing</t>
        </is>
      </c>
      <c r="C14" s="12" t="inlineStr">
        <is>
          <t>Sydney</t>
        </is>
      </c>
      <c r="D14" s="12" t="inlineStr">
        <is>
          <t>Enterprise</t>
        </is>
      </c>
      <c r="E14" s="12" t="inlineStr">
        <is>
          <t>A. Patel</t>
        </is>
      </c>
      <c r="F14" s="13" t="n">
        <v>8</v>
      </c>
      <c r="G14" s="13" t="n">
        <v>6</v>
      </c>
      <c r="H14" s="13" t="n">
        <v>6</v>
      </c>
      <c r="I14" s="13" t="n">
        <v>7</v>
      </c>
      <c r="J14" s="13" t="n">
        <v>6</v>
      </c>
      <c r="K14" s="13" t="n">
        <v>5</v>
      </c>
      <c r="L14" s="13" t="n">
        <v>10</v>
      </c>
      <c r="M14" s="13" t="n">
        <v>3</v>
      </c>
      <c r="N14" s="13" t="n">
        <v>8</v>
      </c>
      <c r="O14" s="13" t="n">
        <v>7</v>
      </c>
      <c r="P14" s="13" t="n">
        <v>9</v>
      </c>
      <c r="Q14" s="13" t="n">
        <v>6</v>
      </c>
      <c r="R14" s="13" t="n">
        <v>10</v>
      </c>
      <c r="S14" s="13" t="n">
        <v>9</v>
      </c>
      <c r="T14" s="13" t="n">
        <v>8</v>
      </c>
      <c r="U14" s="13" t="n">
        <v>7</v>
      </c>
      <c r="V14" s="13" t="n">
        <v>9</v>
      </c>
      <c r="W14" s="13" t="n">
        <v>8</v>
      </c>
      <c r="X14" s="13" t="n">
        <v>8</v>
      </c>
      <c r="Y14" s="13" t="n">
        <v>3</v>
      </c>
      <c r="Z14" s="13" t="n">
        <v>7</v>
      </c>
      <c r="AA14" s="13" t="n">
        <v>6</v>
      </c>
      <c r="AB14" s="13" t="n">
        <v>9</v>
      </c>
      <c r="AC14" s="13" t="n">
        <v>7</v>
      </c>
      <c r="AD14" s="13" t="n">
        <v>8</v>
      </c>
      <c r="AE14" s="13" t="n">
        <v>6</v>
      </c>
      <c r="AF14" s="13" t="n">
        <v>5</v>
      </c>
      <c r="AG14" s="13" t="n">
        <v>8</v>
      </c>
      <c r="AH14" s="13" t="n">
        <v>9</v>
      </c>
      <c r="AI14" s="13" t="n">
        <v>8</v>
      </c>
      <c r="AJ14" s="13" t="n">
        <v>9</v>
      </c>
      <c r="AK14" s="13" t="n">
        <v>5</v>
      </c>
      <c r="AL14" s="13" t="n">
        <v>8</v>
      </c>
      <c r="AM14" s="13" t="n">
        <v>6</v>
      </c>
      <c r="AN14" s="13" t="n">
        <v>7</v>
      </c>
      <c r="AO14" s="13" t="n">
        <v>6</v>
      </c>
      <c r="AP14" s="13" t="n">
        <v>8</v>
      </c>
      <c r="AQ14" s="13" t="n">
        <v>5</v>
      </c>
      <c r="AR14" s="13" t="n">
        <v>8</v>
      </c>
      <c r="AS14" s="13" t="n">
        <v>6</v>
      </c>
      <c r="AT14" s="13" t="n">
        <v>10</v>
      </c>
      <c r="AU14" s="13" t="n">
        <v>7</v>
      </c>
      <c r="AV14" s="13" t="n">
        <v>8</v>
      </c>
      <c r="AW14" s="13" t="n">
        <v>9</v>
      </c>
      <c r="AX14" s="13" t="n">
        <v>9</v>
      </c>
      <c r="AY14" s="13" t="n">
        <v>1</v>
      </c>
      <c r="AZ14" s="13" t="n">
        <v>5</v>
      </c>
      <c r="BA14" s="13" t="n">
        <v>5</v>
      </c>
      <c r="BB14" s="13" t="n">
        <v>8</v>
      </c>
      <c r="BC14" s="13" t="n">
        <v>5</v>
      </c>
      <c r="BD14" s="13" t="n">
        <v>10</v>
      </c>
      <c r="BE14" s="13" t="n">
        <v>1</v>
      </c>
      <c r="BF14" s="13" t="n">
        <v>9</v>
      </c>
      <c r="BG14" s="13" t="n">
        <v>6</v>
      </c>
      <c r="BH14" s="13" t="n">
        <v>9</v>
      </c>
      <c r="BI14" s="13" t="n">
        <v>6</v>
      </c>
      <c r="BJ14" s="13" t="n">
        <v>7</v>
      </c>
      <c r="BK14" s="13" t="n">
        <v>4</v>
      </c>
      <c r="BL14" s="13" t="n">
        <v>7</v>
      </c>
      <c r="BM14" s="13" t="n">
        <v>3</v>
      </c>
    </row>
    <row r="15">
      <c r="A15" s="5" t="inlineStr">
        <is>
          <t>R012</t>
        </is>
      </c>
      <c r="B15" s="5" t="inlineStr">
        <is>
          <t>Operations</t>
        </is>
      </c>
      <c r="C15" s="5" t="inlineStr">
        <is>
          <t>Berlin</t>
        </is>
      </c>
      <c r="D15" s="5" t="inlineStr">
        <is>
          <t>Enterprise</t>
        </is>
      </c>
      <c r="E15" s="5" t="inlineStr">
        <is>
          <t>K. Taylor</t>
        </is>
      </c>
      <c r="F15" s="4" t="n">
        <v>8</v>
      </c>
      <c r="G15" s="4" t="n">
        <v>6</v>
      </c>
      <c r="H15" s="4" t="n">
        <v>9</v>
      </c>
      <c r="I15" s="4" t="n">
        <v>5</v>
      </c>
      <c r="J15" s="4" t="n">
        <v>7</v>
      </c>
      <c r="K15" s="4" t="n">
        <v>5</v>
      </c>
      <c r="L15" s="4" t="n">
        <v>8</v>
      </c>
      <c r="M15" s="4" t="n">
        <v>7</v>
      </c>
      <c r="N15" s="4" t="n">
        <v>7</v>
      </c>
      <c r="O15" s="4" t="n">
        <v>5</v>
      </c>
      <c r="P15" s="4" t="n">
        <v>7</v>
      </c>
      <c r="Q15" s="4" t="n">
        <v>8</v>
      </c>
      <c r="R15" s="4" t="n">
        <v>7</v>
      </c>
      <c r="S15" s="4" t="n">
        <v>6</v>
      </c>
      <c r="T15" s="4" t="n">
        <v>9</v>
      </c>
      <c r="U15" s="4" t="n">
        <v>8</v>
      </c>
      <c r="V15" s="4" t="n">
        <v>6</v>
      </c>
      <c r="W15" s="4" t="n">
        <v>5</v>
      </c>
      <c r="X15" s="4" t="n">
        <v>9</v>
      </c>
      <c r="Y15" s="4" t="n">
        <v>5</v>
      </c>
      <c r="Z15" s="4" t="n">
        <v>6</v>
      </c>
      <c r="AA15" s="4" t="n">
        <v>8</v>
      </c>
      <c r="AB15" s="4" t="n">
        <v>7</v>
      </c>
      <c r="AC15" s="4" t="n">
        <v>7</v>
      </c>
      <c r="AD15" s="4" t="n">
        <v>7</v>
      </c>
      <c r="AE15" s="4" t="n">
        <v>5</v>
      </c>
      <c r="AF15" s="4" t="n">
        <v>9</v>
      </c>
      <c r="AG15" s="4" t="n">
        <v>7</v>
      </c>
      <c r="AH15" s="4" t="n">
        <v>7</v>
      </c>
      <c r="AI15" s="4" t="n">
        <v>7</v>
      </c>
      <c r="AJ15" s="4" t="n">
        <v>9</v>
      </c>
      <c r="AK15" s="4" t="n">
        <v>5</v>
      </c>
      <c r="AL15" s="4" t="n">
        <v>6</v>
      </c>
      <c r="AM15" s="4" t="n">
        <v>7</v>
      </c>
      <c r="AN15" s="4" t="n">
        <v>6</v>
      </c>
      <c r="AO15" s="4" t="n">
        <v>7</v>
      </c>
      <c r="AP15" s="4" t="n">
        <v>8</v>
      </c>
      <c r="AQ15" s="4" t="n">
        <v>7</v>
      </c>
      <c r="AR15" s="4" t="n">
        <v>7</v>
      </c>
      <c r="AS15" s="4" t="n">
        <v>5</v>
      </c>
      <c r="AT15" s="4" t="n">
        <v>8</v>
      </c>
      <c r="AU15" s="4" t="n">
        <v>4</v>
      </c>
      <c r="AV15" s="4" t="n">
        <v>8</v>
      </c>
      <c r="AW15" s="4" t="n">
        <v>6</v>
      </c>
      <c r="AX15" s="4" t="n">
        <v>6</v>
      </c>
      <c r="AY15" s="4" t="n">
        <v>6</v>
      </c>
      <c r="AZ15" s="4" t="n">
        <v>6</v>
      </c>
      <c r="BA15" s="4" t="n">
        <v>4</v>
      </c>
      <c r="BB15" s="4" t="n">
        <v>6</v>
      </c>
      <c r="BC15" s="4" t="n">
        <v>4</v>
      </c>
      <c r="BD15" s="4" t="n">
        <v>9</v>
      </c>
      <c r="BE15" s="4" t="n">
        <v>5</v>
      </c>
      <c r="BF15" s="4" t="n">
        <v>9</v>
      </c>
      <c r="BG15" s="4" t="n">
        <v>4</v>
      </c>
      <c r="BH15" s="4" t="n">
        <v>9</v>
      </c>
      <c r="BI15" s="4" t="n">
        <v>7</v>
      </c>
      <c r="BJ15" s="4" t="n">
        <v>8</v>
      </c>
      <c r="BK15" s="4" t="n">
        <v>1</v>
      </c>
      <c r="BL15" s="4" t="n">
        <v>7</v>
      </c>
      <c r="BM15" s="4" t="n">
        <v>5</v>
      </c>
    </row>
    <row r="16">
      <c r="A16" s="12" t="inlineStr">
        <is>
          <t>R013</t>
        </is>
      </c>
      <c r="B16" s="12" t="inlineStr">
        <is>
          <t>Marketing</t>
        </is>
      </c>
      <c r="C16" s="12" t="inlineStr">
        <is>
          <t>Tokyo</t>
        </is>
      </c>
      <c r="D16" s="12" t="inlineStr">
        <is>
          <t>Enterprise</t>
        </is>
      </c>
      <c r="E16" s="12" t="inlineStr">
        <is>
          <t>T. Garcia</t>
        </is>
      </c>
      <c r="F16" s="13" t="n">
        <v>8</v>
      </c>
      <c r="G16" s="13" t="n">
        <v>4</v>
      </c>
      <c r="H16" s="13" t="n">
        <v>8</v>
      </c>
      <c r="I16" s="13" t="n">
        <v>6</v>
      </c>
      <c r="J16" s="13" t="n">
        <v>7</v>
      </c>
      <c r="K16" s="13" t="n">
        <v>5</v>
      </c>
      <c r="L16" s="13" t="n">
        <v>7</v>
      </c>
      <c r="M16" s="13" t="n">
        <v>6</v>
      </c>
      <c r="N16" s="13" t="n">
        <v>8</v>
      </c>
      <c r="O16" s="13" t="n">
        <v>5</v>
      </c>
      <c r="P16" s="13" t="n">
        <v>8</v>
      </c>
      <c r="Q16" s="13" t="n">
        <v>9</v>
      </c>
      <c r="R16" s="13" t="n">
        <v>8</v>
      </c>
      <c r="S16" s="13" t="n">
        <v>6</v>
      </c>
      <c r="T16" s="13" t="n">
        <v>8</v>
      </c>
      <c r="U16" s="13" t="n">
        <v>6</v>
      </c>
      <c r="V16" s="13" t="n">
        <v>8</v>
      </c>
      <c r="W16" s="13" t="n">
        <v>7</v>
      </c>
      <c r="X16" s="13" t="n">
        <v>8</v>
      </c>
      <c r="Y16" s="13" t="n">
        <v>7</v>
      </c>
      <c r="Z16" s="13" t="n">
        <v>8</v>
      </c>
      <c r="AA16" s="13" t="n">
        <v>8</v>
      </c>
      <c r="AB16" s="13" t="n">
        <v>5</v>
      </c>
      <c r="AC16" s="13" t="n">
        <v>6</v>
      </c>
      <c r="AD16" s="13" t="n">
        <v>9</v>
      </c>
      <c r="AE16" s="13" t="n">
        <v>2</v>
      </c>
      <c r="AF16" s="13" t="n">
        <v>10</v>
      </c>
      <c r="AG16" s="13" t="n">
        <v>5</v>
      </c>
      <c r="AH16" s="13" t="n">
        <v>6</v>
      </c>
      <c r="AI16" s="13" t="n">
        <v>6</v>
      </c>
      <c r="AJ16" s="13" t="n">
        <v>8</v>
      </c>
      <c r="AK16" s="13" t="n">
        <v>6</v>
      </c>
      <c r="AL16" s="13" t="n">
        <v>8</v>
      </c>
      <c r="AM16" s="13" t="n">
        <v>3</v>
      </c>
      <c r="AN16" s="13" t="n">
        <v>8</v>
      </c>
      <c r="AO16" s="13" t="n">
        <v>5</v>
      </c>
      <c r="AP16" s="13" t="n">
        <v>8</v>
      </c>
      <c r="AQ16" s="13" t="n">
        <v>8</v>
      </c>
      <c r="AR16" s="13" t="n">
        <v>7</v>
      </c>
      <c r="AS16" s="13" t="n">
        <v>6</v>
      </c>
      <c r="AT16" s="13" t="n">
        <v>7</v>
      </c>
      <c r="AU16" s="13" t="n">
        <v>6</v>
      </c>
      <c r="AV16" s="13" t="n">
        <v>9</v>
      </c>
      <c r="AW16" s="13" t="n">
        <v>7</v>
      </c>
      <c r="AX16" s="13" t="n">
        <v>6</v>
      </c>
      <c r="AY16" s="13" t="n">
        <v>8</v>
      </c>
      <c r="AZ16" s="13" t="n">
        <v>8</v>
      </c>
      <c r="BA16" s="13" t="n">
        <v>4</v>
      </c>
      <c r="BB16" s="13" t="n">
        <v>8</v>
      </c>
      <c r="BC16" s="13" t="n">
        <v>8</v>
      </c>
      <c r="BD16" s="13" t="n">
        <v>8</v>
      </c>
      <c r="BE16" s="13" t="n">
        <v>4</v>
      </c>
      <c r="BF16" s="13" t="n">
        <v>6</v>
      </c>
      <c r="BG16" s="13" t="n">
        <v>5</v>
      </c>
      <c r="BH16" s="13" t="n">
        <v>6</v>
      </c>
      <c r="BI16" s="13" t="n">
        <v>6</v>
      </c>
      <c r="BJ16" s="13" t="n">
        <v>7</v>
      </c>
      <c r="BK16" s="13" t="n">
        <v>3</v>
      </c>
      <c r="BL16" s="13" t="n">
        <v>8</v>
      </c>
      <c r="BM16" s="13" t="n">
        <v>4</v>
      </c>
    </row>
    <row r="17">
      <c r="A17" s="5" t="inlineStr">
        <is>
          <t>R014</t>
        </is>
      </c>
      <c r="B17" s="5" t="inlineStr">
        <is>
          <t>Human Resources</t>
        </is>
      </c>
      <c r="C17" s="5" t="inlineStr">
        <is>
          <t>Tokyo</t>
        </is>
      </c>
      <c r="D17" s="5" t="inlineStr">
        <is>
          <t>Enterprise</t>
        </is>
      </c>
      <c r="E17" s="5" t="inlineStr">
        <is>
          <t>M. Chen</t>
        </is>
      </c>
      <c r="F17" s="4" t="n">
        <v>8</v>
      </c>
      <c r="G17" s="4" t="n">
        <v>7</v>
      </c>
      <c r="H17" s="4" t="n">
        <v>9</v>
      </c>
      <c r="I17" s="4" t="n">
        <v>7</v>
      </c>
      <c r="J17" s="4" t="n">
        <v>6</v>
      </c>
      <c r="K17" s="4" t="n">
        <v>3</v>
      </c>
      <c r="L17" s="4" t="n">
        <v>7</v>
      </c>
      <c r="M17" s="4" t="n">
        <v>5</v>
      </c>
      <c r="N17" s="4" t="n">
        <v>9</v>
      </c>
      <c r="O17" s="4" t="n">
        <v>2</v>
      </c>
      <c r="P17" s="4" t="n">
        <v>7</v>
      </c>
      <c r="Q17" s="4" t="n">
        <v>5</v>
      </c>
      <c r="R17" s="4" t="n">
        <v>6</v>
      </c>
      <c r="S17" s="4" t="n">
        <v>7</v>
      </c>
      <c r="T17" s="4" t="n">
        <v>9</v>
      </c>
      <c r="U17" s="4" t="n">
        <v>6</v>
      </c>
      <c r="V17" s="4" t="n">
        <v>10</v>
      </c>
      <c r="W17" s="4" t="n">
        <v>7</v>
      </c>
      <c r="X17" s="4" t="n">
        <v>7</v>
      </c>
      <c r="Y17" s="4" t="n">
        <v>6</v>
      </c>
      <c r="Z17" s="4" t="n">
        <v>9</v>
      </c>
      <c r="AA17" s="4" t="n">
        <v>6</v>
      </c>
      <c r="AB17" s="4" t="n">
        <v>7</v>
      </c>
      <c r="AC17" s="4" t="n">
        <v>6</v>
      </c>
      <c r="AD17" s="4" t="n">
        <v>7</v>
      </c>
      <c r="AE17" s="4" t="n">
        <v>8</v>
      </c>
      <c r="AF17" s="4" t="n">
        <v>7</v>
      </c>
      <c r="AG17" s="4" t="n">
        <v>7</v>
      </c>
      <c r="AH17" s="4" t="n">
        <v>9</v>
      </c>
      <c r="AI17" s="4" t="n">
        <v>6</v>
      </c>
      <c r="AJ17" s="4" t="n">
        <v>9</v>
      </c>
      <c r="AK17" s="4" t="n">
        <v>7</v>
      </c>
      <c r="AL17" s="4" t="n">
        <v>7</v>
      </c>
      <c r="AM17" s="4" t="n">
        <v>8</v>
      </c>
      <c r="AN17" s="4" t="n">
        <v>9</v>
      </c>
      <c r="AO17" s="4" t="n">
        <v>7</v>
      </c>
      <c r="AP17" s="4" t="n">
        <v>7</v>
      </c>
      <c r="AQ17" s="4" t="n">
        <v>5</v>
      </c>
      <c r="AR17" s="4" t="n">
        <v>9</v>
      </c>
      <c r="AS17" s="4" t="n">
        <v>7</v>
      </c>
      <c r="AT17" s="4" t="n">
        <v>10</v>
      </c>
      <c r="AU17" s="4" t="n">
        <v>5</v>
      </c>
      <c r="AV17" s="4" t="n">
        <v>10</v>
      </c>
      <c r="AW17" s="4" t="n">
        <v>1</v>
      </c>
      <c r="AX17" s="4" t="n">
        <v>9</v>
      </c>
      <c r="AY17" s="4" t="n">
        <v>5</v>
      </c>
      <c r="AZ17" s="4" t="n">
        <v>10</v>
      </c>
      <c r="BA17" s="4" t="n">
        <v>10</v>
      </c>
      <c r="BB17" s="4" t="n">
        <v>7</v>
      </c>
      <c r="BC17" s="4" t="n">
        <v>8</v>
      </c>
      <c r="BD17" s="4" t="n">
        <v>6</v>
      </c>
      <c r="BE17" s="4" t="n">
        <v>4</v>
      </c>
      <c r="BF17" s="4" t="n">
        <v>7</v>
      </c>
      <c r="BG17" s="4" t="n">
        <v>2</v>
      </c>
      <c r="BH17" s="4" t="n">
        <v>7</v>
      </c>
      <c r="BI17" s="4" t="n">
        <v>4</v>
      </c>
      <c r="BJ17" s="4" t="n">
        <v>7</v>
      </c>
      <c r="BK17" s="4" t="n">
        <v>3</v>
      </c>
      <c r="BL17" s="4" t="n">
        <v>8</v>
      </c>
      <c r="BM17" s="4" t="n">
        <v>4</v>
      </c>
    </row>
    <row r="18">
      <c r="A18" s="12" t="inlineStr">
        <is>
          <t>R015</t>
        </is>
      </c>
      <c r="B18" s="12" t="inlineStr">
        <is>
          <t>Operations</t>
        </is>
      </c>
      <c r="C18" s="12" t="inlineStr">
        <is>
          <t>London</t>
        </is>
      </c>
      <c r="D18" s="12" t="inlineStr">
        <is>
          <t>Corporate</t>
        </is>
      </c>
      <c r="E18" s="12" t="inlineStr">
        <is>
          <t>R. Kim</t>
        </is>
      </c>
      <c r="F18" s="13" t="n">
        <v>8</v>
      </c>
      <c r="G18" s="13" t="n">
        <v>4</v>
      </c>
      <c r="H18" s="13" t="n">
        <v>8</v>
      </c>
      <c r="I18" s="13" t="n">
        <v>10</v>
      </c>
      <c r="J18" s="13" t="n">
        <v>8</v>
      </c>
      <c r="K18" s="13" t="n">
        <v>6</v>
      </c>
      <c r="L18" s="13" t="n">
        <v>7</v>
      </c>
      <c r="M18" s="13" t="n">
        <v>6</v>
      </c>
      <c r="N18" s="13" t="n">
        <v>8</v>
      </c>
      <c r="O18" s="13" t="n">
        <v>4</v>
      </c>
      <c r="P18" s="13" t="n">
        <v>9</v>
      </c>
      <c r="Q18" s="13" t="n">
        <v>7</v>
      </c>
      <c r="R18" s="13" t="n">
        <v>8</v>
      </c>
      <c r="S18" s="13" t="n">
        <v>6</v>
      </c>
      <c r="T18" s="13" t="n">
        <v>6</v>
      </c>
      <c r="U18" s="13" t="n">
        <v>9</v>
      </c>
      <c r="V18" s="13" t="n">
        <v>8</v>
      </c>
      <c r="W18" s="13" t="n">
        <v>6</v>
      </c>
      <c r="X18" s="13" t="n">
        <v>9</v>
      </c>
      <c r="Y18" s="13" t="n">
        <v>8</v>
      </c>
      <c r="Z18" s="13" t="n">
        <v>8</v>
      </c>
      <c r="AA18" s="13" t="n">
        <v>6</v>
      </c>
      <c r="AB18" s="13" t="n">
        <v>9</v>
      </c>
      <c r="AC18" s="13" t="n">
        <v>4</v>
      </c>
      <c r="AD18" s="13" t="n">
        <v>6</v>
      </c>
      <c r="AE18" s="13" t="n">
        <v>7</v>
      </c>
      <c r="AF18" s="13" t="n">
        <v>7</v>
      </c>
      <c r="AG18" s="13" t="n">
        <v>7</v>
      </c>
      <c r="AH18" s="13" t="n">
        <v>7</v>
      </c>
      <c r="AI18" s="13" t="n">
        <v>7</v>
      </c>
      <c r="AJ18" s="13" t="n">
        <v>10</v>
      </c>
      <c r="AK18" s="13" t="n">
        <v>3</v>
      </c>
      <c r="AL18" s="13" t="n">
        <v>9</v>
      </c>
      <c r="AM18" s="13" t="n">
        <v>3</v>
      </c>
      <c r="AN18" s="13" t="n">
        <v>9</v>
      </c>
      <c r="AO18" s="13" t="n">
        <v>1</v>
      </c>
      <c r="AP18" s="13" t="n">
        <v>6</v>
      </c>
      <c r="AQ18" s="13" t="n">
        <v>5</v>
      </c>
      <c r="AR18" s="13" t="n">
        <v>9</v>
      </c>
      <c r="AS18" s="13" t="n">
        <v>6</v>
      </c>
      <c r="AT18" s="13" t="n">
        <v>9</v>
      </c>
      <c r="AU18" s="13" t="n">
        <v>6</v>
      </c>
      <c r="AV18" s="13" t="n">
        <v>7</v>
      </c>
      <c r="AW18" s="13" t="n">
        <v>6</v>
      </c>
      <c r="AX18" s="13" t="n">
        <v>7</v>
      </c>
      <c r="AY18" s="13" t="n">
        <v>5</v>
      </c>
      <c r="AZ18" s="13" t="n">
        <v>8</v>
      </c>
      <c r="BA18" s="13" t="n">
        <v>6</v>
      </c>
      <c r="BB18" s="13" t="n">
        <v>7</v>
      </c>
      <c r="BC18" s="13" t="n">
        <v>5</v>
      </c>
      <c r="BD18" s="13" t="n">
        <v>8</v>
      </c>
      <c r="BE18" s="13" t="n">
        <v>4</v>
      </c>
      <c r="BF18" s="13" t="n">
        <v>9</v>
      </c>
      <c r="BG18" s="13" t="n">
        <v>6</v>
      </c>
      <c r="BH18" s="13" t="n">
        <v>9</v>
      </c>
      <c r="BI18" s="13" t="n">
        <v>5</v>
      </c>
      <c r="BJ18" s="13" t="n">
        <v>6</v>
      </c>
      <c r="BK18" s="13" t="n">
        <v>5</v>
      </c>
      <c r="BL18" s="13" t="n">
        <v>8</v>
      </c>
      <c r="BM18" s="13" t="n">
        <v>5</v>
      </c>
    </row>
    <row r="19">
      <c r="A19" s="5" t="inlineStr">
        <is>
          <t>R016</t>
        </is>
      </c>
      <c r="B19" s="5" t="inlineStr">
        <is>
          <t>Sales</t>
        </is>
      </c>
      <c r="C19" s="5" t="inlineStr">
        <is>
          <t>London</t>
        </is>
      </c>
      <c r="D19" s="5" t="inlineStr">
        <is>
          <t>Core Product</t>
        </is>
      </c>
      <c r="E19" s="5" t="inlineStr">
        <is>
          <t>T. Garcia</t>
        </is>
      </c>
      <c r="F19" s="4" t="n">
        <v>9</v>
      </c>
      <c r="G19" s="4" t="n">
        <v>7</v>
      </c>
      <c r="H19" s="4" t="n">
        <v>6</v>
      </c>
      <c r="I19" s="4" t="n">
        <v>4</v>
      </c>
      <c r="J19" s="4" t="n">
        <v>9</v>
      </c>
      <c r="K19" s="4" t="n">
        <v>6</v>
      </c>
      <c r="L19" s="4" t="n">
        <v>9</v>
      </c>
      <c r="M19" s="4" t="n">
        <v>8</v>
      </c>
      <c r="N19" s="4" t="n">
        <v>9</v>
      </c>
      <c r="O19" s="4" t="n">
        <v>6</v>
      </c>
      <c r="P19" s="4" t="n">
        <v>9</v>
      </c>
      <c r="Q19" s="4" t="n">
        <v>6</v>
      </c>
      <c r="R19" s="4" t="n">
        <v>7</v>
      </c>
      <c r="S19" s="4" t="n">
        <v>8</v>
      </c>
      <c r="T19" s="4" t="n">
        <v>10</v>
      </c>
      <c r="U19" s="4" t="n">
        <v>7</v>
      </c>
      <c r="V19" s="4" t="n">
        <v>8</v>
      </c>
      <c r="W19" s="4" t="n">
        <v>6</v>
      </c>
      <c r="X19" s="4" t="n">
        <v>8</v>
      </c>
      <c r="Y19" s="4" t="n">
        <v>9</v>
      </c>
      <c r="Z19" s="4" t="n">
        <v>6</v>
      </c>
      <c r="AA19" s="4" t="n">
        <v>7</v>
      </c>
      <c r="AB19" s="4" t="n">
        <v>7</v>
      </c>
      <c r="AC19" s="4" t="n">
        <v>7</v>
      </c>
      <c r="AD19" s="4" t="n">
        <v>6</v>
      </c>
      <c r="AE19" s="4" t="n">
        <v>8</v>
      </c>
      <c r="AF19" s="4" t="n">
        <v>9</v>
      </c>
      <c r="AG19" s="4" t="n">
        <v>7</v>
      </c>
      <c r="AH19" s="4" t="n">
        <v>8</v>
      </c>
      <c r="AI19" s="4" t="n">
        <v>6</v>
      </c>
      <c r="AJ19" s="4" t="n">
        <v>9</v>
      </c>
      <c r="AK19" s="4" t="n">
        <v>6</v>
      </c>
      <c r="AL19" s="4" t="n">
        <v>7</v>
      </c>
      <c r="AM19" s="4" t="n">
        <v>6</v>
      </c>
      <c r="AN19" s="4" t="n">
        <v>7</v>
      </c>
      <c r="AO19" s="4" t="n">
        <v>6</v>
      </c>
      <c r="AP19" s="4" t="n">
        <v>9</v>
      </c>
      <c r="AQ19" s="4" t="n">
        <v>4</v>
      </c>
      <c r="AR19" s="4" t="n">
        <v>7</v>
      </c>
      <c r="AS19" s="4" t="n">
        <v>3</v>
      </c>
      <c r="AT19" s="4" t="n">
        <v>7</v>
      </c>
      <c r="AU19" s="4" t="n">
        <v>4</v>
      </c>
      <c r="AV19" s="4" t="n">
        <v>10</v>
      </c>
      <c r="AW19" s="4" t="n">
        <v>1</v>
      </c>
      <c r="AX19" s="4" t="n">
        <v>8</v>
      </c>
      <c r="AY19" s="4" t="n">
        <v>6</v>
      </c>
      <c r="AZ19" s="4" t="n">
        <v>9</v>
      </c>
      <c r="BA19" s="4" t="n">
        <v>3</v>
      </c>
      <c r="BB19" s="4" t="n">
        <v>6</v>
      </c>
      <c r="BC19" s="4" t="n">
        <v>6</v>
      </c>
      <c r="BD19" s="4" t="n">
        <v>9</v>
      </c>
      <c r="BE19" s="4" t="n">
        <v>5</v>
      </c>
      <c r="BF19" s="4" t="n">
        <v>8</v>
      </c>
      <c r="BG19" s="4" t="n">
        <v>6</v>
      </c>
      <c r="BH19" s="4" t="n">
        <v>9</v>
      </c>
      <c r="BI19" s="4" t="n">
        <v>5</v>
      </c>
      <c r="BJ19" s="4" t="n">
        <v>8</v>
      </c>
      <c r="BK19" s="4" t="n">
        <v>5</v>
      </c>
      <c r="BL19" s="4" t="n">
        <v>8</v>
      </c>
      <c r="BM19" s="4" t="n">
        <v>4</v>
      </c>
    </row>
    <row r="20">
      <c r="A20" s="12" t="inlineStr">
        <is>
          <t>R017</t>
        </is>
      </c>
      <c r="B20" s="12" t="inlineStr">
        <is>
          <t>Operations</t>
        </is>
      </c>
      <c r="C20" s="12" t="inlineStr">
        <is>
          <t>Sydney</t>
        </is>
      </c>
      <c r="D20" s="12" t="inlineStr">
        <is>
          <t>Growth</t>
        </is>
      </c>
      <c r="E20" s="12" t="inlineStr">
        <is>
          <t>A. Patel</t>
        </is>
      </c>
      <c r="F20" s="13" t="n">
        <v>8</v>
      </c>
      <c r="G20" s="13" t="n">
        <v>7</v>
      </c>
      <c r="H20" s="13" t="n">
        <v>7</v>
      </c>
      <c r="I20" s="13" t="n">
        <v>1</v>
      </c>
      <c r="J20" s="13" t="n">
        <v>10</v>
      </c>
      <c r="K20" s="13" t="n">
        <v>5</v>
      </c>
      <c r="L20" s="13" t="n">
        <v>7</v>
      </c>
      <c r="M20" s="13" t="n">
        <v>4</v>
      </c>
      <c r="N20" s="13" t="n">
        <v>8</v>
      </c>
      <c r="O20" s="13" t="n">
        <v>7</v>
      </c>
      <c r="P20" s="13" t="n">
        <v>8</v>
      </c>
      <c r="Q20" s="13" t="n">
        <v>6</v>
      </c>
      <c r="R20" s="13" t="n">
        <v>9</v>
      </c>
      <c r="S20" s="13" t="n">
        <v>10</v>
      </c>
      <c r="T20" s="13" t="n">
        <v>8</v>
      </c>
      <c r="U20" s="13" t="n">
        <v>8</v>
      </c>
      <c r="V20" s="13" t="n">
        <v>7</v>
      </c>
      <c r="W20" s="13" t="n">
        <v>6</v>
      </c>
      <c r="X20" s="13" t="n">
        <v>10</v>
      </c>
      <c r="Y20" s="13" t="n">
        <v>9</v>
      </c>
      <c r="Z20" s="13" t="n">
        <v>6</v>
      </c>
      <c r="AA20" s="13" t="n">
        <v>8</v>
      </c>
      <c r="AB20" s="13" t="n">
        <v>6</v>
      </c>
      <c r="AC20" s="13" t="n">
        <v>7</v>
      </c>
      <c r="AD20" s="13" t="n">
        <v>8</v>
      </c>
      <c r="AE20" s="13" t="n">
        <v>7</v>
      </c>
      <c r="AF20" s="13" t="n">
        <v>6</v>
      </c>
      <c r="AG20" s="13" t="n">
        <v>7</v>
      </c>
      <c r="AH20" s="13" t="n">
        <v>8</v>
      </c>
      <c r="AI20" s="13" t="n">
        <v>5</v>
      </c>
      <c r="AJ20" s="13" t="n">
        <v>8</v>
      </c>
      <c r="AK20" s="13" t="n">
        <v>5</v>
      </c>
      <c r="AL20" s="13" t="n">
        <v>9</v>
      </c>
      <c r="AM20" s="13" t="n">
        <v>3</v>
      </c>
      <c r="AN20" s="13" t="n">
        <v>8</v>
      </c>
      <c r="AO20" s="13" t="n">
        <v>6</v>
      </c>
      <c r="AP20" s="13" t="n">
        <v>8</v>
      </c>
      <c r="AQ20" s="13" t="n">
        <v>10</v>
      </c>
      <c r="AR20" s="13" t="n">
        <v>8</v>
      </c>
      <c r="AS20" s="13" t="n">
        <v>6</v>
      </c>
      <c r="AT20" s="13" t="n">
        <v>9</v>
      </c>
      <c r="AU20" s="13" t="n">
        <v>5</v>
      </c>
      <c r="AV20" s="13" t="n">
        <v>7</v>
      </c>
      <c r="AW20" s="13" t="n">
        <v>5</v>
      </c>
      <c r="AX20" s="13" t="n">
        <v>6</v>
      </c>
      <c r="AY20" s="13" t="n">
        <v>4</v>
      </c>
      <c r="AZ20" s="13" t="n">
        <v>6</v>
      </c>
      <c r="BA20" s="13" t="n">
        <v>3</v>
      </c>
      <c r="BB20" s="13" t="n">
        <v>8</v>
      </c>
      <c r="BC20" s="13" t="n">
        <v>5</v>
      </c>
      <c r="BD20" s="13" t="n">
        <v>10</v>
      </c>
      <c r="BE20" s="13" t="n">
        <v>7</v>
      </c>
      <c r="BF20" s="13" t="n">
        <v>8</v>
      </c>
      <c r="BG20" s="13" t="n">
        <v>6</v>
      </c>
      <c r="BH20" s="13" t="n">
        <v>8</v>
      </c>
      <c r="BI20" s="13" t="n">
        <v>5</v>
      </c>
      <c r="BJ20" s="13" t="n">
        <v>6</v>
      </c>
      <c r="BK20" s="13" t="n">
        <v>4</v>
      </c>
      <c r="BL20" s="13" t="n">
        <v>8</v>
      </c>
      <c r="BM20" s="13" t="n">
        <v>8</v>
      </c>
    </row>
    <row r="21">
      <c r="A21" s="5" t="inlineStr">
        <is>
          <t>R018</t>
        </is>
      </c>
      <c r="B21" s="5" t="inlineStr">
        <is>
          <t>Human Resources</t>
        </is>
      </c>
      <c r="C21" s="5" t="inlineStr">
        <is>
          <t>New York</t>
        </is>
      </c>
      <c r="D21" s="5" t="inlineStr">
        <is>
          <t>Core Product</t>
        </is>
      </c>
      <c r="E21" s="5" t="inlineStr">
        <is>
          <t>S. Johnson</t>
        </is>
      </c>
      <c r="F21" s="4" t="n">
        <v>7</v>
      </c>
      <c r="G21" s="4" t="n">
        <v>7</v>
      </c>
      <c r="H21" s="4" t="n">
        <v>7</v>
      </c>
      <c r="I21" s="4" t="n">
        <v>5</v>
      </c>
      <c r="J21" s="4" t="n">
        <v>8</v>
      </c>
      <c r="K21" s="4" t="n">
        <v>3</v>
      </c>
      <c r="L21" s="4" t="n">
        <v>9</v>
      </c>
      <c r="M21" s="4" t="n">
        <v>7</v>
      </c>
      <c r="N21" s="4" t="n">
        <v>7</v>
      </c>
      <c r="O21" s="4" t="n">
        <v>8</v>
      </c>
      <c r="P21" s="4" t="n">
        <v>8</v>
      </c>
      <c r="Q21" s="4" t="n">
        <v>7</v>
      </c>
      <c r="R21" s="4" t="n">
        <v>7</v>
      </c>
      <c r="S21" s="4" t="n">
        <v>8</v>
      </c>
      <c r="T21" s="4" t="n">
        <v>9</v>
      </c>
      <c r="U21" s="4" t="n">
        <v>6</v>
      </c>
      <c r="V21" s="4" t="n">
        <v>7</v>
      </c>
      <c r="W21" s="4" t="n">
        <v>6</v>
      </c>
      <c r="X21" s="4" t="n">
        <v>7</v>
      </c>
      <c r="Y21" s="4" t="n">
        <v>7</v>
      </c>
      <c r="Z21" s="4" t="n">
        <v>7</v>
      </c>
      <c r="AA21" s="4" t="n">
        <v>7</v>
      </c>
      <c r="AB21" s="4" t="n">
        <v>4</v>
      </c>
      <c r="AC21" s="4" t="n">
        <v>6</v>
      </c>
      <c r="AD21" s="4" t="n">
        <v>7</v>
      </c>
      <c r="AE21" s="4" t="n">
        <v>7</v>
      </c>
      <c r="AF21" s="4" t="n">
        <v>9</v>
      </c>
      <c r="AG21" s="4" t="n">
        <v>5</v>
      </c>
      <c r="AH21" s="4" t="n">
        <v>5</v>
      </c>
      <c r="AI21" s="4" t="n">
        <v>6</v>
      </c>
      <c r="AJ21" s="4" t="n">
        <v>9</v>
      </c>
      <c r="AK21" s="4" t="n">
        <v>4</v>
      </c>
      <c r="AL21" s="4" t="n">
        <v>7</v>
      </c>
      <c r="AM21" s="4" t="n">
        <v>7</v>
      </c>
      <c r="AN21" s="4" t="n">
        <v>8</v>
      </c>
      <c r="AO21" s="4" t="n">
        <v>8</v>
      </c>
      <c r="AP21" s="4" t="n">
        <v>6</v>
      </c>
      <c r="AQ21" s="4" t="n">
        <v>5</v>
      </c>
      <c r="AR21" s="4" t="n">
        <v>10</v>
      </c>
      <c r="AS21" s="4" t="n">
        <v>5</v>
      </c>
      <c r="AT21" s="4" t="n">
        <v>9</v>
      </c>
      <c r="AU21" s="4" t="n">
        <v>5</v>
      </c>
      <c r="AV21" s="4" t="n">
        <v>6</v>
      </c>
      <c r="AW21" s="4" t="n">
        <v>9</v>
      </c>
      <c r="AX21" s="4" t="n">
        <v>8</v>
      </c>
      <c r="AY21" s="4" t="n">
        <v>7</v>
      </c>
      <c r="AZ21" s="4" t="n">
        <v>8</v>
      </c>
      <c r="BA21" s="4" t="n">
        <v>6</v>
      </c>
      <c r="BB21" s="4" t="n">
        <v>6</v>
      </c>
      <c r="BC21" s="4" t="n">
        <v>6</v>
      </c>
      <c r="BD21" s="4" t="n">
        <v>7</v>
      </c>
      <c r="BE21" s="4" t="n">
        <v>5</v>
      </c>
      <c r="BF21" s="4" t="n">
        <v>10</v>
      </c>
      <c r="BG21" s="4" t="n">
        <v>10</v>
      </c>
      <c r="BH21" s="4" t="n">
        <v>8</v>
      </c>
      <c r="BI21" s="4" t="n">
        <v>7</v>
      </c>
      <c r="BJ21" s="4" t="n">
        <v>6</v>
      </c>
      <c r="BK21" s="4" t="n">
        <v>4</v>
      </c>
      <c r="BL21" s="4" t="n">
        <v>8</v>
      </c>
      <c r="BM21" s="4" t="n">
        <v>3</v>
      </c>
    </row>
    <row r="22">
      <c r="A22" s="12" t="inlineStr">
        <is>
          <t>R019</t>
        </is>
      </c>
      <c r="B22" s="12" t="inlineStr">
        <is>
          <t>Human Resources</t>
        </is>
      </c>
      <c r="C22" s="12" t="inlineStr">
        <is>
          <t>Berlin</t>
        </is>
      </c>
      <c r="D22" s="12" t="inlineStr">
        <is>
          <t>Enterprise</t>
        </is>
      </c>
      <c r="E22" s="12" t="inlineStr">
        <is>
          <t>M. Chen</t>
        </is>
      </c>
      <c r="F22" s="13" t="n">
        <v>7</v>
      </c>
      <c r="G22" s="13" t="n">
        <v>6</v>
      </c>
      <c r="H22" s="13" t="n">
        <v>9</v>
      </c>
      <c r="I22" s="13" t="n">
        <v>6</v>
      </c>
      <c r="J22" s="13" t="n">
        <v>9</v>
      </c>
      <c r="K22" s="13" t="n">
        <v>7</v>
      </c>
      <c r="L22" s="13" t="n">
        <v>7</v>
      </c>
      <c r="M22" s="13" t="n">
        <v>4</v>
      </c>
      <c r="N22" s="13" t="n">
        <v>8</v>
      </c>
      <c r="O22" s="13" t="n">
        <v>5</v>
      </c>
      <c r="P22" s="13" t="n">
        <v>8</v>
      </c>
      <c r="Q22" s="13" t="n">
        <v>6</v>
      </c>
      <c r="R22" s="13" t="n">
        <v>7</v>
      </c>
      <c r="S22" s="13" t="n">
        <v>7</v>
      </c>
      <c r="T22" s="13" t="n">
        <v>7</v>
      </c>
      <c r="U22" s="13" t="n">
        <v>6</v>
      </c>
      <c r="V22" s="13" t="n">
        <v>9</v>
      </c>
      <c r="W22" s="13" t="n">
        <v>4</v>
      </c>
      <c r="X22" s="13" t="n">
        <v>7</v>
      </c>
      <c r="Y22" s="13" t="n">
        <v>6</v>
      </c>
      <c r="Z22" s="13" t="n">
        <v>6</v>
      </c>
      <c r="AA22" s="13" t="n">
        <v>7</v>
      </c>
      <c r="AB22" s="13" t="n">
        <v>6</v>
      </c>
      <c r="AC22" s="13" t="n">
        <v>7</v>
      </c>
      <c r="AD22" s="13" t="n">
        <v>6</v>
      </c>
      <c r="AE22" s="13" t="n">
        <v>4</v>
      </c>
      <c r="AF22" s="13" t="n">
        <v>8</v>
      </c>
      <c r="AG22" s="13" t="n">
        <v>5</v>
      </c>
      <c r="AH22" s="13" t="n">
        <v>8</v>
      </c>
      <c r="AI22" s="13" t="n">
        <v>6</v>
      </c>
      <c r="AJ22" s="13" t="n">
        <v>10</v>
      </c>
      <c r="AK22" s="13" t="n">
        <v>4</v>
      </c>
      <c r="AL22" s="13" t="n">
        <v>8</v>
      </c>
      <c r="AM22" s="13" t="n">
        <v>3</v>
      </c>
      <c r="AN22" s="13" t="n">
        <v>7</v>
      </c>
      <c r="AO22" s="13" t="n">
        <v>6</v>
      </c>
      <c r="AP22" s="13" t="n">
        <v>8</v>
      </c>
      <c r="AQ22" s="13" t="n">
        <v>4</v>
      </c>
      <c r="AR22" s="13" t="n">
        <v>6</v>
      </c>
      <c r="AS22" s="13" t="n">
        <v>5</v>
      </c>
      <c r="AT22" s="13" t="n">
        <v>6</v>
      </c>
      <c r="AU22" s="13" t="n">
        <v>8</v>
      </c>
      <c r="AV22" s="13" t="n">
        <v>10</v>
      </c>
      <c r="AW22" s="13" t="n">
        <v>7</v>
      </c>
      <c r="AX22" s="13" t="n">
        <v>9</v>
      </c>
      <c r="AY22" s="13" t="n">
        <v>4</v>
      </c>
      <c r="AZ22" s="13" t="n">
        <v>8</v>
      </c>
      <c r="BA22" s="13" t="n">
        <v>8</v>
      </c>
      <c r="BB22" s="13" t="n">
        <v>7</v>
      </c>
      <c r="BC22" s="13" t="n">
        <v>5</v>
      </c>
      <c r="BD22" s="13" t="n">
        <v>8</v>
      </c>
      <c r="BE22" s="13" t="n">
        <v>4</v>
      </c>
      <c r="BF22" s="13" t="n">
        <v>9</v>
      </c>
      <c r="BG22" s="13" t="n">
        <v>4</v>
      </c>
      <c r="BH22" s="13" t="n">
        <v>9</v>
      </c>
      <c r="BI22" s="13" t="n">
        <v>6</v>
      </c>
      <c r="BJ22" s="13" t="n">
        <v>8</v>
      </c>
      <c r="BK22" s="13" t="n">
        <v>4</v>
      </c>
      <c r="BL22" s="13" t="n">
        <v>9</v>
      </c>
      <c r="BM22" s="13" t="n">
        <v>5</v>
      </c>
    </row>
    <row r="23">
      <c r="A23" s="5" t="inlineStr">
        <is>
          <t>R020</t>
        </is>
      </c>
      <c r="B23" s="5" t="inlineStr">
        <is>
          <t>Human Resources</t>
        </is>
      </c>
      <c r="C23" s="5" t="inlineStr">
        <is>
          <t>Sydney</t>
        </is>
      </c>
      <c r="D23" s="5" t="inlineStr">
        <is>
          <t>Growth</t>
        </is>
      </c>
      <c r="E23" s="5" t="inlineStr">
        <is>
          <t>R. Kim</t>
        </is>
      </c>
      <c r="F23" s="4" t="n">
        <v>7</v>
      </c>
      <c r="G23" s="4" t="n">
        <v>8</v>
      </c>
      <c r="H23" s="4" t="n">
        <v>9</v>
      </c>
      <c r="I23" s="4" t="n">
        <v>7</v>
      </c>
      <c r="J23" s="4" t="n">
        <v>7</v>
      </c>
      <c r="K23" s="4" t="n">
        <v>3</v>
      </c>
      <c r="L23" s="4" t="n">
        <v>9</v>
      </c>
      <c r="M23" s="4" t="n">
        <v>9</v>
      </c>
      <c r="N23" s="4" t="n">
        <v>10</v>
      </c>
      <c r="O23" s="4" t="n">
        <v>4</v>
      </c>
      <c r="P23" s="4" t="n">
        <v>6</v>
      </c>
      <c r="Q23" s="4" t="n">
        <v>7</v>
      </c>
      <c r="R23" s="4" t="n">
        <v>9</v>
      </c>
      <c r="S23" s="4" t="n">
        <v>2</v>
      </c>
      <c r="T23" s="4" t="n">
        <v>7</v>
      </c>
      <c r="U23" s="4" t="n">
        <v>10</v>
      </c>
      <c r="V23" s="4" t="n">
        <v>6</v>
      </c>
      <c r="W23" s="4" t="n">
        <v>7</v>
      </c>
      <c r="X23" s="4" t="n">
        <v>7</v>
      </c>
      <c r="Y23" s="4" t="n">
        <v>7</v>
      </c>
      <c r="Z23" s="4" t="n">
        <v>8</v>
      </c>
      <c r="AA23" s="4" t="n">
        <v>8</v>
      </c>
      <c r="AB23" s="4" t="n">
        <v>8</v>
      </c>
      <c r="AC23" s="4" t="n">
        <v>9</v>
      </c>
      <c r="AD23" s="4" t="n">
        <v>6</v>
      </c>
      <c r="AE23" s="4" t="n">
        <v>6</v>
      </c>
      <c r="AF23" s="4" t="n">
        <v>9</v>
      </c>
      <c r="AG23" s="4" t="n">
        <v>4</v>
      </c>
      <c r="AH23" s="4" t="n">
        <v>7</v>
      </c>
      <c r="AI23" s="4" t="n">
        <v>6</v>
      </c>
      <c r="AJ23" s="4" t="n">
        <v>8</v>
      </c>
      <c r="AK23" s="4" t="n">
        <v>6</v>
      </c>
      <c r="AL23" s="4" t="n">
        <v>8</v>
      </c>
      <c r="AM23" s="4" t="n">
        <v>7</v>
      </c>
      <c r="AN23" s="4" t="n">
        <v>8</v>
      </c>
      <c r="AO23" s="4" t="n">
        <v>1</v>
      </c>
      <c r="AP23" s="4" t="n">
        <v>8</v>
      </c>
      <c r="AQ23" s="4" t="n">
        <v>5</v>
      </c>
      <c r="AR23" s="4" t="n">
        <v>8</v>
      </c>
      <c r="AS23" s="4" t="n">
        <v>5</v>
      </c>
      <c r="AT23" s="4" t="n">
        <v>7</v>
      </c>
      <c r="AU23" s="4" t="n">
        <v>7</v>
      </c>
      <c r="AV23" s="4" t="n">
        <v>9</v>
      </c>
      <c r="AW23" s="4" t="n">
        <v>4</v>
      </c>
      <c r="AX23" s="4" t="n">
        <v>10</v>
      </c>
      <c r="AY23" s="4" t="n">
        <v>8</v>
      </c>
      <c r="AZ23" s="4" t="n">
        <v>7</v>
      </c>
      <c r="BA23" s="4" t="n">
        <v>5</v>
      </c>
      <c r="BB23" s="4" t="n">
        <v>9</v>
      </c>
      <c r="BC23" s="4" t="n">
        <v>8</v>
      </c>
      <c r="BD23" s="4" t="n">
        <v>7</v>
      </c>
      <c r="BE23" s="4" t="n">
        <v>6</v>
      </c>
      <c r="BF23" s="4" t="n">
        <v>6</v>
      </c>
      <c r="BG23" s="4" t="n">
        <v>4</v>
      </c>
      <c r="BH23" s="4" t="n">
        <v>8</v>
      </c>
      <c r="BI23" s="4" t="n">
        <v>8</v>
      </c>
      <c r="BJ23" s="4" t="n">
        <v>9</v>
      </c>
      <c r="BK23" s="4" t="n">
        <v>6</v>
      </c>
      <c r="BL23" s="4" t="n">
        <v>9</v>
      </c>
      <c r="BM23" s="4" t="n">
        <v>6</v>
      </c>
    </row>
    <row r="24">
      <c r="A24" s="12" t="inlineStr">
        <is>
          <t>R021</t>
        </is>
      </c>
      <c r="B24" s="12" t="inlineStr">
        <is>
          <t>Finance</t>
        </is>
      </c>
      <c r="C24" s="12" t="inlineStr">
        <is>
          <t>Berlin</t>
        </is>
      </c>
      <c r="D24" s="12" t="inlineStr">
        <is>
          <t>Growth</t>
        </is>
      </c>
      <c r="E24" s="12" t="inlineStr">
        <is>
          <t>S. Johnson</t>
        </is>
      </c>
      <c r="F24" s="13" t="n">
        <v>9</v>
      </c>
      <c r="G24" s="13" t="n">
        <v>9</v>
      </c>
      <c r="H24" s="13" t="n">
        <v>7</v>
      </c>
      <c r="I24" s="13" t="n">
        <v>4</v>
      </c>
      <c r="J24" s="13" t="n">
        <v>9</v>
      </c>
      <c r="K24" s="13" t="n">
        <v>5</v>
      </c>
      <c r="L24" s="13" t="n">
        <v>9</v>
      </c>
      <c r="M24" s="13" t="n">
        <v>7</v>
      </c>
      <c r="N24" s="13" t="n">
        <v>6</v>
      </c>
      <c r="O24" s="13" t="n">
        <v>5</v>
      </c>
      <c r="P24" s="13" t="n">
        <v>9</v>
      </c>
      <c r="Q24" s="13" t="n">
        <v>3</v>
      </c>
      <c r="R24" s="13" t="n">
        <v>9</v>
      </c>
      <c r="S24" s="13" t="n">
        <v>7</v>
      </c>
      <c r="T24" s="13" t="n">
        <v>8</v>
      </c>
      <c r="U24" s="13" t="n">
        <v>6</v>
      </c>
      <c r="V24" s="13" t="n">
        <v>9</v>
      </c>
      <c r="W24" s="13" t="n">
        <v>6</v>
      </c>
      <c r="X24" s="13" t="n">
        <v>8</v>
      </c>
      <c r="Y24" s="13" t="n">
        <v>7</v>
      </c>
      <c r="Z24" s="13" t="n">
        <v>7</v>
      </c>
      <c r="AA24" s="13" t="n">
        <v>3</v>
      </c>
      <c r="AB24" s="13" t="n">
        <v>9</v>
      </c>
      <c r="AC24" s="13" t="n">
        <v>6</v>
      </c>
      <c r="AD24" s="13" t="n">
        <v>7</v>
      </c>
      <c r="AE24" s="13" t="n">
        <v>7</v>
      </c>
      <c r="AF24" s="13" t="n">
        <v>8</v>
      </c>
      <c r="AG24" s="13" t="n">
        <v>6</v>
      </c>
      <c r="AH24" s="13" t="n">
        <v>10</v>
      </c>
      <c r="AI24" s="13" t="n">
        <v>9</v>
      </c>
      <c r="AJ24" s="13" t="n">
        <v>10</v>
      </c>
      <c r="AK24" s="13" t="n">
        <v>9</v>
      </c>
      <c r="AL24" s="13" t="n">
        <v>8</v>
      </c>
      <c r="AM24" s="13" t="n">
        <v>1</v>
      </c>
      <c r="AN24" s="13" t="n">
        <v>8</v>
      </c>
      <c r="AO24" s="13" t="n">
        <v>4</v>
      </c>
      <c r="AP24" s="13" t="n">
        <v>8</v>
      </c>
      <c r="AQ24" s="13" t="n">
        <v>7</v>
      </c>
      <c r="AR24" s="13" t="n">
        <v>9</v>
      </c>
      <c r="AS24" s="13" t="n">
        <v>9</v>
      </c>
      <c r="AT24" s="13" t="n">
        <v>9</v>
      </c>
      <c r="AU24" s="13" t="n">
        <v>6</v>
      </c>
      <c r="AV24" s="13" t="n">
        <v>10</v>
      </c>
      <c r="AW24" s="13" t="n">
        <v>4</v>
      </c>
      <c r="AX24" s="13" t="n">
        <v>9</v>
      </c>
      <c r="AY24" s="13" t="n">
        <v>6</v>
      </c>
      <c r="AZ24" s="13" t="n">
        <v>6</v>
      </c>
      <c r="BA24" s="13" t="n">
        <v>3</v>
      </c>
      <c r="BB24" s="13" t="n">
        <v>9</v>
      </c>
      <c r="BC24" s="13" t="n">
        <v>6</v>
      </c>
      <c r="BD24" s="13" t="n">
        <v>8</v>
      </c>
      <c r="BE24" s="13" t="n">
        <v>2</v>
      </c>
      <c r="BF24" s="13" t="n">
        <v>9</v>
      </c>
      <c r="BG24" s="13" t="n">
        <v>5</v>
      </c>
      <c r="BH24" s="13" t="n">
        <v>7</v>
      </c>
      <c r="BI24" s="13" t="n">
        <v>4</v>
      </c>
      <c r="BJ24" s="13" t="n">
        <v>8</v>
      </c>
      <c r="BK24" s="13" t="n">
        <v>4</v>
      </c>
      <c r="BL24" s="13" t="n">
        <v>9</v>
      </c>
      <c r="BM24" s="13" t="n">
        <v>5</v>
      </c>
    </row>
    <row r="25">
      <c r="A25" s="5" t="inlineStr">
        <is>
          <t>R022</t>
        </is>
      </c>
      <c r="B25" s="5" t="inlineStr">
        <is>
          <t>Sales</t>
        </is>
      </c>
      <c r="C25" s="5" t="inlineStr">
        <is>
          <t>New York</t>
        </is>
      </c>
      <c r="D25" s="5" t="inlineStr">
        <is>
          <t>Growth</t>
        </is>
      </c>
      <c r="E25" s="5" t="inlineStr">
        <is>
          <t>J. Brown</t>
        </is>
      </c>
      <c r="F25" s="4" t="n">
        <v>7</v>
      </c>
      <c r="G25" s="4" t="n">
        <v>6</v>
      </c>
      <c r="H25" s="4" t="n">
        <v>7</v>
      </c>
      <c r="I25" s="4" t="n">
        <v>5</v>
      </c>
      <c r="J25" s="4" t="n">
        <v>7</v>
      </c>
      <c r="K25" s="4" t="n">
        <v>5</v>
      </c>
      <c r="L25" s="4" t="n">
        <v>8</v>
      </c>
      <c r="M25" s="4" t="n">
        <v>8</v>
      </c>
      <c r="N25" s="4" t="n">
        <v>8</v>
      </c>
      <c r="O25" s="4" t="n">
        <v>9</v>
      </c>
      <c r="P25" s="4" t="n">
        <v>8</v>
      </c>
      <c r="Q25" s="4" t="n">
        <v>7</v>
      </c>
      <c r="R25" s="4" t="n">
        <v>7</v>
      </c>
      <c r="S25" s="4" t="n">
        <v>7</v>
      </c>
      <c r="T25" s="4" t="n">
        <v>8</v>
      </c>
      <c r="U25" s="4" t="n">
        <v>8</v>
      </c>
      <c r="V25" s="4" t="n">
        <v>7</v>
      </c>
      <c r="W25" s="4" t="n">
        <v>7</v>
      </c>
      <c r="X25" s="4" t="n">
        <v>8</v>
      </c>
      <c r="Y25" s="4" t="n">
        <v>6</v>
      </c>
      <c r="Z25" s="4" t="n">
        <v>7</v>
      </c>
      <c r="AA25" s="4" t="n">
        <v>6</v>
      </c>
      <c r="AB25" s="4" t="n">
        <v>8</v>
      </c>
      <c r="AC25" s="4" t="n">
        <v>5</v>
      </c>
      <c r="AD25" s="4" t="n">
        <v>8</v>
      </c>
      <c r="AE25" s="4" t="n">
        <v>7</v>
      </c>
      <c r="AF25" s="4" t="n">
        <v>7</v>
      </c>
      <c r="AG25" s="4" t="n">
        <v>9</v>
      </c>
      <c r="AH25" s="4" t="n">
        <v>8</v>
      </c>
      <c r="AI25" s="4" t="n">
        <v>9</v>
      </c>
      <c r="AJ25" s="4" t="n">
        <v>8</v>
      </c>
      <c r="AK25" s="4" t="n">
        <v>2</v>
      </c>
      <c r="AL25" s="4" t="n">
        <v>8</v>
      </c>
      <c r="AM25" s="4" t="n">
        <v>4</v>
      </c>
      <c r="AN25" s="4" t="n">
        <v>8</v>
      </c>
      <c r="AO25" s="4" t="n">
        <v>7</v>
      </c>
      <c r="AP25" s="4" t="n">
        <v>7</v>
      </c>
      <c r="AQ25" s="4" t="n">
        <v>4</v>
      </c>
      <c r="AR25" s="4" t="n">
        <v>9</v>
      </c>
      <c r="AS25" s="4" t="n">
        <v>4</v>
      </c>
      <c r="AT25" s="4" t="n">
        <v>7</v>
      </c>
      <c r="AU25" s="4" t="n">
        <v>3</v>
      </c>
      <c r="AV25" s="4" t="n">
        <v>9</v>
      </c>
      <c r="AW25" s="4" t="n">
        <v>3</v>
      </c>
      <c r="AX25" s="4" t="n">
        <v>8</v>
      </c>
      <c r="AY25" s="4" t="n">
        <v>6</v>
      </c>
      <c r="AZ25" s="4" t="n">
        <v>6</v>
      </c>
      <c r="BA25" s="4" t="n">
        <v>5</v>
      </c>
      <c r="BB25" s="4" t="n">
        <v>7</v>
      </c>
      <c r="BC25" s="4" t="n">
        <v>7</v>
      </c>
      <c r="BD25" s="4" t="n">
        <v>6</v>
      </c>
      <c r="BE25" s="4" t="n">
        <v>5</v>
      </c>
      <c r="BF25" s="4" t="n">
        <v>8</v>
      </c>
      <c r="BG25" s="4" t="n">
        <v>8</v>
      </c>
      <c r="BH25" s="4" t="n">
        <v>7</v>
      </c>
      <c r="BI25" s="4" t="n">
        <v>3</v>
      </c>
      <c r="BJ25" s="4" t="n">
        <v>8</v>
      </c>
      <c r="BK25" s="4" t="n">
        <v>4</v>
      </c>
      <c r="BL25" s="4" t="n">
        <v>6</v>
      </c>
      <c r="BM25" s="4" t="n">
        <v>5</v>
      </c>
    </row>
    <row r="26">
      <c r="A26" s="12" t="inlineStr">
        <is>
          <t>R023</t>
        </is>
      </c>
      <c r="B26" s="12" t="inlineStr">
        <is>
          <t>Operations</t>
        </is>
      </c>
      <c r="C26" s="12" t="inlineStr">
        <is>
          <t>New York</t>
        </is>
      </c>
      <c r="D26" s="12" t="inlineStr">
        <is>
          <t>Core Product</t>
        </is>
      </c>
      <c r="E26" s="12" t="inlineStr">
        <is>
          <t>A. Patel</t>
        </is>
      </c>
      <c r="F26" s="13" t="n">
        <v>9</v>
      </c>
      <c r="G26" s="13" t="n">
        <v>5</v>
      </c>
      <c r="H26" s="13" t="n">
        <v>6</v>
      </c>
      <c r="I26" s="13" t="n">
        <v>8</v>
      </c>
      <c r="J26" s="13" t="n">
        <v>8</v>
      </c>
      <c r="K26" s="13" t="n">
        <v>6</v>
      </c>
      <c r="L26" s="13" t="n">
        <v>7</v>
      </c>
      <c r="M26" s="13" t="n">
        <v>8</v>
      </c>
      <c r="N26" s="13" t="n">
        <v>7</v>
      </c>
      <c r="O26" s="13" t="n">
        <v>5</v>
      </c>
      <c r="P26" s="13" t="n">
        <v>10</v>
      </c>
      <c r="Q26" s="13" t="n">
        <v>3</v>
      </c>
      <c r="R26" s="13" t="n">
        <v>8</v>
      </c>
      <c r="S26" s="13" t="n">
        <v>6</v>
      </c>
      <c r="T26" s="13" t="n">
        <v>7</v>
      </c>
      <c r="U26" s="13" t="n">
        <v>4</v>
      </c>
      <c r="V26" s="13" t="n">
        <v>9</v>
      </c>
      <c r="W26" s="13" t="n">
        <v>7</v>
      </c>
      <c r="X26" s="13" t="n">
        <v>9</v>
      </c>
      <c r="Y26" s="13" t="n">
        <v>8</v>
      </c>
      <c r="Z26" s="13" t="n">
        <v>7</v>
      </c>
      <c r="AA26" s="13" t="n">
        <v>8</v>
      </c>
      <c r="AB26" s="13" t="n">
        <v>6</v>
      </c>
      <c r="AC26" s="13" t="n">
        <v>8</v>
      </c>
      <c r="AD26" s="13" t="n">
        <v>8</v>
      </c>
      <c r="AE26" s="13" t="n">
        <v>9</v>
      </c>
      <c r="AF26" s="13" t="n">
        <v>6</v>
      </c>
      <c r="AG26" s="13" t="n">
        <v>4</v>
      </c>
      <c r="AH26" s="13" t="n">
        <v>8</v>
      </c>
      <c r="AI26" s="13" t="n">
        <v>7</v>
      </c>
      <c r="AJ26" s="13" t="n">
        <v>8</v>
      </c>
      <c r="AK26" s="13" t="n">
        <v>6</v>
      </c>
      <c r="AL26" s="13" t="n">
        <v>7</v>
      </c>
      <c r="AM26" s="13" t="n">
        <v>6</v>
      </c>
      <c r="AN26" s="13" t="n">
        <v>6</v>
      </c>
      <c r="AO26" s="13" t="n">
        <v>4</v>
      </c>
      <c r="AP26" s="13" t="n">
        <v>8</v>
      </c>
      <c r="AQ26" s="13" t="n">
        <v>5</v>
      </c>
      <c r="AR26" s="13" t="n">
        <v>9</v>
      </c>
      <c r="AS26" s="13" t="n">
        <v>3</v>
      </c>
      <c r="AT26" s="13" t="n">
        <v>8</v>
      </c>
      <c r="AU26" s="13" t="n">
        <v>6</v>
      </c>
      <c r="AV26" s="13" t="n">
        <v>10</v>
      </c>
      <c r="AW26" s="13" t="n">
        <v>1</v>
      </c>
      <c r="AX26" s="13" t="n">
        <v>9</v>
      </c>
      <c r="AY26" s="13" t="n">
        <v>5</v>
      </c>
      <c r="AZ26" s="13" t="n">
        <v>7</v>
      </c>
      <c r="BA26" s="13" t="n">
        <v>4</v>
      </c>
      <c r="BB26" s="13" t="n">
        <v>8</v>
      </c>
      <c r="BC26" s="13" t="n">
        <v>7</v>
      </c>
      <c r="BD26" s="13" t="n">
        <v>6</v>
      </c>
      <c r="BE26" s="13" t="n">
        <v>7</v>
      </c>
      <c r="BF26" s="13" t="n">
        <v>8</v>
      </c>
      <c r="BG26" s="13" t="n">
        <v>4</v>
      </c>
      <c r="BH26" s="13" t="n">
        <v>8</v>
      </c>
      <c r="BI26" s="13" t="n">
        <v>3</v>
      </c>
      <c r="BJ26" s="13" t="n">
        <v>9</v>
      </c>
      <c r="BK26" s="13" t="n">
        <v>6</v>
      </c>
      <c r="BL26" s="13" t="n">
        <v>7</v>
      </c>
      <c r="BM26" s="13" t="n">
        <v>8</v>
      </c>
    </row>
    <row r="27">
      <c r="A27" s="5" t="inlineStr">
        <is>
          <t>R024</t>
        </is>
      </c>
      <c r="B27" s="5" t="inlineStr">
        <is>
          <t>Human Resources</t>
        </is>
      </c>
      <c r="C27" s="5" t="inlineStr">
        <is>
          <t>Tokyo</t>
        </is>
      </c>
      <c r="D27" s="5" t="inlineStr">
        <is>
          <t>Core Product</t>
        </is>
      </c>
      <c r="E27" s="5" t="inlineStr">
        <is>
          <t>R. Kim</t>
        </is>
      </c>
      <c r="F27" s="4" t="n">
        <v>8</v>
      </c>
      <c r="G27" s="4" t="n">
        <v>5</v>
      </c>
      <c r="H27" s="4" t="n">
        <v>7</v>
      </c>
      <c r="I27" s="4" t="n">
        <v>6</v>
      </c>
      <c r="J27" s="4" t="n">
        <v>7</v>
      </c>
      <c r="K27" s="4" t="n">
        <v>5</v>
      </c>
      <c r="L27" s="4" t="n">
        <v>8</v>
      </c>
      <c r="M27" s="4" t="n">
        <v>7</v>
      </c>
      <c r="N27" s="4" t="n">
        <v>8</v>
      </c>
      <c r="O27" s="4" t="n">
        <v>8</v>
      </c>
      <c r="P27" s="4" t="n">
        <v>9</v>
      </c>
      <c r="Q27" s="4" t="n">
        <v>8</v>
      </c>
      <c r="R27" s="4" t="n">
        <v>10</v>
      </c>
      <c r="S27" s="4" t="n">
        <v>9</v>
      </c>
      <c r="T27" s="4" t="n">
        <v>8</v>
      </c>
      <c r="U27" s="4" t="n">
        <v>6</v>
      </c>
      <c r="V27" s="4" t="n">
        <v>7</v>
      </c>
      <c r="W27" s="4" t="n">
        <v>7</v>
      </c>
      <c r="X27" s="4" t="n">
        <v>9</v>
      </c>
      <c r="Y27" s="4" t="n">
        <v>7</v>
      </c>
      <c r="Z27" s="4" t="n">
        <v>6</v>
      </c>
      <c r="AA27" s="4" t="n">
        <v>5</v>
      </c>
      <c r="AB27" s="4" t="n">
        <v>9</v>
      </c>
      <c r="AC27" s="4" t="n">
        <v>7</v>
      </c>
      <c r="AD27" s="4" t="n">
        <v>7</v>
      </c>
      <c r="AE27" s="4" t="n">
        <v>5</v>
      </c>
      <c r="AF27" s="4" t="n">
        <v>8</v>
      </c>
      <c r="AG27" s="4" t="n">
        <v>8</v>
      </c>
      <c r="AH27" s="4" t="n">
        <v>8</v>
      </c>
      <c r="AI27" s="4" t="n">
        <v>7</v>
      </c>
      <c r="AJ27" s="4" t="n">
        <v>8</v>
      </c>
      <c r="AK27" s="4" t="n">
        <v>6</v>
      </c>
      <c r="AL27" s="4" t="n">
        <v>7</v>
      </c>
      <c r="AM27" s="4" t="n">
        <v>8</v>
      </c>
      <c r="AN27" s="4" t="n">
        <v>10</v>
      </c>
      <c r="AO27" s="4" t="n">
        <v>5</v>
      </c>
      <c r="AP27" s="4" t="n">
        <v>7</v>
      </c>
      <c r="AQ27" s="4" t="n">
        <v>4</v>
      </c>
      <c r="AR27" s="4" t="n">
        <v>9</v>
      </c>
      <c r="AS27" s="4" t="n">
        <v>6</v>
      </c>
      <c r="AT27" s="4" t="n">
        <v>6</v>
      </c>
      <c r="AU27" s="4" t="n">
        <v>8</v>
      </c>
      <c r="AV27" s="4" t="n">
        <v>5</v>
      </c>
      <c r="AW27" s="4" t="n">
        <v>7</v>
      </c>
      <c r="AX27" s="4" t="n">
        <v>7</v>
      </c>
      <c r="AY27" s="4" t="n">
        <v>5</v>
      </c>
      <c r="AZ27" s="4" t="n">
        <v>7</v>
      </c>
      <c r="BA27" s="4" t="n">
        <v>4</v>
      </c>
      <c r="BB27" s="4" t="n">
        <v>7</v>
      </c>
      <c r="BC27" s="4" t="n">
        <v>6</v>
      </c>
      <c r="BD27" s="4" t="n">
        <v>6</v>
      </c>
      <c r="BE27" s="4" t="n">
        <v>2</v>
      </c>
      <c r="BF27" s="4" t="n">
        <v>8</v>
      </c>
      <c r="BG27" s="4" t="n">
        <v>6</v>
      </c>
      <c r="BH27" s="4" t="n">
        <v>6</v>
      </c>
      <c r="BI27" s="4" t="n">
        <v>8</v>
      </c>
      <c r="BJ27" s="4" t="n">
        <v>9</v>
      </c>
      <c r="BK27" s="4" t="n">
        <v>5</v>
      </c>
      <c r="BL27" s="4" t="n">
        <v>10</v>
      </c>
      <c r="BM27" s="4" t="n">
        <v>5</v>
      </c>
    </row>
    <row r="28">
      <c r="A28" s="12" t="inlineStr">
        <is>
          <t>R025</t>
        </is>
      </c>
      <c r="B28" s="12" t="inlineStr">
        <is>
          <t>Marketing</t>
        </is>
      </c>
      <c r="C28" s="12" t="inlineStr">
        <is>
          <t>Sydney</t>
        </is>
      </c>
      <c r="D28" s="12" t="inlineStr">
        <is>
          <t>Enterprise</t>
        </is>
      </c>
      <c r="E28" s="12" t="inlineStr">
        <is>
          <t>A. Patel</t>
        </is>
      </c>
      <c r="F28" s="13" t="n">
        <v>9</v>
      </c>
      <c r="G28" s="13" t="n">
        <v>4</v>
      </c>
      <c r="H28" s="13" t="n">
        <v>6</v>
      </c>
      <c r="I28" s="13" t="n">
        <v>6</v>
      </c>
      <c r="J28" s="13" t="n">
        <v>7</v>
      </c>
      <c r="K28" s="13" t="n">
        <v>4</v>
      </c>
      <c r="L28" s="13" t="n">
        <v>10</v>
      </c>
      <c r="M28" s="13" t="n">
        <v>8</v>
      </c>
      <c r="N28" s="13" t="n">
        <v>7</v>
      </c>
      <c r="O28" s="13" t="n">
        <v>7</v>
      </c>
      <c r="P28" s="13" t="n">
        <v>8</v>
      </c>
      <c r="Q28" s="13" t="n">
        <v>5</v>
      </c>
      <c r="R28" s="13" t="n">
        <v>7</v>
      </c>
      <c r="S28" s="13" t="n">
        <v>9</v>
      </c>
      <c r="T28" s="13" t="n">
        <v>8</v>
      </c>
      <c r="U28" s="13" t="n">
        <v>6</v>
      </c>
      <c r="V28" s="13" t="n">
        <v>8</v>
      </c>
      <c r="W28" s="13" t="n">
        <v>5</v>
      </c>
      <c r="X28" s="13" t="n">
        <v>10</v>
      </c>
      <c r="Y28" s="13" t="n">
        <v>8</v>
      </c>
      <c r="Z28" s="13" t="n">
        <v>6</v>
      </c>
      <c r="AA28" s="13" t="n">
        <v>8</v>
      </c>
      <c r="AB28" s="13" t="n">
        <v>7</v>
      </c>
      <c r="AC28" s="13" t="n">
        <v>7</v>
      </c>
      <c r="AD28" s="13" t="n">
        <v>6</v>
      </c>
      <c r="AE28" s="13" t="n">
        <v>6</v>
      </c>
      <c r="AF28" s="13" t="n">
        <v>6</v>
      </c>
      <c r="AG28" s="13" t="n">
        <v>6</v>
      </c>
      <c r="AH28" s="13" t="n">
        <v>8</v>
      </c>
      <c r="AI28" s="13" t="n">
        <v>5</v>
      </c>
      <c r="AJ28" s="13" t="n">
        <v>8</v>
      </c>
      <c r="AK28" s="13" t="n">
        <v>6</v>
      </c>
      <c r="AL28" s="13" t="n">
        <v>6</v>
      </c>
      <c r="AM28" s="13" t="n">
        <v>8</v>
      </c>
      <c r="AN28" s="13" t="n">
        <v>9</v>
      </c>
      <c r="AO28" s="13" t="n">
        <v>5</v>
      </c>
      <c r="AP28" s="13" t="n">
        <v>7</v>
      </c>
      <c r="AQ28" s="13" t="n">
        <v>6</v>
      </c>
      <c r="AR28" s="13" t="n">
        <v>7</v>
      </c>
      <c r="AS28" s="13" t="n">
        <v>6</v>
      </c>
      <c r="AT28" s="13" t="n">
        <v>7</v>
      </c>
      <c r="AU28" s="13" t="n">
        <v>7</v>
      </c>
      <c r="AV28" s="13" t="n">
        <v>9</v>
      </c>
      <c r="AW28" s="13" t="n">
        <v>8</v>
      </c>
      <c r="AX28" s="13" t="n">
        <v>7</v>
      </c>
      <c r="AY28" s="13" t="n">
        <v>5</v>
      </c>
      <c r="AZ28" s="13" t="n">
        <v>8</v>
      </c>
      <c r="BA28" s="13" t="n">
        <v>6</v>
      </c>
      <c r="BB28" s="13" t="n">
        <v>4</v>
      </c>
      <c r="BC28" s="13" t="n">
        <v>4</v>
      </c>
      <c r="BD28" s="13" t="n">
        <v>7</v>
      </c>
      <c r="BE28" s="13" t="n">
        <v>6</v>
      </c>
      <c r="BF28" s="13" t="n">
        <v>8</v>
      </c>
      <c r="BG28" s="13" t="n">
        <v>5</v>
      </c>
      <c r="BH28" s="13" t="n">
        <v>8</v>
      </c>
      <c r="BI28" s="13" t="n">
        <v>7</v>
      </c>
      <c r="BJ28" s="13" t="n">
        <v>8</v>
      </c>
      <c r="BK28" s="13" t="n">
        <v>4</v>
      </c>
      <c r="BL28" s="13" t="n">
        <v>8</v>
      </c>
      <c r="BM28" s="13" t="n">
        <v>4</v>
      </c>
    </row>
    <row r="29">
      <c r="A29" s="5" t="inlineStr">
        <is>
          <t>R026</t>
        </is>
      </c>
      <c r="B29" s="5" t="inlineStr">
        <is>
          <t>Finance</t>
        </is>
      </c>
      <c r="C29" s="5" t="inlineStr">
        <is>
          <t>London</t>
        </is>
      </c>
      <c r="D29" s="5" t="inlineStr">
        <is>
          <t>Enterprise</t>
        </is>
      </c>
      <c r="E29" s="5" t="inlineStr">
        <is>
          <t>T. Garcia</t>
        </is>
      </c>
      <c r="F29" s="4" t="n">
        <v>8</v>
      </c>
      <c r="G29" s="4" t="n">
        <v>7</v>
      </c>
      <c r="H29" s="4" t="n">
        <v>5</v>
      </c>
      <c r="I29" s="4" t="n">
        <v>6</v>
      </c>
      <c r="J29" s="4" t="n">
        <v>7</v>
      </c>
      <c r="K29" s="4" t="n">
        <v>7</v>
      </c>
      <c r="L29" s="4" t="n">
        <v>7</v>
      </c>
      <c r="M29" s="4" t="n">
        <v>8</v>
      </c>
      <c r="N29" s="4" t="n">
        <v>7</v>
      </c>
      <c r="O29" s="4" t="n">
        <v>4</v>
      </c>
      <c r="P29" s="4" t="n">
        <v>7</v>
      </c>
      <c r="Q29" s="4" t="n">
        <v>5</v>
      </c>
      <c r="R29" s="4" t="n">
        <v>8</v>
      </c>
      <c r="S29" s="4" t="n">
        <v>7</v>
      </c>
      <c r="T29" s="4" t="n">
        <v>9</v>
      </c>
      <c r="U29" s="4" t="n">
        <v>8</v>
      </c>
      <c r="V29" s="4" t="n">
        <v>7</v>
      </c>
      <c r="W29" s="4" t="n">
        <v>6</v>
      </c>
      <c r="X29" s="4" t="n">
        <v>6</v>
      </c>
      <c r="Y29" s="4" t="n">
        <v>6</v>
      </c>
      <c r="Z29" s="4" t="n">
        <v>8</v>
      </c>
      <c r="AA29" s="4" t="n">
        <v>7</v>
      </c>
      <c r="AB29" s="4" t="n">
        <v>8</v>
      </c>
      <c r="AC29" s="4" t="n">
        <v>9</v>
      </c>
      <c r="AD29" s="4" t="n">
        <v>9</v>
      </c>
      <c r="AE29" s="4" t="n">
        <v>4</v>
      </c>
      <c r="AF29" s="4" t="n">
        <v>8</v>
      </c>
      <c r="AG29" s="4" t="n">
        <v>8</v>
      </c>
      <c r="AH29" s="4" t="n">
        <v>7</v>
      </c>
      <c r="AI29" s="4" t="n">
        <v>5</v>
      </c>
      <c r="AJ29" s="4" t="n">
        <v>8</v>
      </c>
      <c r="AK29" s="4" t="n">
        <v>4</v>
      </c>
      <c r="AL29" s="4" t="n">
        <v>6</v>
      </c>
      <c r="AM29" s="4" t="n">
        <v>4</v>
      </c>
      <c r="AN29" s="4" t="n">
        <v>9</v>
      </c>
      <c r="AO29" s="4" t="n">
        <v>6</v>
      </c>
      <c r="AP29" s="4" t="n">
        <v>8</v>
      </c>
      <c r="AQ29" s="4" t="n">
        <v>3</v>
      </c>
      <c r="AR29" s="4" t="n">
        <v>7</v>
      </c>
      <c r="AS29" s="4" t="n">
        <v>6</v>
      </c>
      <c r="AT29" s="4" t="n">
        <v>7</v>
      </c>
      <c r="AU29" s="4" t="n">
        <v>7</v>
      </c>
      <c r="AV29" s="4" t="n">
        <v>5</v>
      </c>
      <c r="AW29" s="4" t="n">
        <v>5</v>
      </c>
      <c r="AX29" s="4" t="n">
        <v>7</v>
      </c>
      <c r="AY29" s="4" t="n">
        <v>6</v>
      </c>
      <c r="AZ29" s="4" t="n">
        <v>7</v>
      </c>
      <c r="BA29" s="4" t="n">
        <v>3</v>
      </c>
      <c r="BB29" s="4" t="n">
        <v>8</v>
      </c>
      <c r="BC29" s="4" t="n">
        <v>5</v>
      </c>
      <c r="BD29" s="4" t="n">
        <v>8</v>
      </c>
      <c r="BE29" s="4" t="n">
        <v>4</v>
      </c>
      <c r="BF29" s="4" t="n">
        <v>9</v>
      </c>
      <c r="BG29" s="4" t="n">
        <v>7</v>
      </c>
      <c r="BH29" s="4" t="n">
        <v>8</v>
      </c>
      <c r="BI29" s="4" t="n">
        <v>2</v>
      </c>
      <c r="BJ29" s="4" t="n">
        <v>7</v>
      </c>
      <c r="BK29" s="4" t="n">
        <v>4</v>
      </c>
      <c r="BL29" s="4" t="n">
        <v>8</v>
      </c>
      <c r="BM29" s="4" t="n">
        <v>2</v>
      </c>
    </row>
    <row r="30">
      <c r="A30" s="12" t="inlineStr">
        <is>
          <t>R027</t>
        </is>
      </c>
      <c r="B30" s="12" t="inlineStr">
        <is>
          <t>Finance</t>
        </is>
      </c>
      <c r="C30" s="12" t="inlineStr">
        <is>
          <t>Tokyo</t>
        </is>
      </c>
      <c r="D30" s="12" t="inlineStr">
        <is>
          <t>Enterprise</t>
        </is>
      </c>
      <c r="E30" s="12" t="inlineStr">
        <is>
          <t>S. Johnson</t>
        </is>
      </c>
      <c r="F30" s="13" t="n">
        <v>7</v>
      </c>
      <c r="G30" s="13" t="n">
        <v>8</v>
      </c>
      <c r="H30" s="13" t="n">
        <v>8</v>
      </c>
      <c r="I30" s="13" t="n">
        <v>9</v>
      </c>
      <c r="J30" s="13" t="n">
        <v>8</v>
      </c>
      <c r="K30" s="13" t="n">
        <v>6</v>
      </c>
      <c r="L30" s="13" t="n">
        <v>8</v>
      </c>
      <c r="M30" s="13" t="n">
        <v>3</v>
      </c>
      <c r="N30" s="13" t="n">
        <v>8</v>
      </c>
      <c r="O30" s="13" t="n">
        <v>6</v>
      </c>
      <c r="P30" s="13" t="n">
        <v>8</v>
      </c>
      <c r="Q30" s="13" t="n">
        <v>9</v>
      </c>
      <c r="R30" s="13" t="n">
        <v>8</v>
      </c>
      <c r="S30" s="13" t="n">
        <v>4</v>
      </c>
      <c r="T30" s="13" t="n">
        <v>7</v>
      </c>
      <c r="U30" s="13" t="n">
        <v>6</v>
      </c>
      <c r="V30" s="13" t="n">
        <v>7</v>
      </c>
      <c r="W30" s="13" t="n">
        <v>7</v>
      </c>
      <c r="X30" s="13" t="n">
        <v>9</v>
      </c>
      <c r="Y30" s="13" t="n">
        <v>8</v>
      </c>
      <c r="Z30" s="13" t="n">
        <v>9</v>
      </c>
      <c r="AA30" s="13" t="n">
        <v>6</v>
      </c>
      <c r="AB30" s="13" t="n">
        <v>7</v>
      </c>
      <c r="AC30" s="13" t="n">
        <v>7</v>
      </c>
      <c r="AD30" s="13" t="n">
        <v>7</v>
      </c>
      <c r="AE30" s="13" t="n">
        <v>4</v>
      </c>
      <c r="AF30" s="13" t="n">
        <v>7</v>
      </c>
      <c r="AG30" s="13" t="n">
        <v>5</v>
      </c>
      <c r="AH30" s="13" t="n">
        <v>7</v>
      </c>
      <c r="AI30" s="13" t="n">
        <v>6</v>
      </c>
      <c r="AJ30" s="13" t="n">
        <v>8</v>
      </c>
      <c r="AK30" s="13" t="n">
        <v>7</v>
      </c>
      <c r="AL30" s="13" t="n">
        <v>7</v>
      </c>
      <c r="AM30" s="13" t="n">
        <v>7</v>
      </c>
      <c r="AN30" s="13" t="n">
        <v>7</v>
      </c>
      <c r="AO30" s="13" t="n">
        <v>6</v>
      </c>
      <c r="AP30" s="13" t="n">
        <v>8</v>
      </c>
      <c r="AQ30" s="13" t="n">
        <v>6</v>
      </c>
      <c r="AR30" s="13" t="n">
        <v>8</v>
      </c>
      <c r="AS30" s="13" t="n">
        <v>6</v>
      </c>
      <c r="AT30" s="13" t="n">
        <v>7</v>
      </c>
      <c r="AU30" s="13" t="n">
        <v>6</v>
      </c>
      <c r="AV30" s="13" t="n">
        <v>8</v>
      </c>
      <c r="AW30" s="13" t="n">
        <v>8</v>
      </c>
      <c r="AX30" s="13" t="n">
        <v>7</v>
      </c>
      <c r="AY30" s="13" t="n">
        <v>5</v>
      </c>
      <c r="AZ30" s="13" t="n">
        <v>7</v>
      </c>
      <c r="BA30" s="13" t="n">
        <v>8</v>
      </c>
      <c r="BB30" s="13" t="n">
        <v>6</v>
      </c>
      <c r="BC30" s="13" t="n">
        <v>8</v>
      </c>
      <c r="BD30" s="13" t="n">
        <v>7</v>
      </c>
      <c r="BE30" s="13" t="n">
        <v>6</v>
      </c>
      <c r="BF30" s="13" t="n">
        <v>8</v>
      </c>
      <c r="BG30" s="13" t="n">
        <v>8</v>
      </c>
      <c r="BH30" s="13" t="n">
        <v>9</v>
      </c>
      <c r="BI30" s="13" t="n">
        <v>5</v>
      </c>
      <c r="BJ30" s="13" t="n">
        <v>10</v>
      </c>
      <c r="BK30" s="13" t="n">
        <v>1</v>
      </c>
      <c r="BL30" s="13" t="n">
        <v>9</v>
      </c>
      <c r="BM30" s="13" t="n">
        <v>5</v>
      </c>
    </row>
    <row r="31">
      <c r="A31" s="5" t="inlineStr">
        <is>
          <t>R028</t>
        </is>
      </c>
      <c r="B31" s="5" t="inlineStr">
        <is>
          <t>Engineering</t>
        </is>
      </c>
      <c r="C31" s="5" t="inlineStr">
        <is>
          <t>London</t>
        </is>
      </c>
      <c r="D31" s="5" t="inlineStr">
        <is>
          <t>Corporate</t>
        </is>
      </c>
      <c r="E31" s="5" t="inlineStr">
        <is>
          <t>A. Patel</t>
        </is>
      </c>
      <c r="F31" s="4" t="n">
        <v>8</v>
      </c>
      <c r="G31" s="4" t="n">
        <v>6</v>
      </c>
      <c r="H31" s="4" t="n">
        <v>8</v>
      </c>
      <c r="I31" s="4" t="n">
        <v>6</v>
      </c>
      <c r="J31" s="4" t="n">
        <v>8</v>
      </c>
      <c r="K31" s="4" t="n">
        <v>5</v>
      </c>
      <c r="L31" s="4" t="n">
        <v>9</v>
      </c>
      <c r="M31" s="4" t="n">
        <v>2</v>
      </c>
      <c r="N31" s="4" t="n">
        <v>7</v>
      </c>
      <c r="O31" s="4" t="n">
        <v>7</v>
      </c>
      <c r="P31" s="4" t="n">
        <v>10</v>
      </c>
      <c r="Q31" s="4" t="n">
        <v>5</v>
      </c>
      <c r="R31" s="4" t="n">
        <v>9</v>
      </c>
      <c r="S31" s="4" t="n">
        <v>10</v>
      </c>
      <c r="T31" s="4" t="n">
        <v>9</v>
      </c>
      <c r="U31" s="4" t="n">
        <v>8</v>
      </c>
      <c r="V31" s="4" t="n">
        <v>6</v>
      </c>
      <c r="W31" s="4" t="n">
        <v>8</v>
      </c>
      <c r="X31" s="4" t="n">
        <v>8</v>
      </c>
      <c r="Y31" s="4" t="n">
        <v>6</v>
      </c>
      <c r="Z31" s="4" t="n">
        <v>7</v>
      </c>
      <c r="AA31" s="4" t="n">
        <v>5</v>
      </c>
      <c r="AB31" s="4" t="n">
        <v>10</v>
      </c>
      <c r="AC31" s="4" t="n">
        <v>7</v>
      </c>
      <c r="AD31" s="4" t="n">
        <v>8</v>
      </c>
      <c r="AE31" s="4" t="n">
        <v>8</v>
      </c>
      <c r="AF31" s="4" t="n">
        <v>6</v>
      </c>
      <c r="AG31" s="4" t="n">
        <v>8</v>
      </c>
      <c r="AH31" s="4" t="n">
        <v>8</v>
      </c>
      <c r="AI31" s="4" t="n">
        <v>6</v>
      </c>
      <c r="AJ31" s="4" t="n">
        <v>8</v>
      </c>
      <c r="AK31" s="4" t="n">
        <v>8</v>
      </c>
      <c r="AL31" s="4" t="n">
        <v>8</v>
      </c>
      <c r="AM31" s="4" t="n">
        <v>5</v>
      </c>
      <c r="AN31" s="4" t="n">
        <v>8</v>
      </c>
      <c r="AO31" s="4" t="n">
        <v>7</v>
      </c>
      <c r="AP31" s="4" t="n">
        <v>7</v>
      </c>
      <c r="AQ31" s="4" t="n">
        <v>7</v>
      </c>
      <c r="AR31" s="4" t="n">
        <v>5</v>
      </c>
      <c r="AS31" s="4" t="n">
        <v>6</v>
      </c>
      <c r="AT31" s="4" t="n">
        <v>7</v>
      </c>
      <c r="AU31" s="4" t="n">
        <v>5</v>
      </c>
      <c r="AV31" s="4" t="n">
        <v>10</v>
      </c>
      <c r="AW31" s="4" t="n">
        <v>4</v>
      </c>
      <c r="AX31" s="4" t="n">
        <v>7</v>
      </c>
      <c r="AY31" s="4" t="n">
        <v>8</v>
      </c>
      <c r="AZ31" s="4" t="n">
        <v>6</v>
      </c>
      <c r="BA31" s="4" t="n">
        <v>6</v>
      </c>
      <c r="BB31" s="4" t="n">
        <v>7</v>
      </c>
      <c r="BC31" s="4" t="n">
        <v>5</v>
      </c>
      <c r="BD31" s="4" t="n">
        <v>10</v>
      </c>
      <c r="BE31" s="4" t="n">
        <v>7</v>
      </c>
      <c r="BF31" s="4" t="n">
        <v>9</v>
      </c>
      <c r="BG31" s="4" t="n">
        <v>6</v>
      </c>
      <c r="BH31" s="4" t="n">
        <v>8</v>
      </c>
      <c r="BI31" s="4" t="n">
        <v>2</v>
      </c>
      <c r="BJ31" s="4" t="n">
        <v>8</v>
      </c>
      <c r="BK31" s="4" t="n">
        <v>7</v>
      </c>
      <c r="BL31" s="4" t="n">
        <v>8</v>
      </c>
      <c r="BM31" s="4" t="n">
        <v>6</v>
      </c>
    </row>
    <row r="32">
      <c r="A32" s="12" t="inlineStr">
        <is>
          <t>R029</t>
        </is>
      </c>
      <c r="B32" s="12" t="inlineStr">
        <is>
          <t>Engineering</t>
        </is>
      </c>
      <c r="C32" s="12" t="inlineStr">
        <is>
          <t>Sydney</t>
        </is>
      </c>
      <c r="D32" s="12" t="inlineStr">
        <is>
          <t>Core Product</t>
        </is>
      </c>
      <c r="E32" s="12" t="inlineStr">
        <is>
          <t>R. Kim</t>
        </is>
      </c>
      <c r="F32" s="13" t="n">
        <v>7</v>
      </c>
      <c r="G32" s="13" t="n">
        <v>4</v>
      </c>
      <c r="H32" s="13" t="n">
        <v>10</v>
      </c>
      <c r="I32" s="13" t="n">
        <v>2</v>
      </c>
      <c r="J32" s="13" t="n">
        <v>6</v>
      </c>
      <c r="K32" s="13" t="n">
        <v>6</v>
      </c>
      <c r="L32" s="13" t="n">
        <v>8</v>
      </c>
      <c r="M32" s="13" t="n">
        <v>7</v>
      </c>
      <c r="N32" s="13" t="n">
        <v>8</v>
      </c>
      <c r="O32" s="13" t="n">
        <v>9</v>
      </c>
      <c r="P32" s="13" t="n">
        <v>10</v>
      </c>
      <c r="Q32" s="13" t="n">
        <v>7</v>
      </c>
      <c r="R32" s="13" t="n">
        <v>10</v>
      </c>
      <c r="S32" s="13" t="n">
        <v>7</v>
      </c>
      <c r="T32" s="13" t="n">
        <v>9</v>
      </c>
      <c r="U32" s="13" t="n">
        <v>7</v>
      </c>
      <c r="V32" s="13" t="n">
        <v>7</v>
      </c>
      <c r="W32" s="13" t="n">
        <v>7</v>
      </c>
      <c r="X32" s="13" t="n">
        <v>8</v>
      </c>
      <c r="Y32" s="13" t="n">
        <v>7</v>
      </c>
      <c r="Z32" s="13" t="n">
        <v>7</v>
      </c>
      <c r="AA32" s="13" t="n">
        <v>6</v>
      </c>
      <c r="AB32" s="13" t="n">
        <v>10</v>
      </c>
      <c r="AC32" s="13" t="n">
        <v>7</v>
      </c>
      <c r="AD32" s="13" t="n">
        <v>6</v>
      </c>
      <c r="AE32" s="13" t="n">
        <v>7</v>
      </c>
      <c r="AF32" s="13" t="n">
        <v>10</v>
      </c>
      <c r="AG32" s="13" t="n">
        <v>5</v>
      </c>
      <c r="AH32" s="13" t="n">
        <v>9</v>
      </c>
      <c r="AI32" s="13" t="n">
        <v>5</v>
      </c>
      <c r="AJ32" s="13" t="n">
        <v>8</v>
      </c>
      <c r="AK32" s="13" t="n">
        <v>7</v>
      </c>
      <c r="AL32" s="13" t="n">
        <v>8</v>
      </c>
      <c r="AM32" s="13" t="n">
        <v>6</v>
      </c>
      <c r="AN32" s="13" t="n">
        <v>6</v>
      </c>
      <c r="AO32" s="13" t="n">
        <v>5</v>
      </c>
      <c r="AP32" s="13" t="n">
        <v>9</v>
      </c>
      <c r="AQ32" s="13" t="n">
        <v>1</v>
      </c>
      <c r="AR32" s="13" t="n">
        <v>9</v>
      </c>
      <c r="AS32" s="13" t="n">
        <v>6</v>
      </c>
      <c r="AT32" s="13" t="n">
        <v>8</v>
      </c>
      <c r="AU32" s="13" t="n">
        <v>4</v>
      </c>
      <c r="AV32" s="13" t="n">
        <v>8</v>
      </c>
      <c r="AW32" s="13" t="n">
        <v>6</v>
      </c>
      <c r="AX32" s="13" t="n">
        <v>7</v>
      </c>
      <c r="AY32" s="13" t="n">
        <v>8</v>
      </c>
      <c r="AZ32" s="13" t="n">
        <v>6</v>
      </c>
      <c r="BA32" s="13" t="n">
        <v>4</v>
      </c>
      <c r="BB32" s="13" t="n">
        <v>8</v>
      </c>
      <c r="BC32" s="13" t="n">
        <v>9</v>
      </c>
      <c r="BD32" s="13" t="n">
        <v>8</v>
      </c>
      <c r="BE32" s="13" t="n">
        <v>5</v>
      </c>
      <c r="BF32" s="13" t="n">
        <v>8</v>
      </c>
      <c r="BG32" s="13" t="n">
        <v>7</v>
      </c>
      <c r="BH32" s="13" t="n">
        <v>10</v>
      </c>
      <c r="BI32" s="13" t="n">
        <v>3</v>
      </c>
      <c r="BJ32" s="13" t="n">
        <v>8</v>
      </c>
      <c r="BK32" s="13" t="n">
        <v>4</v>
      </c>
      <c r="BL32" s="13" t="n">
        <v>8</v>
      </c>
      <c r="BM32" s="13" t="n">
        <v>7</v>
      </c>
    </row>
    <row r="33">
      <c r="A33" s="5" t="inlineStr">
        <is>
          <t>R030</t>
        </is>
      </c>
      <c r="B33" s="5" t="inlineStr">
        <is>
          <t>Marketing</t>
        </is>
      </c>
      <c r="C33" s="5" t="inlineStr">
        <is>
          <t>Tokyo</t>
        </is>
      </c>
      <c r="D33" s="5" t="inlineStr">
        <is>
          <t>Core Product</t>
        </is>
      </c>
      <c r="E33" s="5" t="inlineStr">
        <is>
          <t>M. Chen</t>
        </is>
      </c>
      <c r="F33" s="4" t="n">
        <v>10</v>
      </c>
      <c r="G33" s="4" t="n">
        <v>5</v>
      </c>
      <c r="H33" s="4" t="n">
        <v>7</v>
      </c>
      <c r="I33" s="4" t="n">
        <v>5</v>
      </c>
      <c r="J33" s="4" t="n">
        <v>8</v>
      </c>
      <c r="K33" s="4" t="n">
        <v>7</v>
      </c>
      <c r="L33" s="4" t="n">
        <v>8</v>
      </c>
      <c r="M33" s="4" t="n">
        <v>6</v>
      </c>
      <c r="N33" s="4" t="n">
        <v>5</v>
      </c>
      <c r="O33" s="4" t="n">
        <v>8</v>
      </c>
      <c r="P33" s="4" t="n">
        <v>8</v>
      </c>
      <c r="Q33" s="4" t="n">
        <v>8</v>
      </c>
      <c r="R33" s="4" t="n">
        <v>8</v>
      </c>
      <c r="S33" s="4" t="n">
        <v>4</v>
      </c>
      <c r="T33" s="4" t="n">
        <v>8</v>
      </c>
      <c r="U33" s="4" t="n">
        <v>7</v>
      </c>
      <c r="V33" s="4" t="n">
        <v>8</v>
      </c>
      <c r="W33" s="4" t="n">
        <v>4</v>
      </c>
      <c r="X33" s="4" t="n">
        <v>9</v>
      </c>
      <c r="Y33" s="4" t="n">
        <v>8</v>
      </c>
      <c r="Z33" s="4" t="n">
        <v>4</v>
      </c>
      <c r="AA33" s="4" t="n">
        <v>6</v>
      </c>
      <c r="AB33" s="4" t="n">
        <v>7</v>
      </c>
      <c r="AC33" s="4" t="n">
        <v>8</v>
      </c>
      <c r="AD33" s="4" t="n">
        <v>9</v>
      </c>
      <c r="AE33" s="4" t="n">
        <v>8</v>
      </c>
      <c r="AF33" s="4" t="n">
        <v>7</v>
      </c>
      <c r="AG33" s="4" t="n">
        <v>6</v>
      </c>
      <c r="AH33" s="4" t="n">
        <v>7</v>
      </c>
      <c r="AI33" s="4" t="n">
        <v>7</v>
      </c>
      <c r="AJ33" s="4" t="n">
        <v>7</v>
      </c>
      <c r="AK33" s="4" t="n">
        <v>7</v>
      </c>
      <c r="AL33" s="4" t="n">
        <v>10</v>
      </c>
      <c r="AM33" s="4" t="n">
        <v>2</v>
      </c>
      <c r="AN33" s="4" t="n">
        <v>7</v>
      </c>
      <c r="AO33" s="4" t="n">
        <v>5</v>
      </c>
      <c r="AP33" s="4" t="n">
        <v>9</v>
      </c>
      <c r="AQ33" s="4" t="n">
        <v>7</v>
      </c>
      <c r="AR33" s="4" t="n">
        <v>10</v>
      </c>
      <c r="AS33" s="4" t="n">
        <v>7</v>
      </c>
      <c r="AT33" s="4" t="n">
        <v>8</v>
      </c>
      <c r="AU33" s="4" t="n">
        <v>7</v>
      </c>
      <c r="AV33" s="4" t="n">
        <v>8</v>
      </c>
      <c r="AW33" s="4" t="n">
        <v>5</v>
      </c>
      <c r="AX33" s="4" t="n">
        <v>8</v>
      </c>
      <c r="AY33" s="4" t="n">
        <v>5</v>
      </c>
      <c r="AZ33" s="4" t="n">
        <v>8</v>
      </c>
      <c r="BA33" s="4" t="n">
        <v>8</v>
      </c>
      <c r="BB33" s="4" t="n">
        <v>10</v>
      </c>
      <c r="BC33" s="4" t="n">
        <v>7</v>
      </c>
      <c r="BD33" s="4" t="n">
        <v>10</v>
      </c>
      <c r="BE33" s="4" t="n">
        <v>8</v>
      </c>
      <c r="BF33" s="4" t="n">
        <v>9</v>
      </c>
      <c r="BG33" s="4" t="n">
        <v>4</v>
      </c>
      <c r="BH33" s="4" t="n">
        <v>7</v>
      </c>
      <c r="BI33" s="4" t="n">
        <v>5</v>
      </c>
      <c r="BJ33" s="4" t="n">
        <v>7</v>
      </c>
      <c r="BK33" s="4" t="n">
        <v>8</v>
      </c>
      <c r="BL33" s="4" t="n">
        <v>7</v>
      </c>
      <c r="BM33" s="4" t="n">
        <v>5</v>
      </c>
    </row>
    <row r="34">
      <c r="A34" s="12" t="inlineStr">
        <is>
          <t>R031</t>
        </is>
      </c>
      <c r="B34" s="12" t="inlineStr">
        <is>
          <t>Finance</t>
        </is>
      </c>
      <c r="C34" s="12" t="inlineStr">
        <is>
          <t>London</t>
        </is>
      </c>
      <c r="D34" s="12" t="inlineStr">
        <is>
          <t>Enterprise</t>
        </is>
      </c>
      <c r="E34" s="12" t="inlineStr">
        <is>
          <t>K. Taylor</t>
        </is>
      </c>
      <c r="F34" s="13" t="n">
        <v>7</v>
      </c>
      <c r="G34" s="13" t="n">
        <v>7</v>
      </c>
      <c r="H34" s="13" t="n">
        <v>8</v>
      </c>
      <c r="I34" s="13" t="n">
        <v>7</v>
      </c>
      <c r="J34" s="13" t="n">
        <v>9</v>
      </c>
      <c r="K34" s="13" t="n">
        <v>5</v>
      </c>
      <c r="L34" s="13" t="n">
        <v>8</v>
      </c>
      <c r="M34" s="13" t="n">
        <v>4</v>
      </c>
      <c r="N34" s="13" t="n">
        <v>8</v>
      </c>
      <c r="O34" s="13" t="n">
        <v>5</v>
      </c>
      <c r="P34" s="13" t="n">
        <v>6</v>
      </c>
      <c r="Q34" s="13" t="n">
        <v>7</v>
      </c>
      <c r="R34" s="13" t="n">
        <v>8</v>
      </c>
      <c r="S34" s="13" t="n">
        <v>7</v>
      </c>
      <c r="T34" s="13" t="n">
        <v>9</v>
      </c>
      <c r="U34" s="13" t="n">
        <v>10</v>
      </c>
      <c r="V34" s="13" t="n">
        <v>10</v>
      </c>
      <c r="W34" s="13" t="n">
        <v>8</v>
      </c>
      <c r="X34" s="13" t="n">
        <v>9</v>
      </c>
      <c r="Y34" s="13" t="n">
        <v>1</v>
      </c>
      <c r="Z34" s="13" t="n">
        <v>9</v>
      </c>
      <c r="AA34" s="13" t="n">
        <v>8</v>
      </c>
      <c r="AB34" s="13" t="n">
        <v>9</v>
      </c>
      <c r="AC34" s="13" t="n">
        <v>4</v>
      </c>
      <c r="AD34" s="13" t="n">
        <v>8</v>
      </c>
      <c r="AE34" s="13" t="n">
        <v>6</v>
      </c>
      <c r="AF34" s="13" t="n">
        <v>8</v>
      </c>
      <c r="AG34" s="13" t="n">
        <v>5</v>
      </c>
      <c r="AH34" s="13" t="n">
        <v>8</v>
      </c>
      <c r="AI34" s="13" t="n">
        <v>6</v>
      </c>
      <c r="AJ34" s="13" t="n">
        <v>9</v>
      </c>
      <c r="AK34" s="13" t="n">
        <v>3</v>
      </c>
      <c r="AL34" s="13" t="n">
        <v>10</v>
      </c>
      <c r="AM34" s="13" t="n">
        <v>6</v>
      </c>
      <c r="AN34" s="13" t="n">
        <v>7</v>
      </c>
      <c r="AO34" s="13" t="n">
        <v>5</v>
      </c>
      <c r="AP34" s="13" t="n">
        <v>10</v>
      </c>
      <c r="AQ34" s="13" t="n">
        <v>5</v>
      </c>
      <c r="AR34" s="13" t="n">
        <v>8</v>
      </c>
      <c r="AS34" s="13" t="n">
        <v>7</v>
      </c>
      <c r="AT34" s="13" t="n">
        <v>8</v>
      </c>
      <c r="AU34" s="13" t="n">
        <v>7</v>
      </c>
      <c r="AV34" s="13" t="n">
        <v>10</v>
      </c>
      <c r="AW34" s="13" t="n">
        <v>6</v>
      </c>
      <c r="AX34" s="13" t="n">
        <v>9</v>
      </c>
      <c r="AY34" s="13" t="n">
        <v>7</v>
      </c>
      <c r="AZ34" s="13" t="n">
        <v>9</v>
      </c>
      <c r="BA34" s="13" t="n">
        <v>1</v>
      </c>
      <c r="BB34" s="13" t="n">
        <v>9</v>
      </c>
      <c r="BC34" s="13" t="n">
        <v>3</v>
      </c>
      <c r="BD34" s="13" t="n">
        <v>6</v>
      </c>
      <c r="BE34" s="13" t="n">
        <v>8</v>
      </c>
      <c r="BF34" s="13" t="n">
        <v>9</v>
      </c>
      <c r="BG34" s="13" t="n">
        <v>6</v>
      </c>
      <c r="BH34" s="13" t="n">
        <v>9</v>
      </c>
      <c r="BI34" s="13" t="n">
        <v>9</v>
      </c>
      <c r="BJ34" s="13" t="n">
        <v>10</v>
      </c>
      <c r="BK34" s="13" t="n">
        <v>4</v>
      </c>
      <c r="BL34" s="13" t="n">
        <v>10</v>
      </c>
      <c r="BM34" s="13" t="n">
        <v>4</v>
      </c>
    </row>
    <row r="35">
      <c r="A35" s="5" t="inlineStr">
        <is>
          <t>R032</t>
        </is>
      </c>
      <c r="B35" s="5" t="inlineStr">
        <is>
          <t>Sales</t>
        </is>
      </c>
      <c r="C35" s="5" t="inlineStr">
        <is>
          <t>London</t>
        </is>
      </c>
      <c r="D35" s="5" t="inlineStr">
        <is>
          <t>Growth</t>
        </is>
      </c>
      <c r="E35" s="5" t="inlineStr">
        <is>
          <t>J. Brown</t>
        </is>
      </c>
      <c r="F35" s="4" t="n">
        <v>7</v>
      </c>
      <c r="G35" s="4" t="n">
        <v>8</v>
      </c>
      <c r="H35" s="4" t="n">
        <v>7</v>
      </c>
      <c r="I35" s="4" t="n">
        <v>3</v>
      </c>
      <c r="J35" s="4" t="n">
        <v>5</v>
      </c>
      <c r="K35" s="4" t="n">
        <v>9</v>
      </c>
      <c r="L35" s="4" t="n">
        <v>9</v>
      </c>
      <c r="M35" s="4" t="n">
        <v>7</v>
      </c>
      <c r="N35" s="4" t="n">
        <v>9</v>
      </c>
      <c r="O35" s="4" t="n">
        <v>6</v>
      </c>
      <c r="P35" s="4" t="n">
        <v>9</v>
      </c>
      <c r="Q35" s="4" t="n">
        <v>6</v>
      </c>
      <c r="R35" s="4" t="n">
        <v>8</v>
      </c>
      <c r="S35" s="4" t="n">
        <v>10</v>
      </c>
      <c r="T35" s="4" t="n">
        <v>9</v>
      </c>
      <c r="U35" s="4" t="n">
        <v>6</v>
      </c>
      <c r="V35" s="4" t="n">
        <v>7</v>
      </c>
      <c r="W35" s="4" t="n">
        <v>4</v>
      </c>
      <c r="X35" s="4" t="n">
        <v>8</v>
      </c>
      <c r="Y35" s="4" t="n">
        <v>8</v>
      </c>
      <c r="Z35" s="4" t="n">
        <v>10</v>
      </c>
      <c r="AA35" s="4" t="n">
        <v>2</v>
      </c>
      <c r="AB35" s="4" t="n">
        <v>7</v>
      </c>
      <c r="AC35" s="4" t="n">
        <v>3</v>
      </c>
      <c r="AD35" s="4" t="n">
        <v>6</v>
      </c>
      <c r="AE35" s="4" t="n">
        <v>7</v>
      </c>
      <c r="AF35" s="4" t="n">
        <v>9</v>
      </c>
      <c r="AG35" s="4" t="n">
        <v>7</v>
      </c>
      <c r="AH35" s="4" t="n">
        <v>6</v>
      </c>
      <c r="AI35" s="4" t="n">
        <v>5</v>
      </c>
      <c r="AJ35" s="4" t="n">
        <v>10</v>
      </c>
      <c r="AK35" s="4" t="n">
        <v>7</v>
      </c>
      <c r="AL35" s="4" t="n">
        <v>7</v>
      </c>
      <c r="AM35" s="4" t="n">
        <v>9</v>
      </c>
      <c r="AN35" s="4" t="n">
        <v>8</v>
      </c>
      <c r="AO35" s="4" t="n">
        <v>7</v>
      </c>
      <c r="AP35" s="4" t="n">
        <v>6</v>
      </c>
      <c r="AQ35" s="4" t="n">
        <v>4</v>
      </c>
      <c r="AR35" s="4" t="n">
        <v>7</v>
      </c>
      <c r="AS35" s="4" t="n">
        <v>4</v>
      </c>
      <c r="AT35" s="4" t="n">
        <v>10</v>
      </c>
      <c r="AU35" s="4" t="n">
        <v>6</v>
      </c>
      <c r="AV35" s="4" t="n">
        <v>8</v>
      </c>
      <c r="AW35" s="4" t="n">
        <v>5</v>
      </c>
      <c r="AX35" s="4" t="n">
        <v>8</v>
      </c>
      <c r="AY35" s="4" t="n">
        <v>6</v>
      </c>
      <c r="AZ35" s="4" t="n">
        <v>7</v>
      </c>
      <c r="BA35" s="4" t="n">
        <v>3</v>
      </c>
      <c r="BB35" s="4" t="n">
        <v>10</v>
      </c>
      <c r="BC35" s="4" t="n">
        <v>1</v>
      </c>
      <c r="BD35" s="4" t="n">
        <v>8</v>
      </c>
      <c r="BE35" s="4" t="n">
        <v>5</v>
      </c>
      <c r="BF35" s="4" t="n">
        <v>9</v>
      </c>
      <c r="BG35" s="4" t="n">
        <v>3</v>
      </c>
      <c r="BH35" s="4" t="n">
        <v>9</v>
      </c>
      <c r="BI35" s="4" t="n">
        <v>6</v>
      </c>
      <c r="BJ35" s="4" t="n">
        <v>9</v>
      </c>
      <c r="BK35" s="4" t="n">
        <v>5</v>
      </c>
      <c r="BL35" s="4" t="n">
        <v>8</v>
      </c>
      <c r="BM35" s="4" t="n">
        <v>3</v>
      </c>
    </row>
    <row r="36">
      <c r="A36" s="12" t="inlineStr">
        <is>
          <t>R033</t>
        </is>
      </c>
      <c r="B36" s="12" t="inlineStr">
        <is>
          <t>Sales</t>
        </is>
      </c>
      <c r="C36" s="12" t="inlineStr">
        <is>
          <t>New York</t>
        </is>
      </c>
      <c r="D36" s="12" t="inlineStr">
        <is>
          <t>Corporate</t>
        </is>
      </c>
      <c r="E36" s="12" t="inlineStr">
        <is>
          <t>S. Johnson</t>
        </is>
      </c>
      <c r="F36" s="13" t="n">
        <v>7</v>
      </c>
      <c r="G36" s="13" t="n">
        <v>7</v>
      </c>
      <c r="H36" s="13" t="n">
        <v>9</v>
      </c>
      <c r="I36" s="13" t="n">
        <v>7</v>
      </c>
      <c r="J36" s="13" t="n">
        <v>9</v>
      </c>
      <c r="K36" s="13" t="n">
        <v>5</v>
      </c>
      <c r="L36" s="13" t="n">
        <v>8</v>
      </c>
      <c r="M36" s="13" t="n">
        <v>6</v>
      </c>
      <c r="N36" s="13" t="n">
        <v>8</v>
      </c>
      <c r="O36" s="13" t="n">
        <v>5</v>
      </c>
      <c r="P36" s="13" t="n">
        <v>8</v>
      </c>
      <c r="Q36" s="13" t="n">
        <v>7</v>
      </c>
      <c r="R36" s="13" t="n">
        <v>5</v>
      </c>
      <c r="S36" s="13" t="n">
        <v>6</v>
      </c>
      <c r="T36" s="13" t="n">
        <v>10</v>
      </c>
      <c r="U36" s="13" t="n">
        <v>6</v>
      </c>
      <c r="V36" s="13" t="n">
        <v>8</v>
      </c>
      <c r="W36" s="13" t="n">
        <v>8</v>
      </c>
      <c r="X36" s="13" t="n">
        <v>10</v>
      </c>
      <c r="Y36" s="13" t="n">
        <v>7</v>
      </c>
      <c r="Z36" s="13" t="n">
        <v>4</v>
      </c>
      <c r="AA36" s="13" t="n">
        <v>5</v>
      </c>
      <c r="AB36" s="13" t="n">
        <v>9</v>
      </c>
      <c r="AC36" s="13" t="n">
        <v>6</v>
      </c>
      <c r="AD36" s="13" t="n">
        <v>8</v>
      </c>
      <c r="AE36" s="13" t="n">
        <v>7</v>
      </c>
      <c r="AF36" s="13" t="n">
        <v>8</v>
      </c>
      <c r="AG36" s="13" t="n">
        <v>7</v>
      </c>
      <c r="AH36" s="13" t="n">
        <v>8</v>
      </c>
      <c r="AI36" s="13" t="n">
        <v>9</v>
      </c>
      <c r="AJ36" s="13" t="n">
        <v>7</v>
      </c>
      <c r="AK36" s="13" t="n">
        <v>5</v>
      </c>
      <c r="AL36" s="13" t="n">
        <v>8</v>
      </c>
      <c r="AM36" s="13" t="n">
        <v>5</v>
      </c>
      <c r="AN36" s="13" t="n">
        <v>6</v>
      </c>
      <c r="AO36" s="13" t="n">
        <v>4</v>
      </c>
      <c r="AP36" s="13" t="n">
        <v>8</v>
      </c>
      <c r="AQ36" s="13" t="n">
        <v>5</v>
      </c>
      <c r="AR36" s="13" t="n">
        <v>7</v>
      </c>
      <c r="AS36" s="13" t="n">
        <v>4</v>
      </c>
      <c r="AT36" s="13" t="n">
        <v>8</v>
      </c>
      <c r="AU36" s="13" t="n">
        <v>7</v>
      </c>
      <c r="AV36" s="13" t="n">
        <v>8</v>
      </c>
      <c r="AW36" s="13" t="n">
        <v>5</v>
      </c>
      <c r="AX36" s="13" t="n">
        <v>8</v>
      </c>
      <c r="AY36" s="13" t="n">
        <v>3</v>
      </c>
      <c r="AZ36" s="13" t="n">
        <v>9</v>
      </c>
      <c r="BA36" s="13" t="n">
        <v>3</v>
      </c>
      <c r="BB36" s="13" t="n">
        <v>7</v>
      </c>
      <c r="BC36" s="13" t="n">
        <v>4</v>
      </c>
      <c r="BD36" s="13" t="n">
        <v>9</v>
      </c>
      <c r="BE36" s="13" t="n">
        <v>7</v>
      </c>
      <c r="BF36" s="13" t="n">
        <v>8</v>
      </c>
      <c r="BG36" s="13" t="n">
        <v>3</v>
      </c>
      <c r="BH36" s="13" t="n">
        <v>10</v>
      </c>
      <c r="BI36" s="13" t="n">
        <v>2</v>
      </c>
      <c r="BJ36" s="13" t="n">
        <v>8</v>
      </c>
      <c r="BK36" s="13" t="n">
        <v>5</v>
      </c>
      <c r="BL36" s="13" t="n">
        <v>8</v>
      </c>
      <c r="BM36" s="13" t="n">
        <v>6</v>
      </c>
    </row>
    <row r="37">
      <c r="A37" s="5" t="inlineStr">
        <is>
          <t>R034</t>
        </is>
      </c>
      <c r="B37" s="5" t="inlineStr">
        <is>
          <t>Operations</t>
        </is>
      </c>
      <c r="C37" s="5" t="inlineStr">
        <is>
          <t>New York</t>
        </is>
      </c>
      <c r="D37" s="5" t="inlineStr">
        <is>
          <t>Growth</t>
        </is>
      </c>
      <c r="E37" s="5" t="inlineStr">
        <is>
          <t>S. Johnson</t>
        </is>
      </c>
      <c r="F37" s="4" t="n">
        <v>7</v>
      </c>
      <c r="G37" s="4" t="n">
        <v>9</v>
      </c>
      <c r="H37" s="4" t="n">
        <v>7</v>
      </c>
      <c r="I37" s="4" t="n">
        <v>8</v>
      </c>
      <c r="J37" s="4" t="n">
        <v>9</v>
      </c>
      <c r="K37" s="4" t="n">
        <v>7</v>
      </c>
      <c r="L37" s="4" t="n">
        <v>7</v>
      </c>
      <c r="M37" s="4" t="n">
        <v>7</v>
      </c>
      <c r="N37" s="4" t="n">
        <v>8</v>
      </c>
      <c r="O37" s="4" t="n">
        <v>7</v>
      </c>
      <c r="P37" s="4" t="n">
        <v>10</v>
      </c>
      <c r="Q37" s="4" t="n">
        <v>8</v>
      </c>
      <c r="R37" s="4" t="n">
        <v>8</v>
      </c>
      <c r="S37" s="4" t="n">
        <v>5</v>
      </c>
      <c r="T37" s="4" t="n">
        <v>9</v>
      </c>
      <c r="U37" s="4" t="n">
        <v>9</v>
      </c>
      <c r="V37" s="4" t="n">
        <v>8</v>
      </c>
      <c r="W37" s="4" t="n">
        <v>7</v>
      </c>
      <c r="X37" s="4" t="n">
        <v>8</v>
      </c>
      <c r="Y37" s="4" t="n">
        <v>7</v>
      </c>
      <c r="Z37" s="4" t="n">
        <v>6</v>
      </c>
      <c r="AA37" s="4" t="n">
        <v>7</v>
      </c>
      <c r="AB37" s="4" t="n">
        <v>7</v>
      </c>
      <c r="AC37" s="4" t="n">
        <v>6</v>
      </c>
      <c r="AD37" s="4" t="n">
        <v>5</v>
      </c>
      <c r="AE37" s="4" t="n">
        <v>8</v>
      </c>
      <c r="AF37" s="4" t="n">
        <v>6</v>
      </c>
      <c r="AG37" s="4" t="n">
        <v>6</v>
      </c>
      <c r="AH37" s="4" t="n">
        <v>7</v>
      </c>
      <c r="AI37" s="4" t="n">
        <v>9</v>
      </c>
      <c r="AJ37" s="4" t="n">
        <v>8</v>
      </c>
      <c r="AK37" s="4" t="n">
        <v>6</v>
      </c>
      <c r="AL37" s="4" t="n">
        <v>8</v>
      </c>
      <c r="AM37" s="4" t="n">
        <v>4</v>
      </c>
      <c r="AN37" s="4" t="n">
        <v>8</v>
      </c>
      <c r="AO37" s="4" t="n">
        <v>7</v>
      </c>
      <c r="AP37" s="4" t="n">
        <v>6</v>
      </c>
      <c r="AQ37" s="4" t="n">
        <v>5</v>
      </c>
      <c r="AR37" s="4" t="n">
        <v>8</v>
      </c>
      <c r="AS37" s="4" t="n">
        <v>4</v>
      </c>
      <c r="AT37" s="4" t="n">
        <v>9</v>
      </c>
      <c r="AU37" s="4" t="n">
        <v>8</v>
      </c>
      <c r="AV37" s="4" t="n">
        <v>5</v>
      </c>
      <c r="AW37" s="4" t="n">
        <v>3</v>
      </c>
      <c r="AX37" s="4" t="n">
        <v>7</v>
      </c>
      <c r="AY37" s="4" t="n">
        <v>4</v>
      </c>
      <c r="AZ37" s="4" t="n">
        <v>8</v>
      </c>
      <c r="BA37" s="4" t="n">
        <v>4</v>
      </c>
      <c r="BB37" s="4" t="n">
        <v>7</v>
      </c>
      <c r="BC37" s="4" t="n">
        <v>7</v>
      </c>
      <c r="BD37" s="4" t="n">
        <v>8</v>
      </c>
      <c r="BE37" s="4" t="n">
        <v>5</v>
      </c>
      <c r="BF37" s="4" t="n">
        <v>10</v>
      </c>
      <c r="BG37" s="4" t="n">
        <v>4</v>
      </c>
      <c r="BH37" s="4" t="n">
        <v>7</v>
      </c>
      <c r="BI37" s="4" t="n">
        <v>4</v>
      </c>
      <c r="BJ37" s="4" t="n">
        <v>7</v>
      </c>
      <c r="BK37" s="4" t="n">
        <v>5</v>
      </c>
      <c r="BL37" s="4" t="n">
        <v>8</v>
      </c>
      <c r="BM37" s="4" t="n">
        <v>6</v>
      </c>
    </row>
    <row r="38">
      <c r="A38" s="12" t="inlineStr">
        <is>
          <t>R035</t>
        </is>
      </c>
      <c r="B38" s="12" t="inlineStr">
        <is>
          <t>Operations</t>
        </is>
      </c>
      <c r="C38" s="12" t="inlineStr">
        <is>
          <t>Tokyo</t>
        </is>
      </c>
      <c r="D38" s="12" t="inlineStr">
        <is>
          <t>Growth</t>
        </is>
      </c>
      <c r="E38" s="12" t="inlineStr">
        <is>
          <t>S. Johnson</t>
        </is>
      </c>
      <c r="F38" s="13" t="n">
        <v>7</v>
      </c>
      <c r="G38" s="13" t="n">
        <v>6</v>
      </c>
      <c r="H38" s="13" t="n">
        <v>9</v>
      </c>
      <c r="I38" s="13" t="n">
        <v>4</v>
      </c>
      <c r="J38" s="13" t="n">
        <v>10</v>
      </c>
      <c r="K38" s="13" t="n">
        <v>2</v>
      </c>
      <c r="L38" s="13" t="n">
        <v>8</v>
      </c>
      <c r="M38" s="13" t="n">
        <v>8</v>
      </c>
      <c r="N38" s="13" t="n">
        <v>10</v>
      </c>
      <c r="O38" s="13" t="n">
        <v>7</v>
      </c>
      <c r="P38" s="13" t="n">
        <v>9</v>
      </c>
      <c r="Q38" s="13" t="n">
        <v>9</v>
      </c>
      <c r="R38" s="13" t="n">
        <v>6</v>
      </c>
      <c r="S38" s="13" t="n">
        <v>6</v>
      </c>
      <c r="T38" s="13" t="n">
        <v>8</v>
      </c>
      <c r="U38" s="13" t="n">
        <v>5</v>
      </c>
      <c r="V38" s="13" t="n">
        <v>9</v>
      </c>
      <c r="W38" s="13" t="n">
        <v>4</v>
      </c>
      <c r="X38" s="13" t="n">
        <v>9</v>
      </c>
      <c r="Y38" s="13" t="n">
        <v>7</v>
      </c>
      <c r="Z38" s="13" t="n">
        <v>8</v>
      </c>
      <c r="AA38" s="13" t="n">
        <v>4</v>
      </c>
      <c r="AB38" s="13" t="n">
        <v>7</v>
      </c>
      <c r="AC38" s="13" t="n">
        <v>5</v>
      </c>
      <c r="AD38" s="13" t="n">
        <v>6</v>
      </c>
      <c r="AE38" s="13" t="n">
        <v>8</v>
      </c>
      <c r="AF38" s="13" t="n">
        <v>8</v>
      </c>
      <c r="AG38" s="13" t="n">
        <v>5</v>
      </c>
      <c r="AH38" s="13" t="n">
        <v>7</v>
      </c>
      <c r="AI38" s="13" t="n">
        <v>9</v>
      </c>
      <c r="AJ38" s="13" t="n">
        <v>9</v>
      </c>
      <c r="AK38" s="13" t="n">
        <v>4</v>
      </c>
      <c r="AL38" s="13" t="n">
        <v>10</v>
      </c>
      <c r="AM38" s="13" t="n">
        <v>7</v>
      </c>
      <c r="AN38" s="13" t="n">
        <v>9</v>
      </c>
      <c r="AO38" s="13" t="n">
        <v>4</v>
      </c>
      <c r="AP38" s="13" t="n">
        <v>10</v>
      </c>
      <c r="AQ38" s="13" t="n">
        <v>7</v>
      </c>
      <c r="AR38" s="13" t="n">
        <v>8</v>
      </c>
      <c r="AS38" s="13" t="n">
        <v>7</v>
      </c>
      <c r="AT38" s="13" t="n">
        <v>9</v>
      </c>
      <c r="AU38" s="13" t="n">
        <v>5</v>
      </c>
      <c r="AV38" s="13" t="n">
        <v>7</v>
      </c>
      <c r="AW38" s="13" t="n">
        <v>3</v>
      </c>
      <c r="AX38" s="13" t="n">
        <v>7</v>
      </c>
      <c r="AY38" s="13" t="n">
        <v>5</v>
      </c>
      <c r="AZ38" s="13" t="n">
        <v>9</v>
      </c>
      <c r="BA38" s="13" t="n">
        <v>6</v>
      </c>
      <c r="BB38" s="13" t="n">
        <v>9</v>
      </c>
      <c r="BC38" s="13" t="n">
        <v>8</v>
      </c>
      <c r="BD38" s="13" t="n">
        <v>8</v>
      </c>
      <c r="BE38" s="13" t="n">
        <v>4</v>
      </c>
      <c r="BF38" s="13" t="n">
        <v>7</v>
      </c>
      <c r="BG38" s="13" t="n">
        <v>4</v>
      </c>
      <c r="BH38" s="13" t="n">
        <v>8</v>
      </c>
      <c r="BI38" s="13" t="n">
        <v>5</v>
      </c>
      <c r="BJ38" s="13" t="n">
        <v>8</v>
      </c>
      <c r="BK38" s="13" t="n">
        <v>5</v>
      </c>
      <c r="BL38" s="13" t="n">
        <v>8</v>
      </c>
      <c r="BM38" s="13" t="n">
        <v>4</v>
      </c>
    </row>
    <row r="39">
      <c r="A39" s="5" t="inlineStr">
        <is>
          <t>R036</t>
        </is>
      </c>
      <c r="B39" s="5" t="inlineStr">
        <is>
          <t>Operations</t>
        </is>
      </c>
      <c r="C39" s="5" t="inlineStr">
        <is>
          <t>London</t>
        </is>
      </c>
      <c r="D39" s="5" t="inlineStr">
        <is>
          <t>Growth</t>
        </is>
      </c>
      <c r="E39" s="5" t="inlineStr">
        <is>
          <t>T. Garcia</t>
        </is>
      </c>
      <c r="F39" s="4" t="n">
        <v>8</v>
      </c>
      <c r="G39" s="4" t="n">
        <v>7</v>
      </c>
      <c r="H39" s="4" t="n">
        <v>10</v>
      </c>
      <c r="I39" s="4" t="n">
        <v>2</v>
      </c>
      <c r="J39" s="4" t="n">
        <v>8</v>
      </c>
      <c r="K39" s="4" t="n">
        <v>4</v>
      </c>
      <c r="L39" s="4" t="n">
        <v>10</v>
      </c>
      <c r="M39" s="4" t="n">
        <v>3</v>
      </c>
      <c r="N39" s="4" t="n">
        <v>9</v>
      </c>
      <c r="O39" s="4" t="n">
        <v>5</v>
      </c>
      <c r="P39" s="4" t="n">
        <v>10</v>
      </c>
      <c r="Q39" s="4" t="n">
        <v>5</v>
      </c>
      <c r="R39" s="4" t="n">
        <v>8</v>
      </c>
      <c r="S39" s="4" t="n">
        <v>9</v>
      </c>
      <c r="T39" s="4" t="n">
        <v>8</v>
      </c>
      <c r="U39" s="4" t="n">
        <v>4</v>
      </c>
      <c r="V39" s="4" t="n">
        <v>10</v>
      </c>
      <c r="W39" s="4" t="n">
        <v>3</v>
      </c>
      <c r="X39" s="4" t="n">
        <v>9</v>
      </c>
      <c r="Y39" s="4" t="n">
        <v>3</v>
      </c>
      <c r="Z39" s="4" t="n">
        <v>8</v>
      </c>
      <c r="AA39" s="4" t="n">
        <v>6</v>
      </c>
      <c r="AB39" s="4" t="n">
        <v>7</v>
      </c>
      <c r="AC39" s="4" t="n">
        <v>7</v>
      </c>
      <c r="AD39" s="4" t="n">
        <v>7</v>
      </c>
      <c r="AE39" s="4" t="n">
        <v>6</v>
      </c>
      <c r="AF39" s="4" t="n">
        <v>9</v>
      </c>
      <c r="AG39" s="4" t="n">
        <v>7</v>
      </c>
      <c r="AH39" s="4" t="n">
        <v>6</v>
      </c>
      <c r="AI39" s="4" t="n">
        <v>6</v>
      </c>
      <c r="AJ39" s="4" t="n">
        <v>6</v>
      </c>
      <c r="AK39" s="4" t="n">
        <v>7</v>
      </c>
      <c r="AL39" s="4" t="n">
        <v>7</v>
      </c>
      <c r="AM39" s="4" t="n">
        <v>5</v>
      </c>
      <c r="AN39" s="4" t="n">
        <v>7</v>
      </c>
      <c r="AO39" s="4" t="n">
        <v>6</v>
      </c>
      <c r="AP39" s="4" t="n">
        <v>9</v>
      </c>
      <c r="AQ39" s="4" t="n">
        <v>2</v>
      </c>
      <c r="AR39" s="4" t="n">
        <v>8</v>
      </c>
      <c r="AS39" s="4" t="n">
        <v>6</v>
      </c>
      <c r="AT39" s="4" t="n">
        <v>9</v>
      </c>
      <c r="AU39" s="4" t="n">
        <v>4</v>
      </c>
      <c r="AV39" s="4" t="n">
        <v>8</v>
      </c>
      <c r="AW39" s="4" t="n">
        <v>6</v>
      </c>
      <c r="AX39" s="4" t="n">
        <v>9</v>
      </c>
      <c r="AY39" s="4" t="n">
        <v>7</v>
      </c>
      <c r="AZ39" s="4" t="n">
        <v>10</v>
      </c>
      <c r="BA39" s="4" t="n">
        <v>5</v>
      </c>
      <c r="BB39" s="4" t="n">
        <v>7</v>
      </c>
      <c r="BC39" s="4" t="n">
        <v>2</v>
      </c>
      <c r="BD39" s="4" t="n">
        <v>5</v>
      </c>
      <c r="BE39" s="4" t="n">
        <v>6</v>
      </c>
      <c r="BF39" s="4" t="n">
        <v>10</v>
      </c>
      <c r="BG39" s="4" t="n">
        <v>6</v>
      </c>
      <c r="BH39" s="4" t="n">
        <v>9</v>
      </c>
      <c r="BI39" s="4" t="n">
        <v>4</v>
      </c>
      <c r="BJ39" s="4" t="n">
        <v>8</v>
      </c>
      <c r="BK39" s="4" t="n">
        <v>5</v>
      </c>
      <c r="BL39" s="4" t="n">
        <v>8</v>
      </c>
      <c r="BM39" s="4" t="n">
        <v>5</v>
      </c>
    </row>
    <row r="40">
      <c r="A40" s="12" t="inlineStr">
        <is>
          <t>R037</t>
        </is>
      </c>
      <c r="B40" s="12" t="inlineStr">
        <is>
          <t>Operations</t>
        </is>
      </c>
      <c r="C40" s="12" t="inlineStr">
        <is>
          <t>London</t>
        </is>
      </c>
      <c r="D40" s="12" t="inlineStr">
        <is>
          <t>Enterprise</t>
        </is>
      </c>
      <c r="E40" s="12" t="inlineStr">
        <is>
          <t>T. Garcia</t>
        </is>
      </c>
      <c r="F40" s="13" t="n">
        <v>10</v>
      </c>
      <c r="G40" s="13" t="n">
        <v>4</v>
      </c>
      <c r="H40" s="13" t="n">
        <v>8</v>
      </c>
      <c r="I40" s="13" t="n">
        <v>5</v>
      </c>
      <c r="J40" s="13" t="n">
        <v>9</v>
      </c>
      <c r="K40" s="13" t="n">
        <v>7</v>
      </c>
      <c r="L40" s="13" t="n">
        <v>9</v>
      </c>
      <c r="M40" s="13" t="n">
        <v>4</v>
      </c>
      <c r="N40" s="13" t="n">
        <v>6</v>
      </c>
      <c r="O40" s="13" t="n">
        <v>8</v>
      </c>
      <c r="P40" s="13" t="n">
        <v>9</v>
      </c>
      <c r="Q40" s="13" t="n">
        <v>8</v>
      </c>
      <c r="R40" s="13" t="n">
        <v>8</v>
      </c>
      <c r="S40" s="13" t="n">
        <v>6</v>
      </c>
      <c r="T40" s="13" t="n">
        <v>7</v>
      </c>
      <c r="U40" s="13" t="n">
        <v>7</v>
      </c>
      <c r="V40" s="13" t="n">
        <v>7</v>
      </c>
      <c r="W40" s="13" t="n">
        <v>5</v>
      </c>
      <c r="X40" s="13" t="n">
        <v>10</v>
      </c>
      <c r="Y40" s="13" t="n">
        <v>4</v>
      </c>
      <c r="Z40" s="13" t="n">
        <v>9</v>
      </c>
      <c r="AA40" s="13" t="n">
        <v>5</v>
      </c>
      <c r="AB40" s="13" t="n">
        <v>8</v>
      </c>
      <c r="AC40" s="13" t="n">
        <v>6</v>
      </c>
      <c r="AD40" s="13" t="n">
        <v>7</v>
      </c>
      <c r="AE40" s="13" t="n">
        <v>6</v>
      </c>
      <c r="AF40" s="13" t="n">
        <v>6</v>
      </c>
      <c r="AG40" s="13" t="n">
        <v>6</v>
      </c>
      <c r="AH40" s="13" t="n">
        <v>8</v>
      </c>
      <c r="AI40" s="13" t="n">
        <v>10</v>
      </c>
      <c r="AJ40" s="13" t="n">
        <v>6</v>
      </c>
      <c r="AK40" s="13" t="n">
        <v>5</v>
      </c>
      <c r="AL40" s="13" t="n">
        <v>7</v>
      </c>
      <c r="AM40" s="13" t="n">
        <v>7</v>
      </c>
      <c r="AN40" s="13" t="n">
        <v>7</v>
      </c>
      <c r="AO40" s="13" t="n">
        <v>3</v>
      </c>
      <c r="AP40" s="13" t="n">
        <v>9</v>
      </c>
      <c r="AQ40" s="13" t="n">
        <v>2</v>
      </c>
      <c r="AR40" s="13" t="n">
        <v>10</v>
      </c>
      <c r="AS40" s="13" t="n">
        <v>6</v>
      </c>
      <c r="AT40" s="13" t="n">
        <v>6</v>
      </c>
      <c r="AU40" s="13" t="n">
        <v>6</v>
      </c>
      <c r="AV40" s="13" t="n">
        <v>8</v>
      </c>
      <c r="AW40" s="13" t="n">
        <v>4</v>
      </c>
      <c r="AX40" s="13" t="n">
        <v>7</v>
      </c>
      <c r="AY40" s="13" t="n">
        <v>7</v>
      </c>
      <c r="AZ40" s="13" t="n">
        <v>6</v>
      </c>
      <c r="BA40" s="13" t="n">
        <v>8</v>
      </c>
      <c r="BB40" s="13" t="n">
        <v>6</v>
      </c>
      <c r="BC40" s="13" t="n">
        <v>6</v>
      </c>
      <c r="BD40" s="13" t="n">
        <v>7</v>
      </c>
      <c r="BE40" s="13" t="n">
        <v>5</v>
      </c>
      <c r="BF40" s="13" t="n">
        <v>8</v>
      </c>
      <c r="BG40" s="13" t="n">
        <v>5</v>
      </c>
      <c r="BH40" s="13" t="n">
        <v>9</v>
      </c>
      <c r="BI40" s="13" t="n">
        <v>6</v>
      </c>
      <c r="BJ40" s="13" t="n">
        <v>9</v>
      </c>
      <c r="BK40" s="13" t="n">
        <v>1</v>
      </c>
      <c r="BL40" s="13" t="n">
        <v>9</v>
      </c>
      <c r="BM40" s="13" t="n">
        <v>4</v>
      </c>
    </row>
    <row r="41">
      <c r="A41" s="5" t="inlineStr">
        <is>
          <t>R038</t>
        </is>
      </c>
      <c r="B41" s="5" t="inlineStr">
        <is>
          <t>Human Resources</t>
        </is>
      </c>
      <c r="C41" s="5" t="inlineStr">
        <is>
          <t>Tokyo</t>
        </is>
      </c>
      <c r="D41" s="5" t="inlineStr">
        <is>
          <t>Enterprise</t>
        </is>
      </c>
      <c r="E41" s="5" t="inlineStr">
        <is>
          <t>M. Chen</t>
        </is>
      </c>
      <c r="F41" s="4" t="n">
        <v>9</v>
      </c>
      <c r="G41" s="4" t="n">
        <v>4</v>
      </c>
      <c r="H41" s="4" t="n">
        <v>8</v>
      </c>
      <c r="I41" s="4" t="n">
        <v>4</v>
      </c>
      <c r="J41" s="4" t="n">
        <v>7</v>
      </c>
      <c r="K41" s="4" t="n">
        <v>7</v>
      </c>
      <c r="L41" s="4" t="n">
        <v>8</v>
      </c>
      <c r="M41" s="4" t="n">
        <v>6</v>
      </c>
      <c r="N41" s="4" t="n">
        <v>6</v>
      </c>
      <c r="O41" s="4" t="n">
        <v>4</v>
      </c>
      <c r="P41" s="4" t="n">
        <v>8</v>
      </c>
      <c r="Q41" s="4" t="n">
        <v>7</v>
      </c>
      <c r="R41" s="4" t="n">
        <v>6</v>
      </c>
      <c r="S41" s="4" t="n">
        <v>7</v>
      </c>
      <c r="T41" s="4" t="n">
        <v>7</v>
      </c>
      <c r="U41" s="4" t="n">
        <v>7</v>
      </c>
      <c r="V41" s="4" t="n">
        <v>10</v>
      </c>
      <c r="W41" s="4" t="n">
        <v>9</v>
      </c>
      <c r="X41" s="4" t="n">
        <v>9</v>
      </c>
      <c r="Y41" s="4" t="n">
        <v>6</v>
      </c>
      <c r="Z41" s="4" t="n">
        <v>8</v>
      </c>
      <c r="AA41" s="4" t="n">
        <v>6</v>
      </c>
      <c r="AB41" s="4" t="n">
        <v>7</v>
      </c>
      <c r="AC41" s="4" t="n">
        <v>6</v>
      </c>
      <c r="AD41" s="4" t="n">
        <v>6</v>
      </c>
      <c r="AE41" s="4" t="n">
        <v>7</v>
      </c>
      <c r="AF41" s="4" t="n">
        <v>8</v>
      </c>
      <c r="AG41" s="4" t="n">
        <v>6</v>
      </c>
      <c r="AH41" s="4" t="n">
        <v>6</v>
      </c>
      <c r="AI41" s="4" t="n">
        <v>6</v>
      </c>
      <c r="AJ41" s="4" t="n">
        <v>10</v>
      </c>
      <c r="AK41" s="4" t="n">
        <v>4</v>
      </c>
      <c r="AL41" s="4" t="n">
        <v>8</v>
      </c>
      <c r="AM41" s="4" t="n">
        <v>5</v>
      </c>
      <c r="AN41" s="4" t="n">
        <v>9</v>
      </c>
      <c r="AO41" s="4" t="n">
        <v>7</v>
      </c>
      <c r="AP41" s="4" t="n">
        <v>7</v>
      </c>
      <c r="AQ41" s="4" t="n">
        <v>9</v>
      </c>
      <c r="AR41" s="4" t="n">
        <v>7</v>
      </c>
      <c r="AS41" s="4" t="n">
        <v>4</v>
      </c>
      <c r="AT41" s="4" t="n">
        <v>7</v>
      </c>
      <c r="AU41" s="4" t="n">
        <v>6</v>
      </c>
      <c r="AV41" s="4" t="n">
        <v>8</v>
      </c>
      <c r="AW41" s="4" t="n">
        <v>5</v>
      </c>
      <c r="AX41" s="4" t="n">
        <v>9</v>
      </c>
      <c r="AY41" s="4" t="n">
        <v>4</v>
      </c>
      <c r="AZ41" s="4" t="n">
        <v>6</v>
      </c>
      <c r="BA41" s="4" t="n">
        <v>5</v>
      </c>
      <c r="BB41" s="4" t="n">
        <v>7</v>
      </c>
      <c r="BC41" s="4" t="n">
        <v>5</v>
      </c>
      <c r="BD41" s="4" t="n">
        <v>8</v>
      </c>
      <c r="BE41" s="4" t="n">
        <v>2</v>
      </c>
      <c r="BF41" s="4" t="n">
        <v>9</v>
      </c>
      <c r="BG41" s="4" t="n">
        <v>7</v>
      </c>
      <c r="BH41" s="4" t="n">
        <v>9</v>
      </c>
      <c r="BI41" s="4" t="n">
        <v>7</v>
      </c>
      <c r="BJ41" s="4" t="n">
        <v>8</v>
      </c>
      <c r="BK41" s="4" t="n">
        <v>2</v>
      </c>
      <c r="BL41" s="4" t="n">
        <v>6</v>
      </c>
      <c r="BM41" s="4" t="n">
        <v>3</v>
      </c>
    </row>
    <row r="42">
      <c r="A42" s="12" t="inlineStr">
        <is>
          <t>R039</t>
        </is>
      </c>
      <c r="B42" s="12" t="inlineStr">
        <is>
          <t>Operations</t>
        </is>
      </c>
      <c r="C42" s="12" t="inlineStr">
        <is>
          <t>Berlin</t>
        </is>
      </c>
      <c r="D42" s="12" t="inlineStr">
        <is>
          <t>Enterprise</t>
        </is>
      </c>
      <c r="E42" s="12" t="inlineStr">
        <is>
          <t>J. Brown</t>
        </is>
      </c>
      <c r="F42" s="13" t="n">
        <v>9</v>
      </c>
      <c r="G42" s="13" t="n">
        <v>1</v>
      </c>
      <c r="H42" s="13" t="n">
        <v>7</v>
      </c>
      <c r="I42" s="13" t="n">
        <v>5</v>
      </c>
      <c r="J42" s="13" t="n">
        <v>8</v>
      </c>
      <c r="K42" s="13" t="n">
        <v>7</v>
      </c>
      <c r="L42" s="13" t="n">
        <v>9</v>
      </c>
      <c r="M42" s="13" t="n">
        <v>4</v>
      </c>
      <c r="N42" s="13" t="n">
        <v>8</v>
      </c>
      <c r="O42" s="13" t="n">
        <v>6</v>
      </c>
      <c r="P42" s="13" t="n">
        <v>10</v>
      </c>
      <c r="Q42" s="13" t="n">
        <v>8</v>
      </c>
      <c r="R42" s="13" t="n">
        <v>9</v>
      </c>
      <c r="S42" s="13" t="n">
        <v>5</v>
      </c>
      <c r="T42" s="13" t="n">
        <v>8</v>
      </c>
      <c r="U42" s="13" t="n">
        <v>9</v>
      </c>
      <c r="V42" s="13" t="n">
        <v>8</v>
      </c>
      <c r="W42" s="13" t="n">
        <v>9</v>
      </c>
      <c r="X42" s="13" t="n">
        <v>6</v>
      </c>
      <c r="Y42" s="13" t="n">
        <v>9</v>
      </c>
      <c r="Z42" s="13" t="n">
        <v>10</v>
      </c>
      <c r="AA42" s="13" t="n">
        <v>1</v>
      </c>
      <c r="AB42" s="13" t="n">
        <v>6</v>
      </c>
      <c r="AC42" s="13" t="n">
        <v>5</v>
      </c>
      <c r="AD42" s="13" t="n">
        <v>9</v>
      </c>
      <c r="AE42" s="13" t="n">
        <v>4</v>
      </c>
      <c r="AF42" s="13" t="n">
        <v>6</v>
      </c>
      <c r="AG42" s="13" t="n">
        <v>5</v>
      </c>
      <c r="AH42" s="13" t="n">
        <v>6</v>
      </c>
      <c r="AI42" s="13" t="n">
        <v>5</v>
      </c>
      <c r="AJ42" s="13" t="n">
        <v>8</v>
      </c>
      <c r="AK42" s="13" t="n">
        <v>7</v>
      </c>
      <c r="AL42" s="13" t="n">
        <v>8</v>
      </c>
      <c r="AM42" s="13" t="n">
        <v>6</v>
      </c>
      <c r="AN42" s="13" t="n">
        <v>7</v>
      </c>
      <c r="AO42" s="13" t="n">
        <v>7</v>
      </c>
      <c r="AP42" s="13" t="n">
        <v>9</v>
      </c>
      <c r="AQ42" s="13" t="n">
        <v>7</v>
      </c>
      <c r="AR42" s="13" t="n">
        <v>7</v>
      </c>
      <c r="AS42" s="13" t="n">
        <v>8</v>
      </c>
      <c r="AT42" s="13" t="n">
        <v>8</v>
      </c>
      <c r="AU42" s="13" t="n">
        <v>7</v>
      </c>
      <c r="AV42" s="13" t="n">
        <v>9</v>
      </c>
      <c r="AW42" s="13" t="n">
        <v>5</v>
      </c>
      <c r="AX42" s="13" t="n">
        <v>6</v>
      </c>
      <c r="AY42" s="13" t="n">
        <v>6</v>
      </c>
      <c r="AZ42" s="13" t="n">
        <v>8</v>
      </c>
      <c r="BA42" s="13" t="n">
        <v>4</v>
      </c>
      <c r="BB42" s="13" t="n">
        <v>8</v>
      </c>
      <c r="BC42" s="13" t="n">
        <v>6</v>
      </c>
      <c r="BD42" s="13" t="n">
        <v>7</v>
      </c>
      <c r="BE42" s="13" t="n">
        <v>6</v>
      </c>
      <c r="BF42" s="13" t="n">
        <v>8</v>
      </c>
      <c r="BG42" s="13" t="n">
        <v>6</v>
      </c>
      <c r="BH42" s="13" t="n">
        <v>8</v>
      </c>
      <c r="BI42" s="13" t="n">
        <v>6</v>
      </c>
      <c r="BJ42" s="13" t="n">
        <v>4</v>
      </c>
      <c r="BK42" s="13" t="n">
        <v>4</v>
      </c>
      <c r="BL42" s="13" t="n">
        <v>8</v>
      </c>
      <c r="BM42" s="13" t="n">
        <v>5</v>
      </c>
    </row>
    <row r="43">
      <c r="A43" s="5" t="inlineStr">
        <is>
          <t>R040</t>
        </is>
      </c>
      <c r="B43" s="5" t="inlineStr">
        <is>
          <t>Human Resources</t>
        </is>
      </c>
      <c r="C43" s="5" t="inlineStr">
        <is>
          <t>London</t>
        </is>
      </c>
      <c r="D43" s="5" t="inlineStr">
        <is>
          <t>Growth</t>
        </is>
      </c>
      <c r="E43" s="5" t="inlineStr">
        <is>
          <t>M. Chen</t>
        </is>
      </c>
      <c r="F43" s="4" t="n">
        <v>7</v>
      </c>
      <c r="G43" s="4" t="n">
        <v>5</v>
      </c>
      <c r="H43" s="4" t="n">
        <v>9</v>
      </c>
      <c r="I43" s="4" t="n">
        <v>6</v>
      </c>
      <c r="J43" s="4" t="n">
        <v>7</v>
      </c>
      <c r="K43" s="4" t="n">
        <v>9</v>
      </c>
      <c r="L43" s="4" t="n">
        <v>6</v>
      </c>
      <c r="M43" s="4" t="n">
        <v>8</v>
      </c>
      <c r="N43" s="4" t="n">
        <v>10</v>
      </c>
      <c r="O43" s="4" t="n">
        <v>7</v>
      </c>
      <c r="P43" s="4" t="n">
        <v>6</v>
      </c>
      <c r="Q43" s="4" t="n">
        <v>6</v>
      </c>
      <c r="R43" s="4" t="n">
        <v>9</v>
      </c>
      <c r="S43" s="4" t="n">
        <v>1</v>
      </c>
      <c r="T43" s="4" t="n">
        <v>7</v>
      </c>
      <c r="U43" s="4" t="n">
        <v>4</v>
      </c>
      <c r="V43" s="4" t="n">
        <v>8</v>
      </c>
      <c r="W43" s="4" t="n">
        <v>7</v>
      </c>
      <c r="X43" s="4" t="n">
        <v>7</v>
      </c>
      <c r="Y43" s="4" t="n">
        <v>2</v>
      </c>
      <c r="Z43" s="4" t="n">
        <v>6</v>
      </c>
      <c r="AA43" s="4" t="n">
        <v>4</v>
      </c>
      <c r="AB43" s="4" t="n">
        <v>8</v>
      </c>
      <c r="AC43" s="4" t="n">
        <v>8</v>
      </c>
      <c r="AD43" s="4" t="n">
        <v>8</v>
      </c>
      <c r="AE43" s="4" t="n">
        <v>7</v>
      </c>
      <c r="AF43" s="4" t="n">
        <v>6</v>
      </c>
      <c r="AG43" s="4" t="n">
        <v>6</v>
      </c>
      <c r="AH43" s="4" t="n">
        <v>7</v>
      </c>
      <c r="AI43" s="4" t="n">
        <v>8</v>
      </c>
      <c r="AJ43" s="4" t="n">
        <v>8</v>
      </c>
      <c r="AK43" s="4" t="n">
        <v>6</v>
      </c>
      <c r="AL43" s="4" t="n">
        <v>7</v>
      </c>
      <c r="AM43" s="4" t="n">
        <v>5</v>
      </c>
      <c r="AN43" s="4" t="n">
        <v>8</v>
      </c>
      <c r="AO43" s="4" t="n">
        <v>3</v>
      </c>
      <c r="AP43" s="4" t="n">
        <v>10</v>
      </c>
      <c r="AQ43" s="4" t="n">
        <v>7</v>
      </c>
      <c r="AR43" s="4" t="n">
        <v>8</v>
      </c>
      <c r="AS43" s="4" t="n">
        <v>4</v>
      </c>
      <c r="AT43" s="4" t="n">
        <v>8</v>
      </c>
      <c r="AU43" s="4" t="n">
        <v>4</v>
      </c>
      <c r="AV43" s="4" t="n">
        <v>7</v>
      </c>
      <c r="AW43" s="4" t="n">
        <v>4</v>
      </c>
      <c r="AX43" s="4" t="n">
        <v>8</v>
      </c>
      <c r="AY43" s="4" t="n">
        <v>7</v>
      </c>
      <c r="AZ43" s="4" t="n">
        <v>4</v>
      </c>
      <c r="BA43" s="4" t="n">
        <v>4</v>
      </c>
      <c r="BB43" s="4" t="n">
        <v>6</v>
      </c>
      <c r="BC43" s="4" t="n">
        <v>2</v>
      </c>
      <c r="BD43" s="4" t="n">
        <v>8</v>
      </c>
      <c r="BE43" s="4" t="n">
        <v>3</v>
      </c>
      <c r="BF43" s="4" t="n">
        <v>7</v>
      </c>
      <c r="BG43" s="4" t="n">
        <v>4</v>
      </c>
      <c r="BH43" s="4" t="n">
        <v>9</v>
      </c>
      <c r="BI43" s="4" t="n">
        <v>5</v>
      </c>
      <c r="BJ43" s="4" t="n">
        <v>9</v>
      </c>
      <c r="BK43" s="4" t="n">
        <v>4</v>
      </c>
      <c r="BL43" s="4" t="n">
        <v>9</v>
      </c>
      <c r="BM43" s="4" t="n">
        <v>4</v>
      </c>
    </row>
    <row r="44">
      <c r="A44" s="12" t="inlineStr">
        <is>
          <t>R041</t>
        </is>
      </c>
      <c r="B44" s="12" t="inlineStr">
        <is>
          <t>Operations</t>
        </is>
      </c>
      <c r="C44" s="12" t="inlineStr">
        <is>
          <t>Berlin</t>
        </is>
      </c>
      <c r="D44" s="12" t="inlineStr">
        <is>
          <t>Growth</t>
        </is>
      </c>
      <c r="E44" s="12" t="inlineStr">
        <is>
          <t>S. Johnson</t>
        </is>
      </c>
      <c r="F44" s="13" t="n">
        <v>8</v>
      </c>
      <c r="G44" s="13" t="n">
        <v>8</v>
      </c>
      <c r="H44" s="13" t="n">
        <v>9</v>
      </c>
      <c r="I44" s="13" t="n">
        <v>8</v>
      </c>
      <c r="J44" s="13" t="n">
        <v>10</v>
      </c>
      <c r="K44" s="13" t="n">
        <v>7</v>
      </c>
      <c r="L44" s="13" t="n">
        <v>6</v>
      </c>
      <c r="M44" s="13" t="n">
        <v>6</v>
      </c>
      <c r="N44" s="13" t="n">
        <v>7</v>
      </c>
      <c r="O44" s="13" t="n">
        <v>5</v>
      </c>
      <c r="P44" s="13" t="n">
        <v>6</v>
      </c>
      <c r="Q44" s="13" t="n">
        <v>5</v>
      </c>
      <c r="R44" s="13" t="n">
        <v>8</v>
      </c>
      <c r="S44" s="13" t="n">
        <v>5</v>
      </c>
      <c r="T44" s="13" t="n">
        <v>9</v>
      </c>
      <c r="U44" s="13" t="n">
        <v>7</v>
      </c>
      <c r="V44" s="13" t="n">
        <v>7</v>
      </c>
      <c r="W44" s="13" t="n">
        <v>9</v>
      </c>
      <c r="X44" s="13" t="n">
        <v>9</v>
      </c>
      <c r="Y44" s="13" t="n">
        <v>8</v>
      </c>
      <c r="Z44" s="13" t="n">
        <v>8</v>
      </c>
      <c r="AA44" s="13" t="n">
        <v>6</v>
      </c>
      <c r="AB44" s="13" t="n">
        <v>8</v>
      </c>
      <c r="AC44" s="13" t="n">
        <v>4</v>
      </c>
      <c r="AD44" s="13" t="n">
        <v>7</v>
      </c>
      <c r="AE44" s="13" t="n">
        <v>8</v>
      </c>
      <c r="AF44" s="13" t="n">
        <v>7</v>
      </c>
      <c r="AG44" s="13" t="n">
        <v>8</v>
      </c>
      <c r="AH44" s="13" t="n">
        <v>8</v>
      </c>
      <c r="AI44" s="13" t="n">
        <v>5</v>
      </c>
      <c r="AJ44" s="13" t="n">
        <v>8</v>
      </c>
      <c r="AK44" s="13" t="n">
        <v>5</v>
      </c>
      <c r="AL44" s="13" t="n">
        <v>9</v>
      </c>
      <c r="AM44" s="13" t="n">
        <v>2</v>
      </c>
      <c r="AN44" s="13" t="n">
        <v>8</v>
      </c>
      <c r="AO44" s="13" t="n">
        <v>3</v>
      </c>
      <c r="AP44" s="13" t="n">
        <v>10</v>
      </c>
      <c r="AQ44" s="13" t="n">
        <v>3</v>
      </c>
      <c r="AR44" s="13" t="n">
        <v>9</v>
      </c>
      <c r="AS44" s="13" t="n">
        <v>3</v>
      </c>
      <c r="AT44" s="13" t="n">
        <v>8</v>
      </c>
      <c r="AU44" s="13" t="n">
        <v>6</v>
      </c>
      <c r="AV44" s="13" t="n">
        <v>9</v>
      </c>
      <c r="AW44" s="13" t="n">
        <v>4</v>
      </c>
      <c r="AX44" s="13" t="n">
        <v>8</v>
      </c>
      <c r="AY44" s="13" t="n">
        <v>7</v>
      </c>
      <c r="AZ44" s="13" t="n">
        <v>5</v>
      </c>
      <c r="BA44" s="13" t="n">
        <v>4</v>
      </c>
      <c r="BB44" s="13" t="n">
        <v>7</v>
      </c>
      <c r="BC44" s="13" t="n">
        <v>5</v>
      </c>
      <c r="BD44" s="13" t="n">
        <v>9</v>
      </c>
      <c r="BE44" s="13" t="n">
        <v>5</v>
      </c>
      <c r="BF44" s="13" t="n">
        <v>10</v>
      </c>
      <c r="BG44" s="13" t="n">
        <v>5</v>
      </c>
      <c r="BH44" s="13" t="n">
        <v>8</v>
      </c>
      <c r="BI44" s="13" t="n">
        <v>6</v>
      </c>
      <c r="BJ44" s="13" t="n">
        <v>6</v>
      </c>
      <c r="BK44" s="13" t="n">
        <v>4</v>
      </c>
      <c r="BL44" s="13" t="n">
        <v>10</v>
      </c>
      <c r="BM44" s="13" t="n">
        <v>1</v>
      </c>
    </row>
    <row r="45">
      <c r="A45" s="5" t="inlineStr">
        <is>
          <t>R042</t>
        </is>
      </c>
      <c r="B45" s="5" t="inlineStr">
        <is>
          <t>Engineering</t>
        </is>
      </c>
      <c r="C45" s="5" t="inlineStr">
        <is>
          <t>Tokyo</t>
        </is>
      </c>
      <c r="D45" s="5" t="inlineStr">
        <is>
          <t>Enterprise</t>
        </is>
      </c>
      <c r="E45" s="5" t="inlineStr">
        <is>
          <t>L. Williams</t>
        </is>
      </c>
      <c r="F45" s="4" t="n">
        <v>9</v>
      </c>
      <c r="G45" s="4" t="n">
        <v>6</v>
      </c>
      <c r="H45" s="4" t="n">
        <v>7</v>
      </c>
      <c r="I45" s="4" t="n">
        <v>7</v>
      </c>
      <c r="J45" s="4" t="n">
        <v>10</v>
      </c>
      <c r="K45" s="4" t="n">
        <v>7</v>
      </c>
      <c r="L45" s="4" t="n">
        <v>7</v>
      </c>
      <c r="M45" s="4" t="n">
        <v>4</v>
      </c>
      <c r="N45" s="4" t="n">
        <v>8</v>
      </c>
      <c r="O45" s="4" t="n">
        <v>5</v>
      </c>
      <c r="P45" s="4" t="n">
        <v>9</v>
      </c>
      <c r="Q45" s="4" t="n">
        <v>9</v>
      </c>
      <c r="R45" s="4" t="n">
        <v>7</v>
      </c>
      <c r="S45" s="4" t="n">
        <v>4</v>
      </c>
      <c r="T45" s="4" t="n">
        <v>6</v>
      </c>
      <c r="U45" s="4" t="n">
        <v>9</v>
      </c>
      <c r="V45" s="4" t="n">
        <v>7</v>
      </c>
      <c r="W45" s="4" t="n">
        <v>9</v>
      </c>
      <c r="X45" s="4" t="n">
        <v>7</v>
      </c>
      <c r="Y45" s="4" t="n">
        <v>7</v>
      </c>
      <c r="Z45" s="4" t="n">
        <v>8</v>
      </c>
      <c r="AA45" s="4" t="n">
        <v>7</v>
      </c>
      <c r="AB45" s="4" t="n">
        <v>7</v>
      </c>
      <c r="AC45" s="4" t="n">
        <v>6</v>
      </c>
      <c r="AD45" s="4" t="n">
        <v>6</v>
      </c>
      <c r="AE45" s="4" t="n">
        <v>8</v>
      </c>
      <c r="AF45" s="4" t="n">
        <v>8</v>
      </c>
      <c r="AG45" s="4" t="n">
        <v>9</v>
      </c>
      <c r="AH45" s="4" t="n">
        <v>6</v>
      </c>
      <c r="AI45" s="4" t="n">
        <v>7</v>
      </c>
      <c r="AJ45" s="4" t="n">
        <v>9</v>
      </c>
      <c r="AK45" s="4" t="n">
        <v>1</v>
      </c>
      <c r="AL45" s="4" t="n">
        <v>7</v>
      </c>
      <c r="AM45" s="4" t="n">
        <v>5</v>
      </c>
      <c r="AN45" s="4" t="n">
        <v>9</v>
      </c>
      <c r="AO45" s="4" t="n">
        <v>6</v>
      </c>
      <c r="AP45" s="4" t="n">
        <v>8</v>
      </c>
      <c r="AQ45" s="4" t="n">
        <v>7</v>
      </c>
      <c r="AR45" s="4" t="n">
        <v>10</v>
      </c>
      <c r="AS45" s="4" t="n">
        <v>1</v>
      </c>
      <c r="AT45" s="4" t="n">
        <v>8</v>
      </c>
      <c r="AU45" s="4" t="n">
        <v>8</v>
      </c>
      <c r="AV45" s="4" t="n">
        <v>7</v>
      </c>
      <c r="AW45" s="4" t="n">
        <v>6</v>
      </c>
      <c r="AX45" s="4" t="n">
        <v>9</v>
      </c>
      <c r="AY45" s="4" t="n">
        <v>7</v>
      </c>
      <c r="AZ45" s="4" t="n">
        <v>6</v>
      </c>
      <c r="BA45" s="4" t="n">
        <v>4</v>
      </c>
      <c r="BB45" s="4" t="n">
        <v>6</v>
      </c>
      <c r="BC45" s="4" t="n">
        <v>2</v>
      </c>
      <c r="BD45" s="4" t="n">
        <v>9</v>
      </c>
      <c r="BE45" s="4" t="n">
        <v>6</v>
      </c>
      <c r="BF45" s="4" t="n">
        <v>9</v>
      </c>
      <c r="BG45" s="4" t="n">
        <v>5</v>
      </c>
      <c r="BH45" s="4" t="n">
        <v>7</v>
      </c>
      <c r="BI45" s="4" t="n">
        <v>2</v>
      </c>
      <c r="BJ45" s="4" t="n">
        <v>9</v>
      </c>
      <c r="BK45" s="4" t="n">
        <v>8</v>
      </c>
      <c r="BL45" s="4" t="n">
        <v>9</v>
      </c>
      <c r="BM45" s="4" t="n">
        <v>3</v>
      </c>
    </row>
    <row r="46">
      <c r="A46" s="12" t="inlineStr">
        <is>
          <t>R043</t>
        </is>
      </c>
      <c r="B46" s="12" t="inlineStr">
        <is>
          <t>Engineering</t>
        </is>
      </c>
      <c r="C46" s="12" t="inlineStr">
        <is>
          <t>Sydney</t>
        </is>
      </c>
      <c r="D46" s="12" t="inlineStr">
        <is>
          <t>Growth</t>
        </is>
      </c>
      <c r="E46" s="12" t="inlineStr">
        <is>
          <t>M. Chen</t>
        </is>
      </c>
      <c r="F46" s="13" t="n">
        <v>9</v>
      </c>
      <c r="G46" s="13" t="n">
        <v>5</v>
      </c>
      <c r="H46" s="13" t="n">
        <v>10</v>
      </c>
      <c r="I46" s="13" t="n">
        <v>1</v>
      </c>
      <c r="J46" s="13" t="n">
        <v>9</v>
      </c>
      <c r="K46" s="13" t="n">
        <v>6</v>
      </c>
      <c r="L46" s="13" t="n">
        <v>7</v>
      </c>
      <c r="M46" s="13" t="n">
        <v>8</v>
      </c>
      <c r="N46" s="13" t="n">
        <v>9</v>
      </c>
      <c r="O46" s="13" t="n">
        <v>5</v>
      </c>
      <c r="P46" s="13" t="n">
        <v>8</v>
      </c>
      <c r="Q46" s="13" t="n">
        <v>9</v>
      </c>
      <c r="R46" s="13" t="n">
        <v>9</v>
      </c>
      <c r="S46" s="13" t="n">
        <v>8</v>
      </c>
      <c r="T46" s="13" t="n">
        <v>8</v>
      </c>
      <c r="U46" s="13" t="n">
        <v>7</v>
      </c>
      <c r="V46" s="13" t="n">
        <v>10</v>
      </c>
      <c r="W46" s="13" t="n">
        <v>7</v>
      </c>
      <c r="X46" s="13" t="n">
        <v>8</v>
      </c>
      <c r="Y46" s="13" t="n">
        <v>7</v>
      </c>
      <c r="Z46" s="13" t="n">
        <v>7</v>
      </c>
      <c r="AA46" s="13" t="n">
        <v>7</v>
      </c>
      <c r="AB46" s="13" t="n">
        <v>7</v>
      </c>
      <c r="AC46" s="13" t="n">
        <v>6</v>
      </c>
      <c r="AD46" s="13" t="n">
        <v>6</v>
      </c>
      <c r="AE46" s="13" t="n">
        <v>6</v>
      </c>
      <c r="AF46" s="13" t="n">
        <v>7</v>
      </c>
      <c r="AG46" s="13" t="n">
        <v>7</v>
      </c>
      <c r="AH46" s="13" t="n">
        <v>7</v>
      </c>
      <c r="AI46" s="13" t="n">
        <v>6</v>
      </c>
      <c r="AJ46" s="13" t="n">
        <v>5</v>
      </c>
      <c r="AK46" s="13" t="n">
        <v>6</v>
      </c>
      <c r="AL46" s="13" t="n">
        <v>8</v>
      </c>
      <c r="AM46" s="13" t="n">
        <v>4</v>
      </c>
      <c r="AN46" s="13" t="n">
        <v>8</v>
      </c>
      <c r="AO46" s="13" t="n">
        <v>5</v>
      </c>
      <c r="AP46" s="13" t="n">
        <v>9</v>
      </c>
      <c r="AQ46" s="13" t="n">
        <v>1</v>
      </c>
      <c r="AR46" s="13" t="n">
        <v>6</v>
      </c>
      <c r="AS46" s="13" t="n">
        <v>5</v>
      </c>
      <c r="AT46" s="13" t="n">
        <v>6</v>
      </c>
      <c r="AU46" s="13" t="n">
        <v>4</v>
      </c>
      <c r="AV46" s="13" t="n">
        <v>6</v>
      </c>
      <c r="AW46" s="13" t="n">
        <v>7</v>
      </c>
      <c r="AX46" s="13" t="n">
        <v>8</v>
      </c>
      <c r="AY46" s="13" t="n">
        <v>4</v>
      </c>
      <c r="AZ46" s="13" t="n">
        <v>8</v>
      </c>
      <c r="BA46" s="13" t="n">
        <v>6</v>
      </c>
      <c r="BB46" s="13" t="n">
        <v>6</v>
      </c>
      <c r="BC46" s="13" t="n">
        <v>4</v>
      </c>
      <c r="BD46" s="13" t="n">
        <v>7</v>
      </c>
      <c r="BE46" s="13" t="n">
        <v>7</v>
      </c>
      <c r="BF46" s="13" t="n">
        <v>8</v>
      </c>
      <c r="BG46" s="13" t="n">
        <v>5</v>
      </c>
      <c r="BH46" s="13" t="n">
        <v>10</v>
      </c>
      <c r="BI46" s="13" t="n">
        <v>1</v>
      </c>
      <c r="BJ46" s="13" t="n">
        <v>9</v>
      </c>
      <c r="BK46" s="13" t="n">
        <v>6</v>
      </c>
      <c r="BL46" s="13" t="n">
        <v>9</v>
      </c>
      <c r="BM46" s="13" t="n">
        <v>3</v>
      </c>
    </row>
    <row r="47">
      <c r="A47" s="5" t="inlineStr">
        <is>
          <t>R044</t>
        </is>
      </c>
      <c r="B47" s="5" t="inlineStr">
        <is>
          <t>Engineering</t>
        </is>
      </c>
      <c r="C47" s="5" t="inlineStr">
        <is>
          <t>London</t>
        </is>
      </c>
      <c r="D47" s="5" t="inlineStr">
        <is>
          <t>Core Product</t>
        </is>
      </c>
      <c r="E47" s="5" t="inlineStr">
        <is>
          <t>R. Kim</t>
        </is>
      </c>
      <c r="F47" s="4" t="n">
        <v>8</v>
      </c>
      <c r="G47" s="4" t="n">
        <v>5</v>
      </c>
      <c r="H47" s="4" t="n">
        <v>7</v>
      </c>
      <c r="I47" s="4" t="n">
        <v>5</v>
      </c>
      <c r="J47" s="4" t="n">
        <v>8</v>
      </c>
      <c r="K47" s="4" t="n">
        <v>6</v>
      </c>
      <c r="L47" s="4" t="n">
        <v>9</v>
      </c>
      <c r="M47" s="4" t="n">
        <v>3</v>
      </c>
      <c r="N47" s="4" t="n">
        <v>9</v>
      </c>
      <c r="O47" s="4" t="n">
        <v>6</v>
      </c>
      <c r="P47" s="4" t="n">
        <v>9</v>
      </c>
      <c r="Q47" s="4" t="n">
        <v>10</v>
      </c>
      <c r="R47" s="4" t="n">
        <v>8</v>
      </c>
      <c r="S47" s="4" t="n">
        <v>8</v>
      </c>
      <c r="T47" s="4" t="n">
        <v>9</v>
      </c>
      <c r="U47" s="4" t="n">
        <v>7</v>
      </c>
      <c r="V47" s="4" t="n">
        <v>9</v>
      </c>
      <c r="W47" s="4" t="n">
        <v>3</v>
      </c>
      <c r="X47" s="4" t="n">
        <v>9</v>
      </c>
      <c r="Y47" s="4" t="n">
        <v>5</v>
      </c>
      <c r="Z47" s="4" t="n">
        <v>9</v>
      </c>
      <c r="AA47" s="4" t="n">
        <v>6</v>
      </c>
      <c r="AB47" s="4" t="n">
        <v>8</v>
      </c>
      <c r="AC47" s="4" t="n">
        <v>3</v>
      </c>
      <c r="AD47" s="4" t="n">
        <v>9</v>
      </c>
      <c r="AE47" s="4" t="n">
        <v>2</v>
      </c>
      <c r="AF47" s="4" t="n">
        <v>9</v>
      </c>
      <c r="AG47" s="4" t="n">
        <v>7</v>
      </c>
      <c r="AH47" s="4" t="n">
        <v>7</v>
      </c>
      <c r="AI47" s="4" t="n">
        <v>6</v>
      </c>
      <c r="AJ47" s="4" t="n">
        <v>10</v>
      </c>
      <c r="AK47" s="4" t="n">
        <v>1</v>
      </c>
      <c r="AL47" s="4" t="n">
        <v>8</v>
      </c>
      <c r="AM47" s="4" t="n">
        <v>7</v>
      </c>
      <c r="AN47" s="4" t="n">
        <v>7</v>
      </c>
      <c r="AO47" s="4" t="n">
        <v>7</v>
      </c>
      <c r="AP47" s="4" t="n">
        <v>8</v>
      </c>
      <c r="AQ47" s="4" t="n">
        <v>7</v>
      </c>
      <c r="AR47" s="4" t="n">
        <v>9</v>
      </c>
      <c r="AS47" s="4" t="n">
        <v>8</v>
      </c>
      <c r="AT47" s="4" t="n">
        <v>8</v>
      </c>
      <c r="AU47" s="4" t="n">
        <v>8</v>
      </c>
      <c r="AV47" s="4" t="n">
        <v>8</v>
      </c>
      <c r="AW47" s="4" t="n">
        <v>7</v>
      </c>
      <c r="AX47" s="4" t="n">
        <v>9</v>
      </c>
      <c r="AY47" s="4" t="n">
        <v>3</v>
      </c>
      <c r="AZ47" s="4" t="n">
        <v>8</v>
      </c>
      <c r="BA47" s="4" t="n">
        <v>5</v>
      </c>
      <c r="BB47" s="4" t="n">
        <v>9</v>
      </c>
      <c r="BC47" s="4" t="n">
        <v>2</v>
      </c>
      <c r="BD47" s="4" t="n">
        <v>7</v>
      </c>
      <c r="BE47" s="4" t="n">
        <v>6</v>
      </c>
      <c r="BF47" s="4" t="n">
        <v>9</v>
      </c>
      <c r="BG47" s="4" t="n">
        <v>3</v>
      </c>
      <c r="BH47" s="4" t="n">
        <v>9</v>
      </c>
      <c r="BI47" s="4" t="n">
        <v>8</v>
      </c>
      <c r="BJ47" s="4" t="n">
        <v>7</v>
      </c>
      <c r="BK47" s="4" t="n">
        <v>7</v>
      </c>
      <c r="BL47" s="4" t="n">
        <v>7</v>
      </c>
      <c r="BM47" s="4" t="n">
        <v>5</v>
      </c>
    </row>
    <row r="48">
      <c r="A48" s="12" t="inlineStr">
        <is>
          <t>R045</t>
        </is>
      </c>
      <c r="B48" s="12" t="inlineStr">
        <is>
          <t>Engineering</t>
        </is>
      </c>
      <c r="C48" s="12" t="inlineStr">
        <is>
          <t>Berlin</t>
        </is>
      </c>
      <c r="D48" s="12" t="inlineStr">
        <is>
          <t>Enterprise</t>
        </is>
      </c>
      <c r="E48" s="12" t="inlineStr">
        <is>
          <t>J. Brown</t>
        </is>
      </c>
      <c r="F48" s="13" t="n">
        <v>9</v>
      </c>
      <c r="G48" s="13" t="n">
        <v>4</v>
      </c>
      <c r="H48" s="13" t="n">
        <v>9</v>
      </c>
      <c r="I48" s="13" t="n">
        <v>7</v>
      </c>
      <c r="J48" s="13" t="n">
        <v>10</v>
      </c>
      <c r="K48" s="13" t="n">
        <v>6</v>
      </c>
      <c r="L48" s="13" t="n">
        <v>9</v>
      </c>
      <c r="M48" s="13" t="n">
        <v>7</v>
      </c>
      <c r="N48" s="13" t="n">
        <v>8</v>
      </c>
      <c r="O48" s="13" t="n">
        <v>7</v>
      </c>
      <c r="P48" s="13" t="n">
        <v>9</v>
      </c>
      <c r="Q48" s="13" t="n">
        <v>6</v>
      </c>
      <c r="R48" s="13" t="n">
        <v>7</v>
      </c>
      <c r="S48" s="13" t="n">
        <v>7</v>
      </c>
      <c r="T48" s="13" t="n">
        <v>7</v>
      </c>
      <c r="U48" s="13" t="n">
        <v>8</v>
      </c>
      <c r="V48" s="13" t="n">
        <v>5</v>
      </c>
      <c r="W48" s="13" t="n">
        <v>5</v>
      </c>
      <c r="X48" s="13" t="n">
        <v>9</v>
      </c>
      <c r="Y48" s="13" t="n">
        <v>4</v>
      </c>
      <c r="Z48" s="13" t="n">
        <v>5</v>
      </c>
      <c r="AA48" s="13" t="n">
        <v>6</v>
      </c>
      <c r="AB48" s="13" t="n">
        <v>8</v>
      </c>
      <c r="AC48" s="13" t="n">
        <v>4</v>
      </c>
      <c r="AD48" s="13" t="n">
        <v>9</v>
      </c>
      <c r="AE48" s="13" t="n">
        <v>7</v>
      </c>
      <c r="AF48" s="13" t="n">
        <v>9</v>
      </c>
      <c r="AG48" s="13" t="n">
        <v>5</v>
      </c>
      <c r="AH48" s="13" t="n">
        <v>7</v>
      </c>
      <c r="AI48" s="13" t="n">
        <v>8</v>
      </c>
      <c r="AJ48" s="13" t="n">
        <v>8</v>
      </c>
      <c r="AK48" s="13" t="n">
        <v>5</v>
      </c>
      <c r="AL48" s="13" t="n">
        <v>8</v>
      </c>
      <c r="AM48" s="13" t="n">
        <v>7</v>
      </c>
      <c r="AN48" s="13" t="n">
        <v>8</v>
      </c>
      <c r="AO48" s="13" t="n">
        <v>5</v>
      </c>
      <c r="AP48" s="13" t="n">
        <v>8</v>
      </c>
      <c r="AQ48" s="13" t="n">
        <v>7</v>
      </c>
      <c r="AR48" s="13" t="n">
        <v>8</v>
      </c>
      <c r="AS48" s="13" t="n">
        <v>4</v>
      </c>
      <c r="AT48" s="13" t="n">
        <v>6</v>
      </c>
      <c r="AU48" s="13" t="n">
        <v>7</v>
      </c>
      <c r="AV48" s="13" t="n">
        <v>6</v>
      </c>
      <c r="AW48" s="13" t="n">
        <v>4</v>
      </c>
      <c r="AX48" s="13" t="n">
        <v>9</v>
      </c>
      <c r="AY48" s="13" t="n">
        <v>5</v>
      </c>
      <c r="AZ48" s="13" t="n">
        <v>5</v>
      </c>
      <c r="BA48" s="13" t="n">
        <v>5</v>
      </c>
      <c r="BB48" s="13" t="n">
        <v>9</v>
      </c>
      <c r="BC48" s="13" t="n">
        <v>7</v>
      </c>
      <c r="BD48" s="13" t="n">
        <v>10</v>
      </c>
      <c r="BE48" s="13" t="n">
        <v>4</v>
      </c>
      <c r="BF48" s="13" t="n">
        <v>9</v>
      </c>
      <c r="BG48" s="13" t="n">
        <v>4</v>
      </c>
      <c r="BH48" s="13" t="n">
        <v>6</v>
      </c>
      <c r="BI48" s="13" t="n">
        <v>7</v>
      </c>
      <c r="BJ48" s="13" t="n">
        <v>7</v>
      </c>
      <c r="BK48" s="13" t="n">
        <v>6</v>
      </c>
      <c r="BL48" s="13" t="n">
        <v>8</v>
      </c>
      <c r="BM48" s="13" t="n">
        <v>3</v>
      </c>
    </row>
    <row r="49">
      <c r="A49" s="5" t="inlineStr">
        <is>
          <t>R046</t>
        </is>
      </c>
      <c r="B49" s="5" t="inlineStr">
        <is>
          <t>Human Resources</t>
        </is>
      </c>
      <c r="C49" s="5" t="inlineStr">
        <is>
          <t>Tokyo</t>
        </is>
      </c>
      <c r="D49" s="5" t="inlineStr">
        <is>
          <t>Corporate</t>
        </is>
      </c>
      <c r="E49" s="5" t="inlineStr">
        <is>
          <t>J. Brown</t>
        </is>
      </c>
      <c r="F49" s="4" t="n">
        <v>9</v>
      </c>
      <c r="G49" s="4" t="n">
        <v>9</v>
      </c>
      <c r="H49" s="4" t="n">
        <v>8</v>
      </c>
      <c r="I49" s="4" t="n">
        <v>7</v>
      </c>
      <c r="J49" s="4" t="n">
        <v>8</v>
      </c>
      <c r="K49" s="4" t="n">
        <v>5</v>
      </c>
      <c r="L49" s="4" t="n">
        <v>10</v>
      </c>
      <c r="M49" s="4" t="n">
        <v>8</v>
      </c>
      <c r="N49" s="4" t="n">
        <v>10</v>
      </c>
      <c r="O49" s="4" t="n">
        <v>7</v>
      </c>
      <c r="P49" s="4" t="n">
        <v>9</v>
      </c>
      <c r="Q49" s="4" t="n">
        <v>6</v>
      </c>
      <c r="R49" s="4" t="n">
        <v>10</v>
      </c>
      <c r="S49" s="4" t="n">
        <v>8</v>
      </c>
      <c r="T49" s="4" t="n">
        <v>8</v>
      </c>
      <c r="U49" s="4" t="n">
        <v>9</v>
      </c>
      <c r="V49" s="4" t="n">
        <v>9</v>
      </c>
      <c r="W49" s="4" t="n">
        <v>8</v>
      </c>
      <c r="X49" s="4" t="n">
        <v>9</v>
      </c>
      <c r="Y49" s="4" t="n">
        <v>7</v>
      </c>
      <c r="Z49" s="4" t="n">
        <v>8</v>
      </c>
      <c r="AA49" s="4" t="n">
        <v>5</v>
      </c>
      <c r="AB49" s="4" t="n">
        <v>9</v>
      </c>
      <c r="AC49" s="4" t="n">
        <v>6</v>
      </c>
      <c r="AD49" s="4" t="n">
        <v>9</v>
      </c>
      <c r="AE49" s="4" t="n">
        <v>6</v>
      </c>
      <c r="AF49" s="4" t="n">
        <v>6</v>
      </c>
      <c r="AG49" s="4" t="n">
        <v>7</v>
      </c>
      <c r="AH49" s="4" t="n">
        <v>6</v>
      </c>
      <c r="AI49" s="4" t="n">
        <v>7</v>
      </c>
      <c r="AJ49" s="4" t="n">
        <v>9</v>
      </c>
      <c r="AK49" s="4" t="n">
        <v>4</v>
      </c>
      <c r="AL49" s="4" t="n">
        <v>9</v>
      </c>
      <c r="AM49" s="4" t="n">
        <v>6</v>
      </c>
      <c r="AN49" s="4" t="n">
        <v>8</v>
      </c>
      <c r="AO49" s="4" t="n">
        <v>6</v>
      </c>
      <c r="AP49" s="4" t="n">
        <v>8</v>
      </c>
      <c r="AQ49" s="4" t="n">
        <v>5</v>
      </c>
      <c r="AR49" s="4" t="n">
        <v>7</v>
      </c>
      <c r="AS49" s="4" t="n">
        <v>5</v>
      </c>
      <c r="AT49" s="4" t="n">
        <v>8</v>
      </c>
      <c r="AU49" s="4" t="n">
        <v>4</v>
      </c>
      <c r="AV49" s="4" t="n">
        <v>8</v>
      </c>
      <c r="AW49" s="4" t="n">
        <v>3</v>
      </c>
      <c r="AX49" s="4" t="n">
        <v>7</v>
      </c>
      <c r="AY49" s="4" t="n">
        <v>5</v>
      </c>
      <c r="AZ49" s="4" t="n">
        <v>7</v>
      </c>
      <c r="BA49" s="4" t="n">
        <v>6</v>
      </c>
      <c r="BB49" s="4" t="n">
        <v>6</v>
      </c>
      <c r="BC49" s="4" t="n">
        <v>3</v>
      </c>
      <c r="BD49" s="4" t="n">
        <v>9</v>
      </c>
      <c r="BE49" s="4" t="n">
        <v>6</v>
      </c>
      <c r="BF49" s="4" t="n">
        <v>8</v>
      </c>
      <c r="BG49" s="4" t="n">
        <v>3</v>
      </c>
      <c r="BH49" s="4" t="n">
        <v>8</v>
      </c>
      <c r="BI49" s="4" t="n">
        <v>8</v>
      </c>
      <c r="BJ49" s="4" t="n">
        <v>8</v>
      </c>
      <c r="BK49" s="4" t="n">
        <v>6</v>
      </c>
      <c r="BL49" s="4" t="n">
        <v>8</v>
      </c>
      <c r="BM49" s="4" t="n">
        <v>6</v>
      </c>
    </row>
    <row r="50">
      <c r="A50" s="12" t="inlineStr">
        <is>
          <t>R047</t>
        </is>
      </c>
      <c r="B50" s="12" t="inlineStr">
        <is>
          <t>Human Resources</t>
        </is>
      </c>
      <c r="C50" s="12" t="inlineStr">
        <is>
          <t>Tokyo</t>
        </is>
      </c>
      <c r="D50" s="12" t="inlineStr">
        <is>
          <t>Corporate</t>
        </is>
      </c>
      <c r="E50" s="12" t="inlineStr">
        <is>
          <t>L. Williams</t>
        </is>
      </c>
      <c r="F50" s="13" t="n">
        <v>8</v>
      </c>
      <c r="G50" s="13" t="n">
        <v>7</v>
      </c>
      <c r="H50" s="13" t="n">
        <v>10</v>
      </c>
      <c r="I50" s="13" t="n">
        <v>7</v>
      </c>
      <c r="J50" s="13" t="n">
        <v>9</v>
      </c>
      <c r="K50" s="13" t="n">
        <v>1</v>
      </c>
      <c r="L50" s="13" t="n">
        <v>9</v>
      </c>
      <c r="M50" s="13" t="n">
        <v>6</v>
      </c>
      <c r="N50" s="13" t="n">
        <v>8</v>
      </c>
      <c r="O50" s="13" t="n">
        <v>4</v>
      </c>
      <c r="P50" s="13" t="n">
        <v>8</v>
      </c>
      <c r="Q50" s="13" t="n">
        <v>6</v>
      </c>
      <c r="R50" s="13" t="n">
        <v>8</v>
      </c>
      <c r="S50" s="13" t="n">
        <v>6</v>
      </c>
      <c r="T50" s="13" t="n">
        <v>7</v>
      </c>
      <c r="U50" s="13" t="n">
        <v>8</v>
      </c>
      <c r="V50" s="13" t="n">
        <v>9</v>
      </c>
      <c r="W50" s="13" t="n">
        <v>6</v>
      </c>
      <c r="X50" s="13" t="n">
        <v>10</v>
      </c>
      <c r="Y50" s="13" t="n">
        <v>7</v>
      </c>
      <c r="Z50" s="13" t="n">
        <v>5</v>
      </c>
      <c r="AA50" s="13" t="n">
        <v>9</v>
      </c>
      <c r="AB50" s="13" t="n">
        <v>8</v>
      </c>
      <c r="AC50" s="13" t="n">
        <v>6</v>
      </c>
      <c r="AD50" s="13" t="n">
        <v>9</v>
      </c>
      <c r="AE50" s="13" t="n">
        <v>8</v>
      </c>
      <c r="AF50" s="13" t="n">
        <v>5</v>
      </c>
      <c r="AG50" s="13" t="n">
        <v>9</v>
      </c>
      <c r="AH50" s="13" t="n">
        <v>9</v>
      </c>
      <c r="AI50" s="13" t="n">
        <v>8</v>
      </c>
      <c r="AJ50" s="13" t="n">
        <v>8</v>
      </c>
      <c r="AK50" s="13" t="n">
        <v>5</v>
      </c>
      <c r="AL50" s="13" t="n">
        <v>8</v>
      </c>
      <c r="AM50" s="13" t="n">
        <v>7</v>
      </c>
      <c r="AN50" s="13" t="n">
        <v>7</v>
      </c>
      <c r="AO50" s="13" t="n">
        <v>2</v>
      </c>
      <c r="AP50" s="13" t="n">
        <v>8</v>
      </c>
      <c r="AQ50" s="13" t="n">
        <v>6</v>
      </c>
      <c r="AR50" s="13" t="n">
        <v>7</v>
      </c>
      <c r="AS50" s="13" t="n">
        <v>5</v>
      </c>
      <c r="AT50" s="13" t="n">
        <v>9</v>
      </c>
      <c r="AU50" s="13" t="n">
        <v>5</v>
      </c>
      <c r="AV50" s="13" t="n">
        <v>7</v>
      </c>
      <c r="AW50" s="13" t="n">
        <v>5</v>
      </c>
      <c r="AX50" s="13" t="n">
        <v>8</v>
      </c>
      <c r="AY50" s="13" t="n">
        <v>7</v>
      </c>
      <c r="AZ50" s="13" t="n">
        <v>6</v>
      </c>
      <c r="BA50" s="13" t="n">
        <v>9</v>
      </c>
      <c r="BB50" s="13" t="n">
        <v>9</v>
      </c>
      <c r="BC50" s="13" t="n">
        <v>6</v>
      </c>
      <c r="BD50" s="13" t="n">
        <v>7</v>
      </c>
      <c r="BE50" s="13" t="n">
        <v>5</v>
      </c>
      <c r="BF50" s="13" t="n">
        <v>7</v>
      </c>
      <c r="BG50" s="13" t="n">
        <v>7</v>
      </c>
      <c r="BH50" s="13" t="n">
        <v>7</v>
      </c>
      <c r="BI50" s="13" t="n">
        <v>8</v>
      </c>
      <c r="BJ50" s="13" t="n">
        <v>9</v>
      </c>
      <c r="BK50" s="13" t="n">
        <v>5</v>
      </c>
      <c r="BL50" s="13" t="n">
        <v>8</v>
      </c>
      <c r="BM50" s="13" t="n">
        <v>6</v>
      </c>
    </row>
    <row r="51">
      <c r="A51" s="5" t="inlineStr">
        <is>
          <t>R048</t>
        </is>
      </c>
      <c r="B51" s="5" t="inlineStr">
        <is>
          <t>Finance</t>
        </is>
      </c>
      <c r="C51" s="5" t="inlineStr">
        <is>
          <t>Tokyo</t>
        </is>
      </c>
      <c r="D51" s="5" t="inlineStr">
        <is>
          <t>Corporate</t>
        </is>
      </c>
      <c r="E51" s="5" t="inlineStr">
        <is>
          <t>L. Williams</t>
        </is>
      </c>
      <c r="F51" s="4" t="n">
        <v>6</v>
      </c>
      <c r="G51" s="4" t="n">
        <v>5</v>
      </c>
      <c r="H51" s="4" t="n">
        <v>5</v>
      </c>
      <c r="I51" s="4" t="n">
        <v>7</v>
      </c>
      <c r="J51" s="4" t="n">
        <v>8</v>
      </c>
      <c r="K51" s="4" t="n">
        <v>6</v>
      </c>
      <c r="L51" s="4" t="n">
        <v>6</v>
      </c>
      <c r="M51" s="4" t="n">
        <v>7</v>
      </c>
      <c r="N51" s="4" t="n">
        <v>6</v>
      </c>
      <c r="O51" s="4" t="n">
        <v>7</v>
      </c>
      <c r="P51" s="4" t="n">
        <v>8</v>
      </c>
      <c r="Q51" s="4" t="n">
        <v>3</v>
      </c>
      <c r="R51" s="4" t="n">
        <v>7</v>
      </c>
      <c r="S51" s="4" t="n">
        <v>8</v>
      </c>
      <c r="T51" s="4" t="n">
        <v>10</v>
      </c>
      <c r="U51" s="4" t="n">
        <v>8</v>
      </c>
      <c r="V51" s="4" t="n">
        <v>9</v>
      </c>
      <c r="W51" s="4" t="n">
        <v>9</v>
      </c>
      <c r="X51" s="4" t="n">
        <v>9</v>
      </c>
      <c r="Y51" s="4" t="n">
        <v>8</v>
      </c>
      <c r="Z51" s="4" t="n">
        <v>7</v>
      </c>
      <c r="AA51" s="4" t="n">
        <v>7</v>
      </c>
      <c r="AB51" s="4" t="n">
        <v>10</v>
      </c>
      <c r="AC51" s="4" t="n">
        <v>7</v>
      </c>
      <c r="AD51" s="4" t="n">
        <v>8</v>
      </c>
      <c r="AE51" s="4" t="n">
        <v>7</v>
      </c>
      <c r="AF51" s="4" t="n">
        <v>9</v>
      </c>
      <c r="AG51" s="4" t="n">
        <v>7</v>
      </c>
      <c r="AH51" s="4" t="n">
        <v>6</v>
      </c>
      <c r="AI51" s="4" t="n">
        <v>7</v>
      </c>
      <c r="AJ51" s="4" t="n">
        <v>9</v>
      </c>
      <c r="AK51" s="4" t="n">
        <v>6</v>
      </c>
      <c r="AL51" s="4" t="n">
        <v>10</v>
      </c>
      <c r="AM51" s="4" t="n">
        <v>6</v>
      </c>
      <c r="AN51" s="4" t="n">
        <v>10</v>
      </c>
      <c r="AO51" s="4" t="n">
        <v>4</v>
      </c>
      <c r="AP51" s="4" t="n">
        <v>7</v>
      </c>
      <c r="AQ51" s="4" t="n">
        <v>4</v>
      </c>
      <c r="AR51" s="4" t="n">
        <v>9</v>
      </c>
      <c r="AS51" s="4" t="n">
        <v>3</v>
      </c>
      <c r="AT51" s="4" t="n">
        <v>9</v>
      </c>
      <c r="AU51" s="4" t="n">
        <v>6</v>
      </c>
      <c r="AV51" s="4" t="n">
        <v>7</v>
      </c>
      <c r="AW51" s="4" t="n">
        <v>2</v>
      </c>
      <c r="AX51" s="4" t="n">
        <v>8</v>
      </c>
      <c r="AY51" s="4" t="n">
        <v>7</v>
      </c>
      <c r="AZ51" s="4" t="n">
        <v>8</v>
      </c>
      <c r="BA51" s="4" t="n">
        <v>7</v>
      </c>
      <c r="BB51" s="4" t="n">
        <v>7</v>
      </c>
      <c r="BC51" s="4" t="n">
        <v>4</v>
      </c>
      <c r="BD51" s="4" t="n">
        <v>7</v>
      </c>
      <c r="BE51" s="4" t="n">
        <v>4</v>
      </c>
      <c r="BF51" s="4" t="n">
        <v>8</v>
      </c>
      <c r="BG51" s="4" t="n">
        <v>3</v>
      </c>
      <c r="BH51" s="4" t="n">
        <v>8</v>
      </c>
      <c r="BI51" s="4" t="n">
        <v>3</v>
      </c>
      <c r="BJ51" s="4" t="n">
        <v>8</v>
      </c>
      <c r="BK51" s="4" t="n">
        <v>3</v>
      </c>
      <c r="BL51" s="4" t="n">
        <v>7</v>
      </c>
      <c r="BM51" s="4" t="n">
        <v>3</v>
      </c>
    </row>
    <row r="52">
      <c r="A52" s="12" t="inlineStr">
        <is>
          <t>R049</t>
        </is>
      </c>
      <c r="B52" s="12" t="inlineStr">
        <is>
          <t>Sales</t>
        </is>
      </c>
      <c r="C52" s="12" t="inlineStr">
        <is>
          <t>Tokyo</t>
        </is>
      </c>
      <c r="D52" s="12" t="inlineStr">
        <is>
          <t>Enterprise</t>
        </is>
      </c>
      <c r="E52" s="12" t="inlineStr">
        <is>
          <t>T. Garcia</t>
        </is>
      </c>
      <c r="F52" s="13" t="n">
        <v>6</v>
      </c>
      <c r="G52" s="13" t="n">
        <v>7</v>
      </c>
      <c r="H52" s="13" t="n">
        <v>7</v>
      </c>
      <c r="I52" s="13" t="n">
        <v>7</v>
      </c>
      <c r="J52" s="13" t="n">
        <v>7</v>
      </c>
      <c r="K52" s="13" t="n">
        <v>8</v>
      </c>
      <c r="L52" s="13" t="n">
        <v>7</v>
      </c>
      <c r="M52" s="13" t="n">
        <v>7</v>
      </c>
      <c r="N52" s="13" t="n">
        <v>8</v>
      </c>
      <c r="O52" s="13" t="n">
        <v>6</v>
      </c>
      <c r="P52" s="13" t="n">
        <v>9</v>
      </c>
      <c r="Q52" s="13" t="n">
        <v>7</v>
      </c>
      <c r="R52" s="13" t="n">
        <v>10</v>
      </c>
      <c r="S52" s="13" t="n">
        <v>7</v>
      </c>
      <c r="T52" s="13" t="n">
        <v>7</v>
      </c>
      <c r="U52" s="13" t="n">
        <v>9</v>
      </c>
      <c r="V52" s="13" t="n">
        <v>9</v>
      </c>
      <c r="W52" s="13" t="n">
        <v>3</v>
      </c>
      <c r="X52" s="13" t="n">
        <v>7</v>
      </c>
      <c r="Y52" s="13" t="n">
        <v>6</v>
      </c>
      <c r="Z52" s="13" t="n">
        <v>7</v>
      </c>
      <c r="AA52" s="13" t="n">
        <v>7</v>
      </c>
      <c r="AB52" s="13" t="n">
        <v>8</v>
      </c>
      <c r="AC52" s="13" t="n">
        <v>6</v>
      </c>
      <c r="AD52" s="13" t="n">
        <v>7</v>
      </c>
      <c r="AE52" s="13" t="n">
        <v>8</v>
      </c>
      <c r="AF52" s="13" t="n">
        <v>8</v>
      </c>
      <c r="AG52" s="13" t="n">
        <v>7</v>
      </c>
      <c r="AH52" s="13" t="n">
        <v>6</v>
      </c>
      <c r="AI52" s="13" t="n">
        <v>7</v>
      </c>
      <c r="AJ52" s="13" t="n">
        <v>7</v>
      </c>
      <c r="AK52" s="13" t="n">
        <v>2</v>
      </c>
      <c r="AL52" s="13" t="n">
        <v>8</v>
      </c>
      <c r="AM52" s="13" t="n">
        <v>5</v>
      </c>
      <c r="AN52" s="13" t="n">
        <v>7</v>
      </c>
      <c r="AO52" s="13" t="n">
        <v>8</v>
      </c>
      <c r="AP52" s="13" t="n">
        <v>7</v>
      </c>
      <c r="AQ52" s="13" t="n">
        <v>9</v>
      </c>
      <c r="AR52" s="13" t="n">
        <v>8</v>
      </c>
      <c r="AS52" s="13" t="n">
        <v>5</v>
      </c>
      <c r="AT52" s="13" t="n">
        <v>7</v>
      </c>
      <c r="AU52" s="13" t="n">
        <v>2</v>
      </c>
      <c r="AV52" s="13" t="n">
        <v>6</v>
      </c>
      <c r="AW52" s="13" t="n">
        <v>4</v>
      </c>
      <c r="AX52" s="13" t="n">
        <v>6</v>
      </c>
      <c r="AY52" s="13" t="n">
        <v>5</v>
      </c>
      <c r="AZ52" s="13" t="n">
        <v>7</v>
      </c>
      <c r="BA52" s="13" t="n">
        <v>8</v>
      </c>
      <c r="BB52" s="13" t="n">
        <v>5</v>
      </c>
      <c r="BC52" s="13" t="n">
        <v>1</v>
      </c>
      <c r="BD52" s="13" t="n">
        <v>8</v>
      </c>
      <c r="BE52" s="13" t="n">
        <v>3</v>
      </c>
      <c r="BF52" s="13" t="n">
        <v>6</v>
      </c>
      <c r="BG52" s="13" t="n">
        <v>6</v>
      </c>
      <c r="BH52" s="13" t="n">
        <v>7</v>
      </c>
      <c r="BI52" s="13" t="n">
        <v>7</v>
      </c>
      <c r="BJ52" s="13" t="n">
        <v>7</v>
      </c>
      <c r="BK52" s="13" t="n">
        <v>5</v>
      </c>
      <c r="BL52" s="13" t="n">
        <v>6</v>
      </c>
      <c r="BM52" s="13" t="n">
        <v>6</v>
      </c>
    </row>
    <row r="53">
      <c r="A53" s="5" t="inlineStr">
        <is>
          <t>R050</t>
        </is>
      </c>
      <c r="B53" s="5" t="inlineStr">
        <is>
          <t>Human Resources</t>
        </is>
      </c>
      <c r="C53" s="5" t="inlineStr">
        <is>
          <t>Berlin</t>
        </is>
      </c>
      <c r="D53" s="5" t="inlineStr">
        <is>
          <t>Growth</t>
        </is>
      </c>
      <c r="E53" s="5" t="inlineStr">
        <is>
          <t>K. Taylor</t>
        </is>
      </c>
      <c r="F53" s="4" t="n">
        <v>7</v>
      </c>
      <c r="G53" s="4" t="n">
        <v>7</v>
      </c>
      <c r="H53" s="4" t="n">
        <v>9</v>
      </c>
      <c r="I53" s="4" t="n">
        <v>6</v>
      </c>
      <c r="J53" s="4" t="n">
        <v>8</v>
      </c>
      <c r="K53" s="4" t="n">
        <v>8</v>
      </c>
      <c r="L53" s="4" t="n">
        <v>7</v>
      </c>
      <c r="M53" s="4" t="n">
        <v>6</v>
      </c>
      <c r="N53" s="4" t="n">
        <v>7</v>
      </c>
      <c r="O53" s="4" t="n">
        <v>7</v>
      </c>
      <c r="P53" s="4" t="n">
        <v>7</v>
      </c>
      <c r="Q53" s="4" t="n">
        <v>4</v>
      </c>
      <c r="R53" s="4" t="n">
        <v>7</v>
      </c>
      <c r="S53" s="4" t="n">
        <v>9</v>
      </c>
      <c r="T53" s="4" t="n">
        <v>7</v>
      </c>
      <c r="U53" s="4" t="n">
        <v>5</v>
      </c>
      <c r="V53" s="4" t="n">
        <v>8</v>
      </c>
      <c r="W53" s="4" t="n">
        <v>9</v>
      </c>
      <c r="X53" s="4" t="n">
        <v>8</v>
      </c>
      <c r="Y53" s="4" t="n">
        <v>6</v>
      </c>
      <c r="Z53" s="4" t="n">
        <v>8</v>
      </c>
      <c r="AA53" s="4" t="n">
        <v>8</v>
      </c>
      <c r="AB53" s="4" t="n">
        <v>8</v>
      </c>
      <c r="AC53" s="4" t="n">
        <v>5</v>
      </c>
      <c r="AD53" s="4" t="n">
        <v>8</v>
      </c>
      <c r="AE53" s="4" t="n">
        <v>5</v>
      </c>
      <c r="AF53" s="4" t="n">
        <v>7</v>
      </c>
      <c r="AG53" s="4" t="n">
        <v>9</v>
      </c>
      <c r="AH53" s="4" t="n">
        <v>6</v>
      </c>
      <c r="AI53" s="4" t="n">
        <v>6</v>
      </c>
      <c r="AJ53" s="4" t="n">
        <v>6</v>
      </c>
      <c r="AK53" s="4" t="n">
        <v>2</v>
      </c>
      <c r="AL53" s="4" t="n">
        <v>8</v>
      </c>
      <c r="AM53" s="4" t="n">
        <v>4</v>
      </c>
      <c r="AN53" s="4" t="n">
        <v>7</v>
      </c>
      <c r="AO53" s="4" t="n">
        <v>5</v>
      </c>
      <c r="AP53" s="4" t="n">
        <v>8</v>
      </c>
      <c r="AQ53" s="4" t="n">
        <v>8</v>
      </c>
      <c r="AR53" s="4" t="n">
        <v>6</v>
      </c>
      <c r="AS53" s="4" t="n">
        <v>6</v>
      </c>
      <c r="AT53" s="4" t="n">
        <v>6</v>
      </c>
      <c r="AU53" s="4" t="n">
        <v>4</v>
      </c>
      <c r="AV53" s="4" t="n">
        <v>7</v>
      </c>
      <c r="AW53" s="4" t="n">
        <v>6</v>
      </c>
      <c r="AX53" s="4" t="n">
        <v>8</v>
      </c>
      <c r="AY53" s="4" t="n">
        <v>4</v>
      </c>
      <c r="AZ53" s="4" t="n">
        <v>5</v>
      </c>
      <c r="BA53" s="4" t="n">
        <v>5</v>
      </c>
      <c r="BB53" s="4" t="n">
        <v>6</v>
      </c>
      <c r="BC53" s="4" t="n">
        <v>6</v>
      </c>
      <c r="BD53" s="4" t="n">
        <v>9</v>
      </c>
      <c r="BE53" s="4" t="n">
        <v>9</v>
      </c>
      <c r="BF53" s="4" t="n">
        <v>8</v>
      </c>
      <c r="BG53" s="4" t="n">
        <v>5</v>
      </c>
      <c r="BH53" s="4" t="n">
        <v>8</v>
      </c>
      <c r="BI53" s="4" t="n">
        <v>7</v>
      </c>
      <c r="BJ53" s="4" t="n">
        <v>10</v>
      </c>
      <c r="BK53" s="4" t="n">
        <v>5</v>
      </c>
      <c r="BL53" s="4" t="n">
        <v>7</v>
      </c>
      <c r="BM53" s="4" t="n">
        <v>10</v>
      </c>
    </row>
  </sheetData>
  <mergeCells count="1">
    <mergeCell ref="A1:BM1"/>
  </mergeCells>
  <dataValidations count="1">
    <dataValidation sqref="F4:F53 G4:G53 H4:H53 I4:I53 J4:J53 K4:K53 L4:L53 M4:M53 N4:N53 O4:O53 P4:P53 Q4:Q53 R4:R53 S4:S53 T4:T53 U4:U53 V4:V53 W4:W53 X4:X53 Y4:Y53 Z4:Z53 AA4:AA53 AB4:AB53 AC4:AC53 AD4:AD53 AE4:AE53 AF4:AF53 AG4:AG53 AH4:AH53 AI4:AI53 AJ4:AJ53 AK4:AK53 AL4:AL53 AM4:AM53 AN4:AN53 AO4:AO53 AP4:AP53 AQ4:AQ53 AR4:AR53 AS4:AS53 AT4:AT53 AU4:AU53 AV4:AV53 AW4:AW53 AX4:AX53 AY4:AY53 AZ4:AZ53 BA4:BA53 BB4:BB53 BC4:BC53 BD4:BD53 BE4:BE53 BF4:BF53 BG4:BG53 BH4:BH53 BI4:BI53 BJ4:BJ53 BK4:BK53 BL4:BL53 BM4:BM53" showDropDown="0" showInputMessage="0" showErrorMessage="0" allowBlank="0" errorTitle="Invalid Score" error="Score must be between 1 and 10" type="whole" operator="between">
      <formula1>1</formula1>
      <formula2>10</formula2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AB516"/>
  <sheetViews>
    <sheetView showGridLines="0"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 ht="28" customHeight="1">
      <c r="A1" s="11" t="inlineStr">
        <is>
          <t>Scoring Engine -- Dimension &amp; Overall Calculations</t>
        </is>
      </c>
    </row>
    <row r="2">
      <c r="A2" s="2" t="inlineStr">
        <is>
          <t>All calculations use native Excel formulas. Extend row references as you add respondents.</t>
        </is>
      </c>
    </row>
    <row r="4">
      <c r="A4" s="3" t="inlineStr">
        <is>
          <t>Dimension</t>
        </is>
      </c>
      <c r="B4" s="3" t="inlineStr">
        <is>
          <t>Avg Promise</t>
        </is>
      </c>
      <c r="C4" s="3" t="inlineStr">
        <is>
          <t>Avg Experience</t>
        </is>
      </c>
      <c r="D4" s="3" t="inlineStr">
        <is>
          <t>Gap</t>
        </is>
      </c>
      <c r="E4" s="3" t="inlineStr">
        <is>
          <t>Health Score (0-100)</t>
        </is>
      </c>
      <c r="F4" s="3" t="inlineStr">
        <is>
          <t>Classification</t>
        </is>
      </c>
      <c r="G4" s="3" t="inlineStr">
        <is>
          <t>Weight</t>
        </is>
      </c>
    </row>
    <row r="5">
      <c r="A5" s="4" t="inlineStr">
        <is>
          <t>Job Fit</t>
        </is>
      </c>
      <c r="B5" s="14">
        <f>AVERAGE('Raw Data'!F4:F53,'Raw Data'!H4:H53,'Raw Data'!J4:J53,'Raw Data'!L4:L53,'Raw Data'!N4:N53)</f>
        <v/>
      </c>
      <c r="C5" s="14">
        <f>AVERAGE('Raw Data'!G4:G53,'Raw Data'!I4:I53,'Raw Data'!K4:K53,'Raw Data'!M4:M53,'Raw Data'!O4:O53)</f>
        <v/>
      </c>
      <c r="D5" s="14">
        <f>B5-C5</f>
        <v/>
      </c>
      <c r="E5" s="15">
        <f>MAX(0,MIN(100,100-D5*20))</f>
        <v/>
      </c>
      <c r="F5" s="4">
        <f>IF(D5&lt;=1,"Healthy",IF(D5&lt;=2,"Watch",IF(D5&lt;=3,"Concern","High Risk")))</f>
        <v/>
      </c>
      <c r="G5" s="16" t="n">
        <v>0.2</v>
      </c>
    </row>
    <row r="6">
      <c r="A6" s="13" t="inlineStr">
        <is>
          <t>Manager Effectiveness</t>
        </is>
      </c>
      <c r="B6" s="17">
        <f>AVERAGE('Raw Data'!P4:P53,'Raw Data'!R4:R53,'Raw Data'!T4:T53,'Raw Data'!V4:V53,'Raw Data'!X4:X53)</f>
        <v/>
      </c>
      <c r="C6" s="17">
        <f>AVERAGE('Raw Data'!Q4:Q53,'Raw Data'!S4:S53,'Raw Data'!U4:U53,'Raw Data'!W4:W53,'Raw Data'!Y4:Y53)</f>
        <v/>
      </c>
      <c r="D6" s="17">
        <f>B6-C6</f>
        <v/>
      </c>
      <c r="E6" s="18">
        <f>MAX(0,MIN(100,100-D6*20))</f>
        <v/>
      </c>
      <c r="F6" s="13">
        <f>IF(D6&lt;=1,"Healthy",IF(D6&lt;=2,"Watch",IF(D6&lt;=3,"Concern","High Risk")))</f>
        <v/>
      </c>
      <c r="G6" s="19" t="n">
        <v>0.2</v>
      </c>
    </row>
    <row r="7">
      <c r="A7" s="4" t="inlineStr">
        <is>
          <t>Team Collaboration</t>
        </is>
      </c>
      <c r="B7" s="14">
        <f>AVERAGE('Raw Data'!Z4:Z53,'Raw Data'!AB4:AB53,'Raw Data'!AD4:AD53,'Raw Data'!AF4:AF53,'Raw Data'!AH4:AH53)</f>
        <v/>
      </c>
      <c r="C7" s="14">
        <f>AVERAGE('Raw Data'!AA4:AA53,'Raw Data'!AC4:AC53,'Raw Data'!AE4:AE53,'Raw Data'!AG4:AG53,'Raw Data'!AI4:AI53)</f>
        <v/>
      </c>
      <c r="D7" s="14">
        <f>B7-C7</f>
        <v/>
      </c>
      <c r="E7" s="15">
        <f>MAX(0,MIN(100,100-D7*20))</f>
        <v/>
      </c>
      <c r="F7" s="4">
        <f>IF(D7&lt;=1,"Healthy",IF(D7&lt;=2,"Watch",IF(D7&lt;=3,"Concern","High Risk")))</f>
        <v/>
      </c>
      <c r="G7" s="16" t="n">
        <v>0.15</v>
      </c>
    </row>
    <row r="8">
      <c r="A8" s="13" t="inlineStr">
        <is>
          <t>Workplace Culture</t>
        </is>
      </c>
      <c r="B8" s="17">
        <f>AVERAGE('Raw Data'!AJ4:AJ53,'Raw Data'!AL4:AL53,'Raw Data'!AN4:AN53,'Raw Data'!AP4:AP53,'Raw Data'!AR4:AR53)</f>
        <v/>
      </c>
      <c r="C8" s="17">
        <f>AVERAGE('Raw Data'!AK4:AK53,'Raw Data'!AM4:AM53,'Raw Data'!AO4:AO53,'Raw Data'!AQ4:AQ53,'Raw Data'!AS4:AS53)</f>
        <v/>
      </c>
      <c r="D8" s="17">
        <f>B8-C8</f>
        <v/>
      </c>
      <c r="E8" s="18">
        <f>MAX(0,MIN(100,100-D8*20))</f>
        <v/>
      </c>
      <c r="F8" s="13">
        <f>IF(D8&lt;=1,"Healthy",IF(D8&lt;=2,"Watch",IF(D8&lt;=3,"Concern","High Risk")))</f>
        <v/>
      </c>
      <c r="G8" s="19" t="n">
        <v>0.15</v>
      </c>
    </row>
    <row r="9">
      <c r="A9" s="4" t="inlineStr">
        <is>
          <t>Innovation &amp; Empowerment</t>
        </is>
      </c>
      <c r="B9" s="14">
        <f>AVERAGE('Raw Data'!AT4:AT53,'Raw Data'!AV4:AV53,'Raw Data'!AX4:AX53,'Raw Data'!AZ4:AZ53,'Raw Data'!BB4:BB53)</f>
        <v/>
      </c>
      <c r="C9" s="14">
        <f>AVERAGE('Raw Data'!AU4:AU53,'Raw Data'!AW4:AW53,'Raw Data'!AY4:AY53,'Raw Data'!BA4:BA53,'Raw Data'!BC4:BC53)</f>
        <v/>
      </c>
      <c r="D9" s="14">
        <f>B9-C9</f>
        <v/>
      </c>
      <c r="E9" s="15">
        <f>MAX(0,MIN(100,100-D9*20))</f>
        <v/>
      </c>
      <c r="F9" s="4">
        <f>IF(D9&lt;=1,"Healthy",IF(D9&lt;=2,"Watch",IF(D9&lt;=3,"Concern","High Risk")))</f>
        <v/>
      </c>
      <c r="G9" s="16" t="n">
        <v>0.15</v>
      </c>
    </row>
    <row r="10">
      <c r="A10" s="13" t="inlineStr">
        <is>
          <t>Rewards &amp; Growth</t>
        </is>
      </c>
      <c r="B10" s="17">
        <f>AVERAGE('Raw Data'!BD4:BD53,'Raw Data'!BF4:BF53,'Raw Data'!BH4:BH53,'Raw Data'!BJ4:BJ53,'Raw Data'!BL4:BL53)</f>
        <v/>
      </c>
      <c r="C10" s="17">
        <f>AVERAGE('Raw Data'!BE4:BE53,'Raw Data'!BG4:BG53,'Raw Data'!BI4:BI53,'Raw Data'!BK4:BK53,'Raw Data'!BM4:BM53)</f>
        <v/>
      </c>
      <c r="D10" s="17">
        <f>B10-C10</f>
        <v/>
      </c>
      <c r="E10" s="18">
        <f>MAX(0,MIN(100,100-D10*20))</f>
        <v/>
      </c>
      <c r="F10" s="13">
        <f>IF(D10&lt;=1,"Healthy",IF(D10&lt;=2,"Watch",IF(D10&lt;=3,"Concern","High Risk")))</f>
        <v/>
      </c>
      <c r="G10" s="19" t="n">
        <v>0.15</v>
      </c>
    </row>
    <row r="11">
      <c r="A11" s="20" t="inlineStr">
        <is>
          <t>Overall Experience Index</t>
        </is>
      </c>
      <c r="B11" s="21">
        <f>SUMPRODUCT(E5:E10,G5:G10)/SUM(G5:G10)</f>
        <v/>
      </c>
      <c r="C11" s="22" t="n"/>
      <c r="D11" s="22" t="n"/>
      <c r="E11" s="22" t="n"/>
      <c r="F11" s="22" t="n"/>
      <c r="G11" s="22" t="n"/>
    </row>
    <row r="12">
      <c r="A12" s="23" t="inlineStr">
        <is>
          <t>Retention Risk Score</t>
        </is>
      </c>
      <c r="B12" s="24">
        <f>ROUND(MIN(100,100*((MAX(0,D6)*0.25)+(MAX(0,D8)*0.20)+(MAX(0,D10)*0.20)+(MAX(0,D5)*0.15)+(MAX(0,D7)*0.10)+(MAX(0,D9)*0.10))/9),1)</f>
        <v/>
      </c>
      <c r="C12" s="25" t="n"/>
      <c r="D12" s="25" t="n"/>
      <c r="E12" s="25" t="n"/>
      <c r="F12" s="25" t="n"/>
      <c r="G12" s="25" t="n"/>
    </row>
    <row r="13">
      <c r="A13" s="23" t="inlineStr">
        <is>
          <t>Retention Risk Classification</t>
        </is>
      </c>
      <c r="B13" s="26">
        <f>IF(B12&lt;=20,"Very Low Risk",IF(B12&lt;=40,"Low Risk",IF(B12&lt;=60,"Moderate Risk",IF(B12&lt;=80,"High Risk","Critical Risk"))))</f>
        <v/>
      </c>
      <c r="C13" s="25" t="n"/>
      <c r="D13" s="25" t="n"/>
      <c r="E13" s="25" t="n"/>
      <c r="F13" s="25" t="n"/>
      <c r="G13" s="25" t="n"/>
    </row>
    <row r="15" ht="22" customHeight="1">
      <c r="A15" s="27" t="inlineStr">
        <is>
          <t>Per-Respondent Dimension Scores &amp; Overall Index</t>
        </is>
      </c>
    </row>
    <row r="16">
      <c r="A16" s="3" t="inlineStr">
        <is>
          <t>RespID</t>
        </is>
      </c>
      <c r="B16" s="3" t="inlineStr">
        <is>
          <t>Department</t>
        </is>
      </c>
      <c r="C16" s="3" t="inlineStr">
        <is>
          <t>Location</t>
        </is>
      </c>
      <c r="D16" s="3" t="inlineStr">
        <is>
          <t>Business Unit</t>
        </is>
      </c>
      <c r="E16" s="3" t="inlineStr">
        <is>
          <t>Manager</t>
        </is>
      </c>
      <c r="F16" s="3" t="inlineStr">
        <is>
          <t>JF_P_Avg</t>
        </is>
      </c>
      <c r="G16" s="3" t="inlineStr">
        <is>
          <t>JF_E_Avg</t>
        </is>
      </c>
      <c r="H16" s="3" t="inlineStr">
        <is>
          <t>JF_Gap</t>
        </is>
      </c>
      <c r="I16" s="3" t="inlineStr">
        <is>
          <t>ME_P_Avg</t>
        </is>
      </c>
      <c r="J16" s="3" t="inlineStr">
        <is>
          <t>ME_E_Avg</t>
        </is>
      </c>
      <c r="K16" s="3" t="inlineStr">
        <is>
          <t>ME_Gap</t>
        </is>
      </c>
      <c r="L16" s="3" t="inlineStr">
        <is>
          <t>TC_P_Avg</t>
        </is>
      </c>
      <c r="M16" s="3" t="inlineStr">
        <is>
          <t>TC_E_Avg</t>
        </is>
      </c>
      <c r="N16" s="3" t="inlineStr">
        <is>
          <t>TC_Gap</t>
        </is>
      </c>
      <c r="O16" s="3" t="inlineStr">
        <is>
          <t>WC_P_Avg</t>
        </is>
      </c>
      <c r="P16" s="3" t="inlineStr">
        <is>
          <t>WC_E_Avg</t>
        </is>
      </c>
      <c r="Q16" s="3" t="inlineStr">
        <is>
          <t>WC_Gap</t>
        </is>
      </c>
      <c r="R16" s="3" t="inlineStr">
        <is>
          <t>IE_P_Avg</t>
        </is>
      </c>
      <c r="S16" s="3" t="inlineStr">
        <is>
          <t>IE_E_Avg</t>
        </is>
      </c>
      <c r="T16" s="3" t="inlineStr">
        <is>
          <t>IE_Gap</t>
        </is>
      </c>
      <c r="U16" s="3" t="inlineStr">
        <is>
          <t>RG_P_Avg</t>
        </is>
      </c>
      <c r="V16" s="3" t="inlineStr">
        <is>
          <t>RG_E_Avg</t>
        </is>
      </c>
      <c r="W16" s="3" t="inlineStr">
        <is>
          <t>RG_Gap</t>
        </is>
      </c>
      <c r="X16" s="3" t="inlineStr">
        <is>
          <t>Overall_P</t>
        </is>
      </c>
      <c r="Y16" s="3" t="inlineStr">
        <is>
          <t>Overall_E</t>
        </is>
      </c>
      <c r="Z16" s="3" t="inlineStr">
        <is>
          <t>Overall_Gap</t>
        </is>
      </c>
      <c r="AA16" s="3" t="inlineStr">
        <is>
          <t>Retention_Risk</t>
        </is>
      </c>
      <c r="AB16" s="3" t="inlineStr">
        <is>
          <t>Turnover_Prob%</t>
        </is>
      </c>
    </row>
    <row r="17">
      <c r="A17" s="4">
        <f>IF('Raw Data'!A4&lt;&gt;"",'Raw Data'!A4,"")</f>
        <v/>
      </c>
      <c r="B17" s="4">
        <f>IF('Raw Data'!B4&lt;&gt;"",'Raw Data'!B4,"")</f>
        <v/>
      </c>
      <c r="C17" s="4">
        <f>IF('Raw Data'!C4&lt;&gt;"",'Raw Data'!C4,"")</f>
        <v/>
      </c>
      <c r="D17" s="4">
        <f>IF('Raw Data'!D4&lt;&gt;"",'Raw Data'!D4,"")</f>
        <v/>
      </c>
      <c r="E17" s="4">
        <f>IF('Raw Data'!E4&lt;&gt;"",'Raw Data'!E4,"")</f>
        <v/>
      </c>
      <c r="F17" s="14">
        <f>IF('Raw Data'!A4&lt;&gt;"",AVERAGE('Raw Data'!F4,'Raw Data'!H4,'Raw Data'!J4,'Raw Data'!L4,'Raw Data'!N4),"")</f>
        <v/>
      </c>
      <c r="G17" s="14">
        <f>IF('Raw Data'!A4&lt;&gt;"",AVERAGE('Raw Data'!G4,'Raw Data'!I4,'Raw Data'!K4,'Raw Data'!M4,'Raw Data'!O4),"")</f>
        <v/>
      </c>
      <c r="H17" s="14">
        <f>IF(F17&lt;&gt;"",F17-G17,"")</f>
        <v/>
      </c>
      <c r="I17" s="14">
        <f>IF('Raw Data'!A4&lt;&gt;"",AVERAGE('Raw Data'!P4,'Raw Data'!R4,'Raw Data'!T4,'Raw Data'!V4,'Raw Data'!X4),"")</f>
        <v/>
      </c>
      <c r="J17" s="14">
        <f>IF('Raw Data'!A4&lt;&gt;"",AVERAGE('Raw Data'!Q4,'Raw Data'!S4,'Raw Data'!U4,'Raw Data'!W4,'Raw Data'!Y4),"")</f>
        <v/>
      </c>
      <c r="K17" s="14">
        <f>IF(I17&lt;&gt;"",I17-J17,"")</f>
        <v/>
      </c>
      <c r="L17" s="14">
        <f>IF('Raw Data'!A4&lt;&gt;"",AVERAGE('Raw Data'!Z4,'Raw Data'!AB4,'Raw Data'!AD4,'Raw Data'!AF4,'Raw Data'!AH4),"")</f>
        <v/>
      </c>
      <c r="M17" s="14">
        <f>IF('Raw Data'!A4&lt;&gt;"",AVERAGE('Raw Data'!AA4,'Raw Data'!AC4,'Raw Data'!AE4,'Raw Data'!AG4,'Raw Data'!AI4),"")</f>
        <v/>
      </c>
      <c r="N17" s="14">
        <f>IF(L17&lt;&gt;"",L17-M17,"")</f>
        <v/>
      </c>
      <c r="O17" s="14">
        <f>IF('Raw Data'!A4&lt;&gt;"",AVERAGE('Raw Data'!AJ4,'Raw Data'!AL4,'Raw Data'!AN4,'Raw Data'!AP4,'Raw Data'!AR4),"")</f>
        <v/>
      </c>
      <c r="P17" s="14">
        <f>IF('Raw Data'!A4&lt;&gt;"",AVERAGE('Raw Data'!AK4,'Raw Data'!AM4,'Raw Data'!AO4,'Raw Data'!AQ4,'Raw Data'!AS4),"")</f>
        <v/>
      </c>
      <c r="Q17" s="14">
        <f>IF(O17&lt;&gt;"",O17-P17,"")</f>
        <v/>
      </c>
      <c r="R17" s="14">
        <f>IF('Raw Data'!A4&lt;&gt;"",AVERAGE('Raw Data'!AT4,'Raw Data'!AV4,'Raw Data'!AX4,'Raw Data'!AZ4,'Raw Data'!BB4),"")</f>
        <v/>
      </c>
      <c r="S17" s="14">
        <f>IF('Raw Data'!A4&lt;&gt;"",AVERAGE('Raw Data'!AU4,'Raw Data'!AW4,'Raw Data'!AY4,'Raw Data'!BA4,'Raw Data'!BC4),"")</f>
        <v/>
      </c>
      <c r="T17" s="14">
        <f>IF(R17&lt;&gt;"",R17-S17,"")</f>
        <v/>
      </c>
      <c r="U17" s="14">
        <f>IF('Raw Data'!A4&lt;&gt;"",AVERAGE('Raw Data'!BD4,'Raw Data'!BF4,'Raw Data'!BH4,'Raw Data'!BJ4,'Raw Data'!BL4),"")</f>
        <v/>
      </c>
      <c r="V17" s="14">
        <f>IF('Raw Data'!A4&lt;&gt;"",AVERAGE('Raw Data'!BE4,'Raw Data'!BG4,'Raw Data'!BI4,'Raw Data'!BK4,'Raw Data'!BM4),"")</f>
        <v/>
      </c>
      <c r="W17" s="14">
        <f>IF(U17&lt;&gt;"",U17-V17,"")</f>
        <v/>
      </c>
      <c r="X17" s="14">
        <f>IF(A17&lt;&gt;"",AVERAGE(F17,I17,L17,O17,R17,U17),"")</f>
        <v/>
      </c>
      <c r="Y17" s="14">
        <f>IF(A17&lt;&gt;"",AVERAGE(G17,J17,M17,P17,S17,V17),"")</f>
        <v/>
      </c>
      <c r="Z17" s="14">
        <f>IF(A17&lt;&gt;"",X17-Y17,"")</f>
        <v/>
      </c>
      <c r="AA17" s="15">
        <f>IF(A17&lt;&gt;"",ROUND(MIN(100,100*((MAX(0,K17)*0.25)+(MAX(0,Q17)*0.20)+(MAX(0,W17)*0.20)+(MAX(0,H17)*0.15)+(MAX(0,N17)*0.10)+(MAX(0,T17)*0.10))/9),1),"")</f>
        <v/>
      </c>
      <c r="AB17" s="28">
        <f>IF(A17&lt;&gt;"",MIN(1,(0.5*AA17/100)+(0.3*MAX(0,K17)/9)+(0.2*MAX(0,Q17)/9)),"")</f>
        <v/>
      </c>
    </row>
    <row r="18">
      <c r="A18" s="13">
        <f>IF('Raw Data'!A5&lt;&gt;"",'Raw Data'!A5,"")</f>
        <v/>
      </c>
      <c r="B18" s="13">
        <f>IF('Raw Data'!B5&lt;&gt;"",'Raw Data'!B5,"")</f>
        <v/>
      </c>
      <c r="C18" s="13">
        <f>IF('Raw Data'!C5&lt;&gt;"",'Raw Data'!C5,"")</f>
        <v/>
      </c>
      <c r="D18" s="13">
        <f>IF('Raw Data'!D5&lt;&gt;"",'Raw Data'!D5,"")</f>
        <v/>
      </c>
      <c r="E18" s="13">
        <f>IF('Raw Data'!E5&lt;&gt;"",'Raw Data'!E5,"")</f>
        <v/>
      </c>
      <c r="F18" s="17">
        <f>IF('Raw Data'!A5&lt;&gt;"",AVERAGE('Raw Data'!F5,'Raw Data'!H5,'Raw Data'!J5,'Raw Data'!L5,'Raw Data'!N5),"")</f>
        <v/>
      </c>
      <c r="G18" s="17">
        <f>IF('Raw Data'!A5&lt;&gt;"",AVERAGE('Raw Data'!G5,'Raw Data'!I5,'Raw Data'!K5,'Raw Data'!M5,'Raw Data'!O5),"")</f>
        <v/>
      </c>
      <c r="H18" s="17">
        <f>IF(F18&lt;&gt;"",F18-G18,"")</f>
        <v/>
      </c>
      <c r="I18" s="17">
        <f>IF('Raw Data'!A5&lt;&gt;"",AVERAGE('Raw Data'!P5,'Raw Data'!R5,'Raw Data'!T5,'Raw Data'!V5,'Raw Data'!X5),"")</f>
        <v/>
      </c>
      <c r="J18" s="17">
        <f>IF('Raw Data'!A5&lt;&gt;"",AVERAGE('Raw Data'!Q5,'Raw Data'!S5,'Raw Data'!U5,'Raw Data'!W5,'Raw Data'!Y5),"")</f>
        <v/>
      </c>
      <c r="K18" s="17">
        <f>IF(I18&lt;&gt;"",I18-J18,"")</f>
        <v/>
      </c>
      <c r="L18" s="17">
        <f>IF('Raw Data'!A5&lt;&gt;"",AVERAGE('Raw Data'!Z5,'Raw Data'!AB5,'Raw Data'!AD5,'Raw Data'!AF5,'Raw Data'!AH5),"")</f>
        <v/>
      </c>
      <c r="M18" s="17">
        <f>IF('Raw Data'!A5&lt;&gt;"",AVERAGE('Raw Data'!AA5,'Raw Data'!AC5,'Raw Data'!AE5,'Raw Data'!AG5,'Raw Data'!AI5),"")</f>
        <v/>
      </c>
      <c r="N18" s="17">
        <f>IF(L18&lt;&gt;"",L18-M18,"")</f>
        <v/>
      </c>
      <c r="O18" s="17">
        <f>IF('Raw Data'!A5&lt;&gt;"",AVERAGE('Raw Data'!AJ5,'Raw Data'!AL5,'Raw Data'!AN5,'Raw Data'!AP5,'Raw Data'!AR5),"")</f>
        <v/>
      </c>
      <c r="P18" s="17">
        <f>IF('Raw Data'!A5&lt;&gt;"",AVERAGE('Raw Data'!AK5,'Raw Data'!AM5,'Raw Data'!AO5,'Raw Data'!AQ5,'Raw Data'!AS5),"")</f>
        <v/>
      </c>
      <c r="Q18" s="17">
        <f>IF(O18&lt;&gt;"",O18-P18,"")</f>
        <v/>
      </c>
      <c r="R18" s="17">
        <f>IF('Raw Data'!A5&lt;&gt;"",AVERAGE('Raw Data'!AT5,'Raw Data'!AV5,'Raw Data'!AX5,'Raw Data'!AZ5,'Raw Data'!BB5),"")</f>
        <v/>
      </c>
      <c r="S18" s="17">
        <f>IF('Raw Data'!A5&lt;&gt;"",AVERAGE('Raw Data'!AU5,'Raw Data'!AW5,'Raw Data'!AY5,'Raw Data'!BA5,'Raw Data'!BC5),"")</f>
        <v/>
      </c>
      <c r="T18" s="17">
        <f>IF(R18&lt;&gt;"",R18-S18,"")</f>
        <v/>
      </c>
      <c r="U18" s="17">
        <f>IF('Raw Data'!A5&lt;&gt;"",AVERAGE('Raw Data'!BD5,'Raw Data'!BF5,'Raw Data'!BH5,'Raw Data'!BJ5,'Raw Data'!BL5),"")</f>
        <v/>
      </c>
      <c r="V18" s="17">
        <f>IF('Raw Data'!A5&lt;&gt;"",AVERAGE('Raw Data'!BE5,'Raw Data'!BG5,'Raw Data'!BI5,'Raw Data'!BK5,'Raw Data'!BM5),"")</f>
        <v/>
      </c>
      <c r="W18" s="17">
        <f>IF(U18&lt;&gt;"",U18-V18,"")</f>
        <v/>
      </c>
      <c r="X18" s="17">
        <f>IF(A18&lt;&gt;"",AVERAGE(F18,I18,L18,O18,R18,U18),"")</f>
        <v/>
      </c>
      <c r="Y18" s="17">
        <f>IF(A18&lt;&gt;"",AVERAGE(G18,J18,M18,P18,S18,V18),"")</f>
        <v/>
      </c>
      <c r="Z18" s="17">
        <f>IF(A18&lt;&gt;"",X18-Y18,"")</f>
        <v/>
      </c>
      <c r="AA18" s="18">
        <f>IF(A18&lt;&gt;"",ROUND(MIN(100,100*((MAX(0,K18)*0.25)+(MAX(0,Q18)*0.20)+(MAX(0,W18)*0.20)+(MAX(0,H18)*0.15)+(MAX(0,N18)*0.10)+(MAX(0,T18)*0.10))/9),1),"")</f>
        <v/>
      </c>
      <c r="AB18" s="29">
        <f>IF(A18&lt;&gt;"",MIN(1,(0.5*AA18/100)+(0.3*MAX(0,K18)/9)+(0.2*MAX(0,Q18)/9)),"")</f>
        <v/>
      </c>
    </row>
    <row r="19">
      <c r="A19" s="4">
        <f>IF('Raw Data'!A6&lt;&gt;"",'Raw Data'!A6,"")</f>
        <v/>
      </c>
      <c r="B19" s="4">
        <f>IF('Raw Data'!B6&lt;&gt;"",'Raw Data'!B6,"")</f>
        <v/>
      </c>
      <c r="C19" s="4">
        <f>IF('Raw Data'!C6&lt;&gt;"",'Raw Data'!C6,"")</f>
        <v/>
      </c>
      <c r="D19" s="4">
        <f>IF('Raw Data'!D6&lt;&gt;"",'Raw Data'!D6,"")</f>
        <v/>
      </c>
      <c r="E19" s="4">
        <f>IF('Raw Data'!E6&lt;&gt;"",'Raw Data'!E6,"")</f>
        <v/>
      </c>
      <c r="F19" s="14">
        <f>IF('Raw Data'!A6&lt;&gt;"",AVERAGE('Raw Data'!F6,'Raw Data'!H6,'Raw Data'!J6,'Raw Data'!L6,'Raw Data'!N6),"")</f>
        <v/>
      </c>
      <c r="G19" s="14">
        <f>IF('Raw Data'!A6&lt;&gt;"",AVERAGE('Raw Data'!G6,'Raw Data'!I6,'Raw Data'!K6,'Raw Data'!M6,'Raw Data'!O6),"")</f>
        <v/>
      </c>
      <c r="H19" s="14">
        <f>IF(F19&lt;&gt;"",F19-G19,"")</f>
        <v/>
      </c>
      <c r="I19" s="14">
        <f>IF('Raw Data'!A6&lt;&gt;"",AVERAGE('Raw Data'!P6,'Raw Data'!R6,'Raw Data'!T6,'Raw Data'!V6,'Raw Data'!X6),"")</f>
        <v/>
      </c>
      <c r="J19" s="14">
        <f>IF('Raw Data'!A6&lt;&gt;"",AVERAGE('Raw Data'!Q6,'Raw Data'!S6,'Raw Data'!U6,'Raw Data'!W6,'Raw Data'!Y6),"")</f>
        <v/>
      </c>
      <c r="K19" s="14">
        <f>IF(I19&lt;&gt;"",I19-J19,"")</f>
        <v/>
      </c>
      <c r="L19" s="14">
        <f>IF('Raw Data'!A6&lt;&gt;"",AVERAGE('Raw Data'!Z6,'Raw Data'!AB6,'Raw Data'!AD6,'Raw Data'!AF6,'Raw Data'!AH6),"")</f>
        <v/>
      </c>
      <c r="M19" s="14">
        <f>IF('Raw Data'!A6&lt;&gt;"",AVERAGE('Raw Data'!AA6,'Raw Data'!AC6,'Raw Data'!AE6,'Raw Data'!AG6,'Raw Data'!AI6),"")</f>
        <v/>
      </c>
      <c r="N19" s="14">
        <f>IF(L19&lt;&gt;"",L19-M19,"")</f>
        <v/>
      </c>
      <c r="O19" s="14">
        <f>IF('Raw Data'!A6&lt;&gt;"",AVERAGE('Raw Data'!AJ6,'Raw Data'!AL6,'Raw Data'!AN6,'Raw Data'!AP6,'Raw Data'!AR6),"")</f>
        <v/>
      </c>
      <c r="P19" s="14">
        <f>IF('Raw Data'!A6&lt;&gt;"",AVERAGE('Raw Data'!AK6,'Raw Data'!AM6,'Raw Data'!AO6,'Raw Data'!AQ6,'Raw Data'!AS6),"")</f>
        <v/>
      </c>
      <c r="Q19" s="14">
        <f>IF(O19&lt;&gt;"",O19-P19,"")</f>
        <v/>
      </c>
      <c r="R19" s="14">
        <f>IF('Raw Data'!A6&lt;&gt;"",AVERAGE('Raw Data'!AT6,'Raw Data'!AV6,'Raw Data'!AX6,'Raw Data'!AZ6,'Raw Data'!BB6),"")</f>
        <v/>
      </c>
      <c r="S19" s="14">
        <f>IF('Raw Data'!A6&lt;&gt;"",AVERAGE('Raw Data'!AU6,'Raw Data'!AW6,'Raw Data'!AY6,'Raw Data'!BA6,'Raw Data'!BC6),"")</f>
        <v/>
      </c>
      <c r="T19" s="14">
        <f>IF(R19&lt;&gt;"",R19-S19,"")</f>
        <v/>
      </c>
      <c r="U19" s="14">
        <f>IF('Raw Data'!A6&lt;&gt;"",AVERAGE('Raw Data'!BD6,'Raw Data'!BF6,'Raw Data'!BH6,'Raw Data'!BJ6,'Raw Data'!BL6),"")</f>
        <v/>
      </c>
      <c r="V19" s="14">
        <f>IF('Raw Data'!A6&lt;&gt;"",AVERAGE('Raw Data'!BE6,'Raw Data'!BG6,'Raw Data'!BI6,'Raw Data'!BK6,'Raw Data'!BM6),"")</f>
        <v/>
      </c>
      <c r="W19" s="14">
        <f>IF(U19&lt;&gt;"",U19-V19,"")</f>
        <v/>
      </c>
      <c r="X19" s="14">
        <f>IF(A19&lt;&gt;"",AVERAGE(F19,I19,L19,O19,R19,U19),"")</f>
        <v/>
      </c>
      <c r="Y19" s="14">
        <f>IF(A19&lt;&gt;"",AVERAGE(G19,J19,M19,P19,S19,V19),"")</f>
        <v/>
      </c>
      <c r="Z19" s="14">
        <f>IF(A19&lt;&gt;"",X19-Y19,"")</f>
        <v/>
      </c>
      <c r="AA19" s="15">
        <f>IF(A19&lt;&gt;"",ROUND(MIN(100,100*((MAX(0,K19)*0.25)+(MAX(0,Q19)*0.20)+(MAX(0,W19)*0.20)+(MAX(0,H19)*0.15)+(MAX(0,N19)*0.10)+(MAX(0,T19)*0.10))/9),1),"")</f>
        <v/>
      </c>
      <c r="AB19" s="28">
        <f>IF(A19&lt;&gt;"",MIN(1,(0.5*AA19/100)+(0.3*MAX(0,K19)/9)+(0.2*MAX(0,Q19)/9)),"")</f>
        <v/>
      </c>
    </row>
    <row r="20">
      <c r="A20" s="13">
        <f>IF('Raw Data'!A7&lt;&gt;"",'Raw Data'!A7,"")</f>
        <v/>
      </c>
      <c r="B20" s="13">
        <f>IF('Raw Data'!B7&lt;&gt;"",'Raw Data'!B7,"")</f>
        <v/>
      </c>
      <c r="C20" s="13">
        <f>IF('Raw Data'!C7&lt;&gt;"",'Raw Data'!C7,"")</f>
        <v/>
      </c>
      <c r="D20" s="13">
        <f>IF('Raw Data'!D7&lt;&gt;"",'Raw Data'!D7,"")</f>
        <v/>
      </c>
      <c r="E20" s="13">
        <f>IF('Raw Data'!E7&lt;&gt;"",'Raw Data'!E7,"")</f>
        <v/>
      </c>
      <c r="F20" s="17">
        <f>IF('Raw Data'!A7&lt;&gt;"",AVERAGE('Raw Data'!F7,'Raw Data'!H7,'Raw Data'!J7,'Raw Data'!L7,'Raw Data'!N7),"")</f>
        <v/>
      </c>
      <c r="G20" s="17">
        <f>IF('Raw Data'!A7&lt;&gt;"",AVERAGE('Raw Data'!G7,'Raw Data'!I7,'Raw Data'!K7,'Raw Data'!M7,'Raw Data'!O7),"")</f>
        <v/>
      </c>
      <c r="H20" s="17">
        <f>IF(F20&lt;&gt;"",F20-G20,"")</f>
        <v/>
      </c>
      <c r="I20" s="17">
        <f>IF('Raw Data'!A7&lt;&gt;"",AVERAGE('Raw Data'!P7,'Raw Data'!R7,'Raw Data'!T7,'Raw Data'!V7,'Raw Data'!X7),"")</f>
        <v/>
      </c>
      <c r="J20" s="17">
        <f>IF('Raw Data'!A7&lt;&gt;"",AVERAGE('Raw Data'!Q7,'Raw Data'!S7,'Raw Data'!U7,'Raw Data'!W7,'Raw Data'!Y7),"")</f>
        <v/>
      </c>
      <c r="K20" s="17">
        <f>IF(I20&lt;&gt;"",I20-J20,"")</f>
        <v/>
      </c>
      <c r="L20" s="17">
        <f>IF('Raw Data'!A7&lt;&gt;"",AVERAGE('Raw Data'!Z7,'Raw Data'!AB7,'Raw Data'!AD7,'Raw Data'!AF7,'Raw Data'!AH7),"")</f>
        <v/>
      </c>
      <c r="M20" s="17">
        <f>IF('Raw Data'!A7&lt;&gt;"",AVERAGE('Raw Data'!AA7,'Raw Data'!AC7,'Raw Data'!AE7,'Raw Data'!AG7,'Raw Data'!AI7),"")</f>
        <v/>
      </c>
      <c r="N20" s="17">
        <f>IF(L20&lt;&gt;"",L20-M20,"")</f>
        <v/>
      </c>
      <c r="O20" s="17">
        <f>IF('Raw Data'!A7&lt;&gt;"",AVERAGE('Raw Data'!AJ7,'Raw Data'!AL7,'Raw Data'!AN7,'Raw Data'!AP7,'Raw Data'!AR7),"")</f>
        <v/>
      </c>
      <c r="P20" s="17">
        <f>IF('Raw Data'!A7&lt;&gt;"",AVERAGE('Raw Data'!AK7,'Raw Data'!AM7,'Raw Data'!AO7,'Raw Data'!AQ7,'Raw Data'!AS7),"")</f>
        <v/>
      </c>
      <c r="Q20" s="17">
        <f>IF(O20&lt;&gt;"",O20-P20,"")</f>
        <v/>
      </c>
      <c r="R20" s="17">
        <f>IF('Raw Data'!A7&lt;&gt;"",AVERAGE('Raw Data'!AT7,'Raw Data'!AV7,'Raw Data'!AX7,'Raw Data'!AZ7,'Raw Data'!BB7),"")</f>
        <v/>
      </c>
      <c r="S20" s="17">
        <f>IF('Raw Data'!A7&lt;&gt;"",AVERAGE('Raw Data'!AU7,'Raw Data'!AW7,'Raw Data'!AY7,'Raw Data'!BA7,'Raw Data'!BC7),"")</f>
        <v/>
      </c>
      <c r="T20" s="17">
        <f>IF(R20&lt;&gt;"",R20-S20,"")</f>
        <v/>
      </c>
      <c r="U20" s="17">
        <f>IF('Raw Data'!A7&lt;&gt;"",AVERAGE('Raw Data'!BD7,'Raw Data'!BF7,'Raw Data'!BH7,'Raw Data'!BJ7,'Raw Data'!BL7),"")</f>
        <v/>
      </c>
      <c r="V20" s="17">
        <f>IF('Raw Data'!A7&lt;&gt;"",AVERAGE('Raw Data'!BE7,'Raw Data'!BG7,'Raw Data'!BI7,'Raw Data'!BK7,'Raw Data'!BM7),"")</f>
        <v/>
      </c>
      <c r="W20" s="17">
        <f>IF(U20&lt;&gt;"",U20-V20,"")</f>
        <v/>
      </c>
      <c r="X20" s="17">
        <f>IF(A20&lt;&gt;"",AVERAGE(F20,I20,L20,O20,R20,U20),"")</f>
        <v/>
      </c>
      <c r="Y20" s="17">
        <f>IF(A20&lt;&gt;"",AVERAGE(G20,J20,M20,P20,S20,V20),"")</f>
        <v/>
      </c>
      <c r="Z20" s="17">
        <f>IF(A20&lt;&gt;"",X20-Y20,"")</f>
        <v/>
      </c>
      <c r="AA20" s="18">
        <f>IF(A20&lt;&gt;"",ROUND(MIN(100,100*((MAX(0,K20)*0.25)+(MAX(0,Q20)*0.20)+(MAX(0,W20)*0.20)+(MAX(0,H20)*0.15)+(MAX(0,N20)*0.10)+(MAX(0,T20)*0.10))/9),1),"")</f>
        <v/>
      </c>
      <c r="AB20" s="29">
        <f>IF(A20&lt;&gt;"",MIN(1,(0.5*AA20/100)+(0.3*MAX(0,K20)/9)+(0.2*MAX(0,Q20)/9)),"")</f>
        <v/>
      </c>
    </row>
    <row r="21">
      <c r="A21" s="4">
        <f>IF('Raw Data'!A8&lt;&gt;"",'Raw Data'!A8,"")</f>
        <v/>
      </c>
      <c r="B21" s="4">
        <f>IF('Raw Data'!B8&lt;&gt;"",'Raw Data'!B8,"")</f>
        <v/>
      </c>
      <c r="C21" s="4">
        <f>IF('Raw Data'!C8&lt;&gt;"",'Raw Data'!C8,"")</f>
        <v/>
      </c>
      <c r="D21" s="4">
        <f>IF('Raw Data'!D8&lt;&gt;"",'Raw Data'!D8,"")</f>
        <v/>
      </c>
      <c r="E21" s="4">
        <f>IF('Raw Data'!E8&lt;&gt;"",'Raw Data'!E8,"")</f>
        <v/>
      </c>
      <c r="F21" s="14">
        <f>IF('Raw Data'!A8&lt;&gt;"",AVERAGE('Raw Data'!F8,'Raw Data'!H8,'Raw Data'!J8,'Raw Data'!L8,'Raw Data'!N8),"")</f>
        <v/>
      </c>
      <c r="G21" s="14">
        <f>IF('Raw Data'!A8&lt;&gt;"",AVERAGE('Raw Data'!G8,'Raw Data'!I8,'Raw Data'!K8,'Raw Data'!M8,'Raw Data'!O8),"")</f>
        <v/>
      </c>
      <c r="H21" s="14">
        <f>IF(F21&lt;&gt;"",F21-G21,"")</f>
        <v/>
      </c>
      <c r="I21" s="14">
        <f>IF('Raw Data'!A8&lt;&gt;"",AVERAGE('Raw Data'!P8,'Raw Data'!R8,'Raw Data'!T8,'Raw Data'!V8,'Raw Data'!X8),"")</f>
        <v/>
      </c>
      <c r="J21" s="14">
        <f>IF('Raw Data'!A8&lt;&gt;"",AVERAGE('Raw Data'!Q8,'Raw Data'!S8,'Raw Data'!U8,'Raw Data'!W8,'Raw Data'!Y8),"")</f>
        <v/>
      </c>
      <c r="K21" s="14">
        <f>IF(I21&lt;&gt;"",I21-J21,"")</f>
        <v/>
      </c>
      <c r="L21" s="14">
        <f>IF('Raw Data'!A8&lt;&gt;"",AVERAGE('Raw Data'!Z8,'Raw Data'!AB8,'Raw Data'!AD8,'Raw Data'!AF8,'Raw Data'!AH8),"")</f>
        <v/>
      </c>
      <c r="M21" s="14">
        <f>IF('Raw Data'!A8&lt;&gt;"",AVERAGE('Raw Data'!AA8,'Raw Data'!AC8,'Raw Data'!AE8,'Raw Data'!AG8,'Raw Data'!AI8),"")</f>
        <v/>
      </c>
      <c r="N21" s="14">
        <f>IF(L21&lt;&gt;"",L21-M21,"")</f>
        <v/>
      </c>
      <c r="O21" s="14">
        <f>IF('Raw Data'!A8&lt;&gt;"",AVERAGE('Raw Data'!AJ8,'Raw Data'!AL8,'Raw Data'!AN8,'Raw Data'!AP8,'Raw Data'!AR8),"")</f>
        <v/>
      </c>
      <c r="P21" s="14">
        <f>IF('Raw Data'!A8&lt;&gt;"",AVERAGE('Raw Data'!AK8,'Raw Data'!AM8,'Raw Data'!AO8,'Raw Data'!AQ8,'Raw Data'!AS8),"")</f>
        <v/>
      </c>
      <c r="Q21" s="14">
        <f>IF(O21&lt;&gt;"",O21-P21,"")</f>
        <v/>
      </c>
      <c r="R21" s="14">
        <f>IF('Raw Data'!A8&lt;&gt;"",AVERAGE('Raw Data'!AT8,'Raw Data'!AV8,'Raw Data'!AX8,'Raw Data'!AZ8,'Raw Data'!BB8),"")</f>
        <v/>
      </c>
      <c r="S21" s="14">
        <f>IF('Raw Data'!A8&lt;&gt;"",AVERAGE('Raw Data'!AU8,'Raw Data'!AW8,'Raw Data'!AY8,'Raw Data'!BA8,'Raw Data'!BC8),"")</f>
        <v/>
      </c>
      <c r="T21" s="14">
        <f>IF(R21&lt;&gt;"",R21-S21,"")</f>
        <v/>
      </c>
      <c r="U21" s="14">
        <f>IF('Raw Data'!A8&lt;&gt;"",AVERAGE('Raw Data'!BD8,'Raw Data'!BF8,'Raw Data'!BH8,'Raw Data'!BJ8,'Raw Data'!BL8),"")</f>
        <v/>
      </c>
      <c r="V21" s="14">
        <f>IF('Raw Data'!A8&lt;&gt;"",AVERAGE('Raw Data'!BE8,'Raw Data'!BG8,'Raw Data'!BI8,'Raw Data'!BK8,'Raw Data'!BM8),"")</f>
        <v/>
      </c>
      <c r="W21" s="14">
        <f>IF(U21&lt;&gt;"",U21-V21,"")</f>
        <v/>
      </c>
      <c r="X21" s="14">
        <f>IF(A21&lt;&gt;"",AVERAGE(F21,I21,L21,O21,R21,U21),"")</f>
        <v/>
      </c>
      <c r="Y21" s="14">
        <f>IF(A21&lt;&gt;"",AVERAGE(G21,J21,M21,P21,S21,V21),"")</f>
        <v/>
      </c>
      <c r="Z21" s="14">
        <f>IF(A21&lt;&gt;"",X21-Y21,"")</f>
        <v/>
      </c>
      <c r="AA21" s="15">
        <f>IF(A21&lt;&gt;"",ROUND(MIN(100,100*((MAX(0,K21)*0.25)+(MAX(0,Q21)*0.20)+(MAX(0,W21)*0.20)+(MAX(0,H21)*0.15)+(MAX(0,N21)*0.10)+(MAX(0,T21)*0.10))/9),1),"")</f>
        <v/>
      </c>
      <c r="AB21" s="28">
        <f>IF(A21&lt;&gt;"",MIN(1,(0.5*AA21/100)+(0.3*MAX(0,K21)/9)+(0.2*MAX(0,Q21)/9)),"")</f>
        <v/>
      </c>
    </row>
    <row r="22">
      <c r="A22" s="13">
        <f>IF('Raw Data'!A9&lt;&gt;"",'Raw Data'!A9,"")</f>
        <v/>
      </c>
      <c r="B22" s="13">
        <f>IF('Raw Data'!B9&lt;&gt;"",'Raw Data'!B9,"")</f>
        <v/>
      </c>
      <c r="C22" s="13">
        <f>IF('Raw Data'!C9&lt;&gt;"",'Raw Data'!C9,"")</f>
        <v/>
      </c>
      <c r="D22" s="13">
        <f>IF('Raw Data'!D9&lt;&gt;"",'Raw Data'!D9,"")</f>
        <v/>
      </c>
      <c r="E22" s="13">
        <f>IF('Raw Data'!E9&lt;&gt;"",'Raw Data'!E9,"")</f>
        <v/>
      </c>
      <c r="F22" s="17">
        <f>IF('Raw Data'!A9&lt;&gt;"",AVERAGE('Raw Data'!F9,'Raw Data'!H9,'Raw Data'!J9,'Raw Data'!L9,'Raw Data'!N9),"")</f>
        <v/>
      </c>
      <c r="G22" s="17">
        <f>IF('Raw Data'!A9&lt;&gt;"",AVERAGE('Raw Data'!G9,'Raw Data'!I9,'Raw Data'!K9,'Raw Data'!M9,'Raw Data'!O9),"")</f>
        <v/>
      </c>
      <c r="H22" s="17">
        <f>IF(F22&lt;&gt;"",F22-G22,"")</f>
        <v/>
      </c>
      <c r="I22" s="17">
        <f>IF('Raw Data'!A9&lt;&gt;"",AVERAGE('Raw Data'!P9,'Raw Data'!R9,'Raw Data'!T9,'Raw Data'!V9,'Raw Data'!X9),"")</f>
        <v/>
      </c>
      <c r="J22" s="17">
        <f>IF('Raw Data'!A9&lt;&gt;"",AVERAGE('Raw Data'!Q9,'Raw Data'!S9,'Raw Data'!U9,'Raw Data'!W9,'Raw Data'!Y9),"")</f>
        <v/>
      </c>
      <c r="K22" s="17">
        <f>IF(I22&lt;&gt;"",I22-J22,"")</f>
        <v/>
      </c>
      <c r="L22" s="17">
        <f>IF('Raw Data'!A9&lt;&gt;"",AVERAGE('Raw Data'!Z9,'Raw Data'!AB9,'Raw Data'!AD9,'Raw Data'!AF9,'Raw Data'!AH9),"")</f>
        <v/>
      </c>
      <c r="M22" s="17">
        <f>IF('Raw Data'!A9&lt;&gt;"",AVERAGE('Raw Data'!AA9,'Raw Data'!AC9,'Raw Data'!AE9,'Raw Data'!AG9,'Raw Data'!AI9),"")</f>
        <v/>
      </c>
      <c r="N22" s="17">
        <f>IF(L22&lt;&gt;"",L22-M22,"")</f>
        <v/>
      </c>
      <c r="O22" s="17">
        <f>IF('Raw Data'!A9&lt;&gt;"",AVERAGE('Raw Data'!AJ9,'Raw Data'!AL9,'Raw Data'!AN9,'Raw Data'!AP9,'Raw Data'!AR9),"")</f>
        <v/>
      </c>
      <c r="P22" s="17">
        <f>IF('Raw Data'!A9&lt;&gt;"",AVERAGE('Raw Data'!AK9,'Raw Data'!AM9,'Raw Data'!AO9,'Raw Data'!AQ9,'Raw Data'!AS9),"")</f>
        <v/>
      </c>
      <c r="Q22" s="17">
        <f>IF(O22&lt;&gt;"",O22-P22,"")</f>
        <v/>
      </c>
      <c r="R22" s="17">
        <f>IF('Raw Data'!A9&lt;&gt;"",AVERAGE('Raw Data'!AT9,'Raw Data'!AV9,'Raw Data'!AX9,'Raw Data'!AZ9,'Raw Data'!BB9),"")</f>
        <v/>
      </c>
      <c r="S22" s="17">
        <f>IF('Raw Data'!A9&lt;&gt;"",AVERAGE('Raw Data'!AU9,'Raw Data'!AW9,'Raw Data'!AY9,'Raw Data'!BA9,'Raw Data'!BC9),"")</f>
        <v/>
      </c>
      <c r="T22" s="17">
        <f>IF(R22&lt;&gt;"",R22-S22,"")</f>
        <v/>
      </c>
      <c r="U22" s="17">
        <f>IF('Raw Data'!A9&lt;&gt;"",AVERAGE('Raw Data'!BD9,'Raw Data'!BF9,'Raw Data'!BH9,'Raw Data'!BJ9,'Raw Data'!BL9),"")</f>
        <v/>
      </c>
      <c r="V22" s="17">
        <f>IF('Raw Data'!A9&lt;&gt;"",AVERAGE('Raw Data'!BE9,'Raw Data'!BG9,'Raw Data'!BI9,'Raw Data'!BK9,'Raw Data'!BM9),"")</f>
        <v/>
      </c>
      <c r="W22" s="17">
        <f>IF(U22&lt;&gt;"",U22-V22,"")</f>
        <v/>
      </c>
      <c r="X22" s="17">
        <f>IF(A22&lt;&gt;"",AVERAGE(F22,I22,L22,O22,R22,U22),"")</f>
        <v/>
      </c>
      <c r="Y22" s="17">
        <f>IF(A22&lt;&gt;"",AVERAGE(G22,J22,M22,P22,S22,V22),"")</f>
        <v/>
      </c>
      <c r="Z22" s="17">
        <f>IF(A22&lt;&gt;"",X22-Y22,"")</f>
        <v/>
      </c>
      <c r="AA22" s="18">
        <f>IF(A22&lt;&gt;"",ROUND(MIN(100,100*((MAX(0,K22)*0.25)+(MAX(0,Q22)*0.20)+(MAX(0,W22)*0.20)+(MAX(0,H22)*0.15)+(MAX(0,N22)*0.10)+(MAX(0,T22)*0.10))/9),1),"")</f>
        <v/>
      </c>
      <c r="AB22" s="29">
        <f>IF(A22&lt;&gt;"",MIN(1,(0.5*AA22/100)+(0.3*MAX(0,K22)/9)+(0.2*MAX(0,Q22)/9)),"")</f>
        <v/>
      </c>
    </row>
    <row r="23">
      <c r="A23" s="4">
        <f>IF('Raw Data'!A10&lt;&gt;"",'Raw Data'!A10,"")</f>
        <v/>
      </c>
      <c r="B23" s="4">
        <f>IF('Raw Data'!B10&lt;&gt;"",'Raw Data'!B10,"")</f>
        <v/>
      </c>
      <c r="C23" s="4">
        <f>IF('Raw Data'!C10&lt;&gt;"",'Raw Data'!C10,"")</f>
        <v/>
      </c>
      <c r="D23" s="4">
        <f>IF('Raw Data'!D10&lt;&gt;"",'Raw Data'!D10,"")</f>
        <v/>
      </c>
      <c r="E23" s="4">
        <f>IF('Raw Data'!E10&lt;&gt;"",'Raw Data'!E10,"")</f>
        <v/>
      </c>
      <c r="F23" s="14">
        <f>IF('Raw Data'!A10&lt;&gt;"",AVERAGE('Raw Data'!F10,'Raw Data'!H10,'Raw Data'!J10,'Raw Data'!L10,'Raw Data'!N10),"")</f>
        <v/>
      </c>
      <c r="G23" s="14">
        <f>IF('Raw Data'!A10&lt;&gt;"",AVERAGE('Raw Data'!G10,'Raw Data'!I10,'Raw Data'!K10,'Raw Data'!M10,'Raw Data'!O10),"")</f>
        <v/>
      </c>
      <c r="H23" s="14">
        <f>IF(F23&lt;&gt;"",F23-G23,"")</f>
        <v/>
      </c>
      <c r="I23" s="14">
        <f>IF('Raw Data'!A10&lt;&gt;"",AVERAGE('Raw Data'!P10,'Raw Data'!R10,'Raw Data'!T10,'Raw Data'!V10,'Raw Data'!X10),"")</f>
        <v/>
      </c>
      <c r="J23" s="14">
        <f>IF('Raw Data'!A10&lt;&gt;"",AVERAGE('Raw Data'!Q10,'Raw Data'!S10,'Raw Data'!U10,'Raw Data'!W10,'Raw Data'!Y10),"")</f>
        <v/>
      </c>
      <c r="K23" s="14">
        <f>IF(I23&lt;&gt;"",I23-J23,"")</f>
        <v/>
      </c>
      <c r="L23" s="14">
        <f>IF('Raw Data'!A10&lt;&gt;"",AVERAGE('Raw Data'!Z10,'Raw Data'!AB10,'Raw Data'!AD10,'Raw Data'!AF10,'Raw Data'!AH10),"")</f>
        <v/>
      </c>
      <c r="M23" s="14">
        <f>IF('Raw Data'!A10&lt;&gt;"",AVERAGE('Raw Data'!AA10,'Raw Data'!AC10,'Raw Data'!AE10,'Raw Data'!AG10,'Raw Data'!AI10),"")</f>
        <v/>
      </c>
      <c r="N23" s="14">
        <f>IF(L23&lt;&gt;"",L23-M23,"")</f>
        <v/>
      </c>
      <c r="O23" s="14">
        <f>IF('Raw Data'!A10&lt;&gt;"",AVERAGE('Raw Data'!AJ10,'Raw Data'!AL10,'Raw Data'!AN10,'Raw Data'!AP10,'Raw Data'!AR10),"")</f>
        <v/>
      </c>
      <c r="P23" s="14">
        <f>IF('Raw Data'!A10&lt;&gt;"",AVERAGE('Raw Data'!AK10,'Raw Data'!AM10,'Raw Data'!AO10,'Raw Data'!AQ10,'Raw Data'!AS10),"")</f>
        <v/>
      </c>
      <c r="Q23" s="14">
        <f>IF(O23&lt;&gt;"",O23-P23,"")</f>
        <v/>
      </c>
      <c r="R23" s="14">
        <f>IF('Raw Data'!A10&lt;&gt;"",AVERAGE('Raw Data'!AT10,'Raw Data'!AV10,'Raw Data'!AX10,'Raw Data'!AZ10,'Raw Data'!BB10),"")</f>
        <v/>
      </c>
      <c r="S23" s="14">
        <f>IF('Raw Data'!A10&lt;&gt;"",AVERAGE('Raw Data'!AU10,'Raw Data'!AW10,'Raw Data'!AY10,'Raw Data'!BA10,'Raw Data'!BC10),"")</f>
        <v/>
      </c>
      <c r="T23" s="14">
        <f>IF(R23&lt;&gt;"",R23-S23,"")</f>
        <v/>
      </c>
      <c r="U23" s="14">
        <f>IF('Raw Data'!A10&lt;&gt;"",AVERAGE('Raw Data'!BD10,'Raw Data'!BF10,'Raw Data'!BH10,'Raw Data'!BJ10,'Raw Data'!BL10),"")</f>
        <v/>
      </c>
      <c r="V23" s="14">
        <f>IF('Raw Data'!A10&lt;&gt;"",AVERAGE('Raw Data'!BE10,'Raw Data'!BG10,'Raw Data'!BI10,'Raw Data'!BK10,'Raw Data'!BM10),"")</f>
        <v/>
      </c>
      <c r="W23" s="14">
        <f>IF(U23&lt;&gt;"",U23-V23,"")</f>
        <v/>
      </c>
      <c r="X23" s="14">
        <f>IF(A23&lt;&gt;"",AVERAGE(F23,I23,L23,O23,R23,U23),"")</f>
        <v/>
      </c>
      <c r="Y23" s="14">
        <f>IF(A23&lt;&gt;"",AVERAGE(G23,J23,M23,P23,S23,V23),"")</f>
        <v/>
      </c>
      <c r="Z23" s="14">
        <f>IF(A23&lt;&gt;"",X23-Y23,"")</f>
        <v/>
      </c>
      <c r="AA23" s="15">
        <f>IF(A23&lt;&gt;"",ROUND(MIN(100,100*((MAX(0,K23)*0.25)+(MAX(0,Q23)*0.20)+(MAX(0,W23)*0.20)+(MAX(0,H23)*0.15)+(MAX(0,N23)*0.10)+(MAX(0,T23)*0.10))/9),1),"")</f>
        <v/>
      </c>
      <c r="AB23" s="28">
        <f>IF(A23&lt;&gt;"",MIN(1,(0.5*AA23/100)+(0.3*MAX(0,K23)/9)+(0.2*MAX(0,Q23)/9)),"")</f>
        <v/>
      </c>
    </row>
    <row r="24">
      <c r="A24" s="13">
        <f>IF('Raw Data'!A11&lt;&gt;"",'Raw Data'!A11,"")</f>
        <v/>
      </c>
      <c r="B24" s="13">
        <f>IF('Raw Data'!B11&lt;&gt;"",'Raw Data'!B11,"")</f>
        <v/>
      </c>
      <c r="C24" s="13">
        <f>IF('Raw Data'!C11&lt;&gt;"",'Raw Data'!C11,"")</f>
        <v/>
      </c>
      <c r="D24" s="13">
        <f>IF('Raw Data'!D11&lt;&gt;"",'Raw Data'!D11,"")</f>
        <v/>
      </c>
      <c r="E24" s="13">
        <f>IF('Raw Data'!E11&lt;&gt;"",'Raw Data'!E11,"")</f>
        <v/>
      </c>
      <c r="F24" s="17">
        <f>IF('Raw Data'!A11&lt;&gt;"",AVERAGE('Raw Data'!F11,'Raw Data'!H11,'Raw Data'!J11,'Raw Data'!L11,'Raw Data'!N11),"")</f>
        <v/>
      </c>
      <c r="G24" s="17">
        <f>IF('Raw Data'!A11&lt;&gt;"",AVERAGE('Raw Data'!G11,'Raw Data'!I11,'Raw Data'!K11,'Raw Data'!M11,'Raw Data'!O11),"")</f>
        <v/>
      </c>
      <c r="H24" s="17">
        <f>IF(F24&lt;&gt;"",F24-G24,"")</f>
        <v/>
      </c>
      <c r="I24" s="17">
        <f>IF('Raw Data'!A11&lt;&gt;"",AVERAGE('Raw Data'!P11,'Raw Data'!R11,'Raw Data'!T11,'Raw Data'!V11,'Raw Data'!X11),"")</f>
        <v/>
      </c>
      <c r="J24" s="17">
        <f>IF('Raw Data'!A11&lt;&gt;"",AVERAGE('Raw Data'!Q11,'Raw Data'!S11,'Raw Data'!U11,'Raw Data'!W11,'Raw Data'!Y11),"")</f>
        <v/>
      </c>
      <c r="K24" s="17">
        <f>IF(I24&lt;&gt;"",I24-J24,"")</f>
        <v/>
      </c>
      <c r="L24" s="17">
        <f>IF('Raw Data'!A11&lt;&gt;"",AVERAGE('Raw Data'!Z11,'Raw Data'!AB11,'Raw Data'!AD11,'Raw Data'!AF11,'Raw Data'!AH11),"")</f>
        <v/>
      </c>
      <c r="M24" s="17">
        <f>IF('Raw Data'!A11&lt;&gt;"",AVERAGE('Raw Data'!AA11,'Raw Data'!AC11,'Raw Data'!AE11,'Raw Data'!AG11,'Raw Data'!AI11),"")</f>
        <v/>
      </c>
      <c r="N24" s="17">
        <f>IF(L24&lt;&gt;"",L24-M24,"")</f>
        <v/>
      </c>
      <c r="O24" s="17">
        <f>IF('Raw Data'!A11&lt;&gt;"",AVERAGE('Raw Data'!AJ11,'Raw Data'!AL11,'Raw Data'!AN11,'Raw Data'!AP11,'Raw Data'!AR11),"")</f>
        <v/>
      </c>
      <c r="P24" s="17">
        <f>IF('Raw Data'!A11&lt;&gt;"",AVERAGE('Raw Data'!AK11,'Raw Data'!AM11,'Raw Data'!AO11,'Raw Data'!AQ11,'Raw Data'!AS11),"")</f>
        <v/>
      </c>
      <c r="Q24" s="17">
        <f>IF(O24&lt;&gt;"",O24-P24,"")</f>
        <v/>
      </c>
      <c r="R24" s="17">
        <f>IF('Raw Data'!A11&lt;&gt;"",AVERAGE('Raw Data'!AT11,'Raw Data'!AV11,'Raw Data'!AX11,'Raw Data'!AZ11,'Raw Data'!BB11),"")</f>
        <v/>
      </c>
      <c r="S24" s="17">
        <f>IF('Raw Data'!A11&lt;&gt;"",AVERAGE('Raw Data'!AU11,'Raw Data'!AW11,'Raw Data'!AY11,'Raw Data'!BA11,'Raw Data'!BC11),"")</f>
        <v/>
      </c>
      <c r="T24" s="17">
        <f>IF(R24&lt;&gt;"",R24-S24,"")</f>
        <v/>
      </c>
      <c r="U24" s="17">
        <f>IF('Raw Data'!A11&lt;&gt;"",AVERAGE('Raw Data'!BD11,'Raw Data'!BF11,'Raw Data'!BH11,'Raw Data'!BJ11,'Raw Data'!BL11),"")</f>
        <v/>
      </c>
      <c r="V24" s="17">
        <f>IF('Raw Data'!A11&lt;&gt;"",AVERAGE('Raw Data'!BE11,'Raw Data'!BG11,'Raw Data'!BI11,'Raw Data'!BK11,'Raw Data'!BM11),"")</f>
        <v/>
      </c>
      <c r="W24" s="17">
        <f>IF(U24&lt;&gt;"",U24-V24,"")</f>
        <v/>
      </c>
      <c r="X24" s="17">
        <f>IF(A24&lt;&gt;"",AVERAGE(F24,I24,L24,O24,R24,U24),"")</f>
        <v/>
      </c>
      <c r="Y24" s="17">
        <f>IF(A24&lt;&gt;"",AVERAGE(G24,J24,M24,P24,S24,V24),"")</f>
        <v/>
      </c>
      <c r="Z24" s="17">
        <f>IF(A24&lt;&gt;"",X24-Y24,"")</f>
        <v/>
      </c>
      <c r="AA24" s="18">
        <f>IF(A24&lt;&gt;"",ROUND(MIN(100,100*((MAX(0,K24)*0.25)+(MAX(0,Q24)*0.20)+(MAX(0,W24)*0.20)+(MAX(0,H24)*0.15)+(MAX(0,N24)*0.10)+(MAX(0,T24)*0.10))/9),1),"")</f>
        <v/>
      </c>
      <c r="AB24" s="29">
        <f>IF(A24&lt;&gt;"",MIN(1,(0.5*AA24/100)+(0.3*MAX(0,K24)/9)+(0.2*MAX(0,Q24)/9)),"")</f>
        <v/>
      </c>
    </row>
    <row r="25">
      <c r="A25" s="4">
        <f>IF('Raw Data'!A12&lt;&gt;"",'Raw Data'!A12,"")</f>
        <v/>
      </c>
      <c r="B25" s="4">
        <f>IF('Raw Data'!B12&lt;&gt;"",'Raw Data'!B12,"")</f>
        <v/>
      </c>
      <c r="C25" s="4">
        <f>IF('Raw Data'!C12&lt;&gt;"",'Raw Data'!C12,"")</f>
        <v/>
      </c>
      <c r="D25" s="4">
        <f>IF('Raw Data'!D12&lt;&gt;"",'Raw Data'!D12,"")</f>
        <v/>
      </c>
      <c r="E25" s="4">
        <f>IF('Raw Data'!E12&lt;&gt;"",'Raw Data'!E12,"")</f>
        <v/>
      </c>
      <c r="F25" s="14">
        <f>IF('Raw Data'!A12&lt;&gt;"",AVERAGE('Raw Data'!F12,'Raw Data'!H12,'Raw Data'!J12,'Raw Data'!L12,'Raw Data'!N12),"")</f>
        <v/>
      </c>
      <c r="G25" s="14">
        <f>IF('Raw Data'!A12&lt;&gt;"",AVERAGE('Raw Data'!G12,'Raw Data'!I12,'Raw Data'!K12,'Raw Data'!M12,'Raw Data'!O12),"")</f>
        <v/>
      </c>
      <c r="H25" s="14">
        <f>IF(F25&lt;&gt;"",F25-G25,"")</f>
        <v/>
      </c>
      <c r="I25" s="14">
        <f>IF('Raw Data'!A12&lt;&gt;"",AVERAGE('Raw Data'!P12,'Raw Data'!R12,'Raw Data'!T12,'Raw Data'!V12,'Raw Data'!X12),"")</f>
        <v/>
      </c>
      <c r="J25" s="14">
        <f>IF('Raw Data'!A12&lt;&gt;"",AVERAGE('Raw Data'!Q12,'Raw Data'!S12,'Raw Data'!U12,'Raw Data'!W12,'Raw Data'!Y12),"")</f>
        <v/>
      </c>
      <c r="K25" s="14">
        <f>IF(I25&lt;&gt;"",I25-J25,"")</f>
        <v/>
      </c>
      <c r="L25" s="14">
        <f>IF('Raw Data'!A12&lt;&gt;"",AVERAGE('Raw Data'!Z12,'Raw Data'!AB12,'Raw Data'!AD12,'Raw Data'!AF12,'Raw Data'!AH12),"")</f>
        <v/>
      </c>
      <c r="M25" s="14">
        <f>IF('Raw Data'!A12&lt;&gt;"",AVERAGE('Raw Data'!AA12,'Raw Data'!AC12,'Raw Data'!AE12,'Raw Data'!AG12,'Raw Data'!AI12),"")</f>
        <v/>
      </c>
      <c r="N25" s="14">
        <f>IF(L25&lt;&gt;"",L25-M25,"")</f>
        <v/>
      </c>
      <c r="O25" s="14">
        <f>IF('Raw Data'!A12&lt;&gt;"",AVERAGE('Raw Data'!AJ12,'Raw Data'!AL12,'Raw Data'!AN12,'Raw Data'!AP12,'Raw Data'!AR12),"")</f>
        <v/>
      </c>
      <c r="P25" s="14">
        <f>IF('Raw Data'!A12&lt;&gt;"",AVERAGE('Raw Data'!AK12,'Raw Data'!AM12,'Raw Data'!AO12,'Raw Data'!AQ12,'Raw Data'!AS12),"")</f>
        <v/>
      </c>
      <c r="Q25" s="14">
        <f>IF(O25&lt;&gt;"",O25-P25,"")</f>
        <v/>
      </c>
      <c r="R25" s="14">
        <f>IF('Raw Data'!A12&lt;&gt;"",AVERAGE('Raw Data'!AT12,'Raw Data'!AV12,'Raw Data'!AX12,'Raw Data'!AZ12,'Raw Data'!BB12),"")</f>
        <v/>
      </c>
      <c r="S25" s="14">
        <f>IF('Raw Data'!A12&lt;&gt;"",AVERAGE('Raw Data'!AU12,'Raw Data'!AW12,'Raw Data'!AY12,'Raw Data'!BA12,'Raw Data'!BC12),"")</f>
        <v/>
      </c>
      <c r="T25" s="14">
        <f>IF(R25&lt;&gt;"",R25-S25,"")</f>
        <v/>
      </c>
      <c r="U25" s="14">
        <f>IF('Raw Data'!A12&lt;&gt;"",AVERAGE('Raw Data'!BD12,'Raw Data'!BF12,'Raw Data'!BH12,'Raw Data'!BJ12,'Raw Data'!BL12),"")</f>
        <v/>
      </c>
      <c r="V25" s="14">
        <f>IF('Raw Data'!A12&lt;&gt;"",AVERAGE('Raw Data'!BE12,'Raw Data'!BG12,'Raw Data'!BI12,'Raw Data'!BK12,'Raw Data'!BM12),"")</f>
        <v/>
      </c>
      <c r="W25" s="14">
        <f>IF(U25&lt;&gt;"",U25-V25,"")</f>
        <v/>
      </c>
      <c r="X25" s="14">
        <f>IF(A25&lt;&gt;"",AVERAGE(F25,I25,L25,O25,R25,U25),"")</f>
        <v/>
      </c>
      <c r="Y25" s="14">
        <f>IF(A25&lt;&gt;"",AVERAGE(G25,J25,M25,P25,S25,V25),"")</f>
        <v/>
      </c>
      <c r="Z25" s="14">
        <f>IF(A25&lt;&gt;"",X25-Y25,"")</f>
        <v/>
      </c>
      <c r="AA25" s="15">
        <f>IF(A25&lt;&gt;"",ROUND(MIN(100,100*((MAX(0,K25)*0.25)+(MAX(0,Q25)*0.20)+(MAX(0,W25)*0.20)+(MAX(0,H25)*0.15)+(MAX(0,N25)*0.10)+(MAX(0,T25)*0.10))/9),1),"")</f>
        <v/>
      </c>
      <c r="AB25" s="28">
        <f>IF(A25&lt;&gt;"",MIN(1,(0.5*AA25/100)+(0.3*MAX(0,K25)/9)+(0.2*MAX(0,Q25)/9)),"")</f>
        <v/>
      </c>
    </row>
    <row r="26">
      <c r="A26" s="13">
        <f>IF('Raw Data'!A13&lt;&gt;"",'Raw Data'!A13,"")</f>
        <v/>
      </c>
      <c r="B26" s="13">
        <f>IF('Raw Data'!B13&lt;&gt;"",'Raw Data'!B13,"")</f>
        <v/>
      </c>
      <c r="C26" s="13">
        <f>IF('Raw Data'!C13&lt;&gt;"",'Raw Data'!C13,"")</f>
        <v/>
      </c>
      <c r="D26" s="13">
        <f>IF('Raw Data'!D13&lt;&gt;"",'Raw Data'!D13,"")</f>
        <v/>
      </c>
      <c r="E26" s="13">
        <f>IF('Raw Data'!E13&lt;&gt;"",'Raw Data'!E13,"")</f>
        <v/>
      </c>
      <c r="F26" s="17">
        <f>IF('Raw Data'!A13&lt;&gt;"",AVERAGE('Raw Data'!F13,'Raw Data'!H13,'Raw Data'!J13,'Raw Data'!L13,'Raw Data'!N13),"")</f>
        <v/>
      </c>
      <c r="G26" s="17">
        <f>IF('Raw Data'!A13&lt;&gt;"",AVERAGE('Raw Data'!G13,'Raw Data'!I13,'Raw Data'!K13,'Raw Data'!M13,'Raw Data'!O13),"")</f>
        <v/>
      </c>
      <c r="H26" s="17">
        <f>IF(F26&lt;&gt;"",F26-G26,"")</f>
        <v/>
      </c>
      <c r="I26" s="17">
        <f>IF('Raw Data'!A13&lt;&gt;"",AVERAGE('Raw Data'!P13,'Raw Data'!R13,'Raw Data'!T13,'Raw Data'!V13,'Raw Data'!X13),"")</f>
        <v/>
      </c>
      <c r="J26" s="17">
        <f>IF('Raw Data'!A13&lt;&gt;"",AVERAGE('Raw Data'!Q13,'Raw Data'!S13,'Raw Data'!U13,'Raw Data'!W13,'Raw Data'!Y13),"")</f>
        <v/>
      </c>
      <c r="K26" s="17">
        <f>IF(I26&lt;&gt;"",I26-J26,"")</f>
        <v/>
      </c>
      <c r="L26" s="17">
        <f>IF('Raw Data'!A13&lt;&gt;"",AVERAGE('Raw Data'!Z13,'Raw Data'!AB13,'Raw Data'!AD13,'Raw Data'!AF13,'Raw Data'!AH13),"")</f>
        <v/>
      </c>
      <c r="M26" s="17">
        <f>IF('Raw Data'!A13&lt;&gt;"",AVERAGE('Raw Data'!AA13,'Raw Data'!AC13,'Raw Data'!AE13,'Raw Data'!AG13,'Raw Data'!AI13),"")</f>
        <v/>
      </c>
      <c r="N26" s="17">
        <f>IF(L26&lt;&gt;"",L26-M26,"")</f>
        <v/>
      </c>
      <c r="O26" s="17">
        <f>IF('Raw Data'!A13&lt;&gt;"",AVERAGE('Raw Data'!AJ13,'Raw Data'!AL13,'Raw Data'!AN13,'Raw Data'!AP13,'Raw Data'!AR13),"")</f>
        <v/>
      </c>
      <c r="P26" s="17">
        <f>IF('Raw Data'!A13&lt;&gt;"",AVERAGE('Raw Data'!AK13,'Raw Data'!AM13,'Raw Data'!AO13,'Raw Data'!AQ13,'Raw Data'!AS13),"")</f>
        <v/>
      </c>
      <c r="Q26" s="17">
        <f>IF(O26&lt;&gt;"",O26-P26,"")</f>
        <v/>
      </c>
      <c r="R26" s="17">
        <f>IF('Raw Data'!A13&lt;&gt;"",AVERAGE('Raw Data'!AT13,'Raw Data'!AV13,'Raw Data'!AX13,'Raw Data'!AZ13,'Raw Data'!BB13),"")</f>
        <v/>
      </c>
      <c r="S26" s="17">
        <f>IF('Raw Data'!A13&lt;&gt;"",AVERAGE('Raw Data'!AU13,'Raw Data'!AW13,'Raw Data'!AY13,'Raw Data'!BA13,'Raw Data'!BC13),"")</f>
        <v/>
      </c>
      <c r="T26" s="17">
        <f>IF(R26&lt;&gt;"",R26-S26,"")</f>
        <v/>
      </c>
      <c r="U26" s="17">
        <f>IF('Raw Data'!A13&lt;&gt;"",AVERAGE('Raw Data'!BD13,'Raw Data'!BF13,'Raw Data'!BH13,'Raw Data'!BJ13,'Raw Data'!BL13),"")</f>
        <v/>
      </c>
      <c r="V26" s="17">
        <f>IF('Raw Data'!A13&lt;&gt;"",AVERAGE('Raw Data'!BE13,'Raw Data'!BG13,'Raw Data'!BI13,'Raw Data'!BK13,'Raw Data'!BM13),"")</f>
        <v/>
      </c>
      <c r="W26" s="17">
        <f>IF(U26&lt;&gt;"",U26-V26,"")</f>
        <v/>
      </c>
      <c r="X26" s="17">
        <f>IF(A26&lt;&gt;"",AVERAGE(F26,I26,L26,O26,R26,U26),"")</f>
        <v/>
      </c>
      <c r="Y26" s="17">
        <f>IF(A26&lt;&gt;"",AVERAGE(G26,J26,M26,P26,S26,V26),"")</f>
        <v/>
      </c>
      <c r="Z26" s="17">
        <f>IF(A26&lt;&gt;"",X26-Y26,"")</f>
        <v/>
      </c>
      <c r="AA26" s="18">
        <f>IF(A26&lt;&gt;"",ROUND(MIN(100,100*((MAX(0,K26)*0.25)+(MAX(0,Q26)*0.20)+(MAX(0,W26)*0.20)+(MAX(0,H26)*0.15)+(MAX(0,N26)*0.10)+(MAX(0,T26)*0.10))/9),1),"")</f>
        <v/>
      </c>
      <c r="AB26" s="29">
        <f>IF(A26&lt;&gt;"",MIN(1,(0.5*AA26/100)+(0.3*MAX(0,K26)/9)+(0.2*MAX(0,Q26)/9)),"")</f>
        <v/>
      </c>
    </row>
    <row r="27">
      <c r="A27" s="4">
        <f>IF('Raw Data'!A14&lt;&gt;"",'Raw Data'!A14,"")</f>
        <v/>
      </c>
      <c r="B27" s="4">
        <f>IF('Raw Data'!B14&lt;&gt;"",'Raw Data'!B14,"")</f>
        <v/>
      </c>
      <c r="C27" s="4">
        <f>IF('Raw Data'!C14&lt;&gt;"",'Raw Data'!C14,"")</f>
        <v/>
      </c>
      <c r="D27" s="4">
        <f>IF('Raw Data'!D14&lt;&gt;"",'Raw Data'!D14,"")</f>
        <v/>
      </c>
      <c r="E27" s="4">
        <f>IF('Raw Data'!E14&lt;&gt;"",'Raw Data'!E14,"")</f>
        <v/>
      </c>
      <c r="F27" s="14">
        <f>IF('Raw Data'!A14&lt;&gt;"",AVERAGE('Raw Data'!F14,'Raw Data'!H14,'Raw Data'!J14,'Raw Data'!L14,'Raw Data'!N14),"")</f>
        <v/>
      </c>
      <c r="G27" s="14">
        <f>IF('Raw Data'!A14&lt;&gt;"",AVERAGE('Raw Data'!G14,'Raw Data'!I14,'Raw Data'!K14,'Raw Data'!M14,'Raw Data'!O14),"")</f>
        <v/>
      </c>
      <c r="H27" s="14">
        <f>IF(F27&lt;&gt;"",F27-G27,"")</f>
        <v/>
      </c>
      <c r="I27" s="14">
        <f>IF('Raw Data'!A14&lt;&gt;"",AVERAGE('Raw Data'!P14,'Raw Data'!R14,'Raw Data'!T14,'Raw Data'!V14,'Raw Data'!X14),"")</f>
        <v/>
      </c>
      <c r="J27" s="14">
        <f>IF('Raw Data'!A14&lt;&gt;"",AVERAGE('Raw Data'!Q14,'Raw Data'!S14,'Raw Data'!U14,'Raw Data'!W14,'Raw Data'!Y14),"")</f>
        <v/>
      </c>
      <c r="K27" s="14">
        <f>IF(I27&lt;&gt;"",I27-J27,"")</f>
        <v/>
      </c>
      <c r="L27" s="14">
        <f>IF('Raw Data'!A14&lt;&gt;"",AVERAGE('Raw Data'!Z14,'Raw Data'!AB14,'Raw Data'!AD14,'Raw Data'!AF14,'Raw Data'!AH14),"")</f>
        <v/>
      </c>
      <c r="M27" s="14">
        <f>IF('Raw Data'!A14&lt;&gt;"",AVERAGE('Raw Data'!AA14,'Raw Data'!AC14,'Raw Data'!AE14,'Raw Data'!AG14,'Raw Data'!AI14),"")</f>
        <v/>
      </c>
      <c r="N27" s="14">
        <f>IF(L27&lt;&gt;"",L27-M27,"")</f>
        <v/>
      </c>
      <c r="O27" s="14">
        <f>IF('Raw Data'!A14&lt;&gt;"",AVERAGE('Raw Data'!AJ14,'Raw Data'!AL14,'Raw Data'!AN14,'Raw Data'!AP14,'Raw Data'!AR14),"")</f>
        <v/>
      </c>
      <c r="P27" s="14">
        <f>IF('Raw Data'!A14&lt;&gt;"",AVERAGE('Raw Data'!AK14,'Raw Data'!AM14,'Raw Data'!AO14,'Raw Data'!AQ14,'Raw Data'!AS14),"")</f>
        <v/>
      </c>
      <c r="Q27" s="14">
        <f>IF(O27&lt;&gt;"",O27-P27,"")</f>
        <v/>
      </c>
      <c r="R27" s="14">
        <f>IF('Raw Data'!A14&lt;&gt;"",AVERAGE('Raw Data'!AT14,'Raw Data'!AV14,'Raw Data'!AX14,'Raw Data'!AZ14,'Raw Data'!BB14),"")</f>
        <v/>
      </c>
      <c r="S27" s="14">
        <f>IF('Raw Data'!A14&lt;&gt;"",AVERAGE('Raw Data'!AU14,'Raw Data'!AW14,'Raw Data'!AY14,'Raw Data'!BA14,'Raw Data'!BC14),"")</f>
        <v/>
      </c>
      <c r="T27" s="14">
        <f>IF(R27&lt;&gt;"",R27-S27,"")</f>
        <v/>
      </c>
      <c r="U27" s="14">
        <f>IF('Raw Data'!A14&lt;&gt;"",AVERAGE('Raw Data'!BD14,'Raw Data'!BF14,'Raw Data'!BH14,'Raw Data'!BJ14,'Raw Data'!BL14),"")</f>
        <v/>
      </c>
      <c r="V27" s="14">
        <f>IF('Raw Data'!A14&lt;&gt;"",AVERAGE('Raw Data'!BE14,'Raw Data'!BG14,'Raw Data'!BI14,'Raw Data'!BK14,'Raw Data'!BM14),"")</f>
        <v/>
      </c>
      <c r="W27" s="14">
        <f>IF(U27&lt;&gt;"",U27-V27,"")</f>
        <v/>
      </c>
      <c r="X27" s="14">
        <f>IF(A27&lt;&gt;"",AVERAGE(F27,I27,L27,O27,R27,U27),"")</f>
        <v/>
      </c>
      <c r="Y27" s="14">
        <f>IF(A27&lt;&gt;"",AVERAGE(G27,J27,M27,P27,S27,V27),"")</f>
        <v/>
      </c>
      <c r="Z27" s="14">
        <f>IF(A27&lt;&gt;"",X27-Y27,"")</f>
        <v/>
      </c>
      <c r="AA27" s="15">
        <f>IF(A27&lt;&gt;"",ROUND(MIN(100,100*((MAX(0,K27)*0.25)+(MAX(0,Q27)*0.20)+(MAX(0,W27)*0.20)+(MAX(0,H27)*0.15)+(MAX(0,N27)*0.10)+(MAX(0,T27)*0.10))/9),1),"")</f>
        <v/>
      </c>
      <c r="AB27" s="28">
        <f>IF(A27&lt;&gt;"",MIN(1,(0.5*AA27/100)+(0.3*MAX(0,K27)/9)+(0.2*MAX(0,Q27)/9)),"")</f>
        <v/>
      </c>
    </row>
    <row r="28">
      <c r="A28" s="13">
        <f>IF('Raw Data'!A15&lt;&gt;"",'Raw Data'!A15,"")</f>
        <v/>
      </c>
      <c r="B28" s="13">
        <f>IF('Raw Data'!B15&lt;&gt;"",'Raw Data'!B15,"")</f>
        <v/>
      </c>
      <c r="C28" s="13">
        <f>IF('Raw Data'!C15&lt;&gt;"",'Raw Data'!C15,"")</f>
        <v/>
      </c>
      <c r="D28" s="13">
        <f>IF('Raw Data'!D15&lt;&gt;"",'Raw Data'!D15,"")</f>
        <v/>
      </c>
      <c r="E28" s="13">
        <f>IF('Raw Data'!E15&lt;&gt;"",'Raw Data'!E15,"")</f>
        <v/>
      </c>
      <c r="F28" s="17">
        <f>IF('Raw Data'!A15&lt;&gt;"",AVERAGE('Raw Data'!F15,'Raw Data'!H15,'Raw Data'!J15,'Raw Data'!L15,'Raw Data'!N15),"")</f>
        <v/>
      </c>
      <c r="G28" s="17">
        <f>IF('Raw Data'!A15&lt;&gt;"",AVERAGE('Raw Data'!G15,'Raw Data'!I15,'Raw Data'!K15,'Raw Data'!M15,'Raw Data'!O15),"")</f>
        <v/>
      </c>
      <c r="H28" s="17">
        <f>IF(F28&lt;&gt;"",F28-G28,"")</f>
        <v/>
      </c>
      <c r="I28" s="17">
        <f>IF('Raw Data'!A15&lt;&gt;"",AVERAGE('Raw Data'!P15,'Raw Data'!R15,'Raw Data'!T15,'Raw Data'!V15,'Raw Data'!X15),"")</f>
        <v/>
      </c>
      <c r="J28" s="17">
        <f>IF('Raw Data'!A15&lt;&gt;"",AVERAGE('Raw Data'!Q15,'Raw Data'!S15,'Raw Data'!U15,'Raw Data'!W15,'Raw Data'!Y15),"")</f>
        <v/>
      </c>
      <c r="K28" s="17">
        <f>IF(I28&lt;&gt;"",I28-J28,"")</f>
        <v/>
      </c>
      <c r="L28" s="17">
        <f>IF('Raw Data'!A15&lt;&gt;"",AVERAGE('Raw Data'!Z15,'Raw Data'!AB15,'Raw Data'!AD15,'Raw Data'!AF15,'Raw Data'!AH15),"")</f>
        <v/>
      </c>
      <c r="M28" s="17">
        <f>IF('Raw Data'!A15&lt;&gt;"",AVERAGE('Raw Data'!AA15,'Raw Data'!AC15,'Raw Data'!AE15,'Raw Data'!AG15,'Raw Data'!AI15),"")</f>
        <v/>
      </c>
      <c r="N28" s="17">
        <f>IF(L28&lt;&gt;"",L28-M28,"")</f>
        <v/>
      </c>
      <c r="O28" s="17">
        <f>IF('Raw Data'!A15&lt;&gt;"",AVERAGE('Raw Data'!AJ15,'Raw Data'!AL15,'Raw Data'!AN15,'Raw Data'!AP15,'Raw Data'!AR15),"")</f>
        <v/>
      </c>
      <c r="P28" s="17">
        <f>IF('Raw Data'!A15&lt;&gt;"",AVERAGE('Raw Data'!AK15,'Raw Data'!AM15,'Raw Data'!AO15,'Raw Data'!AQ15,'Raw Data'!AS15),"")</f>
        <v/>
      </c>
      <c r="Q28" s="17">
        <f>IF(O28&lt;&gt;"",O28-P28,"")</f>
        <v/>
      </c>
      <c r="R28" s="17">
        <f>IF('Raw Data'!A15&lt;&gt;"",AVERAGE('Raw Data'!AT15,'Raw Data'!AV15,'Raw Data'!AX15,'Raw Data'!AZ15,'Raw Data'!BB15),"")</f>
        <v/>
      </c>
      <c r="S28" s="17">
        <f>IF('Raw Data'!A15&lt;&gt;"",AVERAGE('Raw Data'!AU15,'Raw Data'!AW15,'Raw Data'!AY15,'Raw Data'!BA15,'Raw Data'!BC15),"")</f>
        <v/>
      </c>
      <c r="T28" s="17">
        <f>IF(R28&lt;&gt;"",R28-S28,"")</f>
        <v/>
      </c>
      <c r="U28" s="17">
        <f>IF('Raw Data'!A15&lt;&gt;"",AVERAGE('Raw Data'!BD15,'Raw Data'!BF15,'Raw Data'!BH15,'Raw Data'!BJ15,'Raw Data'!BL15),"")</f>
        <v/>
      </c>
      <c r="V28" s="17">
        <f>IF('Raw Data'!A15&lt;&gt;"",AVERAGE('Raw Data'!BE15,'Raw Data'!BG15,'Raw Data'!BI15,'Raw Data'!BK15,'Raw Data'!BM15),"")</f>
        <v/>
      </c>
      <c r="W28" s="17">
        <f>IF(U28&lt;&gt;"",U28-V28,"")</f>
        <v/>
      </c>
      <c r="X28" s="17">
        <f>IF(A28&lt;&gt;"",AVERAGE(F28,I28,L28,O28,R28,U28),"")</f>
        <v/>
      </c>
      <c r="Y28" s="17">
        <f>IF(A28&lt;&gt;"",AVERAGE(G28,J28,M28,P28,S28,V28),"")</f>
        <v/>
      </c>
      <c r="Z28" s="17">
        <f>IF(A28&lt;&gt;"",X28-Y28,"")</f>
        <v/>
      </c>
      <c r="AA28" s="18">
        <f>IF(A28&lt;&gt;"",ROUND(MIN(100,100*((MAX(0,K28)*0.25)+(MAX(0,Q28)*0.20)+(MAX(0,W28)*0.20)+(MAX(0,H28)*0.15)+(MAX(0,N28)*0.10)+(MAX(0,T28)*0.10))/9),1),"")</f>
        <v/>
      </c>
      <c r="AB28" s="29">
        <f>IF(A28&lt;&gt;"",MIN(1,(0.5*AA28/100)+(0.3*MAX(0,K28)/9)+(0.2*MAX(0,Q28)/9)),"")</f>
        <v/>
      </c>
    </row>
    <row r="29">
      <c r="A29" s="4">
        <f>IF('Raw Data'!A16&lt;&gt;"",'Raw Data'!A16,"")</f>
        <v/>
      </c>
      <c r="B29" s="4">
        <f>IF('Raw Data'!B16&lt;&gt;"",'Raw Data'!B16,"")</f>
        <v/>
      </c>
      <c r="C29" s="4">
        <f>IF('Raw Data'!C16&lt;&gt;"",'Raw Data'!C16,"")</f>
        <v/>
      </c>
      <c r="D29" s="4">
        <f>IF('Raw Data'!D16&lt;&gt;"",'Raw Data'!D16,"")</f>
        <v/>
      </c>
      <c r="E29" s="4">
        <f>IF('Raw Data'!E16&lt;&gt;"",'Raw Data'!E16,"")</f>
        <v/>
      </c>
      <c r="F29" s="14">
        <f>IF('Raw Data'!A16&lt;&gt;"",AVERAGE('Raw Data'!F16,'Raw Data'!H16,'Raw Data'!J16,'Raw Data'!L16,'Raw Data'!N16),"")</f>
        <v/>
      </c>
      <c r="G29" s="14">
        <f>IF('Raw Data'!A16&lt;&gt;"",AVERAGE('Raw Data'!G16,'Raw Data'!I16,'Raw Data'!K16,'Raw Data'!M16,'Raw Data'!O16),"")</f>
        <v/>
      </c>
      <c r="H29" s="14">
        <f>IF(F29&lt;&gt;"",F29-G29,"")</f>
        <v/>
      </c>
      <c r="I29" s="14">
        <f>IF('Raw Data'!A16&lt;&gt;"",AVERAGE('Raw Data'!P16,'Raw Data'!R16,'Raw Data'!T16,'Raw Data'!V16,'Raw Data'!X16),"")</f>
        <v/>
      </c>
      <c r="J29" s="14">
        <f>IF('Raw Data'!A16&lt;&gt;"",AVERAGE('Raw Data'!Q16,'Raw Data'!S16,'Raw Data'!U16,'Raw Data'!W16,'Raw Data'!Y16),"")</f>
        <v/>
      </c>
      <c r="K29" s="14">
        <f>IF(I29&lt;&gt;"",I29-J29,"")</f>
        <v/>
      </c>
      <c r="L29" s="14">
        <f>IF('Raw Data'!A16&lt;&gt;"",AVERAGE('Raw Data'!Z16,'Raw Data'!AB16,'Raw Data'!AD16,'Raw Data'!AF16,'Raw Data'!AH16),"")</f>
        <v/>
      </c>
      <c r="M29" s="14">
        <f>IF('Raw Data'!A16&lt;&gt;"",AVERAGE('Raw Data'!AA16,'Raw Data'!AC16,'Raw Data'!AE16,'Raw Data'!AG16,'Raw Data'!AI16),"")</f>
        <v/>
      </c>
      <c r="N29" s="14">
        <f>IF(L29&lt;&gt;"",L29-M29,"")</f>
        <v/>
      </c>
      <c r="O29" s="14">
        <f>IF('Raw Data'!A16&lt;&gt;"",AVERAGE('Raw Data'!AJ16,'Raw Data'!AL16,'Raw Data'!AN16,'Raw Data'!AP16,'Raw Data'!AR16),"")</f>
        <v/>
      </c>
      <c r="P29" s="14">
        <f>IF('Raw Data'!A16&lt;&gt;"",AVERAGE('Raw Data'!AK16,'Raw Data'!AM16,'Raw Data'!AO16,'Raw Data'!AQ16,'Raw Data'!AS16),"")</f>
        <v/>
      </c>
      <c r="Q29" s="14">
        <f>IF(O29&lt;&gt;"",O29-P29,"")</f>
        <v/>
      </c>
      <c r="R29" s="14">
        <f>IF('Raw Data'!A16&lt;&gt;"",AVERAGE('Raw Data'!AT16,'Raw Data'!AV16,'Raw Data'!AX16,'Raw Data'!AZ16,'Raw Data'!BB16),"")</f>
        <v/>
      </c>
      <c r="S29" s="14">
        <f>IF('Raw Data'!A16&lt;&gt;"",AVERAGE('Raw Data'!AU16,'Raw Data'!AW16,'Raw Data'!AY16,'Raw Data'!BA16,'Raw Data'!BC16),"")</f>
        <v/>
      </c>
      <c r="T29" s="14">
        <f>IF(R29&lt;&gt;"",R29-S29,"")</f>
        <v/>
      </c>
      <c r="U29" s="14">
        <f>IF('Raw Data'!A16&lt;&gt;"",AVERAGE('Raw Data'!BD16,'Raw Data'!BF16,'Raw Data'!BH16,'Raw Data'!BJ16,'Raw Data'!BL16),"")</f>
        <v/>
      </c>
      <c r="V29" s="14">
        <f>IF('Raw Data'!A16&lt;&gt;"",AVERAGE('Raw Data'!BE16,'Raw Data'!BG16,'Raw Data'!BI16,'Raw Data'!BK16,'Raw Data'!BM16),"")</f>
        <v/>
      </c>
      <c r="W29" s="14">
        <f>IF(U29&lt;&gt;"",U29-V29,"")</f>
        <v/>
      </c>
      <c r="X29" s="14">
        <f>IF(A29&lt;&gt;"",AVERAGE(F29,I29,L29,O29,R29,U29),"")</f>
        <v/>
      </c>
      <c r="Y29" s="14">
        <f>IF(A29&lt;&gt;"",AVERAGE(G29,J29,M29,P29,S29,V29),"")</f>
        <v/>
      </c>
      <c r="Z29" s="14">
        <f>IF(A29&lt;&gt;"",X29-Y29,"")</f>
        <v/>
      </c>
      <c r="AA29" s="15">
        <f>IF(A29&lt;&gt;"",ROUND(MIN(100,100*((MAX(0,K29)*0.25)+(MAX(0,Q29)*0.20)+(MAX(0,W29)*0.20)+(MAX(0,H29)*0.15)+(MAX(0,N29)*0.10)+(MAX(0,T29)*0.10))/9),1),"")</f>
        <v/>
      </c>
      <c r="AB29" s="28">
        <f>IF(A29&lt;&gt;"",MIN(1,(0.5*AA29/100)+(0.3*MAX(0,K29)/9)+(0.2*MAX(0,Q29)/9)),"")</f>
        <v/>
      </c>
    </row>
    <row r="30">
      <c r="A30" s="13">
        <f>IF('Raw Data'!A17&lt;&gt;"",'Raw Data'!A17,"")</f>
        <v/>
      </c>
      <c r="B30" s="13">
        <f>IF('Raw Data'!B17&lt;&gt;"",'Raw Data'!B17,"")</f>
        <v/>
      </c>
      <c r="C30" s="13">
        <f>IF('Raw Data'!C17&lt;&gt;"",'Raw Data'!C17,"")</f>
        <v/>
      </c>
      <c r="D30" s="13">
        <f>IF('Raw Data'!D17&lt;&gt;"",'Raw Data'!D17,"")</f>
        <v/>
      </c>
      <c r="E30" s="13">
        <f>IF('Raw Data'!E17&lt;&gt;"",'Raw Data'!E17,"")</f>
        <v/>
      </c>
      <c r="F30" s="17">
        <f>IF('Raw Data'!A17&lt;&gt;"",AVERAGE('Raw Data'!F17,'Raw Data'!H17,'Raw Data'!J17,'Raw Data'!L17,'Raw Data'!N17),"")</f>
        <v/>
      </c>
      <c r="G30" s="17">
        <f>IF('Raw Data'!A17&lt;&gt;"",AVERAGE('Raw Data'!G17,'Raw Data'!I17,'Raw Data'!K17,'Raw Data'!M17,'Raw Data'!O17),"")</f>
        <v/>
      </c>
      <c r="H30" s="17">
        <f>IF(F30&lt;&gt;"",F30-G30,"")</f>
        <v/>
      </c>
      <c r="I30" s="17">
        <f>IF('Raw Data'!A17&lt;&gt;"",AVERAGE('Raw Data'!P17,'Raw Data'!R17,'Raw Data'!T17,'Raw Data'!V17,'Raw Data'!X17),"")</f>
        <v/>
      </c>
      <c r="J30" s="17">
        <f>IF('Raw Data'!A17&lt;&gt;"",AVERAGE('Raw Data'!Q17,'Raw Data'!S17,'Raw Data'!U17,'Raw Data'!W17,'Raw Data'!Y17),"")</f>
        <v/>
      </c>
      <c r="K30" s="17">
        <f>IF(I30&lt;&gt;"",I30-J30,"")</f>
        <v/>
      </c>
      <c r="L30" s="17">
        <f>IF('Raw Data'!A17&lt;&gt;"",AVERAGE('Raw Data'!Z17,'Raw Data'!AB17,'Raw Data'!AD17,'Raw Data'!AF17,'Raw Data'!AH17),"")</f>
        <v/>
      </c>
      <c r="M30" s="17">
        <f>IF('Raw Data'!A17&lt;&gt;"",AVERAGE('Raw Data'!AA17,'Raw Data'!AC17,'Raw Data'!AE17,'Raw Data'!AG17,'Raw Data'!AI17),"")</f>
        <v/>
      </c>
      <c r="N30" s="17">
        <f>IF(L30&lt;&gt;"",L30-M30,"")</f>
        <v/>
      </c>
      <c r="O30" s="17">
        <f>IF('Raw Data'!A17&lt;&gt;"",AVERAGE('Raw Data'!AJ17,'Raw Data'!AL17,'Raw Data'!AN17,'Raw Data'!AP17,'Raw Data'!AR17),"")</f>
        <v/>
      </c>
      <c r="P30" s="17">
        <f>IF('Raw Data'!A17&lt;&gt;"",AVERAGE('Raw Data'!AK17,'Raw Data'!AM17,'Raw Data'!AO17,'Raw Data'!AQ17,'Raw Data'!AS17),"")</f>
        <v/>
      </c>
      <c r="Q30" s="17">
        <f>IF(O30&lt;&gt;"",O30-P30,"")</f>
        <v/>
      </c>
      <c r="R30" s="17">
        <f>IF('Raw Data'!A17&lt;&gt;"",AVERAGE('Raw Data'!AT17,'Raw Data'!AV17,'Raw Data'!AX17,'Raw Data'!AZ17,'Raw Data'!BB17),"")</f>
        <v/>
      </c>
      <c r="S30" s="17">
        <f>IF('Raw Data'!A17&lt;&gt;"",AVERAGE('Raw Data'!AU17,'Raw Data'!AW17,'Raw Data'!AY17,'Raw Data'!BA17,'Raw Data'!BC17),"")</f>
        <v/>
      </c>
      <c r="T30" s="17">
        <f>IF(R30&lt;&gt;"",R30-S30,"")</f>
        <v/>
      </c>
      <c r="U30" s="17">
        <f>IF('Raw Data'!A17&lt;&gt;"",AVERAGE('Raw Data'!BD17,'Raw Data'!BF17,'Raw Data'!BH17,'Raw Data'!BJ17,'Raw Data'!BL17),"")</f>
        <v/>
      </c>
      <c r="V30" s="17">
        <f>IF('Raw Data'!A17&lt;&gt;"",AVERAGE('Raw Data'!BE17,'Raw Data'!BG17,'Raw Data'!BI17,'Raw Data'!BK17,'Raw Data'!BM17),"")</f>
        <v/>
      </c>
      <c r="W30" s="17">
        <f>IF(U30&lt;&gt;"",U30-V30,"")</f>
        <v/>
      </c>
      <c r="X30" s="17">
        <f>IF(A30&lt;&gt;"",AVERAGE(F30,I30,L30,O30,R30,U30),"")</f>
        <v/>
      </c>
      <c r="Y30" s="17">
        <f>IF(A30&lt;&gt;"",AVERAGE(G30,J30,M30,P30,S30,V30),"")</f>
        <v/>
      </c>
      <c r="Z30" s="17">
        <f>IF(A30&lt;&gt;"",X30-Y30,"")</f>
        <v/>
      </c>
      <c r="AA30" s="18">
        <f>IF(A30&lt;&gt;"",ROUND(MIN(100,100*((MAX(0,K30)*0.25)+(MAX(0,Q30)*0.20)+(MAX(0,W30)*0.20)+(MAX(0,H30)*0.15)+(MAX(0,N30)*0.10)+(MAX(0,T30)*0.10))/9),1),"")</f>
        <v/>
      </c>
      <c r="AB30" s="29">
        <f>IF(A30&lt;&gt;"",MIN(1,(0.5*AA30/100)+(0.3*MAX(0,K30)/9)+(0.2*MAX(0,Q30)/9)),"")</f>
        <v/>
      </c>
    </row>
    <row r="31">
      <c r="A31" s="4">
        <f>IF('Raw Data'!A18&lt;&gt;"",'Raw Data'!A18,"")</f>
        <v/>
      </c>
      <c r="B31" s="4">
        <f>IF('Raw Data'!B18&lt;&gt;"",'Raw Data'!B18,"")</f>
        <v/>
      </c>
      <c r="C31" s="4">
        <f>IF('Raw Data'!C18&lt;&gt;"",'Raw Data'!C18,"")</f>
        <v/>
      </c>
      <c r="D31" s="4">
        <f>IF('Raw Data'!D18&lt;&gt;"",'Raw Data'!D18,"")</f>
        <v/>
      </c>
      <c r="E31" s="4">
        <f>IF('Raw Data'!E18&lt;&gt;"",'Raw Data'!E18,"")</f>
        <v/>
      </c>
      <c r="F31" s="14">
        <f>IF('Raw Data'!A18&lt;&gt;"",AVERAGE('Raw Data'!F18,'Raw Data'!H18,'Raw Data'!J18,'Raw Data'!L18,'Raw Data'!N18),"")</f>
        <v/>
      </c>
      <c r="G31" s="14">
        <f>IF('Raw Data'!A18&lt;&gt;"",AVERAGE('Raw Data'!G18,'Raw Data'!I18,'Raw Data'!K18,'Raw Data'!M18,'Raw Data'!O18),"")</f>
        <v/>
      </c>
      <c r="H31" s="14">
        <f>IF(F31&lt;&gt;"",F31-G31,"")</f>
        <v/>
      </c>
      <c r="I31" s="14">
        <f>IF('Raw Data'!A18&lt;&gt;"",AVERAGE('Raw Data'!P18,'Raw Data'!R18,'Raw Data'!T18,'Raw Data'!V18,'Raw Data'!X18),"")</f>
        <v/>
      </c>
      <c r="J31" s="14">
        <f>IF('Raw Data'!A18&lt;&gt;"",AVERAGE('Raw Data'!Q18,'Raw Data'!S18,'Raw Data'!U18,'Raw Data'!W18,'Raw Data'!Y18),"")</f>
        <v/>
      </c>
      <c r="K31" s="14">
        <f>IF(I31&lt;&gt;"",I31-J31,"")</f>
        <v/>
      </c>
      <c r="L31" s="14">
        <f>IF('Raw Data'!A18&lt;&gt;"",AVERAGE('Raw Data'!Z18,'Raw Data'!AB18,'Raw Data'!AD18,'Raw Data'!AF18,'Raw Data'!AH18),"")</f>
        <v/>
      </c>
      <c r="M31" s="14">
        <f>IF('Raw Data'!A18&lt;&gt;"",AVERAGE('Raw Data'!AA18,'Raw Data'!AC18,'Raw Data'!AE18,'Raw Data'!AG18,'Raw Data'!AI18),"")</f>
        <v/>
      </c>
      <c r="N31" s="14">
        <f>IF(L31&lt;&gt;"",L31-M31,"")</f>
        <v/>
      </c>
      <c r="O31" s="14">
        <f>IF('Raw Data'!A18&lt;&gt;"",AVERAGE('Raw Data'!AJ18,'Raw Data'!AL18,'Raw Data'!AN18,'Raw Data'!AP18,'Raw Data'!AR18),"")</f>
        <v/>
      </c>
      <c r="P31" s="14">
        <f>IF('Raw Data'!A18&lt;&gt;"",AVERAGE('Raw Data'!AK18,'Raw Data'!AM18,'Raw Data'!AO18,'Raw Data'!AQ18,'Raw Data'!AS18),"")</f>
        <v/>
      </c>
      <c r="Q31" s="14">
        <f>IF(O31&lt;&gt;"",O31-P31,"")</f>
        <v/>
      </c>
      <c r="R31" s="14">
        <f>IF('Raw Data'!A18&lt;&gt;"",AVERAGE('Raw Data'!AT18,'Raw Data'!AV18,'Raw Data'!AX18,'Raw Data'!AZ18,'Raw Data'!BB18),"")</f>
        <v/>
      </c>
      <c r="S31" s="14">
        <f>IF('Raw Data'!A18&lt;&gt;"",AVERAGE('Raw Data'!AU18,'Raw Data'!AW18,'Raw Data'!AY18,'Raw Data'!BA18,'Raw Data'!BC18),"")</f>
        <v/>
      </c>
      <c r="T31" s="14">
        <f>IF(R31&lt;&gt;"",R31-S31,"")</f>
        <v/>
      </c>
      <c r="U31" s="14">
        <f>IF('Raw Data'!A18&lt;&gt;"",AVERAGE('Raw Data'!BD18,'Raw Data'!BF18,'Raw Data'!BH18,'Raw Data'!BJ18,'Raw Data'!BL18),"")</f>
        <v/>
      </c>
      <c r="V31" s="14">
        <f>IF('Raw Data'!A18&lt;&gt;"",AVERAGE('Raw Data'!BE18,'Raw Data'!BG18,'Raw Data'!BI18,'Raw Data'!BK18,'Raw Data'!BM18),"")</f>
        <v/>
      </c>
      <c r="W31" s="14">
        <f>IF(U31&lt;&gt;"",U31-V31,"")</f>
        <v/>
      </c>
      <c r="X31" s="14">
        <f>IF(A31&lt;&gt;"",AVERAGE(F31,I31,L31,O31,R31,U31),"")</f>
        <v/>
      </c>
      <c r="Y31" s="14">
        <f>IF(A31&lt;&gt;"",AVERAGE(G31,J31,M31,P31,S31,V31),"")</f>
        <v/>
      </c>
      <c r="Z31" s="14">
        <f>IF(A31&lt;&gt;"",X31-Y31,"")</f>
        <v/>
      </c>
      <c r="AA31" s="15">
        <f>IF(A31&lt;&gt;"",ROUND(MIN(100,100*((MAX(0,K31)*0.25)+(MAX(0,Q31)*0.20)+(MAX(0,W31)*0.20)+(MAX(0,H31)*0.15)+(MAX(0,N31)*0.10)+(MAX(0,T31)*0.10))/9),1),"")</f>
        <v/>
      </c>
      <c r="AB31" s="28">
        <f>IF(A31&lt;&gt;"",MIN(1,(0.5*AA31/100)+(0.3*MAX(0,K31)/9)+(0.2*MAX(0,Q31)/9)),"")</f>
        <v/>
      </c>
    </row>
    <row r="32">
      <c r="A32" s="13">
        <f>IF('Raw Data'!A19&lt;&gt;"",'Raw Data'!A19,"")</f>
        <v/>
      </c>
      <c r="B32" s="13">
        <f>IF('Raw Data'!B19&lt;&gt;"",'Raw Data'!B19,"")</f>
        <v/>
      </c>
      <c r="C32" s="13">
        <f>IF('Raw Data'!C19&lt;&gt;"",'Raw Data'!C19,"")</f>
        <v/>
      </c>
      <c r="D32" s="13">
        <f>IF('Raw Data'!D19&lt;&gt;"",'Raw Data'!D19,"")</f>
        <v/>
      </c>
      <c r="E32" s="13">
        <f>IF('Raw Data'!E19&lt;&gt;"",'Raw Data'!E19,"")</f>
        <v/>
      </c>
      <c r="F32" s="17">
        <f>IF('Raw Data'!A19&lt;&gt;"",AVERAGE('Raw Data'!F19,'Raw Data'!H19,'Raw Data'!J19,'Raw Data'!L19,'Raw Data'!N19),"")</f>
        <v/>
      </c>
      <c r="G32" s="17">
        <f>IF('Raw Data'!A19&lt;&gt;"",AVERAGE('Raw Data'!G19,'Raw Data'!I19,'Raw Data'!K19,'Raw Data'!M19,'Raw Data'!O19),"")</f>
        <v/>
      </c>
      <c r="H32" s="17">
        <f>IF(F32&lt;&gt;"",F32-G32,"")</f>
        <v/>
      </c>
      <c r="I32" s="17">
        <f>IF('Raw Data'!A19&lt;&gt;"",AVERAGE('Raw Data'!P19,'Raw Data'!R19,'Raw Data'!T19,'Raw Data'!V19,'Raw Data'!X19),"")</f>
        <v/>
      </c>
      <c r="J32" s="17">
        <f>IF('Raw Data'!A19&lt;&gt;"",AVERAGE('Raw Data'!Q19,'Raw Data'!S19,'Raw Data'!U19,'Raw Data'!W19,'Raw Data'!Y19),"")</f>
        <v/>
      </c>
      <c r="K32" s="17">
        <f>IF(I32&lt;&gt;"",I32-J32,"")</f>
        <v/>
      </c>
      <c r="L32" s="17">
        <f>IF('Raw Data'!A19&lt;&gt;"",AVERAGE('Raw Data'!Z19,'Raw Data'!AB19,'Raw Data'!AD19,'Raw Data'!AF19,'Raw Data'!AH19),"")</f>
        <v/>
      </c>
      <c r="M32" s="17">
        <f>IF('Raw Data'!A19&lt;&gt;"",AVERAGE('Raw Data'!AA19,'Raw Data'!AC19,'Raw Data'!AE19,'Raw Data'!AG19,'Raw Data'!AI19),"")</f>
        <v/>
      </c>
      <c r="N32" s="17">
        <f>IF(L32&lt;&gt;"",L32-M32,"")</f>
        <v/>
      </c>
      <c r="O32" s="17">
        <f>IF('Raw Data'!A19&lt;&gt;"",AVERAGE('Raw Data'!AJ19,'Raw Data'!AL19,'Raw Data'!AN19,'Raw Data'!AP19,'Raw Data'!AR19),"")</f>
        <v/>
      </c>
      <c r="P32" s="17">
        <f>IF('Raw Data'!A19&lt;&gt;"",AVERAGE('Raw Data'!AK19,'Raw Data'!AM19,'Raw Data'!AO19,'Raw Data'!AQ19,'Raw Data'!AS19),"")</f>
        <v/>
      </c>
      <c r="Q32" s="17">
        <f>IF(O32&lt;&gt;"",O32-P32,"")</f>
        <v/>
      </c>
      <c r="R32" s="17">
        <f>IF('Raw Data'!A19&lt;&gt;"",AVERAGE('Raw Data'!AT19,'Raw Data'!AV19,'Raw Data'!AX19,'Raw Data'!AZ19,'Raw Data'!BB19),"")</f>
        <v/>
      </c>
      <c r="S32" s="17">
        <f>IF('Raw Data'!A19&lt;&gt;"",AVERAGE('Raw Data'!AU19,'Raw Data'!AW19,'Raw Data'!AY19,'Raw Data'!BA19,'Raw Data'!BC19),"")</f>
        <v/>
      </c>
      <c r="T32" s="17">
        <f>IF(R32&lt;&gt;"",R32-S32,"")</f>
        <v/>
      </c>
      <c r="U32" s="17">
        <f>IF('Raw Data'!A19&lt;&gt;"",AVERAGE('Raw Data'!BD19,'Raw Data'!BF19,'Raw Data'!BH19,'Raw Data'!BJ19,'Raw Data'!BL19),"")</f>
        <v/>
      </c>
      <c r="V32" s="17">
        <f>IF('Raw Data'!A19&lt;&gt;"",AVERAGE('Raw Data'!BE19,'Raw Data'!BG19,'Raw Data'!BI19,'Raw Data'!BK19,'Raw Data'!BM19),"")</f>
        <v/>
      </c>
      <c r="W32" s="17">
        <f>IF(U32&lt;&gt;"",U32-V32,"")</f>
        <v/>
      </c>
      <c r="X32" s="17">
        <f>IF(A32&lt;&gt;"",AVERAGE(F32,I32,L32,O32,R32,U32),"")</f>
        <v/>
      </c>
      <c r="Y32" s="17">
        <f>IF(A32&lt;&gt;"",AVERAGE(G32,J32,M32,P32,S32,V32),"")</f>
        <v/>
      </c>
      <c r="Z32" s="17">
        <f>IF(A32&lt;&gt;"",X32-Y32,"")</f>
        <v/>
      </c>
      <c r="AA32" s="18">
        <f>IF(A32&lt;&gt;"",ROUND(MIN(100,100*((MAX(0,K32)*0.25)+(MAX(0,Q32)*0.20)+(MAX(0,W32)*0.20)+(MAX(0,H32)*0.15)+(MAX(0,N32)*0.10)+(MAX(0,T32)*0.10))/9),1),"")</f>
        <v/>
      </c>
      <c r="AB32" s="29">
        <f>IF(A32&lt;&gt;"",MIN(1,(0.5*AA32/100)+(0.3*MAX(0,K32)/9)+(0.2*MAX(0,Q32)/9)),"")</f>
        <v/>
      </c>
    </row>
    <row r="33">
      <c r="A33" s="4">
        <f>IF('Raw Data'!A20&lt;&gt;"",'Raw Data'!A20,"")</f>
        <v/>
      </c>
      <c r="B33" s="4">
        <f>IF('Raw Data'!B20&lt;&gt;"",'Raw Data'!B20,"")</f>
        <v/>
      </c>
      <c r="C33" s="4">
        <f>IF('Raw Data'!C20&lt;&gt;"",'Raw Data'!C20,"")</f>
        <v/>
      </c>
      <c r="D33" s="4">
        <f>IF('Raw Data'!D20&lt;&gt;"",'Raw Data'!D20,"")</f>
        <v/>
      </c>
      <c r="E33" s="4">
        <f>IF('Raw Data'!E20&lt;&gt;"",'Raw Data'!E20,"")</f>
        <v/>
      </c>
      <c r="F33" s="14">
        <f>IF('Raw Data'!A20&lt;&gt;"",AVERAGE('Raw Data'!F20,'Raw Data'!H20,'Raw Data'!J20,'Raw Data'!L20,'Raw Data'!N20),"")</f>
        <v/>
      </c>
      <c r="G33" s="14">
        <f>IF('Raw Data'!A20&lt;&gt;"",AVERAGE('Raw Data'!G20,'Raw Data'!I20,'Raw Data'!K20,'Raw Data'!M20,'Raw Data'!O20),"")</f>
        <v/>
      </c>
      <c r="H33" s="14">
        <f>IF(F33&lt;&gt;"",F33-G33,"")</f>
        <v/>
      </c>
      <c r="I33" s="14">
        <f>IF('Raw Data'!A20&lt;&gt;"",AVERAGE('Raw Data'!P20,'Raw Data'!R20,'Raw Data'!T20,'Raw Data'!V20,'Raw Data'!X20),"")</f>
        <v/>
      </c>
      <c r="J33" s="14">
        <f>IF('Raw Data'!A20&lt;&gt;"",AVERAGE('Raw Data'!Q20,'Raw Data'!S20,'Raw Data'!U20,'Raw Data'!W20,'Raw Data'!Y20),"")</f>
        <v/>
      </c>
      <c r="K33" s="14">
        <f>IF(I33&lt;&gt;"",I33-J33,"")</f>
        <v/>
      </c>
      <c r="L33" s="14">
        <f>IF('Raw Data'!A20&lt;&gt;"",AVERAGE('Raw Data'!Z20,'Raw Data'!AB20,'Raw Data'!AD20,'Raw Data'!AF20,'Raw Data'!AH20),"")</f>
        <v/>
      </c>
      <c r="M33" s="14">
        <f>IF('Raw Data'!A20&lt;&gt;"",AVERAGE('Raw Data'!AA20,'Raw Data'!AC20,'Raw Data'!AE20,'Raw Data'!AG20,'Raw Data'!AI20),"")</f>
        <v/>
      </c>
      <c r="N33" s="14">
        <f>IF(L33&lt;&gt;"",L33-M33,"")</f>
        <v/>
      </c>
      <c r="O33" s="14">
        <f>IF('Raw Data'!A20&lt;&gt;"",AVERAGE('Raw Data'!AJ20,'Raw Data'!AL20,'Raw Data'!AN20,'Raw Data'!AP20,'Raw Data'!AR20),"")</f>
        <v/>
      </c>
      <c r="P33" s="14">
        <f>IF('Raw Data'!A20&lt;&gt;"",AVERAGE('Raw Data'!AK20,'Raw Data'!AM20,'Raw Data'!AO20,'Raw Data'!AQ20,'Raw Data'!AS20),"")</f>
        <v/>
      </c>
      <c r="Q33" s="14">
        <f>IF(O33&lt;&gt;"",O33-P33,"")</f>
        <v/>
      </c>
      <c r="R33" s="14">
        <f>IF('Raw Data'!A20&lt;&gt;"",AVERAGE('Raw Data'!AT20,'Raw Data'!AV20,'Raw Data'!AX20,'Raw Data'!AZ20,'Raw Data'!BB20),"")</f>
        <v/>
      </c>
      <c r="S33" s="14">
        <f>IF('Raw Data'!A20&lt;&gt;"",AVERAGE('Raw Data'!AU20,'Raw Data'!AW20,'Raw Data'!AY20,'Raw Data'!BA20,'Raw Data'!BC20),"")</f>
        <v/>
      </c>
      <c r="T33" s="14">
        <f>IF(R33&lt;&gt;"",R33-S33,"")</f>
        <v/>
      </c>
      <c r="U33" s="14">
        <f>IF('Raw Data'!A20&lt;&gt;"",AVERAGE('Raw Data'!BD20,'Raw Data'!BF20,'Raw Data'!BH20,'Raw Data'!BJ20,'Raw Data'!BL20),"")</f>
        <v/>
      </c>
      <c r="V33" s="14">
        <f>IF('Raw Data'!A20&lt;&gt;"",AVERAGE('Raw Data'!BE20,'Raw Data'!BG20,'Raw Data'!BI20,'Raw Data'!BK20,'Raw Data'!BM20),"")</f>
        <v/>
      </c>
      <c r="W33" s="14">
        <f>IF(U33&lt;&gt;"",U33-V33,"")</f>
        <v/>
      </c>
      <c r="X33" s="14">
        <f>IF(A33&lt;&gt;"",AVERAGE(F33,I33,L33,O33,R33,U33),"")</f>
        <v/>
      </c>
      <c r="Y33" s="14">
        <f>IF(A33&lt;&gt;"",AVERAGE(G33,J33,M33,P33,S33,V33),"")</f>
        <v/>
      </c>
      <c r="Z33" s="14">
        <f>IF(A33&lt;&gt;"",X33-Y33,"")</f>
        <v/>
      </c>
      <c r="AA33" s="15">
        <f>IF(A33&lt;&gt;"",ROUND(MIN(100,100*((MAX(0,K33)*0.25)+(MAX(0,Q33)*0.20)+(MAX(0,W33)*0.20)+(MAX(0,H33)*0.15)+(MAX(0,N33)*0.10)+(MAX(0,T33)*0.10))/9),1),"")</f>
        <v/>
      </c>
      <c r="AB33" s="28">
        <f>IF(A33&lt;&gt;"",MIN(1,(0.5*AA33/100)+(0.3*MAX(0,K33)/9)+(0.2*MAX(0,Q33)/9)),"")</f>
        <v/>
      </c>
    </row>
    <row r="34">
      <c r="A34" s="13">
        <f>IF('Raw Data'!A21&lt;&gt;"",'Raw Data'!A21,"")</f>
        <v/>
      </c>
      <c r="B34" s="13">
        <f>IF('Raw Data'!B21&lt;&gt;"",'Raw Data'!B21,"")</f>
        <v/>
      </c>
      <c r="C34" s="13">
        <f>IF('Raw Data'!C21&lt;&gt;"",'Raw Data'!C21,"")</f>
        <v/>
      </c>
      <c r="D34" s="13">
        <f>IF('Raw Data'!D21&lt;&gt;"",'Raw Data'!D21,"")</f>
        <v/>
      </c>
      <c r="E34" s="13">
        <f>IF('Raw Data'!E21&lt;&gt;"",'Raw Data'!E21,"")</f>
        <v/>
      </c>
      <c r="F34" s="17">
        <f>IF('Raw Data'!A21&lt;&gt;"",AVERAGE('Raw Data'!F21,'Raw Data'!H21,'Raw Data'!J21,'Raw Data'!L21,'Raw Data'!N21),"")</f>
        <v/>
      </c>
      <c r="G34" s="17">
        <f>IF('Raw Data'!A21&lt;&gt;"",AVERAGE('Raw Data'!G21,'Raw Data'!I21,'Raw Data'!K21,'Raw Data'!M21,'Raw Data'!O21),"")</f>
        <v/>
      </c>
      <c r="H34" s="17">
        <f>IF(F34&lt;&gt;"",F34-G34,"")</f>
        <v/>
      </c>
      <c r="I34" s="17">
        <f>IF('Raw Data'!A21&lt;&gt;"",AVERAGE('Raw Data'!P21,'Raw Data'!R21,'Raw Data'!T21,'Raw Data'!V21,'Raw Data'!X21),"")</f>
        <v/>
      </c>
      <c r="J34" s="17">
        <f>IF('Raw Data'!A21&lt;&gt;"",AVERAGE('Raw Data'!Q21,'Raw Data'!S21,'Raw Data'!U21,'Raw Data'!W21,'Raw Data'!Y21),"")</f>
        <v/>
      </c>
      <c r="K34" s="17">
        <f>IF(I34&lt;&gt;"",I34-J34,"")</f>
        <v/>
      </c>
      <c r="L34" s="17">
        <f>IF('Raw Data'!A21&lt;&gt;"",AVERAGE('Raw Data'!Z21,'Raw Data'!AB21,'Raw Data'!AD21,'Raw Data'!AF21,'Raw Data'!AH21),"")</f>
        <v/>
      </c>
      <c r="M34" s="17">
        <f>IF('Raw Data'!A21&lt;&gt;"",AVERAGE('Raw Data'!AA21,'Raw Data'!AC21,'Raw Data'!AE21,'Raw Data'!AG21,'Raw Data'!AI21),"")</f>
        <v/>
      </c>
      <c r="N34" s="17">
        <f>IF(L34&lt;&gt;"",L34-M34,"")</f>
        <v/>
      </c>
      <c r="O34" s="17">
        <f>IF('Raw Data'!A21&lt;&gt;"",AVERAGE('Raw Data'!AJ21,'Raw Data'!AL21,'Raw Data'!AN21,'Raw Data'!AP21,'Raw Data'!AR21),"")</f>
        <v/>
      </c>
      <c r="P34" s="17">
        <f>IF('Raw Data'!A21&lt;&gt;"",AVERAGE('Raw Data'!AK21,'Raw Data'!AM21,'Raw Data'!AO21,'Raw Data'!AQ21,'Raw Data'!AS21),"")</f>
        <v/>
      </c>
      <c r="Q34" s="17">
        <f>IF(O34&lt;&gt;"",O34-P34,"")</f>
        <v/>
      </c>
      <c r="R34" s="17">
        <f>IF('Raw Data'!A21&lt;&gt;"",AVERAGE('Raw Data'!AT21,'Raw Data'!AV21,'Raw Data'!AX21,'Raw Data'!AZ21,'Raw Data'!BB21),"")</f>
        <v/>
      </c>
      <c r="S34" s="17">
        <f>IF('Raw Data'!A21&lt;&gt;"",AVERAGE('Raw Data'!AU21,'Raw Data'!AW21,'Raw Data'!AY21,'Raw Data'!BA21,'Raw Data'!BC21),"")</f>
        <v/>
      </c>
      <c r="T34" s="17">
        <f>IF(R34&lt;&gt;"",R34-S34,"")</f>
        <v/>
      </c>
      <c r="U34" s="17">
        <f>IF('Raw Data'!A21&lt;&gt;"",AVERAGE('Raw Data'!BD21,'Raw Data'!BF21,'Raw Data'!BH21,'Raw Data'!BJ21,'Raw Data'!BL21),"")</f>
        <v/>
      </c>
      <c r="V34" s="17">
        <f>IF('Raw Data'!A21&lt;&gt;"",AVERAGE('Raw Data'!BE21,'Raw Data'!BG21,'Raw Data'!BI21,'Raw Data'!BK21,'Raw Data'!BM21),"")</f>
        <v/>
      </c>
      <c r="W34" s="17">
        <f>IF(U34&lt;&gt;"",U34-V34,"")</f>
        <v/>
      </c>
      <c r="X34" s="17">
        <f>IF(A34&lt;&gt;"",AVERAGE(F34,I34,L34,O34,R34,U34),"")</f>
        <v/>
      </c>
      <c r="Y34" s="17">
        <f>IF(A34&lt;&gt;"",AVERAGE(G34,J34,M34,P34,S34,V34),"")</f>
        <v/>
      </c>
      <c r="Z34" s="17">
        <f>IF(A34&lt;&gt;"",X34-Y34,"")</f>
        <v/>
      </c>
      <c r="AA34" s="18">
        <f>IF(A34&lt;&gt;"",ROUND(MIN(100,100*((MAX(0,K34)*0.25)+(MAX(0,Q34)*0.20)+(MAX(0,W34)*0.20)+(MAX(0,H34)*0.15)+(MAX(0,N34)*0.10)+(MAX(0,T34)*0.10))/9),1),"")</f>
        <v/>
      </c>
      <c r="AB34" s="29">
        <f>IF(A34&lt;&gt;"",MIN(1,(0.5*AA34/100)+(0.3*MAX(0,K34)/9)+(0.2*MAX(0,Q34)/9)),"")</f>
        <v/>
      </c>
    </row>
    <row r="35">
      <c r="A35" s="4">
        <f>IF('Raw Data'!A22&lt;&gt;"",'Raw Data'!A22,"")</f>
        <v/>
      </c>
      <c r="B35" s="4">
        <f>IF('Raw Data'!B22&lt;&gt;"",'Raw Data'!B22,"")</f>
        <v/>
      </c>
      <c r="C35" s="4">
        <f>IF('Raw Data'!C22&lt;&gt;"",'Raw Data'!C22,"")</f>
        <v/>
      </c>
      <c r="D35" s="4">
        <f>IF('Raw Data'!D22&lt;&gt;"",'Raw Data'!D22,"")</f>
        <v/>
      </c>
      <c r="E35" s="4">
        <f>IF('Raw Data'!E22&lt;&gt;"",'Raw Data'!E22,"")</f>
        <v/>
      </c>
      <c r="F35" s="14">
        <f>IF('Raw Data'!A22&lt;&gt;"",AVERAGE('Raw Data'!F22,'Raw Data'!H22,'Raw Data'!J22,'Raw Data'!L22,'Raw Data'!N22),"")</f>
        <v/>
      </c>
      <c r="G35" s="14">
        <f>IF('Raw Data'!A22&lt;&gt;"",AVERAGE('Raw Data'!G22,'Raw Data'!I22,'Raw Data'!K22,'Raw Data'!M22,'Raw Data'!O22),"")</f>
        <v/>
      </c>
      <c r="H35" s="14">
        <f>IF(F35&lt;&gt;"",F35-G35,"")</f>
        <v/>
      </c>
      <c r="I35" s="14">
        <f>IF('Raw Data'!A22&lt;&gt;"",AVERAGE('Raw Data'!P22,'Raw Data'!R22,'Raw Data'!T22,'Raw Data'!V22,'Raw Data'!X22),"")</f>
        <v/>
      </c>
      <c r="J35" s="14">
        <f>IF('Raw Data'!A22&lt;&gt;"",AVERAGE('Raw Data'!Q22,'Raw Data'!S22,'Raw Data'!U22,'Raw Data'!W22,'Raw Data'!Y22),"")</f>
        <v/>
      </c>
      <c r="K35" s="14">
        <f>IF(I35&lt;&gt;"",I35-J35,"")</f>
        <v/>
      </c>
      <c r="L35" s="14">
        <f>IF('Raw Data'!A22&lt;&gt;"",AVERAGE('Raw Data'!Z22,'Raw Data'!AB22,'Raw Data'!AD22,'Raw Data'!AF22,'Raw Data'!AH22),"")</f>
        <v/>
      </c>
      <c r="M35" s="14">
        <f>IF('Raw Data'!A22&lt;&gt;"",AVERAGE('Raw Data'!AA22,'Raw Data'!AC22,'Raw Data'!AE22,'Raw Data'!AG22,'Raw Data'!AI22),"")</f>
        <v/>
      </c>
      <c r="N35" s="14">
        <f>IF(L35&lt;&gt;"",L35-M35,"")</f>
        <v/>
      </c>
      <c r="O35" s="14">
        <f>IF('Raw Data'!A22&lt;&gt;"",AVERAGE('Raw Data'!AJ22,'Raw Data'!AL22,'Raw Data'!AN22,'Raw Data'!AP22,'Raw Data'!AR22),"")</f>
        <v/>
      </c>
      <c r="P35" s="14">
        <f>IF('Raw Data'!A22&lt;&gt;"",AVERAGE('Raw Data'!AK22,'Raw Data'!AM22,'Raw Data'!AO22,'Raw Data'!AQ22,'Raw Data'!AS22),"")</f>
        <v/>
      </c>
      <c r="Q35" s="14">
        <f>IF(O35&lt;&gt;"",O35-P35,"")</f>
        <v/>
      </c>
      <c r="R35" s="14">
        <f>IF('Raw Data'!A22&lt;&gt;"",AVERAGE('Raw Data'!AT22,'Raw Data'!AV22,'Raw Data'!AX22,'Raw Data'!AZ22,'Raw Data'!BB22),"")</f>
        <v/>
      </c>
      <c r="S35" s="14">
        <f>IF('Raw Data'!A22&lt;&gt;"",AVERAGE('Raw Data'!AU22,'Raw Data'!AW22,'Raw Data'!AY22,'Raw Data'!BA22,'Raw Data'!BC22),"")</f>
        <v/>
      </c>
      <c r="T35" s="14">
        <f>IF(R35&lt;&gt;"",R35-S35,"")</f>
        <v/>
      </c>
      <c r="U35" s="14">
        <f>IF('Raw Data'!A22&lt;&gt;"",AVERAGE('Raw Data'!BD22,'Raw Data'!BF22,'Raw Data'!BH22,'Raw Data'!BJ22,'Raw Data'!BL22),"")</f>
        <v/>
      </c>
      <c r="V35" s="14">
        <f>IF('Raw Data'!A22&lt;&gt;"",AVERAGE('Raw Data'!BE22,'Raw Data'!BG22,'Raw Data'!BI22,'Raw Data'!BK22,'Raw Data'!BM22),"")</f>
        <v/>
      </c>
      <c r="W35" s="14">
        <f>IF(U35&lt;&gt;"",U35-V35,"")</f>
        <v/>
      </c>
      <c r="X35" s="14">
        <f>IF(A35&lt;&gt;"",AVERAGE(F35,I35,L35,O35,R35,U35),"")</f>
        <v/>
      </c>
      <c r="Y35" s="14">
        <f>IF(A35&lt;&gt;"",AVERAGE(G35,J35,M35,P35,S35,V35),"")</f>
        <v/>
      </c>
      <c r="Z35" s="14">
        <f>IF(A35&lt;&gt;"",X35-Y35,"")</f>
        <v/>
      </c>
      <c r="AA35" s="15">
        <f>IF(A35&lt;&gt;"",ROUND(MIN(100,100*((MAX(0,K35)*0.25)+(MAX(0,Q35)*0.20)+(MAX(0,W35)*0.20)+(MAX(0,H35)*0.15)+(MAX(0,N35)*0.10)+(MAX(0,T35)*0.10))/9),1),"")</f>
        <v/>
      </c>
      <c r="AB35" s="28">
        <f>IF(A35&lt;&gt;"",MIN(1,(0.5*AA35/100)+(0.3*MAX(0,K35)/9)+(0.2*MAX(0,Q35)/9)),"")</f>
        <v/>
      </c>
    </row>
    <row r="36">
      <c r="A36" s="13">
        <f>IF('Raw Data'!A23&lt;&gt;"",'Raw Data'!A23,"")</f>
        <v/>
      </c>
      <c r="B36" s="13">
        <f>IF('Raw Data'!B23&lt;&gt;"",'Raw Data'!B23,"")</f>
        <v/>
      </c>
      <c r="C36" s="13">
        <f>IF('Raw Data'!C23&lt;&gt;"",'Raw Data'!C23,"")</f>
        <v/>
      </c>
      <c r="D36" s="13">
        <f>IF('Raw Data'!D23&lt;&gt;"",'Raw Data'!D23,"")</f>
        <v/>
      </c>
      <c r="E36" s="13">
        <f>IF('Raw Data'!E23&lt;&gt;"",'Raw Data'!E23,"")</f>
        <v/>
      </c>
      <c r="F36" s="17">
        <f>IF('Raw Data'!A23&lt;&gt;"",AVERAGE('Raw Data'!F23,'Raw Data'!H23,'Raw Data'!J23,'Raw Data'!L23,'Raw Data'!N23),"")</f>
        <v/>
      </c>
      <c r="G36" s="17">
        <f>IF('Raw Data'!A23&lt;&gt;"",AVERAGE('Raw Data'!G23,'Raw Data'!I23,'Raw Data'!K23,'Raw Data'!M23,'Raw Data'!O23),"")</f>
        <v/>
      </c>
      <c r="H36" s="17">
        <f>IF(F36&lt;&gt;"",F36-G36,"")</f>
        <v/>
      </c>
      <c r="I36" s="17">
        <f>IF('Raw Data'!A23&lt;&gt;"",AVERAGE('Raw Data'!P23,'Raw Data'!R23,'Raw Data'!T23,'Raw Data'!V23,'Raw Data'!X23),"")</f>
        <v/>
      </c>
      <c r="J36" s="17">
        <f>IF('Raw Data'!A23&lt;&gt;"",AVERAGE('Raw Data'!Q23,'Raw Data'!S23,'Raw Data'!U23,'Raw Data'!W23,'Raw Data'!Y23),"")</f>
        <v/>
      </c>
      <c r="K36" s="17">
        <f>IF(I36&lt;&gt;"",I36-J36,"")</f>
        <v/>
      </c>
      <c r="L36" s="17">
        <f>IF('Raw Data'!A23&lt;&gt;"",AVERAGE('Raw Data'!Z23,'Raw Data'!AB23,'Raw Data'!AD23,'Raw Data'!AF23,'Raw Data'!AH23),"")</f>
        <v/>
      </c>
      <c r="M36" s="17">
        <f>IF('Raw Data'!A23&lt;&gt;"",AVERAGE('Raw Data'!AA23,'Raw Data'!AC23,'Raw Data'!AE23,'Raw Data'!AG23,'Raw Data'!AI23),"")</f>
        <v/>
      </c>
      <c r="N36" s="17">
        <f>IF(L36&lt;&gt;"",L36-M36,"")</f>
        <v/>
      </c>
      <c r="O36" s="17">
        <f>IF('Raw Data'!A23&lt;&gt;"",AVERAGE('Raw Data'!AJ23,'Raw Data'!AL23,'Raw Data'!AN23,'Raw Data'!AP23,'Raw Data'!AR23),"")</f>
        <v/>
      </c>
      <c r="P36" s="17">
        <f>IF('Raw Data'!A23&lt;&gt;"",AVERAGE('Raw Data'!AK23,'Raw Data'!AM23,'Raw Data'!AO23,'Raw Data'!AQ23,'Raw Data'!AS23),"")</f>
        <v/>
      </c>
      <c r="Q36" s="17">
        <f>IF(O36&lt;&gt;"",O36-P36,"")</f>
        <v/>
      </c>
      <c r="R36" s="17">
        <f>IF('Raw Data'!A23&lt;&gt;"",AVERAGE('Raw Data'!AT23,'Raw Data'!AV23,'Raw Data'!AX23,'Raw Data'!AZ23,'Raw Data'!BB23),"")</f>
        <v/>
      </c>
      <c r="S36" s="17">
        <f>IF('Raw Data'!A23&lt;&gt;"",AVERAGE('Raw Data'!AU23,'Raw Data'!AW23,'Raw Data'!AY23,'Raw Data'!BA23,'Raw Data'!BC23),"")</f>
        <v/>
      </c>
      <c r="T36" s="17">
        <f>IF(R36&lt;&gt;"",R36-S36,"")</f>
        <v/>
      </c>
      <c r="U36" s="17">
        <f>IF('Raw Data'!A23&lt;&gt;"",AVERAGE('Raw Data'!BD23,'Raw Data'!BF23,'Raw Data'!BH23,'Raw Data'!BJ23,'Raw Data'!BL23),"")</f>
        <v/>
      </c>
      <c r="V36" s="17">
        <f>IF('Raw Data'!A23&lt;&gt;"",AVERAGE('Raw Data'!BE23,'Raw Data'!BG23,'Raw Data'!BI23,'Raw Data'!BK23,'Raw Data'!BM23),"")</f>
        <v/>
      </c>
      <c r="W36" s="17">
        <f>IF(U36&lt;&gt;"",U36-V36,"")</f>
        <v/>
      </c>
      <c r="X36" s="17">
        <f>IF(A36&lt;&gt;"",AVERAGE(F36,I36,L36,O36,R36,U36),"")</f>
        <v/>
      </c>
      <c r="Y36" s="17">
        <f>IF(A36&lt;&gt;"",AVERAGE(G36,J36,M36,P36,S36,V36),"")</f>
        <v/>
      </c>
      <c r="Z36" s="17">
        <f>IF(A36&lt;&gt;"",X36-Y36,"")</f>
        <v/>
      </c>
      <c r="AA36" s="18">
        <f>IF(A36&lt;&gt;"",ROUND(MIN(100,100*((MAX(0,K36)*0.25)+(MAX(0,Q36)*0.20)+(MAX(0,W36)*0.20)+(MAX(0,H36)*0.15)+(MAX(0,N36)*0.10)+(MAX(0,T36)*0.10))/9),1),"")</f>
        <v/>
      </c>
      <c r="AB36" s="29">
        <f>IF(A36&lt;&gt;"",MIN(1,(0.5*AA36/100)+(0.3*MAX(0,K36)/9)+(0.2*MAX(0,Q36)/9)),"")</f>
        <v/>
      </c>
    </row>
    <row r="37">
      <c r="A37" s="4">
        <f>IF('Raw Data'!A24&lt;&gt;"",'Raw Data'!A24,"")</f>
        <v/>
      </c>
      <c r="B37" s="4">
        <f>IF('Raw Data'!B24&lt;&gt;"",'Raw Data'!B24,"")</f>
        <v/>
      </c>
      <c r="C37" s="4">
        <f>IF('Raw Data'!C24&lt;&gt;"",'Raw Data'!C24,"")</f>
        <v/>
      </c>
      <c r="D37" s="4">
        <f>IF('Raw Data'!D24&lt;&gt;"",'Raw Data'!D24,"")</f>
        <v/>
      </c>
      <c r="E37" s="4">
        <f>IF('Raw Data'!E24&lt;&gt;"",'Raw Data'!E24,"")</f>
        <v/>
      </c>
      <c r="F37" s="14">
        <f>IF('Raw Data'!A24&lt;&gt;"",AVERAGE('Raw Data'!F24,'Raw Data'!H24,'Raw Data'!J24,'Raw Data'!L24,'Raw Data'!N24),"")</f>
        <v/>
      </c>
      <c r="G37" s="14">
        <f>IF('Raw Data'!A24&lt;&gt;"",AVERAGE('Raw Data'!G24,'Raw Data'!I24,'Raw Data'!K24,'Raw Data'!M24,'Raw Data'!O24),"")</f>
        <v/>
      </c>
      <c r="H37" s="14">
        <f>IF(F37&lt;&gt;"",F37-G37,"")</f>
        <v/>
      </c>
      <c r="I37" s="14">
        <f>IF('Raw Data'!A24&lt;&gt;"",AVERAGE('Raw Data'!P24,'Raw Data'!R24,'Raw Data'!T24,'Raw Data'!V24,'Raw Data'!X24),"")</f>
        <v/>
      </c>
      <c r="J37" s="14">
        <f>IF('Raw Data'!A24&lt;&gt;"",AVERAGE('Raw Data'!Q24,'Raw Data'!S24,'Raw Data'!U24,'Raw Data'!W24,'Raw Data'!Y24),"")</f>
        <v/>
      </c>
      <c r="K37" s="14">
        <f>IF(I37&lt;&gt;"",I37-J37,"")</f>
        <v/>
      </c>
      <c r="L37" s="14">
        <f>IF('Raw Data'!A24&lt;&gt;"",AVERAGE('Raw Data'!Z24,'Raw Data'!AB24,'Raw Data'!AD24,'Raw Data'!AF24,'Raw Data'!AH24),"")</f>
        <v/>
      </c>
      <c r="M37" s="14">
        <f>IF('Raw Data'!A24&lt;&gt;"",AVERAGE('Raw Data'!AA24,'Raw Data'!AC24,'Raw Data'!AE24,'Raw Data'!AG24,'Raw Data'!AI24),"")</f>
        <v/>
      </c>
      <c r="N37" s="14">
        <f>IF(L37&lt;&gt;"",L37-M37,"")</f>
        <v/>
      </c>
      <c r="O37" s="14">
        <f>IF('Raw Data'!A24&lt;&gt;"",AVERAGE('Raw Data'!AJ24,'Raw Data'!AL24,'Raw Data'!AN24,'Raw Data'!AP24,'Raw Data'!AR24),"")</f>
        <v/>
      </c>
      <c r="P37" s="14">
        <f>IF('Raw Data'!A24&lt;&gt;"",AVERAGE('Raw Data'!AK24,'Raw Data'!AM24,'Raw Data'!AO24,'Raw Data'!AQ24,'Raw Data'!AS24),"")</f>
        <v/>
      </c>
      <c r="Q37" s="14">
        <f>IF(O37&lt;&gt;"",O37-P37,"")</f>
        <v/>
      </c>
      <c r="R37" s="14">
        <f>IF('Raw Data'!A24&lt;&gt;"",AVERAGE('Raw Data'!AT24,'Raw Data'!AV24,'Raw Data'!AX24,'Raw Data'!AZ24,'Raw Data'!BB24),"")</f>
        <v/>
      </c>
      <c r="S37" s="14">
        <f>IF('Raw Data'!A24&lt;&gt;"",AVERAGE('Raw Data'!AU24,'Raw Data'!AW24,'Raw Data'!AY24,'Raw Data'!BA24,'Raw Data'!BC24),"")</f>
        <v/>
      </c>
      <c r="T37" s="14">
        <f>IF(R37&lt;&gt;"",R37-S37,"")</f>
        <v/>
      </c>
      <c r="U37" s="14">
        <f>IF('Raw Data'!A24&lt;&gt;"",AVERAGE('Raw Data'!BD24,'Raw Data'!BF24,'Raw Data'!BH24,'Raw Data'!BJ24,'Raw Data'!BL24),"")</f>
        <v/>
      </c>
      <c r="V37" s="14">
        <f>IF('Raw Data'!A24&lt;&gt;"",AVERAGE('Raw Data'!BE24,'Raw Data'!BG24,'Raw Data'!BI24,'Raw Data'!BK24,'Raw Data'!BM24),"")</f>
        <v/>
      </c>
      <c r="W37" s="14">
        <f>IF(U37&lt;&gt;"",U37-V37,"")</f>
        <v/>
      </c>
      <c r="X37" s="14">
        <f>IF(A37&lt;&gt;"",AVERAGE(F37,I37,L37,O37,R37,U37),"")</f>
        <v/>
      </c>
      <c r="Y37" s="14">
        <f>IF(A37&lt;&gt;"",AVERAGE(G37,J37,M37,P37,S37,V37),"")</f>
        <v/>
      </c>
      <c r="Z37" s="14">
        <f>IF(A37&lt;&gt;"",X37-Y37,"")</f>
        <v/>
      </c>
      <c r="AA37" s="15">
        <f>IF(A37&lt;&gt;"",ROUND(MIN(100,100*((MAX(0,K37)*0.25)+(MAX(0,Q37)*0.20)+(MAX(0,W37)*0.20)+(MAX(0,H37)*0.15)+(MAX(0,N37)*0.10)+(MAX(0,T37)*0.10))/9),1),"")</f>
        <v/>
      </c>
      <c r="AB37" s="28">
        <f>IF(A37&lt;&gt;"",MIN(1,(0.5*AA37/100)+(0.3*MAX(0,K37)/9)+(0.2*MAX(0,Q37)/9)),"")</f>
        <v/>
      </c>
    </row>
    <row r="38">
      <c r="A38" s="13">
        <f>IF('Raw Data'!A25&lt;&gt;"",'Raw Data'!A25,"")</f>
        <v/>
      </c>
      <c r="B38" s="13">
        <f>IF('Raw Data'!B25&lt;&gt;"",'Raw Data'!B25,"")</f>
        <v/>
      </c>
      <c r="C38" s="13">
        <f>IF('Raw Data'!C25&lt;&gt;"",'Raw Data'!C25,"")</f>
        <v/>
      </c>
      <c r="D38" s="13">
        <f>IF('Raw Data'!D25&lt;&gt;"",'Raw Data'!D25,"")</f>
        <v/>
      </c>
      <c r="E38" s="13">
        <f>IF('Raw Data'!E25&lt;&gt;"",'Raw Data'!E25,"")</f>
        <v/>
      </c>
      <c r="F38" s="17">
        <f>IF('Raw Data'!A25&lt;&gt;"",AVERAGE('Raw Data'!F25,'Raw Data'!H25,'Raw Data'!J25,'Raw Data'!L25,'Raw Data'!N25),"")</f>
        <v/>
      </c>
      <c r="G38" s="17">
        <f>IF('Raw Data'!A25&lt;&gt;"",AVERAGE('Raw Data'!G25,'Raw Data'!I25,'Raw Data'!K25,'Raw Data'!M25,'Raw Data'!O25),"")</f>
        <v/>
      </c>
      <c r="H38" s="17">
        <f>IF(F38&lt;&gt;"",F38-G38,"")</f>
        <v/>
      </c>
      <c r="I38" s="17">
        <f>IF('Raw Data'!A25&lt;&gt;"",AVERAGE('Raw Data'!P25,'Raw Data'!R25,'Raw Data'!T25,'Raw Data'!V25,'Raw Data'!X25),"")</f>
        <v/>
      </c>
      <c r="J38" s="17">
        <f>IF('Raw Data'!A25&lt;&gt;"",AVERAGE('Raw Data'!Q25,'Raw Data'!S25,'Raw Data'!U25,'Raw Data'!W25,'Raw Data'!Y25),"")</f>
        <v/>
      </c>
      <c r="K38" s="17">
        <f>IF(I38&lt;&gt;"",I38-J38,"")</f>
        <v/>
      </c>
      <c r="L38" s="17">
        <f>IF('Raw Data'!A25&lt;&gt;"",AVERAGE('Raw Data'!Z25,'Raw Data'!AB25,'Raw Data'!AD25,'Raw Data'!AF25,'Raw Data'!AH25),"")</f>
        <v/>
      </c>
      <c r="M38" s="17">
        <f>IF('Raw Data'!A25&lt;&gt;"",AVERAGE('Raw Data'!AA25,'Raw Data'!AC25,'Raw Data'!AE25,'Raw Data'!AG25,'Raw Data'!AI25),"")</f>
        <v/>
      </c>
      <c r="N38" s="17">
        <f>IF(L38&lt;&gt;"",L38-M38,"")</f>
        <v/>
      </c>
      <c r="O38" s="17">
        <f>IF('Raw Data'!A25&lt;&gt;"",AVERAGE('Raw Data'!AJ25,'Raw Data'!AL25,'Raw Data'!AN25,'Raw Data'!AP25,'Raw Data'!AR25),"")</f>
        <v/>
      </c>
      <c r="P38" s="17">
        <f>IF('Raw Data'!A25&lt;&gt;"",AVERAGE('Raw Data'!AK25,'Raw Data'!AM25,'Raw Data'!AO25,'Raw Data'!AQ25,'Raw Data'!AS25),"")</f>
        <v/>
      </c>
      <c r="Q38" s="17">
        <f>IF(O38&lt;&gt;"",O38-P38,"")</f>
        <v/>
      </c>
      <c r="R38" s="17">
        <f>IF('Raw Data'!A25&lt;&gt;"",AVERAGE('Raw Data'!AT25,'Raw Data'!AV25,'Raw Data'!AX25,'Raw Data'!AZ25,'Raw Data'!BB25),"")</f>
        <v/>
      </c>
      <c r="S38" s="17">
        <f>IF('Raw Data'!A25&lt;&gt;"",AVERAGE('Raw Data'!AU25,'Raw Data'!AW25,'Raw Data'!AY25,'Raw Data'!BA25,'Raw Data'!BC25),"")</f>
        <v/>
      </c>
      <c r="T38" s="17">
        <f>IF(R38&lt;&gt;"",R38-S38,"")</f>
        <v/>
      </c>
      <c r="U38" s="17">
        <f>IF('Raw Data'!A25&lt;&gt;"",AVERAGE('Raw Data'!BD25,'Raw Data'!BF25,'Raw Data'!BH25,'Raw Data'!BJ25,'Raw Data'!BL25),"")</f>
        <v/>
      </c>
      <c r="V38" s="17">
        <f>IF('Raw Data'!A25&lt;&gt;"",AVERAGE('Raw Data'!BE25,'Raw Data'!BG25,'Raw Data'!BI25,'Raw Data'!BK25,'Raw Data'!BM25),"")</f>
        <v/>
      </c>
      <c r="W38" s="17">
        <f>IF(U38&lt;&gt;"",U38-V38,"")</f>
        <v/>
      </c>
      <c r="X38" s="17">
        <f>IF(A38&lt;&gt;"",AVERAGE(F38,I38,L38,O38,R38,U38),"")</f>
        <v/>
      </c>
      <c r="Y38" s="17">
        <f>IF(A38&lt;&gt;"",AVERAGE(G38,J38,M38,P38,S38,V38),"")</f>
        <v/>
      </c>
      <c r="Z38" s="17">
        <f>IF(A38&lt;&gt;"",X38-Y38,"")</f>
        <v/>
      </c>
      <c r="AA38" s="18">
        <f>IF(A38&lt;&gt;"",ROUND(MIN(100,100*((MAX(0,K38)*0.25)+(MAX(0,Q38)*0.20)+(MAX(0,W38)*0.20)+(MAX(0,H38)*0.15)+(MAX(0,N38)*0.10)+(MAX(0,T38)*0.10))/9),1),"")</f>
        <v/>
      </c>
      <c r="AB38" s="29">
        <f>IF(A38&lt;&gt;"",MIN(1,(0.5*AA38/100)+(0.3*MAX(0,K38)/9)+(0.2*MAX(0,Q38)/9)),"")</f>
        <v/>
      </c>
    </row>
    <row r="39">
      <c r="A39" s="4">
        <f>IF('Raw Data'!A26&lt;&gt;"",'Raw Data'!A26,"")</f>
        <v/>
      </c>
      <c r="B39" s="4">
        <f>IF('Raw Data'!B26&lt;&gt;"",'Raw Data'!B26,"")</f>
        <v/>
      </c>
      <c r="C39" s="4">
        <f>IF('Raw Data'!C26&lt;&gt;"",'Raw Data'!C26,"")</f>
        <v/>
      </c>
      <c r="D39" s="4">
        <f>IF('Raw Data'!D26&lt;&gt;"",'Raw Data'!D26,"")</f>
        <v/>
      </c>
      <c r="E39" s="4">
        <f>IF('Raw Data'!E26&lt;&gt;"",'Raw Data'!E26,"")</f>
        <v/>
      </c>
      <c r="F39" s="14">
        <f>IF('Raw Data'!A26&lt;&gt;"",AVERAGE('Raw Data'!F26,'Raw Data'!H26,'Raw Data'!J26,'Raw Data'!L26,'Raw Data'!N26),"")</f>
        <v/>
      </c>
      <c r="G39" s="14">
        <f>IF('Raw Data'!A26&lt;&gt;"",AVERAGE('Raw Data'!G26,'Raw Data'!I26,'Raw Data'!K26,'Raw Data'!M26,'Raw Data'!O26),"")</f>
        <v/>
      </c>
      <c r="H39" s="14">
        <f>IF(F39&lt;&gt;"",F39-G39,"")</f>
        <v/>
      </c>
      <c r="I39" s="14">
        <f>IF('Raw Data'!A26&lt;&gt;"",AVERAGE('Raw Data'!P26,'Raw Data'!R26,'Raw Data'!T26,'Raw Data'!V26,'Raw Data'!X26),"")</f>
        <v/>
      </c>
      <c r="J39" s="14">
        <f>IF('Raw Data'!A26&lt;&gt;"",AVERAGE('Raw Data'!Q26,'Raw Data'!S26,'Raw Data'!U26,'Raw Data'!W26,'Raw Data'!Y26),"")</f>
        <v/>
      </c>
      <c r="K39" s="14">
        <f>IF(I39&lt;&gt;"",I39-J39,"")</f>
        <v/>
      </c>
      <c r="L39" s="14">
        <f>IF('Raw Data'!A26&lt;&gt;"",AVERAGE('Raw Data'!Z26,'Raw Data'!AB26,'Raw Data'!AD26,'Raw Data'!AF26,'Raw Data'!AH26),"")</f>
        <v/>
      </c>
      <c r="M39" s="14">
        <f>IF('Raw Data'!A26&lt;&gt;"",AVERAGE('Raw Data'!AA26,'Raw Data'!AC26,'Raw Data'!AE26,'Raw Data'!AG26,'Raw Data'!AI26),"")</f>
        <v/>
      </c>
      <c r="N39" s="14">
        <f>IF(L39&lt;&gt;"",L39-M39,"")</f>
        <v/>
      </c>
      <c r="O39" s="14">
        <f>IF('Raw Data'!A26&lt;&gt;"",AVERAGE('Raw Data'!AJ26,'Raw Data'!AL26,'Raw Data'!AN26,'Raw Data'!AP26,'Raw Data'!AR26),"")</f>
        <v/>
      </c>
      <c r="P39" s="14">
        <f>IF('Raw Data'!A26&lt;&gt;"",AVERAGE('Raw Data'!AK26,'Raw Data'!AM26,'Raw Data'!AO26,'Raw Data'!AQ26,'Raw Data'!AS26),"")</f>
        <v/>
      </c>
      <c r="Q39" s="14">
        <f>IF(O39&lt;&gt;"",O39-P39,"")</f>
        <v/>
      </c>
      <c r="R39" s="14">
        <f>IF('Raw Data'!A26&lt;&gt;"",AVERAGE('Raw Data'!AT26,'Raw Data'!AV26,'Raw Data'!AX26,'Raw Data'!AZ26,'Raw Data'!BB26),"")</f>
        <v/>
      </c>
      <c r="S39" s="14">
        <f>IF('Raw Data'!A26&lt;&gt;"",AVERAGE('Raw Data'!AU26,'Raw Data'!AW26,'Raw Data'!AY26,'Raw Data'!BA26,'Raw Data'!BC26),"")</f>
        <v/>
      </c>
      <c r="T39" s="14">
        <f>IF(R39&lt;&gt;"",R39-S39,"")</f>
        <v/>
      </c>
      <c r="U39" s="14">
        <f>IF('Raw Data'!A26&lt;&gt;"",AVERAGE('Raw Data'!BD26,'Raw Data'!BF26,'Raw Data'!BH26,'Raw Data'!BJ26,'Raw Data'!BL26),"")</f>
        <v/>
      </c>
      <c r="V39" s="14">
        <f>IF('Raw Data'!A26&lt;&gt;"",AVERAGE('Raw Data'!BE26,'Raw Data'!BG26,'Raw Data'!BI26,'Raw Data'!BK26,'Raw Data'!BM26),"")</f>
        <v/>
      </c>
      <c r="W39" s="14">
        <f>IF(U39&lt;&gt;"",U39-V39,"")</f>
        <v/>
      </c>
      <c r="X39" s="14">
        <f>IF(A39&lt;&gt;"",AVERAGE(F39,I39,L39,O39,R39,U39),"")</f>
        <v/>
      </c>
      <c r="Y39" s="14">
        <f>IF(A39&lt;&gt;"",AVERAGE(G39,J39,M39,P39,S39,V39),"")</f>
        <v/>
      </c>
      <c r="Z39" s="14">
        <f>IF(A39&lt;&gt;"",X39-Y39,"")</f>
        <v/>
      </c>
      <c r="AA39" s="15">
        <f>IF(A39&lt;&gt;"",ROUND(MIN(100,100*((MAX(0,K39)*0.25)+(MAX(0,Q39)*0.20)+(MAX(0,W39)*0.20)+(MAX(0,H39)*0.15)+(MAX(0,N39)*0.10)+(MAX(0,T39)*0.10))/9),1),"")</f>
        <v/>
      </c>
      <c r="AB39" s="28">
        <f>IF(A39&lt;&gt;"",MIN(1,(0.5*AA39/100)+(0.3*MAX(0,K39)/9)+(0.2*MAX(0,Q39)/9)),"")</f>
        <v/>
      </c>
    </row>
    <row r="40">
      <c r="A40" s="13">
        <f>IF('Raw Data'!A27&lt;&gt;"",'Raw Data'!A27,"")</f>
        <v/>
      </c>
      <c r="B40" s="13">
        <f>IF('Raw Data'!B27&lt;&gt;"",'Raw Data'!B27,"")</f>
        <v/>
      </c>
      <c r="C40" s="13">
        <f>IF('Raw Data'!C27&lt;&gt;"",'Raw Data'!C27,"")</f>
        <v/>
      </c>
      <c r="D40" s="13">
        <f>IF('Raw Data'!D27&lt;&gt;"",'Raw Data'!D27,"")</f>
        <v/>
      </c>
      <c r="E40" s="13">
        <f>IF('Raw Data'!E27&lt;&gt;"",'Raw Data'!E27,"")</f>
        <v/>
      </c>
      <c r="F40" s="17">
        <f>IF('Raw Data'!A27&lt;&gt;"",AVERAGE('Raw Data'!F27,'Raw Data'!H27,'Raw Data'!J27,'Raw Data'!L27,'Raw Data'!N27),"")</f>
        <v/>
      </c>
      <c r="G40" s="17">
        <f>IF('Raw Data'!A27&lt;&gt;"",AVERAGE('Raw Data'!G27,'Raw Data'!I27,'Raw Data'!K27,'Raw Data'!M27,'Raw Data'!O27),"")</f>
        <v/>
      </c>
      <c r="H40" s="17">
        <f>IF(F40&lt;&gt;"",F40-G40,"")</f>
        <v/>
      </c>
      <c r="I40" s="17">
        <f>IF('Raw Data'!A27&lt;&gt;"",AVERAGE('Raw Data'!P27,'Raw Data'!R27,'Raw Data'!T27,'Raw Data'!V27,'Raw Data'!X27),"")</f>
        <v/>
      </c>
      <c r="J40" s="17">
        <f>IF('Raw Data'!A27&lt;&gt;"",AVERAGE('Raw Data'!Q27,'Raw Data'!S27,'Raw Data'!U27,'Raw Data'!W27,'Raw Data'!Y27),"")</f>
        <v/>
      </c>
      <c r="K40" s="17">
        <f>IF(I40&lt;&gt;"",I40-J40,"")</f>
        <v/>
      </c>
      <c r="L40" s="17">
        <f>IF('Raw Data'!A27&lt;&gt;"",AVERAGE('Raw Data'!Z27,'Raw Data'!AB27,'Raw Data'!AD27,'Raw Data'!AF27,'Raw Data'!AH27),"")</f>
        <v/>
      </c>
      <c r="M40" s="17">
        <f>IF('Raw Data'!A27&lt;&gt;"",AVERAGE('Raw Data'!AA27,'Raw Data'!AC27,'Raw Data'!AE27,'Raw Data'!AG27,'Raw Data'!AI27),"")</f>
        <v/>
      </c>
      <c r="N40" s="17">
        <f>IF(L40&lt;&gt;"",L40-M40,"")</f>
        <v/>
      </c>
      <c r="O40" s="17">
        <f>IF('Raw Data'!A27&lt;&gt;"",AVERAGE('Raw Data'!AJ27,'Raw Data'!AL27,'Raw Data'!AN27,'Raw Data'!AP27,'Raw Data'!AR27),"")</f>
        <v/>
      </c>
      <c r="P40" s="17">
        <f>IF('Raw Data'!A27&lt;&gt;"",AVERAGE('Raw Data'!AK27,'Raw Data'!AM27,'Raw Data'!AO27,'Raw Data'!AQ27,'Raw Data'!AS27),"")</f>
        <v/>
      </c>
      <c r="Q40" s="17">
        <f>IF(O40&lt;&gt;"",O40-P40,"")</f>
        <v/>
      </c>
      <c r="R40" s="17">
        <f>IF('Raw Data'!A27&lt;&gt;"",AVERAGE('Raw Data'!AT27,'Raw Data'!AV27,'Raw Data'!AX27,'Raw Data'!AZ27,'Raw Data'!BB27),"")</f>
        <v/>
      </c>
      <c r="S40" s="17">
        <f>IF('Raw Data'!A27&lt;&gt;"",AVERAGE('Raw Data'!AU27,'Raw Data'!AW27,'Raw Data'!AY27,'Raw Data'!BA27,'Raw Data'!BC27),"")</f>
        <v/>
      </c>
      <c r="T40" s="17">
        <f>IF(R40&lt;&gt;"",R40-S40,"")</f>
        <v/>
      </c>
      <c r="U40" s="17">
        <f>IF('Raw Data'!A27&lt;&gt;"",AVERAGE('Raw Data'!BD27,'Raw Data'!BF27,'Raw Data'!BH27,'Raw Data'!BJ27,'Raw Data'!BL27),"")</f>
        <v/>
      </c>
      <c r="V40" s="17">
        <f>IF('Raw Data'!A27&lt;&gt;"",AVERAGE('Raw Data'!BE27,'Raw Data'!BG27,'Raw Data'!BI27,'Raw Data'!BK27,'Raw Data'!BM27),"")</f>
        <v/>
      </c>
      <c r="W40" s="17">
        <f>IF(U40&lt;&gt;"",U40-V40,"")</f>
        <v/>
      </c>
      <c r="X40" s="17">
        <f>IF(A40&lt;&gt;"",AVERAGE(F40,I40,L40,O40,R40,U40),"")</f>
        <v/>
      </c>
      <c r="Y40" s="17">
        <f>IF(A40&lt;&gt;"",AVERAGE(G40,J40,M40,P40,S40,V40),"")</f>
        <v/>
      </c>
      <c r="Z40" s="17">
        <f>IF(A40&lt;&gt;"",X40-Y40,"")</f>
        <v/>
      </c>
      <c r="AA40" s="18">
        <f>IF(A40&lt;&gt;"",ROUND(MIN(100,100*((MAX(0,K40)*0.25)+(MAX(0,Q40)*0.20)+(MAX(0,W40)*0.20)+(MAX(0,H40)*0.15)+(MAX(0,N40)*0.10)+(MAX(0,T40)*0.10))/9),1),"")</f>
        <v/>
      </c>
      <c r="AB40" s="29">
        <f>IF(A40&lt;&gt;"",MIN(1,(0.5*AA40/100)+(0.3*MAX(0,K40)/9)+(0.2*MAX(0,Q40)/9)),"")</f>
        <v/>
      </c>
    </row>
    <row r="41">
      <c r="A41" s="4">
        <f>IF('Raw Data'!A28&lt;&gt;"",'Raw Data'!A28,"")</f>
        <v/>
      </c>
      <c r="B41" s="4">
        <f>IF('Raw Data'!B28&lt;&gt;"",'Raw Data'!B28,"")</f>
        <v/>
      </c>
      <c r="C41" s="4">
        <f>IF('Raw Data'!C28&lt;&gt;"",'Raw Data'!C28,"")</f>
        <v/>
      </c>
      <c r="D41" s="4">
        <f>IF('Raw Data'!D28&lt;&gt;"",'Raw Data'!D28,"")</f>
        <v/>
      </c>
      <c r="E41" s="4">
        <f>IF('Raw Data'!E28&lt;&gt;"",'Raw Data'!E28,"")</f>
        <v/>
      </c>
      <c r="F41" s="14">
        <f>IF('Raw Data'!A28&lt;&gt;"",AVERAGE('Raw Data'!F28,'Raw Data'!H28,'Raw Data'!J28,'Raw Data'!L28,'Raw Data'!N28),"")</f>
        <v/>
      </c>
      <c r="G41" s="14">
        <f>IF('Raw Data'!A28&lt;&gt;"",AVERAGE('Raw Data'!G28,'Raw Data'!I28,'Raw Data'!K28,'Raw Data'!M28,'Raw Data'!O28),"")</f>
        <v/>
      </c>
      <c r="H41" s="14">
        <f>IF(F41&lt;&gt;"",F41-G41,"")</f>
        <v/>
      </c>
      <c r="I41" s="14">
        <f>IF('Raw Data'!A28&lt;&gt;"",AVERAGE('Raw Data'!P28,'Raw Data'!R28,'Raw Data'!T28,'Raw Data'!V28,'Raw Data'!X28),"")</f>
        <v/>
      </c>
      <c r="J41" s="14">
        <f>IF('Raw Data'!A28&lt;&gt;"",AVERAGE('Raw Data'!Q28,'Raw Data'!S28,'Raw Data'!U28,'Raw Data'!W28,'Raw Data'!Y28),"")</f>
        <v/>
      </c>
      <c r="K41" s="14">
        <f>IF(I41&lt;&gt;"",I41-J41,"")</f>
        <v/>
      </c>
      <c r="L41" s="14">
        <f>IF('Raw Data'!A28&lt;&gt;"",AVERAGE('Raw Data'!Z28,'Raw Data'!AB28,'Raw Data'!AD28,'Raw Data'!AF28,'Raw Data'!AH28),"")</f>
        <v/>
      </c>
      <c r="M41" s="14">
        <f>IF('Raw Data'!A28&lt;&gt;"",AVERAGE('Raw Data'!AA28,'Raw Data'!AC28,'Raw Data'!AE28,'Raw Data'!AG28,'Raw Data'!AI28),"")</f>
        <v/>
      </c>
      <c r="N41" s="14">
        <f>IF(L41&lt;&gt;"",L41-M41,"")</f>
        <v/>
      </c>
      <c r="O41" s="14">
        <f>IF('Raw Data'!A28&lt;&gt;"",AVERAGE('Raw Data'!AJ28,'Raw Data'!AL28,'Raw Data'!AN28,'Raw Data'!AP28,'Raw Data'!AR28),"")</f>
        <v/>
      </c>
      <c r="P41" s="14">
        <f>IF('Raw Data'!A28&lt;&gt;"",AVERAGE('Raw Data'!AK28,'Raw Data'!AM28,'Raw Data'!AO28,'Raw Data'!AQ28,'Raw Data'!AS28),"")</f>
        <v/>
      </c>
      <c r="Q41" s="14">
        <f>IF(O41&lt;&gt;"",O41-P41,"")</f>
        <v/>
      </c>
      <c r="R41" s="14">
        <f>IF('Raw Data'!A28&lt;&gt;"",AVERAGE('Raw Data'!AT28,'Raw Data'!AV28,'Raw Data'!AX28,'Raw Data'!AZ28,'Raw Data'!BB28),"")</f>
        <v/>
      </c>
      <c r="S41" s="14">
        <f>IF('Raw Data'!A28&lt;&gt;"",AVERAGE('Raw Data'!AU28,'Raw Data'!AW28,'Raw Data'!AY28,'Raw Data'!BA28,'Raw Data'!BC28),"")</f>
        <v/>
      </c>
      <c r="T41" s="14">
        <f>IF(R41&lt;&gt;"",R41-S41,"")</f>
        <v/>
      </c>
      <c r="U41" s="14">
        <f>IF('Raw Data'!A28&lt;&gt;"",AVERAGE('Raw Data'!BD28,'Raw Data'!BF28,'Raw Data'!BH28,'Raw Data'!BJ28,'Raw Data'!BL28),"")</f>
        <v/>
      </c>
      <c r="V41" s="14">
        <f>IF('Raw Data'!A28&lt;&gt;"",AVERAGE('Raw Data'!BE28,'Raw Data'!BG28,'Raw Data'!BI28,'Raw Data'!BK28,'Raw Data'!BM28),"")</f>
        <v/>
      </c>
      <c r="W41" s="14">
        <f>IF(U41&lt;&gt;"",U41-V41,"")</f>
        <v/>
      </c>
      <c r="X41" s="14">
        <f>IF(A41&lt;&gt;"",AVERAGE(F41,I41,L41,O41,R41,U41),"")</f>
        <v/>
      </c>
      <c r="Y41" s="14">
        <f>IF(A41&lt;&gt;"",AVERAGE(G41,J41,M41,P41,S41,V41),"")</f>
        <v/>
      </c>
      <c r="Z41" s="14">
        <f>IF(A41&lt;&gt;"",X41-Y41,"")</f>
        <v/>
      </c>
      <c r="AA41" s="15">
        <f>IF(A41&lt;&gt;"",ROUND(MIN(100,100*((MAX(0,K41)*0.25)+(MAX(0,Q41)*0.20)+(MAX(0,W41)*0.20)+(MAX(0,H41)*0.15)+(MAX(0,N41)*0.10)+(MAX(0,T41)*0.10))/9),1),"")</f>
        <v/>
      </c>
      <c r="AB41" s="28">
        <f>IF(A41&lt;&gt;"",MIN(1,(0.5*AA41/100)+(0.3*MAX(0,K41)/9)+(0.2*MAX(0,Q41)/9)),"")</f>
        <v/>
      </c>
    </row>
    <row r="42">
      <c r="A42" s="13">
        <f>IF('Raw Data'!A29&lt;&gt;"",'Raw Data'!A29,"")</f>
        <v/>
      </c>
      <c r="B42" s="13">
        <f>IF('Raw Data'!B29&lt;&gt;"",'Raw Data'!B29,"")</f>
        <v/>
      </c>
      <c r="C42" s="13">
        <f>IF('Raw Data'!C29&lt;&gt;"",'Raw Data'!C29,"")</f>
        <v/>
      </c>
      <c r="D42" s="13">
        <f>IF('Raw Data'!D29&lt;&gt;"",'Raw Data'!D29,"")</f>
        <v/>
      </c>
      <c r="E42" s="13">
        <f>IF('Raw Data'!E29&lt;&gt;"",'Raw Data'!E29,"")</f>
        <v/>
      </c>
      <c r="F42" s="17">
        <f>IF('Raw Data'!A29&lt;&gt;"",AVERAGE('Raw Data'!F29,'Raw Data'!H29,'Raw Data'!J29,'Raw Data'!L29,'Raw Data'!N29),"")</f>
        <v/>
      </c>
      <c r="G42" s="17">
        <f>IF('Raw Data'!A29&lt;&gt;"",AVERAGE('Raw Data'!G29,'Raw Data'!I29,'Raw Data'!K29,'Raw Data'!M29,'Raw Data'!O29),"")</f>
        <v/>
      </c>
      <c r="H42" s="17">
        <f>IF(F42&lt;&gt;"",F42-G42,"")</f>
        <v/>
      </c>
      <c r="I42" s="17">
        <f>IF('Raw Data'!A29&lt;&gt;"",AVERAGE('Raw Data'!P29,'Raw Data'!R29,'Raw Data'!T29,'Raw Data'!V29,'Raw Data'!X29),"")</f>
        <v/>
      </c>
      <c r="J42" s="17">
        <f>IF('Raw Data'!A29&lt;&gt;"",AVERAGE('Raw Data'!Q29,'Raw Data'!S29,'Raw Data'!U29,'Raw Data'!W29,'Raw Data'!Y29),"")</f>
        <v/>
      </c>
      <c r="K42" s="17">
        <f>IF(I42&lt;&gt;"",I42-J42,"")</f>
        <v/>
      </c>
      <c r="L42" s="17">
        <f>IF('Raw Data'!A29&lt;&gt;"",AVERAGE('Raw Data'!Z29,'Raw Data'!AB29,'Raw Data'!AD29,'Raw Data'!AF29,'Raw Data'!AH29),"")</f>
        <v/>
      </c>
      <c r="M42" s="17">
        <f>IF('Raw Data'!A29&lt;&gt;"",AVERAGE('Raw Data'!AA29,'Raw Data'!AC29,'Raw Data'!AE29,'Raw Data'!AG29,'Raw Data'!AI29),"")</f>
        <v/>
      </c>
      <c r="N42" s="17">
        <f>IF(L42&lt;&gt;"",L42-M42,"")</f>
        <v/>
      </c>
      <c r="O42" s="17">
        <f>IF('Raw Data'!A29&lt;&gt;"",AVERAGE('Raw Data'!AJ29,'Raw Data'!AL29,'Raw Data'!AN29,'Raw Data'!AP29,'Raw Data'!AR29),"")</f>
        <v/>
      </c>
      <c r="P42" s="17">
        <f>IF('Raw Data'!A29&lt;&gt;"",AVERAGE('Raw Data'!AK29,'Raw Data'!AM29,'Raw Data'!AO29,'Raw Data'!AQ29,'Raw Data'!AS29),"")</f>
        <v/>
      </c>
      <c r="Q42" s="17">
        <f>IF(O42&lt;&gt;"",O42-P42,"")</f>
        <v/>
      </c>
      <c r="R42" s="17">
        <f>IF('Raw Data'!A29&lt;&gt;"",AVERAGE('Raw Data'!AT29,'Raw Data'!AV29,'Raw Data'!AX29,'Raw Data'!AZ29,'Raw Data'!BB29),"")</f>
        <v/>
      </c>
      <c r="S42" s="17">
        <f>IF('Raw Data'!A29&lt;&gt;"",AVERAGE('Raw Data'!AU29,'Raw Data'!AW29,'Raw Data'!AY29,'Raw Data'!BA29,'Raw Data'!BC29),"")</f>
        <v/>
      </c>
      <c r="T42" s="17">
        <f>IF(R42&lt;&gt;"",R42-S42,"")</f>
        <v/>
      </c>
      <c r="U42" s="17">
        <f>IF('Raw Data'!A29&lt;&gt;"",AVERAGE('Raw Data'!BD29,'Raw Data'!BF29,'Raw Data'!BH29,'Raw Data'!BJ29,'Raw Data'!BL29),"")</f>
        <v/>
      </c>
      <c r="V42" s="17">
        <f>IF('Raw Data'!A29&lt;&gt;"",AVERAGE('Raw Data'!BE29,'Raw Data'!BG29,'Raw Data'!BI29,'Raw Data'!BK29,'Raw Data'!BM29),"")</f>
        <v/>
      </c>
      <c r="W42" s="17">
        <f>IF(U42&lt;&gt;"",U42-V42,"")</f>
        <v/>
      </c>
      <c r="X42" s="17">
        <f>IF(A42&lt;&gt;"",AVERAGE(F42,I42,L42,O42,R42,U42),"")</f>
        <v/>
      </c>
      <c r="Y42" s="17">
        <f>IF(A42&lt;&gt;"",AVERAGE(G42,J42,M42,P42,S42,V42),"")</f>
        <v/>
      </c>
      <c r="Z42" s="17">
        <f>IF(A42&lt;&gt;"",X42-Y42,"")</f>
        <v/>
      </c>
      <c r="AA42" s="18">
        <f>IF(A42&lt;&gt;"",ROUND(MIN(100,100*((MAX(0,K42)*0.25)+(MAX(0,Q42)*0.20)+(MAX(0,W42)*0.20)+(MAX(0,H42)*0.15)+(MAX(0,N42)*0.10)+(MAX(0,T42)*0.10))/9),1),"")</f>
        <v/>
      </c>
      <c r="AB42" s="29">
        <f>IF(A42&lt;&gt;"",MIN(1,(0.5*AA42/100)+(0.3*MAX(0,K42)/9)+(0.2*MAX(0,Q42)/9)),"")</f>
        <v/>
      </c>
    </row>
    <row r="43">
      <c r="A43" s="4">
        <f>IF('Raw Data'!A30&lt;&gt;"",'Raw Data'!A30,"")</f>
        <v/>
      </c>
      <c r="B43" s="4">
        <f>IF('Raw Data'!B30&lt;&gt;"",'Raw Data'!B30,"")</f>
        <v/>
      </c>
      <c r="C43" s="4">
        <f>IF('Raw Data'!C30&lt;&gt;"",'Raw Data'!C30,"")</f>
        <v/>
      </c>
      <c r="D43" s="4">
        <f>IF('Raw Data'!D30&lt;&gt;"",'Raw Data'!D30,"")</f>
        <v/>
      </c>
      <c r="E43" s="4">
        <f>IF('Raw Data'!E30&lt;&gt;"",'Raw Data'!E30,"")</f>
        <v/>
      </c>
      <c r="F43" s="14">
        <f>IF('Raw Data'!A30&lt;&gt;"",AVERAGE('Raw Data'!F30,'Raw Data'!H30,'Raw Data'!J30,'Raw Data'!L30,'Raw Data'!N30),"")</f>
        <v/>
      </c>
      <c r="G43" s="14">
        <f>IF('Raw Data'!A30&lt;&gt;"",AVERAGE('Raw Data'!G30,'Raw Data'!I30,'Raw Data'!K30,'Raw Data'!M30,'Raw Data'!O30),"")</f>
        <v/>
      </c>
      <c r="H43" s="14">
        <f>IF(F43&lt;&gt;"",F43-G43,"")</f>
        <v/>
      </c>
      <c r="I43" s="14">
        <f>IF('Raw Data'!A30&lt;&gt;"",AVERAGE('Raw Data'!P30,'Raw Data'!R30,'Raw Data'!T30,'Raw Data'!V30,'Raw Data'!X30),"")</f>
        <v/>
      </c>
      <c r="J43" s="14">
        <f>IF('Raw Data'!A30&lt;&gt;"",AVERAGE('Raw Data'!Q30,'Raw Data'!S30,'Raw Data'!U30,'Raw Data'!W30,'Raw Data'!Y30),"")</f>
        <v/>
      </c>
      <c r="K43" s="14">
        <f>IF(I43&lt;&gt;"",I43-J43,"")</f>
        <v/>
      </c>
      <c r="L43" s="14">
        <f>IF('Raw Data'!A30&lt;&gt;"",AVERAGE('Raw Data'!Z30,'Raw Data'!AB30,'Raw Data'!AD30,'Raw Data'!AF30,'Raw Data'!AH30),"")</f>
        <v/>
      </c>
      <c r="M43" s="14">
        <f>IF('Raw Data'!A30&lt;&gt;"",AVERAGE('Raw Data'!AA30,'Raw Data'!AC30,'Raw Data'!AE30,'Raw Data'!AG30,'Raw Data'!AI30),"")</f>
        <v/>
      </c>
      <c r="N43" s="14">
        <f>IF(L43&lt;&gt;"",L43-M43,"")</f>
        <v/>
      </c>
      <c r="O43" s="14">
        <f>IF('Raw Data'!A30&lt;&gt;"",AVERAGE('Raw Data'!AJ30,'Raw Data'!AL30,'Raw Data'!AN30,'Raw Data'!AP30,'Raw Data'!AR30),"")</f>
        <v/>
      </c>
      <c r="P43" s="14">
        <f>IF('Raw Data'!A30&lt;&gt;"",AVERAGE('Raw Data'!AK30,'Raw Data'!AM30,'Raw Data'!AO30,'Raw Data'!AQ30,'Raw Data'!AS30),"")</f>
        <v/>
      </c>
      <c r="Q43" s="14">
        <f>IF(O43&lt;&gt;"",O43-P43,"")</f>
        <v/>
      </c>
      <c r="R43" s="14">
        <f>IF('Raw Data'!A30&lt;&gt;"",AVERAGE('Raw Data'!AT30,'Raw Data'!AV30,'Raw Data'!AX30,'Raw Data'!AZ30,'Raw Data'!BB30),"")</f>
        <v/>
      </c>
      <c r="S43" s="14">
        <f>IF('Raw Data'!A30&lt;&gt;"",AVERAGE('Raw Data'!AU30,'Raw Data'!AW30,'Raw Data'!AY30,'Raw Data'!BA30,'Raw Data'!BC30),"")</f>
        <v/>
      </c>
      <c r="T43" s="14">
        <f>IF(R43&lt;&gt;"",R43-S43,"")</f>
        <v/>
      </c>
      <c r="U43" s="14">
        <f>IF('Raw Data'!A30&lt;&gt;"",AVERAGE('Raw Data'!BD30,'Raw Data'!BF30,'Raw Data'!BH30,'Raw Data'!BJ30,'Raw Data'!BL30),"")</f>
        <v/>
      </c>
      <c r="V43" s="14">
        <f>IF('Raw Data'!A30&lt;&gt;"",AVERAGE('Raw Data'!BE30,'Raw Data'!BG30,'Raw Data'!BI30,'Raw Data'!BK30,'Raw Data'!BM30),"")</f>
        <v/>
      </c>
      <c r="W43" s="14">
        <f>IF(U43&lt;&gt;"",U43-V43,"")</f>
        <v/>
      </c>
      <c r="X43" s="14">
        <f>IF(A43&lt;&gt;"",AVERAGE(F43,I43,L43,O43,R43,U43),"")</f>
        <v/>
      </c>
      <c r="Y43" s="14">
        <f>IF(A43&lt;&gt;"",AVERAGE(G43,J43,M43,P43,S43,V43),"")</f>
        <v/>
      </c>
      <c r="Z43" s="14">
        <f>IF(A43&lt;&gt;"",X43-Y43,"")</f>
        <v/>
      </c>
      <c r="AA43" s="15">
        <f>IF(A43&lt;&gt;"",ROUND(MIN(100,100*((MAX(0,K43)*0.25)+(MAX(0,Q43)*0.20)+(MAX(0,W43)*0.20)+(MAX(0,H43)*0.15)+(MAX(0,N43)*0.10)+(MAX(0,T43)*0.10))/9),1),"")</f>
        <v/>
      </c>
      <c r="AB43" s="28">
        <f>IF(A43&lt;&gt;"",MIN(1,(0.5*AA43/100)+(0.3*MAX(0,K43)/9)+(0.2*MAX(0,Q43)/9)),"")</f>
        <v/>
      </c>
    </row>
    <row r="44">
      <c r="A44" s="13">
        <f>IF('Raw Data'!A31&lt;&gt;"",'Raw Data'!A31,"")</f>
        <v/>
      </c>
      <c r="B44" s="13">
        <f>IF('Raw Data'!B31&lt;&gt;"",'Raw Data'!B31,"")</f>
        <v/>
      </c>
      <c r="C44" s="13">
        <f>IF('Raw Data'!C31&lt;&gt;"",'Raw Data'!C31,"")</f>
        <v/>
      </c>
      <c r="D44" s="13">
        <f>IF('Raw Data'!D31&lt;&gt;"",'Raw Data'!D31,"")</f>
        <v/>
      </c>
      <c r="E44" s="13">
        <f>IF('Raw Data'!E31&lt;&gt;"",'Raw Data'!E31,"")</f>
        <v/>
      </c>
      <c r="F44" s="17">
        <f>IF('Raw Data'!A31&lt;&gt;"",AVERAGE('Raw Data'!F31,'Raw Data'!H31,'Raw Data'!J31,'Raw Data'!L31,'Raw Data'!N31),"")</f>
        <v/>
      </c>
      <c r="G44" s="17">
        <f>IF('Raw Data'!A31&lt;&gt;"",AVERAGE('Raw Data'!G31,'Raw Data'!I31,'Raw Data'!K31,'Raw Data'!M31,'Raw Data'!O31),"")</f>
        <v/>
      </c>
      <c r="H44" s="17">
        <f>IF(F44&lt;&gt;"",F44-G44,"")</f>
        <v/>
      </c>
      <c r="I44" s="17">
        <f>IF('Raw Data'!A31&lt;&gt;"",AVERAGE('Raw Data'!P31,'Raw Data'!R31,'Raw Data'!T31,'Raw Data'!V31,'Raw Data'!X31),"")</f>
        <v/>
      </c>
      <c r="J44" s="17">
        <f>IF('Raw Data'!A31&lt;&gt;"",AVERAGE('Raw Data'!Q31,'Raw Data'!S31,'Raw Data'!U31,'Raw Data'!W31,'Raw Data'!Y31),"")</f>
        <v/>
      </c>
      <c r="K44" s="17">
        <f>IF(I44&lt;&gt;"",I44-J44,"")</f>
        <v/>
      </c>
      <c r="L44" s="17">
        <f>IF('Raw Data'!A31&lt;&gt;"",AVERAGE('Raw Data'!Z31,'Raw Data'!AB31,'Raw Data'!AD31,'Raw Data'!AF31,'Raw Data'!AH31),"")</f>
        <v/>
      </c>
      <c r="M44" s="17">
        <f>IF('Raw Data'!A31&lt;&gt;"",AVERAGE('Raw Data'!AA31,'Raw Data'!AC31,'Raw Data'!AE31,'Raw Data'!AG31,'Raw Data'!AI31),"")</f>
        <v/>
      </c>
      <c r="N44" s="17">
        <f>IF(L44&lt;&gt;"",L44-M44,"")</f>
        <v/>
      </c>
      <c r="O44" s="17">
        <f>IF('Raw Data'!A31&lt;&gt;"",AVERAGE('Raw Data'!AJ31,'Raw Data'!AL31,'Raw Data'!AN31,'Raw Data'!AP31,'Raw Data'!AR31),"")</f>
        <v/>
      </c>
      <c r="P44" s="17">
        <f>IF('Raw Data'!A31&lt;&gt;"",AVERAGE('Raw Data'!AK31,'Raw Data'!AM31,'Raw Data'!AO31,'Raw Data'!AQ31,'Raw Data'!AS31),"")</f>
        <v/>
      </c>
      <c r="Q44" s="17">
        <f>IF(O44&lt;&gt;"",O44-P44,"")</f>
        <v/>
      </c>
      <c r="R44" s="17">
        <f>IF('Raw Data'!A31&lt;&gt;"",AVERAGE('Raw Data'!AT31,'Raw Data'!AV31,'Raw Data'!AX31,'Raw Data'!AZ31,'Raw Data'!BB31),"")</f>
        <v/>
      </c>
      <c r="S44" s="17">
        <f>IF('Raw Data'!A31&lt;&gt;"",AVERAGE('Raw Data'!AU31,'Raw Data'!AW31,'Raw Data'!AY31,'Raw Data'!BA31,'Raw Data'!BC31),"")</f>
        <v/>
      </c>
      <c r="T44" s="17">
        <f>IF(R44&lt;&gt;"",R44-S44,"")</f>
        <v/>
      </c>
      <c r="U44" s="17">
        <f>IF('Raw Data'!A31&lt;&gt;"",AVERAGE('Raw Data'!BD31,'Raw Data'!BF31,'Raw Data'!BH31,'Raw Data'!BJ31,'Raw Data'!BL31),"")</f>
        <v/>
      </c>
      <c r="V44" s="17">
        <f>IF('Raw Data'!A31&lt;&gt;"",AVERAGE('Raw Data'!BE31,'Raw Data'!BG31,'Raw Data'!BI31,'Raw Data'!BK31,'Raw Data'!BM31),"")</f>
        <v/>
      </c>
      <c r="W44" s="17">
        <f>IF(U44&lt;&gt;"",U44-V44,"")</f>
        <v/>
      </c>
      <c r="X44" s="17">
        <f>IF(A44&lt;&gt;"",AVERAGE(F44,I44,L44,O44,R44,U44),"")</f>
        <v/>
      </c>
      <c r="Y44" s="17">
        <f>IF(A44&lt;&gt;"",AVERAGE(G44,J44,M44,P44,S44,V44),"")</f>
        <v/>
      </c>
      <c r="Z44" s="17">
        <f>IF(A44&lt;&gt;"",X44-Y44,"")</f>
        <v/>
      </c>
      <c r="AA44" s="18">
        <f>IF(A44&lt;&gt;"",ROUND(MIN(100,100*((MAX(0,K44)*0.25)+(MAX(0,Q44)*0.20)+(MAX(0,W44)*0.20)+(MAX(0,H44)*0.15)+(MAX(0,N44)*0.10)+(MAX(0,T44)*0.10))/9),1),"")</f>
        <v/>
      </c>
      <c r="AB44" s="29">
        <f>IF(A44&lt;&gt;"",MIN(1,(0.5*AA44/100)+(0.3*MAX(0,K44)/9)+(0.2*MAX(0,Q44)/9)),"")</f>
        <v/>
      </c>
    </row>
    <row r="45">
      <c r="A45" s="4">
        <f>IF('Raw Data'!A32&lt;&gt;"",'Raw Data'!A32,"")</f>
        <v/>
      </c>
      <c r="B45" s="4">
        <f>IF('Raw Data'!B32&lt;&gt;"",'Raw Data'!B32,"")</f>
        <v/>
      </c>
      <c r="C45" s="4">
        <f>IF('Raw Data'!C32&lt;&gt;"",'Raw Data'!C32,"")</f>
        <v/>
      </c>
      <c r="D45" s="4">
        <f>IF('Raw Data'!D32&lt;&gt;"",'Raw Data'!D32,"")</f>
        <v/>
      </c>
      <c r="E45" s="4">
        <f>IF('Raw Data'!E32&lt;&gt;"",'Raw Data'!E32,"")</f>
        <v/>
      </c>
      <c r="F45" s="14">
        <f>IF('Raw Data'!A32&lt;&gt;"",AVERAGE('Raw Data'!F32,'Raw Data'!H32,'Raw Data'!J32,'Raw Data'!L32,'Raw Data'!N32),"")</f>
        <v/>
      </c>
      <c r="G45" s="14">
        <f>IF('Raw Data'!A32&lt;&gt;"",AVERAGE('Raw Data'!G32,'Raw Data'!I32,'Raw Data'!K32,'Raw Data'!M32,'Raw Data'!O32),"")</f>
        <v/>
      </c>
      <c r="H45" s="14">
        <f>IF(F45&lt;&gt;"",F45-G45,"")</f>
        <v/>
      </c>
      <c r="I45" s="14">
        <f>IF('Raw Data'!A32&lt;&gt;"",AVERAGE('Raw Data'!P32,'Raw Data'!R32,'Raw Data'!T32,'Raw Data'!V32,'Raw Data'!X32),"")</f>
        <v/>
      </c>
      <c r="J45" s="14">
        <f>IF('Raw Data'!A32&lt;&gt;"",AVERAGE('Raw Data'!Q32,'Raw Data'!S32,'Raw Data'!U32,'Raw Data'!W32,'Raw Data'!Y32),"")</f>
        <v/>
      </c>
      <c r="K45" s="14">
        <f>IF(I45&lt;&gt;"",I45-J45,"")</f>
        <v/>
      </c>
      <c r="L45" s="14">
        <f>IF('Raw Data'!A32&lt;&gt;"",AVERAGE('Raw Data'!Z32,'Raw Data'!AB32,'Raw Data'!AD32,'Raw Data'!AF32,'Raw Data'!AH32),"")</f>
        <v/>
      </c>
      <c r="M45" s="14">
        <f>IF('Raw Data'!A32&lt;&gt;"",AVERAGE('Raw Data'!AA32,'Raw Data'!AC32,'Raw Data'!AE32,'Raw Data'!AG32,'Raw Data'!AI32),"")</f>
        <v/>
      </c>
      <c r="N45" s="14">
        <f>IF(L45&lt;&gt;"",L45-M45,"")</f>
        <v/>
      </c>
      <c r="O45" s="14">
        <f>IF('Raw Data'!A32&lt;&gt;"",AVERAGE('Raw Data'!AJ32,'Raw Data'!AL32,'Raw Data'!AN32,'Raw Data'!AP32,'Raw Data'!AR32),"")</f>
        <v/>
      </c>
      <c r="P45" s="14">
        <f>IF('Raw Data'!A32&lt;&gt;"",AVERAGE('Raw Data'!AK32,'Raw Data'!AM32,'Raw Data'!AO32,'Raw Data'!AQ32,'Raw Data'!AS32),"")</f>
        <v/>
      </c>
      <c r="Q45" s="14">
        <f>IF(O45&lt;&gt;"",O45-P45,"")</f>
        <v/>
      </c>
      <c r="R45" s="14">
        <f>IF('Raw Data'!A32&lt;&gt;"",AVERAGE('Raw Data'!AT32,'Raw Data'!AV32,'Raw Data'!AX32,'Raw Data'!AZ32,'Raw Data'!BB32),"")</f>
        <v/>
      </c>
      <c r="S45" s="14">
        <f>IF('Raw Data'!A32&lt;&gt;"",AVERAGE('Raw Data'!AU32,'Raw Data'!AW32,'Raw Data'!AY32,'Raw Data'!BA32,'Raw Data'!BC32),"")</f>
        <v/>
      </c>
      <c r="T45" s="14">
        <f>IF(R45&lt;&gt;"",R45-S45,"")</f>
        <v/>
      </c>
      <c r="U45" s="14">
        <f>IF('Raw Data'!A32&lt;&gt;"",AVERAGE('Raw Data'!BD32,'Raw Data'!BF32,'Raw Data'!BH32,'Raw Data'!BJ32,'Raw Data'!BL32),"")</f>
        <v/>
      </c>
      <c r="V45" s="14">
        <f>IF('Raw Data'!A32&lt;&gt;"",AVERAGE('Raw Data'!BE32,'Raw Data'!BG32,'Raw Data'!BI32,'Raw Data'!BK32,'Raw Data'!BM32),"")</f>
        <v/>
      </c>
      <c r="W45" s="14">
        <f>IF(U45&lt;&gt;"",U45-V45,"")</f>
        <v/>
      </c>
      <c r="X45" s="14">
        <f>IF(A45&lt;&gt;"",AVERAGE(F45,I45,L45,O45,R45,U45),"")</f>
        <v/>
      </c>
      <c r="Y45" s="14">
        <f>IF(A45&lt;&gt;"",AVERAGE(G45,J45,M45,P45,S45,V45),"")</f>
        <v/>
      </c>
      <c r="Z45" s="14">
        <f>IF(A45&lt;&gt;"",X45-Y45,"")</f>
        <v/>
      </c>
      <c r="AA45" s="15">
        <f>IF(A45&lt;&gt;"",ROUND(MIN(100,100*((MAX(0,K45)*0.25)+(MAX(0,Q45)*0.20)+(MAX(0,W45)*0.20)+(MAX(0,H45)*0.15)+(MAX(0,N45)*0.10)+(MAX(0,T45)*0.10))/9),1),"")</f>
        <v/>
      </c>
      <c r="AB45" s="28">
        <f>IF(A45&lt;&gt;"",MIN(1,(0.5*AA45/100)+(0.3*MAX(0,K45)/9)+(0.2*MAX(0,Q45)/9)),"")</f>
        <v/>
      </c>
    </row>
    <row r="46">
      <c r="A46" s="13">
        <f>IF('Raw Data'!A33&lt;&gt;"",'Raw Data'!A33,"")</f>
        <v/>
      </c>
      <c r="B46" s="13">
        <f>IF('Raw Data'!B33&lt;&gt;"",'Raw Data'!B33,"")</f>
        <v/>
      </c>
      <c r="C46" s="13">
        <f>IF('Raw Data'!C33&lt;&gt;"",'Raw Data'!C33,"")</f>
        <v/>
      </c>
      <c r="D46" s="13">
        <f>IF('Raw Data'!D33&lt;&gt;"",'Raw Data'!D33,"")</f>
        <v/>
      </c>
      <c r="E46" s="13">
        <f>IF('Raw Data'!E33&lt;&gt;"",'Raw Data'!E33,"")</f>
        <v/>
      </c>
      <c r="F46" s="17">
        <f>IF('Raw Data'!A33&lt;&gt;"",AVERAGE('Raw Data'!F33,'Raw Data'!H33,'Raw Data'!J33,'Raw Data'!L33,'Raw Data'!N33),"")</f>
        <v/>
      </c>
      <c r="G46" s="17">
        <f>IF('Raw Data'!A33&lt;&gt;"",AVERAGE('Raw Data'!G33,'Raw Data'!I33,'Raw Data'!K33,'Raw Data'!M33,'Raw Data'!O33),"")</f>
        <v/>
      </c>
      <c r="H46" s="17">
        <f>IF(F46&lt;&gt;"",F46-G46,"")</f>
        <v/>
      </c>
      <c r="I46" s="17">
        <f>IF('Raw Data'!A33&lt;&gt;"",AVERAGE('Raw Data'!P33,'Raw Data'!R33,'Raw Data'!T33,'Raw Data'!V33,'Raw Data'!X33),"")</f>
        <v/>
      </c>
      <c r="J46" s="17">
        <f>IF('Raw Data'!A33&lt;&gt;"",AVERAGE('Raw Data'!Q33,'Raw Data'!S33,'Raw Data'!U33,'Raw Data'!W33,'Raw Data'!Y33),"")</f>
        <v/>
      </c>
      <c r="K46" s="17">
        <f>IF(I46&lt;&gt;"",I46-J46,"")</f>
        <v/>
      </c>
      <c r="L46" s="17">
        <f>IF('Raw Data'!A33&lt;&gt;"",AVERAGE('Raw Data'!Z33,'Raw Data'!AB33,'Raw Data'!AD33,'Raw Data'!AF33,'Raw Data'!AH33),"")</f>
        <v/>
      </c>
      <c r="M46" s="17">
        <f>IF('Raw Data'!A33&lt;&gt;"",AVERAGE('Raw Data'!AA33,'Raw Data'!AC33,'Raw Data'!AE33,'Raw Data'!AG33,'Raw Data'!AI33),"")</f>
        <v/>
      </c>
      <c r="N46" s="17">
        <f>IF(L46&lt;&gt;"",L46-M46,"")</f>
        <v/>
      </c>
      <c r="O46" s="17">
        <f>IF('Raw Data'!A33&lt;&gt;"",AVERAGE('Raw Data'!AJ33,'Raw Data'!AL33,'Raw Data'!AN33,'Raw Data'!AP33,'Raw Data'!AR33),"")</f>
        <v/>
      </c>
      <c r="P46" s="17">
        <f>IF('Raw Data'!A33&lt;&gt;"",AVERAGE('Raw Data'!AK33,'Raw Data'!AM33,'Raw Data'!AO33,'Raw Data'!AQ33,'Raw Data'!AS33),"")</f>
        <v/>
      </c>
      <c r="Q46" s="17">
        <f>IF(O46&lt;&gt;"",O46-P46,"")</f>
        <v/>
      </c>
      <c r="R46" s="17">
        <f>IF('Raw Data'!A33&lt;&gt;"",AVERAGE('Raw Data'!AT33,'Raw Data'!AV33,'Raw Data'!AX33,'Raw Data'!AZ33,'Raw Data'!BB33),"")</f>
        <v/>
      </c>
      <c r="S46" s="17">
        <f>IF('Raw Data'!A33&lt;&gt;"",AVERAGE('Raw Data'!AU33,'Raw Data'!AW33,'Raw Data'!AY33,'Raw Data'!BA33,'Raw Data'!BC33),"")</f>
        <v/>
      </c>
      <c r="T46" s="17">
        <f>IF(R46&lt;&gt;"",R46-S46,"")</f>
        <v/>
      </c>
      <c r="U46" s="17">
        <f>IF('Raw Data'!A33&lt;&gt;"",AVERAGE('Raw Data'!BD33,'Raw Data'!BF33,'Raw Data'!BH33,'Raw Data'!BJ33,'Raw Data'!BL33),"")</f>
        <v/>
      </c>
      <c r="V46" s="17">
        <f>IF('Raw Data'!A33&lt;&gt;"",AVERAGE('Raw Data'!BE33,'Raw Data'!BG33,'Raw Data'!BI33,'Raw Data'!BK33,'Raw Data'!BM33),"")</f>
        <v/>
      </c>
      <c r="W46" s="17">
        <f>IF(U46&lt;&gt;"",U46-V46,"")</f>
        <v/>
      </c>
      <c r="X46" s="17">
        <f>IF(A46&lt;&gt;"",AVERAGE(F46,I46,L46,O46,R46,U46),"")</f>
        <v/>
      </c>
      <c r="Y46" s="17">
        <f>IF(A46&lt;&gt;"",AVERAGE(G46,J46,M46,P46,S46,V46),"")</f>
        <v/>
      </c>
      <c r="Z46" s="17">
        <f>IF(A46&lt;&gt;"",X46-Y46,"")</f>
        <v/>
      </c>
      <c r="AA46" s="18">
        <f>IF(A46&lt;&gt;"",ROUND(MIN(100,100*((MAX(0,K46)*0.25)+(MAX(0,Q46)*0.20)+(MAX(0,W46)*0.20)+(MAX(0,H46)*0.15)+(MAX(0,N46)*0.10)+(MAX(0,T46)*0.10))/9),1),"")</f>
        <v/>
      </c>
      <c r="AB46" s="29">
        <f>IF(A46&lt;&gt;"",MIN(1,(0.5*AA46/100)+(0.3*MAX(0,K46)/9)+(0.2*MAX(0,Q46)/9)),"")</f>
        <v/>
      </c>
    </row>
    <row r="47">
      <c r="A47" s="4">
        <f>IF('Raw Data'!A34&lt;&gt;"",'Raw Data'!A34,"")</f>
        <v/>
      </c>
      <c r="B47" s="4">
        <f>IF('Raw Data'!B34&lt;&gt;"",'Raw Data'!B34,"")</f>
        <v/>
      </c>
      <c r="C47" s="4">
        <f>IF('Raw Data'!C34&lt;&gt;"",'Raw Data'!C34,"")</f>
        <v/>
      </c>
      <c r="D47" s="4">
        <f>IF('Raw Data'!D34&lt;&gt;"",'Raw Data'!D34,"")</f>
        <v/>
      </c>
      <c r="E47" s="4">
        <f>IF('Raw Data'!E34&lt;&gt;"",'Raw Data'!E34,"")</f>
        <v/>
      </c>
      <c r="F47" s="14">
        <f>IF('Raw Data'!A34&lt;&gt;"",AVERAGE('Raw Data'!F34,'Raw Data'!H34,'Raw Data'!J34,'Raw Data'!L34,'Raw Data'!N34),"")</f>
        <v/>
      </c>
      <c r="G47" s="14">
        <f>IF('Raw Data'!A34&lt;&gt;"",AVERAGE('Raw Data'!G34,'Raw Data'!I34,'Raw Data'!K34,'Raw Data'!M34,'Raw Data'!O34),"")</f>
        <v/>
      </c>
      <c r="H47" s="14">
        <f>IF(F47&lt;&gt;"",F47-G47,"")</f>
        <v/>
      </c>
      <c r="I47" s="14">
        <f>IF('Raw Data'!A34&lt;&gt;"",AVERAGE('Raw Data'!P34,'Raw Data'!R34,'Raw Data'!T34,'Raw Data'!V34,'Raw Data'!X34),"")</f>
        <v/>
      </c>
      <c r="J47" s="14">
        <f>IF('Raw Data'!A34&lt;&gt;"",AVERAGE('Raw Data'!Q34,'Raw Data'!S34,'Raw Data'!U34,'Raw Data'!W34,'Raw Data'!Y34),"")</f>
        <v/>
      </c>
      <c r="K47" s="14">
        <f>IF(I47&lt;&gt;"",I47-J47,"")</f>
        <v/>
      </c>
      <c r="L47" s="14">
        <f>IF('Raw Data'!A34&lt;&gt;"",AVERAGE('Raw Data'!Z34,'Raw Data'!AB34,'Raw Data'!AD34,'Raw Data'!AF34,'Raw Data'!AH34),"")</f>
        <v/>
      </c>
      <c r="M47" s="14">
        <f>IF('Raw Data'!A34&lt;&gt;"",AVERAGE('Raw Data'!AA34,'Raw Data'!AC34,'Raw Data'!AE34,'Raw Data'!AG34,'Raw Data'!AI34),"")</f>
        <v/>
      </c>
      <c r="N47" s="14">
        <f>IF(L47&lt;&gt;"",L47-M47,"")</f>
        <v/>
      </c>
      <c r="O47" s="14">
        <f>IF('Raw Data'!A34&lt;&gt;"",AVERAGE('Raw Data'!AJ34,'Raw Data'!AL34,'Raw Data'!AN34,'Raw Data'!AP34,'Raw Data'!AR34),"")</f>
        <v/>
      </c>
      <c r="P47" s="14">
        <f>IF('Raw Data'!A34&lt;&gt;"",AVERAGE('Raw Data'!AK34,'Raw Data'!AM34,'Raw Data'!AO34,'Raw Data'!AQ34,'Raw Data'!AS34),"")</f>
        <v/>
      </c>
      <c r="Q47" s="14">
        <f>IF(O47&lt;&gt;"",O47-P47,"")</f>
        <v/>
      </c>
      <c r="R47" s="14">
        <f>IF('Raw Data'!A34&lt;&gt;"",AVERAGE('Raw Data'!AT34,'Raw Data'!AV34,'Raw Data'!AX34,'Raw Data'!AZ34,'Raw Data'!BB34),"")</f>
        <v/>
      </c>
      <c r="S47" s="14">
        <f>IF('Raw Data'!A34&lt;&gt;"",AVERAGE('Raw Data'!AU34,'Raw Data'!AW34,'Raw Data'!AY34,'Raw Data'!BA34,'Raw Data'!BC34),"")</f>
        <v/>
      </c>
      <c r="T47" s="14">
        <f>IF(R47&lt;&gt;"",R47-S47,"")</f>
        <v/>
      </c>
      <c r="U47" s="14">
        <f>IF('Raw Data'!A34&lt;&gt;"",AVERAGE('Raw Data'!BD34,'Raw Data'!BF34,'Raw Data'!BH34,'Raw Data'!BJ34,'Raw Data'!BL34),"")</f>
        <v/>
      </c>
      <c r="V47" s="14">
        <f>IF('Raw Data'!A34&lt;&gt;"",AVERAGE('Raw Data'!BE34,'Raw Data'!BG34,'Raw Data'!BI34,'Raw Data'!BK34,'Raw Data'!BM34),"")</f>
        <v/>
      </c>
      <c r="W47" s="14">
        <f>IF(U47&lt;&gt;"",U47-V47,"")</f>
        <v/>
      </c>
      <c r="X47" s="14">
        <f>IF(A47&lt;&gt;"",AVERAGE(F47,I47,L47,O47,R47,U47),"")</f>
        <v/>
      </c>
      <c r="Y47" s="14">
        <f>IF(A47&lt;&gt;"",AVERAGE(G47,J47,M47,P47,S47,V47),"")</f>
        <v/>
      </c>
      <c r="Z47" s="14">
        <f>IF(A47&lt;&gt;"",X47-Y47,"")</f>
        <v/>
      </c>
      <c r="AA47" s="15">
        <f>IF(A47&lt;&gt;"",ROUND(MIN(100,100*((MAX(0,K47)*0.25)+(MAX(0,Q47)*0.20)+(MAX(0,W47)*0.20)+(MAX(0,H47)*0.15)+(MAX(0,N47)*0.10)+(MAX(0,T47)*0.10))/9),1),"")</f>
        <v/>
      </c>
      <c r="AB47" s="28">
        <f>IF(A47&lt;&gt;"",MIN(1,(0.5*AA47/100)+(0.3*MAX(0,K47)/9)+(0.2*MAX(0,Q47)/9)),"")</f>
        <v/>
      </c>
    </row>
    <row r="48">
      <c r="A48" s="13">
        <f>IF('Raw Data'!A35&lt;&gt;"",'Raw Data'!A35,"")</f>
        <v/>
      </c>
      <c r="B48" s="13">
        <f>IF('Raw Data'!B35&lt;&gt;"",'Raw Data'!B35,"")</f>
        <v/>
      </c>
      <c r="C48" s="13">
        <f>IF('Raw Data'!C35&lt;&gt;"",'Raw Data'!C35,"")</f>
        <v/>
      </c>
      <c r="D48" s="13">
        <f>IF('Raw Data'!D35&lt;&gt;"",'Raw Data'!D35,"")</f>
        <v/>
      </c>
      <c r="E48" s="13">
        <f>IF('Raw Data'!E35&lt;&gt;"",'Raw Data'!E35,"")</f>
        <v/>
      </c>
      <c r="F48" s="17">
        <f>IF('Raw Data'!A35&lt;&gt;"",AVERAGE('Raw Data'!F35,'Raw Data'!H35,'Raw Data'!J35,'Raw Data'!L35,'Raw Data'!N35),"")</f>
        <v/>
      </c>
      <c r="G48" s="17">
        <f>IF('Raw Data'!A35&lt;&gt;"",AVERAGE('Raw Data'!G35,'Raw Data'!I35,'Raw Data'!K35,'Raw Data'!M35,'Raw Data'!O35),"")</f>
        <v/>
      </c>
      <c r="H48" s="17">
        <f>IF(F48&lt;&gt;"",F48-G48,"")</f>
        <v/>
      </c>
      <c r="I48" s="17">
        <f>IF('Raw Data'!A35&lt;&gt;"",AVERAGE('Raw Data'!P35,'Raw Data'!R35,'Raw Data'!T35,'Raw Data'!V35,'Raw Data'!X35),"")</f>
        <v/>
      </c>
      <c r="J48" s="17">
        <f>IF('Raw Data'!A35&lt;&gt;"",AVERAGE('Raw Data'!Q35,'Raw Data'!S35,'Raw Data'!U35,'Raw Data'!W35,'Raw Data'!Y35),"")</f>
        <v/>
      </c>
      <c r="K48" s="17">
        <f>IF(I48&lt;&gt;"",I48-J48,"")</f>
        <v/>
      </c>
      <c r="L48" s="17">
        <f>IF('Raw Data'!A35&lt;&gt;"",AVERAGE('Raw Data'!Z35,'Raw Data'!AB35,'Raw Data'!AD35,'Raw Data'!AF35,'Raw Data'!AH35),"")</f>
        <v/>
      </c>
      <c r="M48" s="17">
        <f>IF('Raw Data'!A35&lt;&gt;"",AVERAGE('Raw Data'!AA35,'Raw Data'!AC35,'Raw Data'!AE35,'Raw Data'!AG35,'Raw Data'!AI35),"")</f>
        <v/>
      </c>
      <c r="N48" s="17">
        <f>IF(L48&lt;&gt;"",L48-M48,"")</f>
        <v/>
      </c>
      <c r="O48" s="17">
        <f>IF('Raw Data'!A35&lt;&gt;"",AVERAGE('Raw Data'!AJ35,'Raw Data'!AL35,'Raw Data'!AN35,'Raw Data'!AP35,'Raw Data'!AR35),"")</f>
        <v/>
      </c>
      <c r="P48" s="17">
        <f>IF('Raw Data'!A35&lt;&gt;"",AVERAGE('Raw Data'!AK35,'Raw Data'!AM35,'Raw Data'!AO35,'Raw Data'!AQ35,'Raw Data'!AS35),"")</f>
        <v/>
      </c>
      <c r="Q48" s="17">
        <f>IF(O48&lt;&gt;"",O48-P48,"")</f>
        <v/>
      </c>
      <c r="R48" s="17">
        <f>IF('Raw Data'!A35&lt;&gt;"",AVERAGE('Raw Data'!AT35,'Raw Data'!AV35,'Raw Data'!AX35,'Raw Data'!AZ35,'Raw Data'!BB35),"")</f>
        <v/>
      </c>
      <c r="S48" s="17">
        <f>IF('Raw Data'!A35&lt;&gt;"",AVERAGE('Raw Data'!AU35,'Raw Data'!AW35,'Raw Data'!AY35,'Raw Data'!BA35,'Raw Data'!BC35),"")</f>
        <v/>
      </c>
      <c r="T48" s="17">
        <f>IF(R48&lt;&gt;"",R48-S48,"")</f>
        <v/>
      </c>
      <c r="U48" s="17">
        <f>IF('Raw Data'!A35&lt;&gt;"",AVERAGE('Raw Data'!BD35,'Raw Data'!BF35,'Raw Data'!BH35,'Raw Data'!BJ35,'Raw Data'!BL35),"")</f>
        <v/>
      </c>
      <c r="V48" s="17">
        <f>IF('Raw Data'!A35&lt;&gt;"",AVERAGE('Raw Data'!BE35,'Raw Data'!BG35,'Raw Data'!BI35,'Raw Data'!BK35,'Raw Data'!BM35),"")</f>
        <v/>
      </c>
      <c r="W48" s="17">
        <f>IF(U48&lt;&gt;"",U48-V48,"")</f>
        <v/>
      </c>
      <c r="X48" s="17">
        <f>IF(A48&lt;&gt;"",AVERAGE(F48,I48,L48,O48,R48,U48),"")</f>
        <v/>
      </c>
      <c r="Y48" s="17">
        <f>IF(A48&lt;&gt;"",AVERAGE(G48,J48,M48,P48,S48,V48),"")</f>
        <v/>
      </c>
      <c r="Z48" s="17">
        <f>IF(A48&lt;&gt;"",X48-Y48,"")</f>
        <v/>
      </c>
      <c r="AA48" s="18">
        <f>IF(A48&lt;&gt;"",ROUND(MIN(100,100*((MAX(0,K48)*0.25)+(MAX(0,Q48)*0.20)+(MAX(0,W48)*0.20)+(MAX(0,H48)*0.15)+(MAX(0,N48)*0.10)+(MAX(0,T48)*0.10))/9),1),"")</f>
        <v/>
      </c>
      <c r="AB48" s="29">
        <f>IF(A48&lt;&gt;"",MIN(1,(0.5*AA48/100)+(0.3*MAX(0,K48)/9)+(0.2*MAX(0,Q48)/9)),"")</f>
        <v/>
      </c>
    </row>
    <row r="49">
      <c r="A49" s="4">
        <f>IF('Raw Data'!A36&lt;&gt;"",'Raw Data'!A36,"")</f>
        <v/>
      </c>
      <c r="B49" s="4">
        <f>IF('Raw Data'!B36&lt;&gt;"",'Raw Data'!B36,"")</f>
        <v/>
      </c>
      <c r="C49" s="4">
        <f>IF('Raw Data'!C36&lt;&gt;"",'Raw Data'!C36,"")</f>
        <v/>
      </c>
      <c r="D49" s="4">
        <f>IF('Raw Data'!D36&lt;&gt;"",'Raw Data'!D36,"")</f>
        <v/>
      </c>
      <c r="E49" s="4">
        <f>IF('Raw Data'!E36&lt;&gt;"",'Raw Data'!E36,"")</f>
        <v/>
      </c>
      <c r="F49" s="14">
        <f>IF('Raw Data'!A36&lt;&gt;"",AVERAGE('Raw Data'!F36,'Raw Data'!H36,'Raw Data'!J36,'Raw Data'!L36,'Raw Data'!N36),"")</f>
        <v/>
      </c>
      <c r="G49" s="14">
        <f>IF('Raw Data'!A36&lt;&gt;"",AVERAGE('Raw Data'!G36,'Raw Data'!I36,'Raw Data'!K36,'Raw Data'!M36,'Raw Data'!O36),"")</f>
        <v/>
      </c>
      <c r="H49" s="14">
        <f>IF(F49&lt;&gt;"",F49-G49,"")</f>
        <v/>
      </c>
      <c r="I49" s="14">
        <f>IF('Raw Data'!A36&lt;&gt;"",AVERAGE('Raw Data'!P36,'Raw Data'!R36,'Raw Data'!T36,'Raw Data'!V36,'Raw Data'!X36),"")</f>
        <v/>
      </c>
      <c r="J49" s="14">
        <f>IF('Raw Data'!A36&lt;&gt;"",AVERAGE('Raw Data'!Q36,'Raw Data'!S36,'Raw Data'!U36,'Raw Data'!W36,'Raw Data'!Y36),"")</f>
        <v/>
      </c>
      <c r="K49" s="14">
        <f>IF(I49&lt;&gt;"",I49-J49,"")</f>
        <v/>
      </c>
      <c r="L49" s="14">
        <f>IF('Raw Data'!A36&lt;&gt;"",AVERAGE('Raw Data'!Z36,'Raw Data'!AB36,'Raw Data'!AD36,'Raw Data'!AF36,'Raw Data'!AH36),"")</f>
        <v/>
      </c>
      <c r="M49" s="14">
        <f>IF('Raw Data'!A36&lt;&gt;"",AVERAGE('Raw Data'!AA36,'Raw Data'!AC36,'Raw Data'!AE36,'Raw Data'!AG36,'Raw Data'!AI36),"")</f>
        <v/>
      </c>
      <c r="N49" s="14">
        <f>IF(L49&lt;&gt;"",L49-M49,"")</f>
        <v/>
      </c>
      <c r="O49" s="14">
        <f>IF('Raw Data'!A36&lt;&gt;"",AVERAGE('Raw Data'!AJ36,'Raw Data'!AL36,'Raw Data'!AN36,'Raw Data'!AP36,'Raw Data'!AR36),"")</f>
        <v/>
      </c>
      <c r="P49" s="14">
        <f>IF('Raw Data'!A36&lt;&gt;"",AVERAGE('Raw Data'!AK36,'Raw Data'!AM36,'Raw Data'!AO36,'Raw Data'!AQ36,'Raw Data'!AS36),"")</f>
        <v/>
      </c>
      <c r="Q49" s="14">
        <f>IF(O49&lt;&gt;"",O49-P49,"")</f>
        <v/>
      </c>
      <c r="R49" s="14">
        <f>IF('Raw Data'!A36&lt;&gt;"",AVERAGE('Raw Data'!AT36,'Raw Data'!AV36,'Raw Data'!AX36,'Raw Data'!AZ36,'Raw Data'!BB36),"")</f>
        <v/>
      </c>
      <c r="S49" s="14">
        <f>IF('Raw Data'!A36&lt;&gt;"",AVERAGE('Raw Data'!AU36,'Raw Data'!AW36,'Raw Data'!AY36,'Raw Data'!BA36,'Raw Data'!BC36),"")</f>
        <v/>
      </c>
      <c r="T49" s="14">
        <f>IF(R49&lt;&gt;"",R49-S49,"")</f>
        <v/>
      </c>
      <c r="U49" s="14">
        <f>IF('Raw Data'!A36&lt;&gt;"",AVERAGE('Raw Data'!BD36,'Raw Data'!BF36,'Raw Data'!BH36,'Raw Data'!BJ36,'Raw Data'!BL36),"")</f>
        <v/>
      </c>
      <c r="V49" s="14">
        <f>IF('Raw Data'!A36&lt;&gt;"",AVERAGE('Raw Data'!BE36,'Raw Data'!BG36,'Raw Data'!BI36,'Raw Data'!BK36,'Raw Data'!BM36),"")</f>
        <v/>
      </c>
      <c r="W49" s="14">
        <f>IF(U49&lt;&gt;"",U49-V49,"")</f>
        <v/>
      </c>
      <c r="X49" s="14">
        <f>IF(A49&lt;&gt;"",AVERAGE(F49,I49,L49,O49,R49,U49),"")</f>
        <v/>
      </c>
      <c r="Y49" s="14">
        <f>IF(A49&lt;&gt;"",AVERAGE(G49,J49,M49,P49,S49,V49),"")</f>
        <v/>
      </c>
      <c r="Z49" s="14">
        <f>IF(A49&lt;&gt;"",X49-Y49,"")</f>
        <v/>
      </c>
      <c r="AA49" s="15">
        <f>IF(A49&lt;&gt;"",ROUND(MIN(100,100*((MAX(0,K49)*0.25)+(MAX(0,Q49)*0.20)+(MAX(0,W49)*0.20)+(MAX(0,H49)*0.15)+(MAX(0,N49)*0.10)+(MAX(0,T49)*0.10))/9),1),"")</f>
        <v/>
      </c>
      <c r="AB49" s="28">
        <f>IF(A49&lt;&gt;"",MIN(1,(0.5*AA49/100)+(0.3*MAX(0,K49)/9)+(0.2*MAX(0,Q49)/9)),"")</f>
        <v/>
      </c>
    </row>
    <row r="50">
      <c r="A50" s="13">
        <f>IF('Raw Data'!A37&lt;&gt;"",'Raw Data'!A37,"")</f>
        <v/>
      </c>
      <c r="B50" s="13">
        <f>IF('Raw Data'!B37&lt;&gt;"",'Raw Data'!B37,"")</f>
        <v/>
      </c>
      <c r="C50" s="13">
        <f>IF('Raw Data'!C37&lt;&gt;"",'Raw Data'!C37,"")</f>
        <v/>
      </c>
      <c r="D50" s="13">
        <f>IF('Raw Data'!D37&lt;&gt;"",'Raw Data'!D37,"")</f>
        <v/>
      </c>
      <c r="E50" s="13">
        <f>IF('Raw Data'!E37&lt;&gt;"",'Raw Data'!E37,"")</f>
        <v/>
      </c>
      <c r="F50" s="17">
        <f>IF('Raw Data'!A37&lt;&gt;"",AVERAGE('Raw Data'!F37,'Raw Data'!H37,'Raw Data'!J37,'Raw Data'!L37,'Raw Data'!N37),"")</f>
        <v/>
      </c>
      <c r="G50" s="17">
        <f>IF('Raw Data'!A37&lt;&gt;"",AVERAGE('Raw Data'!G37,'Raw Data'!I37,'Raw Data'!K37,'Raw Data'!M37,'Raw Data'!O37),"")</f>
        <v/>
      </c>
      <c r="H50" s="17">
        <f>IF(F50&lt;&gt;"",F50-G50,"")</f>
        <v/>
      </c>
      <c r="I50" s="17">
        <f>IF('Raw Data'!A37&lt;&gt;"",AVERAGE('Raw Data'!P37,'Raw Data'!R37,'Raw Data'!T37,'Raw Data'!V37,'Raw Data'!X37),"")</f>
        <v/>
      </c>
      <c r="J50" s="17">
        <f>IF('Raw Data'!A37&lt;&gt;"",AVERAGE('Raw Data'!Q37,'Raw Data'!S37,'Raw Data'!U37,'Raw Data'!W37,'Raw Data'!Y37),"")</f>
        <v/>
      </c>
      <c r="K50" s="17">
        <f>IF(I50&lt;&gt;"",I50-J50,"")</f>
        <v/>
      </c>
      <c r="L50" s="17">
        <f>IF('Raw Data'!A37&lt;&gt;"",AVERAGE('Raw Data'!Z37,'Raw Data'!AB37,'Raw Data'!AD37,'Raw Data'!AF37,'Raw Data'!AH37),"")</f>
        <v/>
      </c>
      <c r="M50" s="17">
        <f>IF('Raw Data'!A37&lt;&gt;"",AVERAGE('Raw Data'!AA37,'Raw Data'!AC37,'Raw Data'!AE37,'Raw Data'!AG37,'Raw Data'!AI37),"")</f>
        <v/>
      </c>
      <c r="N50" s="17">
        <f>IF(L50&lt;&gt;"",L50-M50,"")</f>
        <v/>
      </c>
      <c r="O50" s="17">
        <f>IF('Raw Data'!A37&lt;&gt;"",AVERAGE('Raw Data'!AJ37,'Raw Data'!AL37,'Raw Data'!AN37,'Raw Data'!AP37,'Raw Data'!AR37),"")</f>
        <v/>
      </c>
      <c r="P50" s="17">
        <f>IF('Raw Data'!A37&lt;&gt;"",AVERAGE('Raw Data'!AK37,'Raw Data'!AM37,'Raw Data'!AO37,'Raw Data'!AQ37,'Raw Data'!AS37),"")</f>
        <v/>
      </c>
      <c r="Q50" s="17">
        <f>IF(O50&lt;&gt;"",O50-P50,"")</f>
        <v/>
      </c>
      <c r="R50" s="17">
        <f>IF('Raw Data'!A37&lt;&gt;"",AVERAGE('Raw Data'!AT37,'Raw Data'!AV37,'Raw Data'!AX37,'Raw Data'!AZ37,'Raw Data'!BB37),"")</f>
        <v/>
      </c>
      <c r="S50" s="17">
        <f>IF('Raw Data'!A37&lt;&gt;"",AVERAGE('Raw Data'!AU37,'Raw Data'!AW37,'Raw Data'!AY37,'Raw Data'!BA37,'Raw Data'!BC37),"")</f>
        <v/>
      </c>
      <c r="T50" s="17">
        <f>IF(R50&lt;&gt;"",R50-S50,"")</f>
        <v/>
      </c>
      <c r="U50" s="17">
        <f>IF('Raw Data'!A37&lt;&gt;"",AVERAGE('Raw Data'!BD37,'Raw Data'!BF37,'Raw Data'!BH37,'Raw Data'!BJ37,'Raw Data'!BL37),"")</f>
        <v/>
      </c>
      <c r="V50" s="17">
        <f>IF('Raw Data'!A37&lt;&gt;"",AVERAGE('Raw Data'!BE37,'Raw Data'!BG37,'Raw Data'!BI37,'Raw Data'!BK37,'Raw Data'!BM37),"")</f>
        <v/>
      </c>
      <c r="W50" s="17">
        <f>IF(U50&lt;&gt;"",U50-V50,"")</f>
        <v/>
      </c>
      <c r="X50" s="17">
        <f>IF(A50&lt;&gt;"",AVERAGE(F50,I50,L50,O50,R50,U50),"")</f>
        <v/>
      </c>
      <c r="Y50" s="17">
        <f>IF(A50&lt;&gt;"",AVERAGE(G50,J50,M50,P50,S50,V50),"")</f>
        <v/>
      </c>
      <c r="Z50" s="17">
        <f>IF(A50&lt;&gt;"",X50-Y50,"")</f>
        <v/>
      </c>
      <c r="AA50" s="18">
        <f>IF(A50&lt;&gt;"",ROUND(MIN(100,100*((MAX(0,K50)*0.25)+(MAX(0,Q50)*0.20)+(MAX(0,W50)*0.20)+(MAX(0,H50)*0.15)+(MAX(0,N50)*0.10)+(MAX(0,T50)*0.10))/9),1),"")</f>
        <v/>
      </c>
      <c r="AB50" s="29">
        <f>IF(A50&lt;&gt;"",MIN(1,(0.5*AA50/100)+(0.3*MAX(0,K50)/9)+(0.2*MAX(0,Q50)/9)),"")</f>
        <v/>
      </c>
    </row>
    <row r="51">
      <c r="A51" s="4">
        <f>IF('Raw Data'!A38&lt;&gt;"",'Raw Data'!A38,"")</f>
        <v/>
      </c>
      <c r="B51" s="4">
        <f>IF('Raw Data'!B38&lt;&gt;"",'Raw Data'!B38,"")</f>
        <v/>
      </c>
      <c r="C51" s="4">
        <f>IF('Raw Data'!C38&lt;&gt;"",'Raw Data'!C38,"")</f>
        <v/>
      </c>
      <c r="D51" s="4">
        <f>IF('Raw Data'!D38&lt;&gt;"",'Raw Data'!D38,"")</f>
        <v/>
      </c>
      <c r="E51" s="4">
        <f>IF('Raw Data'!E38&lt;&gt;"",'Raw Data'!E38,"")</f>
        <v/>
      </c>
      <c r="F51" s="14">
        <f>IF('Raw Data'!A38&lt;&gt;"",AVERAGE('Raw Data'!F38,'Raw Data'!H38,'Raw Data'!J38,'Raw Data'!L38,'Raw Data'!N38),"")</f>
        <v/>
      </c>
      <c r="G51" s="14">
        <f>IF('Raw Data'!A38&lt;&gt;"",AVERAGE('Raw Data'!G38,'Raw Data'!I38,'Raw Data'!K38,'Raw Data'!M38,'Raw Data'!O38),"")</f>
        <v/>
      </c>
      <c r="H51" s="14">
        <f>IF(F51&lt;&gt;"",F51-G51,"")</f>
        <v/>
      </c>
      <c r="I51" s="14">
        <f>IF('Raw Data'!A38&lt;&gt;"",AVERAGE('Raw Data'!P38,'Raw Data'!R38,'Raw Data'!T38,'Raw Data'!V38,'Raw Data'!X38),"")</f>
        <v/>
      </c>
      <c r="J51" s="14">
        <f>IF('Raw Data'!A38&lt;&gt;"",AVERAGE('Raw Data'!Q38,'Raw Data'!S38,'Raw Data'!U38,'Raw Data'!W38,'Raw Data'!Y38),"")</f>
        <v/>
      </c>
      <c r="K51" s="14">
        <f>IF(I51&lt;&gt;"",I51-J51,"")</f>
        <v/>
      </c>
      <c r="L51" s="14">
        <f>IF('Raw Data'!A38&lt;&gt;"",AVERAGE('Raw Data'!Z38,'Raw Data'!AB38,'Raw Data'!AD38,'Raw Data'!AF38,'Raw Data'!AH38),"")</f>
        <v/>
      </c>
      <c r="M51" s="14">
        <f>IF('Raw Data'!A38&lt;&gt;"",AVERAGE('Raw Data'!AA38,'Raw Data'!AC38,'Raw Data'!AE38,'Raw Data'!AG38,'Raw Data'!AI38),"")</f>
        <v/>
      </c>
      <c r="N51" s="14">
        <f>IF(L51&lt;&gt;"",L51-M51,"")</f>
        <v/>
      </c>
      <c r="O51" s="14">
        <f>IF('Raw Data'!A38&lt;&gt;"",AVERAGE('Raw Data'!AJ38,'Raw Data'!AL38,'Raw Data'!AN38,'Raw Data'!AP38,'Raw Data'!AR38),"")</f>
        <v/>
      </c>
      <c r="P51" s="14">
        <f>IF('Raw Data'!A38&lt;&gt;"",AVERAGE('Raw Data'!AK38,'Raw Data'!AM38,'Raw Data'!AO38,'Raw Data'!AQ38,'Raw Data'!AS38),"")</f>
        <v/>
      </c>
      <c r="Q51" s="14">
        <f>IF(O51&lt;&gt;"",O51-P51,"")</f>
        <v/>
      </c>
      <c r="R51" s="14">
        <f>IF('Raw Data'!A38&lt;&gt;"",AVERAGE('Raw Data'!AT38,'Raw Data'!AV38,'Raw Data'!AX38,'Raw Data'!AZ38,'Raw Data'!BB38),"")</f>
        <v/>
      </c>
      <c r="S51" s="14">
        <f>IF('Raw Data'!A38&lt;&gt;"",AVERAGE('Raw Data'!AU38,'Raw Data'!AW38,'Raw Data'!AY38,'Raw Data'!BA38,'Raw Data'!BC38),"")</f>
        <v/>
      </c>
      <c r="T51" s="14">
        <f>IF(R51&lt;&gt;"",R51-S51,"")</f>
        <v/>
      </c>
      <c r="U51" s="14">
        <f>IF('Raw Data'!A38&lt;&gt;"",AVERAGE('Raw Data'!BD38,'Raw Data'!BF38,'Raw Data'!BH38,'Raw Data'!BJ38,'Raw Data'!BL38),"")</f>
        <v/>
      </c>
      <c r="V51" s="14">
        <f>IF('Raw Data'!A38&lt;&gt;"",AVERAGE('Raw Data'!BE38,'Raw Data'!BG38,'Raw Data'!BI38,'Raw Data'!BK38,'Raw Data'!BM38),"")</f>
        <v/>
      </c>
      <c r="W51" s="14">
        <f>IF(U51&lt;&gt;"",U51-V51,"")</f>
        <v/>
      </c>
      <c r="X51" s="14">
        <f>IF(A51&lt;&gt;"",AVERAGE(F51,I51,L51,O51,R51,U51),"")</f>
        <v/>
      </c>
      <c r="Y51" s="14">
        <f>IF(A51&lt;&gt;"",AVERAGE(G51,J51,M51,P51,S51,V51),"")</f>
        <v/>
      </c>
      <c r="Z51" s="14">
        <f>IF(A51&lt;&gt;"",X51-Y51,"")</f>
        <v/>
      </c>
      <c r="AA51" s="15">
        <f>IF(A51&lt;&gt;"",ROUND(MIN(100,100*((MAX(0,K51)*0.25)+(MAX(0,Q51)*0.20)+(MAX(0,W51)*0.20)+(MAX(0,H51)*0.15)+(MAX(0,N51)*0.10)+(MAX(0,T51)*0.10))/9),1),"")</f>
        <v/>
      </c>
      <c r="AB51" s="28">
        <f>IF(A51&lt;&gt;"",MIN(1,(0.5*AA51/100)+(0.3*MAX(0,K51)/9)+(0.2*MAX(0,Q51)/9)),"")</f>
        <v/>
      </c>
    </row>
    <row r="52">
      <c r="A52" s="13">
        <f>IF('Raw Data'!A39&lt;&gt;"",'Raw Data'!A39,"")</f>
        <v/>
      </c>
      <c r="B52" s="13">
        <f>IF('Raw Data'!B39&lt;&gt;"",'Raw Data'!B39,"")</f>
        <v/>
      </c>
      <c r="C52" s="13">
        <f>IF('Raw Data'!C39&lt;&gt;"",'Raw Data'!C39,"")</f>
        <v/>
      </c>
      <c r="D52" s="13">
        <f>IF('Raw Data'!D39&lt;&gt;"",'Raw Data'!D39,"")</f>
        <v/>
      </c>
      <c r="E52" s="13">
        <f>IF('Raw Data'!E39&lt;&gt;"",'Raw Data'!E39,"")</f>
        <v/>
      </c>
      <c r="F52" s="17">
        <f>IF('Raw Data'!A39&lt;&gt;"",AVERAGE('Raw Data'!F39,'Raw Data'!H39,'Raw Data'!J39,'Raw Data'!L39,'Raw Data'!N39),"")</f>
        <v/>
      </c>
      <c r="G52" s="17">
        <f>IF('Raw Data'!A39&lt;&gt;"",AVERAGE('Raw Data'!G39,'Raw Data'!I39,'Raw Data'!K39,'Raw Data'!M39,'Raw Data'!O39),"")</f>
        <v/>
      </c>
      <c r="H52" s="17">
        <f>IF(F52&lt;&gt;"",F52-G52,"")</f>
        <v/>
      </c>
      <c r="I52" s="17">
        <f>IF('Raw Data'!A39&lt;&gt;"",AVERAGE('Raw Data'!P39,'Raw Data'!R39,'Raw Data'!T39,'Raw Data'!V39,'Raw Data'!X39),"")</f>
        <v/>
      </c>
      <c r="J52" s="17">
        <f>IF('Raw Data'!A39&lt;&gt;"",AVERAGE('Raw Data'!Q39,'Raw Data'!S39,'Raw Data'!U39,'Raw Data'!W39,'Raw Data'!Y39),"")</f>
        <v/>
      </c>
      <c r="K52" s="17">
        <f>IF(I52&lt;&gt;"",I52-J52,"")</f>
        <v/>
      </c>
      <c r="L52" s="17">
        <f>IF('Raw Data'!A39&lt;&gt;"",AVERAGE('Raw Data'!Z39,'Raw Data'!AB39,'Raw Data'!AD39,'Raw Data'!AF39,'Raw Data'!AH39),"")</f>
        <v/>
      </c>
      <c r="M52" s="17">
        <f>IF('Raw Data'!A39&lt;&gt;"",AVERAGE('Raw Data'!AA39,'Raw Data'!AC39,'Raw Data'!AE39,'Raw Data'!AG39,'Raw Data'!AI39),"")</f>
        <v/>
      </c>
      <c r="N52" s="17">
        <f>IF(L52&lt;&gt;"",L52-M52,"")</f>
        <v/>
      </c>
      <c r="O52" s="17">
        <f>IF('Raw Data'!A39&lt;&gt;"",AVERAGE('Raw Data'!AJ39,'Raw Data'!AL39,'Raw Data'!AN39,'Raw Data'!AP39,'Raw Data'!AR39),"")</f>
        <v/>
      </c>
      <c r="P52" s="17">
        <f>IF('Raw Data'!A39&lt;&gt;"",AVERAGE('Raw Data'!AK39,'Raw Data'!AM39,'Raw Data'!AO39,'Raw Data'!AQ39,'Raw Data'!AS39),"")</f>
        <v/>
      </c>
      <c r="Q52" s="17">
        <f>IF(O52&lt;&gt;"",O52-P52,"")</f>
        <v/>
      </c>
      <c r="R52" s="17">
        <f>IF('Raw Data'!A39&lt;&gt;"",AVERAGE('Raw Data'!AT39,'Raw Data'!AV39,'Raw Data'!AX39,'Raw Data'!AZ39,'Raw Data'!BB39),"")</f>
        <v/>
      </c>
      <c r="S52" s="17">
        <f>IF('Raw Data'!A39&lt;&gt;"",AVERAGE('Raw Data'!AU39,'Raw Data'!AW39,'Raw Data'!AY39,'Raw Data'!BA39,'Raw Data'!BC39),"")</f>
        <v/>
      </c>
      <c r="T52" s="17">
        <f>IF(R52&lt;&gt;"",R52-S52,"")</f>
        <v/>
      </c>
      <c r="U52" s="17">
        <f>IF('Raw Data'!A39&lt;&gt;"",AVERAGE('Raw Data'!BD39,'Raw Data'!BF39,'Raw Data'!BH39,'Raw Data'!BJ39,'Raw Data'!BL39),"")</f>
        <v/>
      </c>
      <c r="V52" s="17">
        <f>IF('Raw Data'!A39&lt;&gt;"",AVERAGE('Raw Data'!BE39,'Raw Data'!BG39,'Raw Data'!BI39,'Raw Data'!BK39,'Raw Data'!BM39),"")</f>
        <v/>
      </c>
      <c r="W52" s="17">
        <f>IF(U52&lt;&gt;"",U52-V52,"")</f>
        <v/>
      </c>
      <c r="X52" s="17">
        <f>IF(A52&lt;&gt;"",AVERAGE(F52,I52,L52,O52,R52,U52),"")</f>
        <v/>
      </c>
      <c r="Y52" s="17">
        <f>IF(A52&lt;&gt;"",AVERAGE(G52,J52,M52,P52,S52,V52),"")</f>
        <v/>
      </c>
      <c r="Z52" s="17">
        <f>IF(A52&lt;&gt;"",X52-Y52,"")</f>
        <v/>
      </c>
      <c r="AA52" s="18">
        <f>IF(A52&lt;&gt;"",ROUND(MIN(100,100*((MAX(0,K52)*0.25)+(MAX(0,Q52)*0.20)+(MAX(0,W52)*0.20)+(MAX(0,H52)*0.15)+(MAX(0,N52)*0.10)+(MAX(0,T52)*0.10))/9),1),"")</f>
        <v/>
      </c>
      <c r="AB52" s="29">
        <f>IF(A52&lt;&gt;"",MIN(1,(0.5*AA52/100)+(0.3*MAX(0,K52)/9)+(0.2*MAX(0,Q52)/9)),"")</f>
        <v/>
      </c>
    </row>
    <row r="53">
      <c r="A53" s="4">
        <f>IF('Raw Data'!A40&lt;&gt;"",'Raw Data'!A40,"")</f>
        <v/>
      </c>
      <c r="B53" s="4">
        <f>IF('Raw Data'!B40&lt;&gt;"",'Raw Data'!B40,"")</f>
        <v/>
      </c>
      <c r="C53" s="4">
        <f>IF('Raw Data'!C40&lt;&gt;"",'Raw Data'!C40,"")</f>
        <v/>
      </c>
      <c r="D53" s="4">
        <f>IF('Raw Data'!D40&lt;&gt;"",'Raw Data'!D40,"")</f>
        <v/>
      </c>
      <c r="E53" s="4">
        <f>IF('Raw Data'!E40&lt;&gt;"",'Raw Data'!E40,"")</f>
        <v/>
      </c>
      <c r="F53" s="14">
        <f>IF('Raw Data'!A40&lt;&gt;"",AVERAGE('Raw Data'!F40,'Raw Data'!H40,'Raw Data'!J40,'Raw Data'!L40,'Raw Data'!N40),"")</f>
        <v/>
      </c>
      <c r="G53" s="14">
        <f>IF('Raw Data'!A40&lt;&gt;"",AVERAGE('Raw Data'!G40,'Raw Data'!I40,'Raw Data'!K40,'Raw Data'!M40,'Raw Data'!O40),"")</f>
        <v/>
      </c>
      <c r="H53" s="14">
        <f>IF(F53&lt;&gt;"",F53-G53,"")</f>
        <v/>
      </c>
      <c r="I53" s="14">
        <f>IF('Raw Data'!A40&lt;&gt;"",AVERAGE('Raw Data'!P40,'Raw Data'!R40,'Raw Data'!T40,'Raw Data'!V40,'Raw Data'!X40),"")</f>
        <v/>
      </c>
      <c r="J53" s="14">
        <f>IF('Raw Data'!A40&lt;&gt;"",AVERAGE('Raw Data'!Q40,'Raw Data'!S40,'Raw Data'!U40,'Raw Data'!W40,'Raw Data'!Y40),"")</f>
        <v/>
      </c>
      <c r="K53" s="14">
        <f>IF(I53&lt;&gt;"",I53-J53,"")</f>
        <v/>
      </c>
      <c r="L53" s="14">
        <f>IF('Raw Data'!A40&lt;&gt;"",AVERAGE('Raw Data'!Z40,'Raw Data'!AB40,'Raw Data'!AD40,'Raw Data'!AF40,'Raw Data'!AH40),"")</f>
        <v/>
      </c>
      <c r="M53" s="14">
        <f>IF('Raw Data'!A40&lt;&gt;"",AVERAGE('Raw Data'!AA40,'Raw Data'!AC40,'Raw Data'!AE40,'Raw Data'!AG40,'Raw Data'!AI40),"")</f>
        <v/>
      </c>
      <c r="N53" s="14">
        <f>IF(L53&lt;&gt;"",L53-M53,"")</f>
        <v/>
      </c>
      <c r="O53" s="14">
        <f>IF('Raw Data'!A40&lt;&gt;"",AVERAGE('Raw Data'!AJ40,'Raw Data'!AL40,'Raw Data'!AN40,'Raw Data'!AP40,'Raw Data'!AR40),"")</f>
        <v/>
      </c>
      <c r="P53" s="14">
        <f>IF('Raw Data'!A40&lt;&gt;"",AVERAGE('Raw Data'!AK40,'Raw Data'!AM40,'Raw Data'!AO40,'Raw Data'!AQ40,'Raw Data'!AS40),"")</f>
        <v/>
      </c>
      <c r="Q53" s="14">
        <f>IF(O53&lt;&gt;"",O53-P53,"")</f>
        <v/>
      </c>
      <c r="R53" s="14">
        <f>IF('Raw Data'!A40&lt;&gt;"",AVERAGE('Raw Data'!AT40,'Raw Data'!AV40,'Raw Data'!AX40,'Raw Data'!AZ40,'Raw Data'!BB40),"")</f>
        <v/>
      </c>
      <c r="S53" s="14">
        <f>IF('Raw Data'!A40&lt;&gt;"",AVERAGE('Raw Data'!AU40,'Raw Data'!AW40,'Raw Data'!AY40,'Raw Data'!BA40,'Raw Data'!BC40),"")</f>
        <v/>
      </c>
      <c r="T53" s="14">
        <f>IF(R53&lt;&gt;"",R53-S53,"")</f>
        <v/>
      </c>
      <c r="U53" s="14">
        <f>IF('Raw Data'!A40&lt;&gt;"",AVERAGE('Raw Data'!BD40,'Raw Data'!BF40,'Raw Data'!BH40,'Raw Data'!BJ40,'Raw Data'!BL40),"")</f>
        <v/>
      </c>
      <c r="V53" s="14">
        <f>IF('Raw Data'!A40&lt;&gt;"",AVERAGE('Raw Data'!BE40,'Raw Data'!BG40,'Raw Data'!BI40,'Raw Data'!BK40,'Raw Data'!BM40),"")</f>
        <v/>
      </c>
      <c r="W53" s="14">
        <f>IF(U53&lt;&gt;"",U53-V53,"")</f>
        <v/>
      </c>
      <c r="X53" s="14">
        <f>IF(A53&lt;&gt;"",AVERAGE(F53,I53,L53,O53,R53,U53),"")</f>
        <v/>
      </c>
      <c r="Y53" s="14">
        <f>IF(A53&lt;&gt;"",AVERAGE(G53,J53,M53,P53,S53,V53),"")</f>
        <v/>
      </c>
      <c r="Z53" s="14">
        <f>IF(A53&lt;&gt;"",X53-Y53,"")</f>
        <v/>
      </c>
      <c r="AA53" s="15">
        <f>IF(A53&lt;&gt;"",ROUND(MIN(100,100*((MAX(0,K53)*0.25)+(MAX(0,Q53)*0.20)+(MAX(0,W53)*0.20)+(MAX(0,H53)*0.15)+(MAX(0,N53)*0.10)+(MAX(0,T53)*0.10))/9),1),"")</f>
        <v/>
      </c>
      <c r="AB53" s="28">
        <f>IF(A53&lt;&gt;"",MIN(1,(0.5*AA53/100)+(0.3*MAX(0,K53)/9)+(0.2*MAX(0,Q53)/9)),"")</f>
        <v/>
      </c>
    </row>
    <row r="54">
      <c r="A54" s="13">
        <f>IF('Raw Data'!A41&lt;&gt;"",'Raw Data'!A41,"")</f>
        <v/>
      </c>
      <c r="B54" s="13">
        <f>IF('Raw Data'!B41&lt;&gt;"",'Raw Data'!B41,"")</f>
        <v/>
      </c>
      <c r="C54" s="13">
        <f>IF('Raw Data'!C41&lt;&gt;"",'Raw Data'!C41,"")</f>
        <v/>
      </c>
      <c r="D54" s="13">
        <f>IF('Raw Data'!D41&lt;&gt;"",'Raw Data'!D41,"")</f>
        <v/>
      </c>
      <c r="E54" s="13">
        <f>IF('Raw Data'!E41&lt;&gt;"",'Raw Data'!E41,"")</f>
        <v/>
      </c>
      <c r="F54" s="17">
        <f>IF('Raw Data'!A41&lt;&gt;"",AVERAGE('Raw Data'!F41,'Raw Data'!H41,'Raw Data'!J41,'Raw Data'!L41,'Raw Data'!N41),"")</f>
        <v/>
      </c>
      <c r="G54" s="17">
        <f>IF('Raw Data'!A41&lt;&gt;"",AVERAGE('Raw Data'!G41,'Raw Data'!I41,'Raw Data'!K41,'Raw Data'!M41,'Raw Data'!O41),"")</f>
        <v/>
      </c>
      <c r="H54" s="17">
        <f>IF(F54&lt;&gt;"",F54-G54,"")</f>
        <v/>
      </c>
      <c r="I54" s="17">
        <f>IF('Raw Data'!A41&lt;&gt;"",AVERAGE('Raw Data'!P41,'Raw Data'!R41,'Raw Data'!T41,'Raw Data'!V41,'Raw Data'!X41),"")</f>
        <v/>
      </c>
      <c r="J54" s="17">
        <f>IF('Raw Data'!A41&lt;&gt;"",AVERAGE('Raw Data'!Q41,'Raw Data'!S41,'Raw Data'!U41,'Raw Data'!W41,'Raw Data'!Y41),"")</f>
        <v/>
      </c>
      <c r="K54" s="17">
        <f>IF(I54&lt;&gt;"",I54-J54,"")</f>
        <v/>
      </c>
      <c r="L54" s="17">
        <f>IF('Raw Data'!A41&lt;&gt;"",AVERAGE('Raw Data'!Z41,'Raw Data'!AB41,'Raw Data'!AD41,'Raw Data'!AF41,'Raw Data'!AH41),"")</f>
        <v/>
      </c>
      <c r="M54" s="17">
        <f>IF('Raw Data'!A41&lt;&gt;"",AVERAGE('Raw Data'!AA41,'Raw Data'!AC41,'Raw Data'!AE41,'Raw Data'!AG41,'Raw Data'!AI41),"")</f>
        <v/>
      </c>
      <c r="N54" s="17">
        <f>IF(L54&lt;&gt;"",L54-M54,"")</f>
        <v/>
      </c>
      <c r="O54" s="17">
        <f>IF('Raw Data'!A41&lt;&gt;"",AVERAGE('Raw Data'!AJ41,'Raw Data'!AL41,'Raw Data'!AN41,'Raw Data'!AP41,'Raw Data'!AR41),"")</f>
        <v/>
      </c>
      <c r="P54" s="17">
        <f>IF('Raw Data'!A41&lt;&gt;"",AVERAGE('Raw Data'!AK41,'Raw Data'!AM41,'Raw Data'!AO41,'Raw Data'!AQ41,'Raw Data'!AS41),"")</f>
        <v/>
      </c>
      <c r="Q54" s="17">
        <f>IF(O54&lt;&gt;"",O54-P54,"")</f>
        <v/>
      </c>
      <c r="R54" s="17">
        <f>IF('Raw Data'!A41&lt;&gt;"",AVERAGE('Raw Data'!AT41,'Raw Data'!AV41,'Raw Data'!AX41,'Raw Data'!AZ41,'Raw Data'!BB41),"")</f>
        <v/>
      </c>
      <c r="S54" s="17">
        <f>IF('Raw Data'!A41&lt;&gt;"",AVERAGE('Raw Data'!AU41,'Raw Data'!AW41,'Raw Data'!AY41,'Raw Data'!BA41,'Raw Data'!BC41),"")</f>
        <v/>
      </c>
      <c r="T54" s="17">
        <f>IF(R54&lt;&gt;"",R54-S54,"")</f>
        <v/>
      </c>
      <c r="U54" s="17">
        <f>IF('Raw Data'!A41&lt;&gt;"",AVERAGE('Raw Data'!BD41,'Raw Data'!BF41,'Raw Data'!BH41,'Raw Data'!BJ41,'Raw Data'!BL41),"")</f>
        <v/>
      </c>
      <c r="V54" s="17">
        <f>IF('Raw Data'!A41&lt;&gt;"",AVERAGE('Raw Data'!BE41,'Raw Data'!BG41,'Raw Data'!BI41,'Raw Data'!BK41,'Raw Data'!BM41),"")</f>
        <v/>
      </c>
      <c r="W54" s="17">
        <f>IF(U54&lt;&gt;"",U54-V54,"")</f>
        <v/>
      </c>
      <c r="X54" s="17">
        <f>IF(A54&lt;&gt;"",AVERAGE(F54,I54,L54,O54,R54,U54),"")</f>
        <v/>
      </c>
      <c r="Y54" s="17">
        <f>IF(A54&lt;&gt;"",AVERAGE(G54,J54,M54,P54,S54,V54),"")</f>
        <v/>
      </c>
      <c r="Z54" s="17">
        <f>IF(A54&lt;&gt;"",X54-Y54,"")</f>
        <v/>
      </c>
      <c r="AA54" s="18">
        <f>IF(A54&lt;&gt;"",ROUND(MIN(100,100*((MAX(0,K54)*0.25)+(MAX(0,Q54)*0.20)+(MAX(0,W54)*0.20)+(MAX(0,H54)*0.15)+(MAX(0,N54)*0.10)+(MAX(0,T54)*0.10))/9),1),"")</f>
        <v/>
      </c>
      <c r="AB54" s="29">
        <f>IF(A54&lt;&gt;"",MIN(1,(0.5*AA54/100)+(0.3*MAX(0,K54)/9)+(0.2*MAX(0,Q54)/9)),"")</f>
        <v/>
      </c>
    </row>
    <row r="55">
      <c r="A55" s="4">
        <f>IF('Raw Data'!A42&lt;&gt;"",'Raw Data'!A42,"")</f>
        <v/>
      </c>
      <c r="B55" s="4">
        <f>IF('Raw Data'!B42&lt;&gt;"",'Raw Data'!B42,"")</f>
        <v/>
      </c>
      <c r="C55" s="4">
        <f>IF('Raw Data'!C42&lt;&gt;"",'Raw Data'!C42,"")</f>
        <v/>
      </c>
      <c r="D55" s="4">
        <f>IF('Raw Data'!D42&lt;&gt;"",'Raw Data'!D42,"")</f>
        <v/>
      </c>
      <c r="E55" s="4">
        <f>IF('Raw Data'!E42&lt;&gt;"",'Raw Data'!E42,"")</f>
        <v/>
      </c>
      <c r="F55" s="14">
        <f>IF('Raw Data'!A42&lt;&gt;"",AVERAGE('Raw Data'!F42,'Raw Data'!H42,'Raw Data'!J42,'Raw Data'!L42,'Raw Data'!N42),"")</f>
        <v/>
      </c>
      <c r="G55" s="14">
        <f>IF('Raw Data'!A42&lt;&gt;"",AVERAGE('Raw Data'!G42,'Raw Data'!I42,'Raw Data'!K42,'Raw Data'!M42,'Raw Data'!O42),"")</f>
        <v/>
      </c>
      <c r="H55" s="14">
        <f>IF(F55&lt;&gt;"",F55-G55,"")</f>
        <v/>
      </c>
      <c r="I55" s="14">
        <f>IF('Raw Data'!A42&lt;&gt;"",AVERAGE('Raw Data'!P42,'Raw Data'!R42,'Raw Data'!T42,'Raw Data'!V42,'Raw Data'!X42),"")</f>
        <v/>
      </c>
      <c r="J55" s="14">
        <f>IF('Raw Data'!A42&lt;&gt;"",AVERAGE('Raw Data'!Q42,'Raw Data'!S42,'Raw Data'!U42,'Raw Data'!W42,'Raw Data'!Y42),"")</f>
        <v/>
      </c>
      <c r="K55" s="14">
        <f>IF(I55&lt;&gt;"",I55-J55,"")</f>
        <v/>
      </c>
      <c r="L55" s="14">
        <f>IF('Raw Data'!A42&lt;&gt;"",AVERAGE('Raw Data'!Z42,'Raw Data'!AB42,'Raw Data'!AD42,'Raw Data'!AF42,'Raw Data'!AH42),"")</f>
        <v/>
      </c>
      <c r="M55" s="14">
        <f>IF('Raw Data'!A42&lt;&gt;"",AVERAGE('Raw Data'!AA42,'Raw Data'!AC42,'Raw Data'!AE42,'Raw Data'!AG42,'Raw Data'!AI42),"")</f>
        <v/>
      </c>
      <c r="N55" s="14">
        <f>IF(L55&lt;&gt;"",L55-M55,"")</f>
        <v/>
      </c>
      <c r="O55" s="14">
        <f>IF('Raw Data'!A42&lt;&gt;"",AVERAGE('Raw Data'!AJ42,'Raw Data'!AL42,'Raw Data'!AN42,'Raw Data'!AP42,'Raw Data'!AR42),"")</f>
        <v/>
      </c>
      <c r="P55" s="14">
        <f>IF('Raw Data'!A42&lt;&gt;"",AVERAGE('Raw Data'!AK42,'Raw Data'!AM42,'Raw Data'!AO42,'Raw Data'!AQ42,'Raw Data'!AS42),"")</f>
        <v/>
      </c>
      <c r="Q55" s="14">
        <f>IF(O55&lt;&gt;"",O55-P55,"")</f>
        <v/>
      </c>
      <c r="R55" s="14">
        <f>IF('Raw Data'!A42&lt;&gt;"",AVERAGE('Raw Data'!AT42,'Raw Data'!AV42,'Raw Data'!AX42,'Raw Data'!AZ42,'Raw Data'!BB42),"")</f>
        <v/>
      </c>
      <c r="S55" s="14">
        <f>IF('Raw Data'!A42&lt;&gt;"",AVERAGE('Raw Data'!AU42,'Raw Data'!AW42,'Raw Data'!AY42,'Raw Data'!BA42,'Raw Data'!BC42),"")</f>
        <v/>
      </c>
      <c r="T55" s="14">
        <f>IF(R55&lt;&gt;"",R55-S55,"")</f>
        <v/>
      </c>
      <c r="U55" s="14">
        <f>IF('Raw Data'!A42&lt;&gt;"",AVERAGE('Raw Data'!BD42,'Raw Data'!BF42,'Raw Data'!BH42,'Raw Data'!BJ42,'Raw Data'!BL42),"")</f>
        <v/>
      </c>
      <c r="V55" s="14">
        <f>IF('Raw Data'!A42&lt;&gt;"",AVERAGE('Raw Data'!BE42,'Raw Data'!BG42,'Raw Data'!BI42,'Raw Data'!BK42,'Raw Data'!BM42),"")</f>
        <v/>
      </c>
      <c r="W55" s="14">
        <f>IF(U55&lt;&gt;"",U55-V55,"")</f>
        <v/>
      </c>
      <c r="X55" s="14">
        <f>IF(A55&lt;&gt;"",AVERAGE(F55,I55,L55,O55,R55,U55),"")</f>
        <v/>
      </c>
      <c r="Y55" s="14">
        <f>IF(A55&lt;&gt;"",AVERAGE(G55,J55,M55,P55,S55,V55),"")</f>
        <v/>
      </c>
      <c r="Z55" s="14">
        <f>IF(A55&lt;&gt;"",X55-Y55,"")</f>
        <v/>
      </c>
      <c r="AA55" s="15">
        <f>IF(A55&lt;&gt;"",ROUND(MIN(100,100*((MAX(0,K55)*0.25)+(MAX(0,Q55)*0.20)+(MAX(0,W55)*0.20)+(MAX(0,H55)*0.15)+(MAX(0,N55)*0.10)+(MAX(0,T55)*0.10))/9),1),"")</f>
        <v/>
      </c>
      <c r="AB55" s="28">
        <f>IF(A55&lt;&gt;"",MIN(1,(0.5*AA55/100)+(0.3*MAX(0,K55)/9)+(0.2*MAX(0,Q55)/9)),"")</f>
        <v/>
      </c>
    </row>
    <row r="56">
      <c r="A56" s="13">
        <f>IF('Raw Data'!A43&lt;&gt;"",'Raw Data'!A43,"")</f>
        <v/>
      </c>
      <c r="B56" s="13">
        <f>IF('Raw Data'!B43&lt;&gt;"",'Raw Data'!B43,"")</f>
        <v/>
      </c>
      <c r="C56" s="13">
        <f>IF('Raw Data'!C43&lt;&gt;"",'Raw Data'!C43,"")</f>
        <v/>
      </c>
      <c r="D56" s="13">
        <f>IF('Raw Data'!D43&lt;&gt;"",'Raw Data'!D43,"")</f>
        <v/>
      </c>
      <c r="E56" s="13">
        <f>IF('Raw Data'!E43&lt;&gt;"",'Raw Data'!E43,"")</f>
        <v/>
      </c>
      <c r="F56" s="17">
        <f>IF('Raw Data'!A43&lt;&gt;"",AVERAGE('Raw Data'!F43,'Raw Data'!H43,'Raw Data'!J43,'Raw Data'!L43,'Raw Data'!N43),"")</f>
        <v/>
      </c>
      <c r="G56" s="17">
        <f>IF('Raw Data'!A43&lt;&gt;"",AVERAGE('Raw Data'!G43,'Raw Data'!I43,'Raw Data'!K43,'Raw Data'!M43,'Raw Data'!O43),"")</f>
        <v/>
      </c>
      <c r="H56" s="17">
        <f>IF(F56&lt;&gt;"",F56-G56,"")</f>
        <v/>
      </c>
      <c r="I56" s="17">
        <f>IF('Raw Data'!A43&lt;&gt;"",AVERAGE('Raw Data'!P43,'Raw Data'!R43,'Raw Data'!T43,'Raw Data'!V43,'Raw Data'!X43),"")</f>
        <v/>
      </c>
      <c r="J56" s="17">
        <f>IF('Raw Data'!A43&lt;&gt;"",AVERAGE('Raw Data'!Q43,'Raw Data'!S43,'Raw Data'!U43,'Raw Data'!W43,'Raw Data'!Y43),"")</f>
        <v/>
      </c>
      <c r="K56" s="17">
        <f>IF(I56&lt;&gt;"",I56-J56,"")</f>
        <v/>
      </c>
      <c r="L56" s="17">
        <f>IF('Raw Data'!A43&lt;&gt;"",AVERAGE('Raw Data'!Z43,'Raw Data'!AB43,'Raw Data'!AD43,'Raw Data'!AF43,'Raw Data'!AH43),"")</f>
        <v/>
      </c>
      <c r="M56" s="17">
        <f>IF('Raw Data'!A43&lt;&gt;"",AVERAGE('Raw Data'!AA43,'Raw Data'!AC43,'Raw Data'!AE43,'Raw Data'!AG43,'Raw Data'!AI43),"")</f>
        <v/>
      </c>
      <c r="N56" s="17">
        <f>IF(L56&lt;&gt;"",L56-M56,"")</f>
        <v/>
      </c>
      <c r="O56" s="17">
        <f>IF('Raw Data'!A43&lt;&gt;"",AVERAGE('Raw Data'!AJ43,'Raw Data'!AL43,'Raw Data'!AN43,'Raw Data'!AP43,'Raw Data'!AR43),"")</f>
        <v/>
      </c>
      <c r="P56" s="17">
        <f>IF('Raw Data'!A43&lt;&gt;"",AVERAGE('Raw Data'!AK43,'Raw Data'!AM43,'Raw Data'!AO43,'Raw Data'!AQ43,'Raw Data'!AS43),"")</f>
        <v/>
      </c>
      <c r="Q56" s="17">
        <f>IF(O56&lt;&gt;"",O56-P56,"")</f>
        <v/>
      </c>
      <c r="R56" s="17">
        <f>IF('Raw Data'!A43&lt;&gt;"",AVERAGE('Raw Data'!AT43,'Raw Data'!AV43,'Raw Data'!AX43,'Raw Data'!AZ43,'Raw Data'!BB43),"")</f>
        <v/>
      </c>
      <c r="S56" s="17">
        <f>IF('Raw Data'!A43&lt;&gt;"",AVERAGE('Raw Data'!AU43,'Raw Data'!AW43,'Raw Data'!AY43,'Raw Data'!BA43,'Raw Data'!BC43),"")</f>
        <v/>
      </c>
      <c r="T56" s="17">
        <f>IF(R56&lt;&gt;"",R56-S56,"")</f>
        <v/>
      </c>
      <c r="U56" s="17">
        <f>IF('Raw Data'!A43&lt;&gt;"",AVERAGE('Raw Data'!BD43,'Raw Data'!BF43,'Raw Data'!BH43,'Raw Data'!BJ43,'Raw Data'!BL43),"")</f>
        <v/>
      </c>
      <c r="V56" s="17">
        <f>IF('Raw Data'!A43&lt;&gt;"",AVERAGE('Raw Data'!BE43,'Raw Data'!BG43,'Raw Data'!BI43,'Raw Data'!BK43,'Raw Data'!BM43),"")</f>
        <v/>
      </c>
      <c r="W56" s="17">
        <f>IF(U56&lt;&gt;"",U56-V56,"")</f>
        <v/>
      </c>
      <c r="X56" s="17">
        <f>IF(A56&lt;&gt;"",AVERAGE(F56,I56,L56,O56,R56,U56),"")</f>
        <v/>
      </c>
      <c r="Y56" s="17">
        <f>IF(A56&lt;&gt;"",AVERAGE(G56,J56,M56,P56,S56,V56),"")</f>
        <v/>
      </c>
      <c r="Z56" s="17">
        <f>IF(A56&lt;&gt;"",X56-Y56,"")</f>
        <v/>
      </c>
      <c r="AA56" s="18">
        <f>IF(A56&lt;&gt;"",ROUND(MIN(100,100*((MAX(0,K56)*0.25)+(MAX(0,Q56)*0.20)+(MAX(0,W56)*0.20)+(MAX(0,H56)*0.15)+(MAX(0,N56)*0.10)+(MAX(0,T56)*0.10))/9),1),"")</f>
        <v/>
      </c>
      <c r="AB56" s="29">
        <f>IF(A56&lt;&gt;"",MIN(1,(0.5*AA56/100)+(0.3*MAX(0,K56)/9)+(0.2*MAX(0,Q56)/9)),"")</f>
        <v/>
      </c>
    </row>
    <row r="57">
      <c r="A57" s="4">
        <f>IF('Raw Data'!A44&lt;&gt;"",'Raw Data'!A44,"")</f>
        <v/>
      </c>
      <c r="B57" s="4">
        <f>IF('Raw Data'!B44&lt;&gt;"",'Raw Data'!B44,"")</f>
        <v/>
      </c>
      <c r="C57" s="4">
        <f>IF('Raw Data'!C44&lt;&gt;"",'Raw Data'!C44,"")</f>
        <v/>
      </c>
      <c r="D57" s="4">
        <f>IF('Raw Data'!D44&lt;&gt;"",'Raw Data'!D44,"")</f>
        <v/>
      </c>
      <c r="E57" s="4">
        <f>IF('Raw Data'!E44&lt;&gt;"",'Raw Data'!E44,"")</f>
        <v/>
      </c>
      <c r="F57" s="14">
        <f>IF('Raw Data'!A44&lt;&gt;"",AVERAGE('Raw Data'!F44,'Raw Data'!H44,'Raw Data'!J44,'Raw Data'!L44,'Raw Data'!N44),"")</f>
        <v/>
      </c>
      <c r="G57" s="14">
        <f>IF('Raw Data'!A44&lt;&gt;"",AVERAGE('Raw Data'!G44,'Raw Data'!I44,'Raw Data'!K44,'Raw Data'!M44,'Raw Data'!O44),"")</f>
        <v/>
      </c>
      <c r="H57" s="14">
        <f>IF(F57&lt;&gt;"",F57-G57,"")</f>
        <v/>
      </c>
      <c r="I57" s="14">
        <f>IF('Raw Data'!A44&lt;&gt;"",AVERAGE('Raw Data'!P44,'Raw Data'!R44,'Raw Data'!T44,'Raw Data'!V44,'Raw Data'!X44),"")</f>
        <v/>
      </c>
      <c r="J57" s="14">
        <f>IF('Raw Data'!A44&lt;&gt;"",AVERAGE('Raw Data'!Q44,'Raw Data'!S44,'Raw Data'!U44,'Raw Data'!W44,'Raw Data'!Y44),"")</f>
        <v/>
      </c>
      <c r="K57" s="14">
        <f>IF(I57&lt;&gt;"",I57-J57,"")</f>
        <v/>
      </c>
      <c r="L57" s="14">
        <f>IF('Raw Data'!A44&lt;&gt;"",AVERAGE('Raw Data'!Z44,'Raw Data'!AB44,'Raw Data'!AD44,'Raw Data'!AF44,'Raw Data'!AH44),"")</f>
        <v/>
      </c>
      <c r="M57" s="14">
        <f>IF('Raw Data'!A44&lt;&gt;"",AVERAGE('Raw Data'!AA44,'Raw Data'!AC44,'Raw Data'!AE44,'Raw Data'!AG44,'Raw Data'!AI44),"")</f>
        <v/>
      </c>
      <c r="N57" s="14">
        <f>IF(L57&lt;&gt;"",L57-M57,"")</f>
        <v/>
      </c>
      <c r="O57" s="14">
        <f>IF('Raw Data'!A44&lt;&gt;"",AVERAGE('Raw Data'!AJ44,'Raw Data'!AL44,'Raw Data'!AN44,'Raw Data'!AP44,'Raw Data'!AR44),"")</f>
        <v/>
      </c>
      <c r="P57" s="14">
        <f>IF('Raw Data'!A44&lt;&gt;"",AVERAGE('Raw Data'!AK44,'Raw Data'!AM44,'Raw Data'!AO44,'Raw Data'!AQ44,'Raw Data'!AS44),"")</f>
        <v/>
      </c>
      <c r="Q57" s="14">
        <f>IF(O57&lt;&gt;"",O57-P57,"")</f>
        <v/>
      </c>
      <c r="R57" s="14">
        <f>IF('Raw Data'!A44&lt;&gt;"",AVERAGE('Raw Data'!AT44,'Raw Data'!AV44,'Raw Data'!AX44,'Raw Data'!AZ44,'Raw Data'!BB44),"")</f>
        <v/>
      </c>
      <c r="S57" s="14">
        <f>IF('Raw Data'!A44&lt;&gt;"",AVERAGE('Raw Data'!AU44,'Raw Data'!AW44,'Raw Data'!AY44,'Raw Data'!BA44,'Raw Data'!BC44),"")</f>
        <v/>
      </c>
      <c r="T57" s="14">
        <f>IF(R57&lt;&gt;"",R57-S57,"")</f>
        <v/>
      </c>
      <c r="U57" s="14">
        <f>IF('Raw Data'!A44&lt;&gt;"",AVERAGE('Raw Data'!BD44,'Raw Data'!BF44,'Raw Data'!BH44,'Raw Data'!BJ44,'Raw Data'!BL44),"")</f>
        <v/>
      </c>
      <c r="V57" s="14">
        <f>IF('Raw Data'!A44&lt;&gt;"",AVERAGE('Raw Data'!BE44,'Raw Data'!BG44,'Raw Data'!BI44,'Raw Data'!BK44,'Raw Data'!BM44),"")</f>
        <v/>
      </c>
      <c r="W57" s="14">
        <f>IF(U57&lt;&gt;"",U57-V57,"")</f>
        <v/>
      </c>
      <c r="X57" s="14">
        <f>IF(A57&lt;&gt;"",AVERAGE(F57,I57,L57,O57,R57,U57),"")</f>
        <v/>
      </c>
      <c r="Y57" s="14">
        <f>IF(A57&lt;&gt;"",AVERAGE(G57,J57,M57,P57,S57,V57),"")</f>
        <v/>
      </c>
      <c r="Z57" s="14">
        <f>IF(A57&lt;&gt;"",X57-Y57,"")</f>
        <v/>
      </c>
      <c r="AA57" s="15">
        <f>IF(A57&lt;&gt;"",ROUND(MIN(100,100*((MAX(0,K57)*0.25)+(MAX(0,Q57)*0.20)+(MAX(0,W57)*0.20)+(MAX(0,H57)*0.15)+(MAX(0,N57)*0.10)+(MAX(0,T57)*0.10))/9),1),"")</f>
        <v/>
      </c>
      <c r="AB57" s="28">
        <f>IF(A57&lt;&gt;"",MIN(1,(0.5*AA57/100)+(0.3*MAX(0,K57)/9)+(0.2*MAX(0,Q57)/9)),"")</f>
        <v/>
      </c>
    </row>
    <row r="58">
      <c r="A58" s="13">
        <f>IF('Raw Data'!A45&lt;&gt;"",'Raw Data'!A45,"")</f>
        <v/>
      </c>
      <c r="B58" s="13">
        <f>IF('Raw Data'!B45&lt;&gt;"",'Raw Data'!B45,"")</f>
        <v/>
      </c>
      <c r="C58" s="13">
        <f>IF('Raw Data'!C45&lt;&gt;"",'Raw Data'!C45,"")</f>
        <v/>
      </c>
      <c r="D58" s="13">
        <f>IF('Raw Data'!D45&lt;&gt;"",'Raw Data'!D45,"")</f>
        <v/>
      </c>
      <c r="E58" s="13">
        <f>IF('Raw Data'!E45&lt;&gt;"",'Raw Data'!E45,"")</f>
        <v/>
      </c>
      <c r="F58" s="17">
        <f>IF('Raw Data'!A45&lt;&gt;"",AVERAGE('Raw Data'!F45,'Raw Data'!H45,'Raw Data'!J45,'Raw Data'!L45,'Raw Data'!N45),"")</f>
        <v/>
      </c>
      <c r="G58" s="17">
        <f>IF('Raw Data'!A45&lt;&gt;"",AVERAGE('Raw Data'!G45,'Raw Data'!I45,'Raw Data'!K45,'Raw Data'!M45,'Raw Data'!O45),"")</f>
        <v/>
      </c>
      <c r="H58" s="17">
        <f>IF(F58&lt;&gt;"",F58-G58,"")</f>
        <v/>
      </c>
      <c r="I58" s="17">
        <f>IF('Raw Data'!A45&lt;&gt;"",AVERAGE('Raw Data'!P45,'Raw Data'!R45,'Raw Data'!T45,'Raw Data'!V45,'Raw Data'!X45),"")</f>
        <v/>
      </c>
      <c r="J58" s="17">
        <f>IF('Raw Data'!A45&lt;&gt;"",AVERAGE('Raw Data'!Q45,'Raw Data'!S45,'Raw Data'!U45,'Raw Data'!W45,'Raw Data'!Y45),"")</f>
        <v/>
      </c>
      <c r="K58" s="17">
        <f>IF(I58&lt;&gt;"",I58-J58,"")</f>
        <v/>
      </c>
      <c r="L58" s="17">
        <f>IF('Raw Data'!A45&lt;&gt;"",AVERAGE('Raw Data'!Z45,'Raw Data'!AB45,'Raw Data'!AD45,'Raw Data'!AF45,'Raw Data'!AH45),"")</f>
        <v/>
      </c>
      <c r="M58" s="17">
        <f>IF('Raw Data'!A45&lt;&gt;"",AVERAGE('Raw Data'!AA45,'Raw Data'!AC45,'Raw Data'!AE45,'Raw Data'!AG45,'Raw Data'!AI45),"")</f>
        <v/>
      </c>
      <c r="N58" s="17">
        <f>IF(L58&lt;&gt;"",L58-M58,"")</f>
        <v/>
      </c>
      <c r="O58" s="17">
        <f>IF('Raw Data'!A45&lt;&gt;"",AVERAGE('Raw Data'!AJ45,'Raw Data'!AL45,'Raw Data'!AN45,'Raw Data'!AP45,'Raw Data'!AR45),"")</f>
        <v/>
      </c>
      <c r="P58" s="17">
        <f>IF('Raw Data'!A45&lt;&gt;"",AVERAGE('Raw Data'!AK45,'Raw Data'!AM45,'Raw Data'!AO45,'Raw Data'!AQ45,'Raw Data'!AS45),"")</f>
        <v/>
      </c>
      <c r="Q58" s="17">
        <f>IF(O58&lt;&gt;"",O58-P58,"")</f>
        <v/>
      </c>
      <c r="R58" s="17">
        <f>IF('Raw Data'!A45&lt;&gt;"",AVERAGE('Raw Data'!AT45,'Raw Data'!AV45,'Raw Data'!AX45,'Raw Data'!AZ45,'Raw Data'!BB45),"")</f>
        <v/>
      </c>
      <c r="S58" s="17">
        <f>IF('Raw Data'!A45&lt;&gt;"",AVERAGE('Raw Data'!AU45,'Raw Data'!AW45,'Raw Data'!AY45,'Raw Data'!BA45,'Raw Data'!BC45),"")</f>
        <v/>
      </c>
      <c r="T58" s="17">
        <f>IF(R58&lt;&gt;"",R58-S58,"")</f>
        <v/>
      </c>
      <c r="U58" s="17">
        <f>IF('Raw Data'!A45&lt;&gt;"",AVERAGE('Raw Data'!BD45,'Raw Data'!BF45,'Raw Data'!BH45,'Raw Data'!BJ45,'Raw Data'!BL45),"")</f>
        <v/>
      </c>
      <c r="V58" s="17">
        <f>IF('Raw Data'!A45&lt;&gt;"",AVERAGE('Raw Data'!BE45,'Raw Data'!BG45,'Raw Data'!BI45,'Raw Data'!BK45,'Raw Data'!BM45),"")</f>
        <v/>
      </c>
      <c r="W58" s="17">
        <f>IF(U58&lt;&gt;"",U58-V58,"")</f>
        <v/>
      </c>
      <c r="X58" s="17">
        <f>IF(A58&lt;&gt;"",AVERAGE(F58,I58,L58,O58,R58,U58),"")</f>
        <v/>
      </c>
      <c r="Y58" s="17">
        <f>IF(A58&lt;&gt;"",AVERAGE(G58,J58,M58,P58,S58,V58),"")</f>
        <v/>
      </c>
      <c r="Z58" s="17">
        <f>IF(A58&lt;&gt;"",X58-Y58,"")</f>
        <v/>
      </c>
      <c r="AA58" s="18">
        <f>IF(A58&lt;&gt;"",ROUND(MIN(100,100*((MAX(0,K58)*0.25)+(MAX(0,Q58)*0.20)+(MAX(0,W58)*0.20)+(MAX(0,H58)*0.15)+(MAX(0,N58)*0.10)+(MAX(0,T58)*0.10))/9),1),"")</f>
        <v/>
      </c>
      <c r="AB58" s="29">
        <f>IF(A58&lt;&gt;"",MIN(1,(0.5*AA58/100)+(0.3*MAX(0,K58)/9)+(0.2*MAX(0,Q58)/9)),"")</f>
        <v/>
      </c>
    </row>
    <row r="59">
      <c r="A59" s="4">
        <f>IF('Raw Data'!A46&lt;&gt;"",'Raw Data'!A46,"")</f>
        <v/>
      </c>
      <c r="B59" s="4">
        <f>IF('Raw Data'!B46&lt;&gt;"",'Raw Data'!B46,"")</f>
        <v/>
      </c>
      <c r="C59" s="4">
        <f>IF('Raw Data'!C46&lt;&gt;"",'Raw Data'!C46,"")</f>
        <v/>
      </c>
      <c r="D59" s="4">
        <f>IF('Raw Data'!D46&lt;&gt;"",'Raw Data'!D46,"")</f>
        <v/>
      </c>
      <c r="E59" s="4">
        <f>IF('Raw Data'!E46&lt;&gt;"",'Raw Data'!E46,"")</f>
        <v/>
      </c>
      <c r="F59" s="14">
        <f>IF('Raw Data'!A46&lt;&gt;"",AVERAGE('Raw Data'!F46,'Raw Data'!H46,'Raw Data'!J46,'Raw Data'!L46,'Raw Data'!N46),"")</f>
        <v/>
      </c>
      <c r="G59" s="14">
        <f>IF('Raw Data'!A46&lt;&gt;"",AVERAGE('Raw Data'!G46,'Raw Data'!I46,'Raw Data'!K46,'Raw Data'!M46,'Raw Data'!O46),"")</f>
        <v/>
      </c>
      <c r="H59" s="14">
        <f>IF(F59&lt;&gt;"",F59-G59,"")</f>
        <v/>
      </c>
      <c r="I59" s="14">
        <f>IF('Raw Data'!A46&lt;&gt;"",AVERAGE('Raw Data'!P46,'Raw Data'!R46,'Raw Data'!T46,'Raw Data'!V46,'Raw Data'!X46),"")</f>
        <v/>
      </c>
      <c r="J59" s="14">
        <f>IF('Raw Data'!A46&lt;&gt;"",AVERAGE('Raw Data'!Q46,'Raw Data'!S46,'Raw Data'!U46,'Raw Data'!W46,'Raw Data'!Y46),"")</f>
        <v/>
      </c>
      <c r="K59" s="14">
        <f>IF(I59&lt;&gt;"",I59-J59,"")</f>
        <v/>
      </c>
      <c r="L59" s="14">
        <f>IF('Raw Data'!A46&lt;&gt;"",AVERAGE('Raw Data'!Z46,'Raw Data'!AB46,'Raw Data'!AD46,'Raw Data'!AF46,'Raw Data'!AH46),"")</f>
        <v/>
      </c>
      <c r="M59" s="14">
        <f>IF('Raw Data'!A46&lt;&gt;"",AVERAGE('Raw Data'!AA46,'Raw Data'!AC46,'Raw Data'!AE46,'Raw Data'!AG46,'Raw Data'!AI46),"")</f>
        <v/>
      </c>
      <c r="N59" s="14">
        <f>IF(L59&lt;&gt;"",L59-M59,"")</f>
        <v/>
      </c>
      <c r="O59" s="14">
        <f>IF('Raw Data'!A46&lt;&gt;"",AVERAGE('Raw Data'!AJ46,'Raw Data'!AL46,'Raw Data'!AN46,'Raw Data'!AP46,'Raw Data'!AR46),"")</f>
        <v/>
      </c>
      <c r="P59" s="14">
        <f>IF('Raw Data'!A46&lt;&gt;"",AVERAGE('Raw Data'!AK46,'Raw Data'!AM46,'Raw Data'!AO46,'Raw Data'!AQ46,'Raw Data'!AS46),"")</f>
        <v/>
      </c>
      <c r="Q59" s="14">
        <f>IF(O59&lt;&gt;"",O59-P59,"")</f>
        <v/>
      </c>
      <c r="R59" s="14">
        <f>IF('Raw Data'!A46&lt;&gt;"",AVERAGE('Raw Data'!AT46,'Raw Data'!AV46,'Raw Data'!AX46,'Raw Data'!AZ46,'Raw Data'!BB46),"")</f>
        <v/>
      </c>
      <c r="S59" s="14">
        <f>IF('Raw Data'!A46&lt;&gt;"",AVERAGE('Raw Data'!AU46,'Raw Data'!AW46,'Raw Data'!AY46,'Raw Data'!BA46,'Raw Data'!BC46),"")</f>
        <v/>
      </c>
      <c r="T59" s="14">
        <f>IF(R59&lt;&gt;"",R59-S59,"")</f>
        <v/>
      </c>
      <c r="U59" s="14">
        <f>IF('Raw Data'!A46&lt;&gt;"",AVERAGE('Raw Data'!BD46,'Raw Data'!BF46,'Raw Data'!BH46,'Raw Data'!BJ46,'Raw Data'!BL46),"")</f>
        <v/>
      </c>
      <c r="V59" s="14">
        <f>IF('Raw Data'!A46&lt;&gt;"",AVERAGE('Raw Data'!BE46,'Raw Data'!BG46,'Raw Data'!BI46,'Raw Data'!BK46,'Raw Data'!BM46),"")</f>
        <v/>
      </c>
      <c r="W59" s="14">
        <f>IF(U59&lt;&gt;"",U59-V59,"")</f>
        <v/>
      </c>
      <c r="X59" s="14">
        <f>IF(A59&lt;&gt;"",AVERAGE(F59,I59,L59,O59,R59,U59),"")</f>
        <v/>
      </c>
      <c r="Y59" s="14">
        <f>IF(A59&lt;&gt;"",AVERAGE(G59,J59,M59,P59,S59,V59),"")</f>
        <v/>
      </c>
      <c r="Z59" s="14">
        <f>IF(A59&lt;&gt;"",X59-Y59,"")</f>
        <v/>
      </c>
      <c r="AA59" s="15">
        <f>IF(A59&lt;&gt;"",ROUND(MIN(100,100*((MAX(0,K59)*0.25)+(MAX(0,Q59)*0.20)+(MAX(0,W59)*0.20)+(MAX(0,H59)*0.15)+(MAX(0,N59)*0.10)+(MAX(0,T59)*0.10))/9),1),"")</f>
        <v/>
      </c>
      <c r="AB59" s="28">
        <f>IF(A59&lt;&gt;"",MIN(1,(0.5*AA59/100)+(0.3*MAX(0,K59)/9)+(0.2*MAX(0,Q59)/9)),"")</f>
        <v/>
      </c>
    </row>
    <row r="60">
      <c r="A60" s="13">
        <f>IF('Raw Data'!A47&lt;&gt;"",'Raw Data'!A47,"")</f>
        <v/>
      </c>
      <c r="B60" s="13">
        <f>IF('Raw Data'!B47&lt;&gt;"",'Raw Data'!B47,"")</f>
        <v/>
      </c>
      <c r="C60" s="13">
        <f>IF('Raw Data'!C47&lt;&gt;"",'Raw Data'!C47,"")</f>
        <v/>
      </c>
      <c r="D60" s="13">
        <f>IF('Raw Data'!D47&lt;&gt;"",'Raw Data'!D47,"")</f>
        <v/>
      </c>
      <c r="E60" s="13">
        <f>IF('Raw Data'!E47&lt;&gt;"",'Raw Data'!E47,"")</f>
        <v/>
      </c>
      <c r="F60" s="17">
        <f>IF('Raw Data'!A47&lt;&gt;"",AVERAGE('Raw Data'!F47,'Raw Data'!H47,'Raw Data'!J47,'Raw Data'!L47,'Raw Data'!N47),"")</f>
        <v/>
      </c>
      <c r="G60" s="17">
        <f>IF('Raw Data'!A47&lt;&gt;"",AVERAGE('Raw Data'!G47,'Raw Data'!I47,'Raw Data'!K47,'Raw Data'!M47,'Raw Data'!O47),"")</f>
        <v/>
      </c>
      <c r="H60" s="17">
        <f>IF(F60&lt;&gt;"",F60-G60,"")</f>
        <v/>
      </c>
      <c r="I60" s="17">
        <f>IF('Raw Data'!A47&lt;&gt;"",AVERAGE('Raw Data'!P47,'Raw Data'!R47,'Raw Data'!T47,'Raw Data'!V47,'Raw Data'!X47),"")</f>
        <v/>
      </c>
      <c r="J60" s="17">
        <f>IF('Raw Data'!A47&lt;&gt;"",AVERAGE('Raw Data'!Q47,'Raw Data'!S47,'Raw Data'!U47,'Raw Data'!W47,'Raw Data'!Y47),"")</f>
        <v/>
      </c>
      <c r="K60" s="17">
        <f>IF(I60&lt;&gt;"",I60-J60,"")</f>
        <v/>
      </c>
      <c r="L60" s="17">
        <f>IF('Raw Data'!A47&lt;&gt;"",AVERAGE('Raw Data'!Z47,'Raw Data'!AB47,'Raw Data'!AD47,'Raw Data'!AF47,'Raw Data'!AH47),"")</f>
        <v/>
      </c>
      <c r="M60" s="17">
        <f>IF('Raw Data'!A47&lt;&gt;"",AVERAGE('Raw Data'!AA47,'Raw Data'!AC47,'Raw Data'!AE47,'Raw Data'!AG47,'Raw Data'!AI47),"")</f>
        <v/>
      </c>
      <c r="N60" s="17">
        <f>IF(L60&lt;&gt;"",L60-M60,"")</f>
        <v/>
      </c>
      <c r="O60" s="17">
        <f>IF('Raw Data'!A47&lt;&gt;"",AVERAGE('Raw Data'!AJ47,'Raw Data'!AL47,'Raw Data'!AN47,'Raw Data'!AP47,'Raw Data'!AR47),"")</f>
        <v/>
      </c>
      <c r="P60" s="17">
        <f>IF('Raw Data'!A47&lt;&gt;"",AVERAGE('Raw Data'!AK47,'Raw Data'!AM47,'Raw Data'!AO47,'Raw Data'!AQ47,'Raw Data'!AS47),"")</f>
        <v/>
      </c>
      <c r="Q60" s="17">
        <f>IF(O60&lt;&gt;"",O60-P60,"")</f>
        <v/>
      </c>
      <c r="R60" s="17">
        <f>IF('Raw Data'!A47&lt;&gt;"",AVERAGE('Raw Data'!AT47,'Raw Data'!AV47,'Raw Data'!AX47,'Raw Data'!AZ47,'Raw Data'!BB47),"")</f>
        <v/>
      </c>
      <c r="S60" s="17">
        <f>IF('Raw Data'!A47&lt;&gt;"",AVERAGE('Raw Data'!AU47,'Raw Data'!AW47,'Raw Data'!AY47,'Raw Data'!BA47,'Raw Data'!BC47),"")</f>
        <v/>
      </c>
      <c r="T60" s="17">
        <f>IF(R60&lt;&gt;"",R60-S60,"")</f>
        <v/>
      </c>
      <c r="U60" s="17">
        <f>IF('Raw Data'!A47&lt;&gt;"",AVERAGE('Raw Data'!BD47,'Raw Data'!BF47,'Raw Data'!BH47,'Raw Data'!BJ47,'Raw Data'!BL47),"")</f>
        <v/>
      </c>
      <c r="V60" s="17">
        <f>IF('Raw Data'!A47&lt;&gt;"",AVERAGE('Raw Data'!BE47,'Raw Data'!BG47,'Raw Data'!BI47,'Raw Data'!BK47,'Raw Data'!BM47),"")</f>
        <v/>
      </c>
      <c r="W60" s="17">
        <f>IF(U60&lt;&gt;"",U60-V60,"")</f>
        <v/>
      </c>
      <c r="X60" s="17">
        <f>IF(A60&lt;&gt;"",AVERAGE(F60,I60,L60,O60,R60,U60),"")</f>
        <v/>
      </c>
      <c r="Y60" s="17">
        <f>IF(A60&lt;&gt;"",AVERAGE(G60,J60,M60,P60,S60,V60),"")</f>
        <v/>
      </c>
      <c r="Z60" s="17">
        <f>IF(A60&lt;&gt;"",X60-Y60,"")</f>
        <v/>
      </c>
      <c r="AA60" s="18">
        <f>IF(A60&lt;&gt;"",ROUND(MIN(100,100*((MAX(0,K60)*0.25)+(MAX(0,Q60)*0.20)+(MAX(0,W60)*0.20)+(MAX(0,H60)*0.15)+(MAX(0,N60)*0.10)+(MAX(0,T60)*0.10))/9),1),"")</f>
        <v/>
      </c>
      <c r="AB60" s="29">
        <f>IF(A60&lt;&gt;"",MIN(1,(0.5*AA60/100)+(0.3*MAX(0,K60)/9)+(0.2*MAX(0,Q60)/9)),"")</f>
        <v/>
      </c>
    </row>
    <row r="61">
      <c r="A61" s="4">
        <f>IF('Raw Data'!A48&lt;&gt;"",'Raw Data'!A48,"")</f>
        <v/>
      </c>
      <c r="B61" s="4">
        <f>IF('Raw Data'!B48&lt;&gt;"",'Raw Data'!B48,"")</f>
        <v/>
      </c>
      <c r="C61" s="4">
        <f>IF('Raw Data'!C48&lt;&gt;"",'Raw Data'!C48,"")</f>
        <v/>
      </c>
      <c r="D61" s="4">
        <f>IF('Raw Data'!D48&lt;&gt;"",'Raw Data'!D48,"")</f>
        <v/>
      </c>
      <c r="E61" s="4">
        <f>IF('Raw Data'!E48&lt;&gt;"",'Raw Data'!E48,"")</f>
        <v/>
      </c>
      <c r="F61" s="14">
        <f>IF('Raw Data'!A48&lt;&gt;"",AVERAGE('Raw Data'!F48,'Raw Data'!H48,'Raw Data'!J48,'Raw Data'!L48,'Raw Data'!N48),"")</f>
        <v/>
      </c>
      <c r="G61" s="14">
        <f>IF('Raw Data'!A48&lt;&gt;"",AVERAGE('Raw Data'!G48,'Raw Data'!I48,'Raw Data'!K48,'Raw Data'!M48,'Raw Data'!O48),"")</f>
        <v/>
      </c>
      <c r="H61" s="14">
        <f>IF(F61&lt;&gt;"",F61-G61,"")</f>
        <v/>
      </c>
      <c r="I61" s="14">
        <f>IF('Raw Data'!A48&lt;&gt;"",AVERAGE('Raw Data'!P48,'Raw Data'!R48,'Raw Data'!T48,'Raw Data'!V48,'Raw Data'!X48),"")</f>
        <v/>
      </c>
      <c r="J61" s="14">
        <f>IF('Raw Data'!A48&lt;&gt;"",AVERAGE('Raw Data'!Q48,'Raw Data'!S48,'Raw Data'!U48,'Raw Data'!W48,'Raw Data'!Y48),"")</f>
        <v/>
      </c>
      <c r="K61" s="14">
        <f>IF(I61&lt;&gt;"",I61-J61,"")</f>
        <v/>
      </c>
      <c r="L61" s="14">
        <f>IF('Raw Data'!A48&lt;&gt;"",AVERAGE('Raw Data'!Z48,'Raw Data'!AB48,'Raw Data'!AD48,'Raw Data'!AF48,'Raw Data'!AH48),"")</f>
        <v/>
      </c>
      <c r="M61" s="14">
        <f>IF('Raw Data'!A48&lt;&gt;"",AVERAGE('Raw Data'!AA48,'Raw Data'!AC48,'Raw Data'!AE48,'Raw Data'!AG48,'Raw Data'!AI48),"")</f>
        <v/>
      </c>
      <c r="N61" s="14">
        <f>IF(L61&lt;&gt;"",L61-M61,"")</f>
        <v/>
      </c>
      <c r="O61" s="14">
        <f>IF('Raw Data'!A48&lt;&gt;"",AVERAGE('Raw Data'!AJ48,'Raw Data'!AL48,'Raw Data'!AN48,'Raw Data'!AP48,'Raw Data'!AR48),"")</f>
        <v/>
      </c>
      <c r="P61" s="14">
        <f>IF('Raw Data'!A48&lt;&gt;"",AVERAGE('Raw Data'!AK48,'Raw Data'!AM48,'Raw Data'!AO48,'Raw Data'!AQ48,'Raw Data'!AS48),"")</f>
        <v/>
      </c>
      <c r="Q61" s="14">
        <f>IF(O61&lt;&gt;"",O61-P61,"")</f>
        <v/>
      </c>
      <c r="R61" s="14">
        <f>IF('Raw Data'!A48&lt;&gt;"",AVERAGE('Raw Data'!AT48,'Raw Data'!AV48,'Raw Data'!AX48,'Raw Data'!AZ48,'Raw Data'!BB48),"")</f>
        <v/>
      </c>
      <c r="S61" s="14">
        <f>IF('Raw Data'!A48&lt;&gt;"",AVERAGE('Raw Data'!AU48,'Raw Data'!AW48,'Raw Data'!AY48,'Raw Data'!BA48,'Raw Data'!BC48),"")</f>
        <v/>
      </c>
      <c r="T61" s="14">
        <f>IF(R61&lt;&gt;"",R61-S61,"")</f>
        <v/>
      </c>
      <c r="U61" s="14">
        <f>IF('Raw Data'!A48&lt;&gt;"",AVERAGE('Raw Data'!BD48,'Raw Data'!BF48,'Raw Data'!BH48,'Raw Data'!BJ48,'Raw Data'!BL48),"")</f>
        <v/>
      </c>
      <c r="V61" s="14">
        <f>IF('Raw Data'!A48&lt;&gt;"",AVERAGE('Raw Data'!BE48,'Raw Data'!BG48,'Raw Data'!BI48,'Raw Data'!BK48,'Raw Data'!BM48),"")</f>
        <v/>
      </c>
      <c r="W61" s="14">
        <f>IF(U61&lt;&gt;"",U61-V61,"")</f>
        <v/>
      </c>
      <c r="X61" s="14">
        <f>IF(A61&lt;&gt;"",AVERAGE(F61,I61,L61,O61,R61,U61),"")</f>
        <v/>
      </c>
      <c r="Y61" s="14">
        <f>IF(A61&lt;&gt;"",AVERAGE(G61,J61,M61,P61,S61,V61),"")</f>
        <v/>
      </c>
      <c r="Z61" s="14">
        <f>IF(A61&lt;&gt;"",X61-Y61,"")</f>
        <v/>
      </c>
      <c r="AA61" s="15">
        <f>IF(A61&lt;&gt;"",ROUND(MIN(100,100*((MAX(0,K61)*0.25)+(MAX(0,Q61)*0.20)+(MAX(0,W61)*0.20)+(MAX(0,H61)*0.15)+(MAX(0,N61)*0.10)+(MAX(0,T61)*0.10))/9),1),"")</f>
        <v/>
      </c>
      <c r="AB61" s="28">
        <f>IF(A61&lt;&gt;"",MIN(1,(0.5*AA61/100)+(0.3*MAX(0,K61)/9)+(0.2*MAX(0,Q61)/9)),"")</f>
        <v/>
      </c>
    </row>
    <row r="62">
      <c r="A62" s="13">
        <f>IF('Raw Data'!A49&lt;&gt;"",'Raw Data'!A49,"")</f>
        <v/>
      </c>
      <c r="B62" s="13">
        <f>IF('Raw Data'!B49&lt;&gt;"",'Raw Data'!B49,"")</f>
        <v/>
      </c>
      <c r="C62" s="13">
        <f>IF('Raw Data'!C49&lt;&gt;"",'Raw Data'!C49,"")</f>
        <v/>
      </c>
      <c r="D62" s="13">
        <f>IF('Raw Data'!D49&lt;&gt;"",'Raw Data'!D49,"")</f>
        <v/>
      </c>
      <c r="E62" s="13">
        <f>IF('Raw Data'!E49&lt;&gt;"",'Raw Data'!E49,"")</f>
        <v/>
      </c>
      <c r="F62" s="17">
        <f>IF('Raw Data'!A49&lt;&gt;"",AVERAGE('Raw Data'!F49,'Raw Data'!H49,'Raw Data'!J49,'Raw Data'!L49,'Raw Data'!N49),"")</f>
        <v/>
      </c>
      <c r="G62" s="17">
        <f>IF('Raw Data'!A49&lt;&gt;"",AVERAGE('Raw Data'!G49,'Raw Data'!I49,'Raw Data'!K49,'Raw Data'!M49,'Raw Data'!O49),"")</f>
        <v/>
      </c>
      <c r="H62" s="17">
        <f>IF(F62&lt;&gt;"",F62-G62,"")</f>
        <v/>
      </c>
      <c r="I62" s="17">
        <f>IF('Raw Data'!A49&lt;&gt;"",AVERAGE('Raw Data'!P49,'Raw Data'!R49,'Raw Data'!T49,'Raw Data'!V49,'Raw Data'!X49),"")</f>
        <v/>
      </c>
      <c r="J62" s="17">
        <f>IF('Raw Data'!A49&lt;&gt;"",AVERAGE('Raw Data'!Q49,'Raw Data'!S49,'Raw Data'!U49,'Raw Data'!W49,'Raw Data'!Y49),"")</f>
        <v/>
      </c>
      <c r="K62" s="17">
        <f>IF(I62&lt;&gt;"",I62-J62,"")</f>
        <v/>
      </c>
      <c r="L62" s="17">
        <f>IF('Raw Data'!A49&lt;&gt;"",AVERAGE('Raw Data'!Z49,'Raw Data'!AB49,'Raw Data'!AD49,'Raw Data'!AF49,'Raw Data'!AH49),"")</f>
        <v/>
      </c>
      <c r="M62" s="17">
        <f>IF('Raw Data'!A49&lt;&gt;"",AVERAGE('Raw Data'!AA49,'Raw Data'!AC49,'Raw Data'!AE49,'Raw Data'!AG49,'Raw Data'!AI49),"")</f>
        <v/>
      </c>
      <c r="N62" s="17">
        <f>IF(L62&lt;&gt;"",L62-M62,"")</f>
        <v/>
      </c>
      <c r="O62" s="17">
        <f>IF('Raw Data'!A49&lt;&gt;"",AVERAGE('Raw Data'!AJ49,'Raw Data'!AL49,'Raw Data'!AN49,'Raw Data'!AP49,'Raw Data'!AR49),"")</f>
        <v/>
      </c>
      <c r="P62" s="17">
        <f>IF('Raw Data'!A49&lt;&gt;"",AVERAGE('Raw Data'!AK49,'Raw Data'!AM49,'Raw Data'!AO49,'Raw Data'!AQ49,'Raw Data'!AS49),"")</f>
        <v/>
      </c>
      <c r="Q62" s="17">
        <f>IF(O62&lt;&gt;"",O62-P62,"")</f>
        <v/>
      </c>
      <c r="R62" s="17">
        <f>IF('Raw Data'!A49&lt;&gt;"",AVERAGE('Raw Data'!AT49,'Raw Data'!AV49,'Raw Data'!AX49,'Raw Data'!AZ49,'Raw Data'!BB49),"")</f>
        <v/>
      </c>
      <c r="S62" s="17">
        <f>IF('Raw Data'!A49&lt;&gt;"",AVERAGE('Raw Data'!AU49,'Raw Data'!AW49,'Raw Data'!AY49,'Raw Data'!BA49,'Raw Data'!BC49),"")</f>
        <v/>
      </c>
      <c r="T62" s="17">
        <f>IF(R62&lt;&gt;"",R62-S62,"")</f>
        <v/>
      </c>
      <c r="U62" s="17">
        <f>IF('Raw Data'!A49&lt;&gt;"",AVERAGE('Raw Data'!BD49,'Raw Data'!BF49,'Raw Data'!BH49,'Raw Data'!BJ49,'Raw Data'!BL49),"")</f>
        <v/>
      </c>
      <c r="V62" s="17">
        <f>IF('Raw Data'!A49&lt;&gt;"",AVERAGE('Raw Data'!BE49,'Raw Data'!BG49,'Raw Data'!BI49,'Raw Data'!BK49,'Raw Data'!BM49),"")</f>
        <v/>
      </c>
      <c r="W62" s="17">
        <f>IF(U62&lt;&gt;"",U62-V62,"")</f>
        <v/>
      </c>
      <c r="X62" s="17">
        <f>IF(A62&lt;&gt;"",AVERAGE(F62,I62,L62,O62,R62,U62),"")</f>
        <v/>
      </c>
      <c r="Y62" s="17">
        <f>IF(A62&lt;&gt;"",AVERAGE(G62,J62,M62,P62,S62,V62),"")</f>
        <v/>
      </c>
      <c r="Z62" s="17">
        <f>IF(A62&lt;&gt;"",X62-Y62,"")</f>
        <v/>
      </c>
      <c r="AA62" s="18">
        <f>IF(A62&lt;&gt;"",ROUND(MIN(100,100*((MAX(0,K62)*0.25)+(MAX(0,Q62)*0.20)+(MAX(0,W62)*0.20)+(MAX(0,H62)*0.15)+(MAX(0,N62)*0.10)+(MAX(0,T62)*0.10))/9),1),"")</f>
        <v/>
      </c>
      <c r="AB62" s="29">
        <f>IF(A62&lt;&gt;"",MIN(1,(0.5*AA62/100)+(0.3*MAX(0,K62)/9)+(0.2*MAX(0,Q62)/9)),"")</f>
        <v/>
      </c>
    </row>
    <row r="63">
      <c r="A63" s="4">
        <f>IF('Raw Data'!A50&lt;&gt;"",'Raw Data'!A50,"")</f>
        <v/>
      </c>
      <c r="B63" s="4">
        <f>IF('Raw Data'!B50&lt;&gt;"",'Raw Data'!B50,"")</f>
        <v/>
      </c>
      <c r="C63" s="4">
        <f>IF('Raw Data'!C50&lt;&gt;"",'Raw Data'!C50,"")</f>
        <v/>
      </c>
      <c r="D63" s="4">
        <f>IF('Raw Data'!D50&lt;&gt;"",'Raw Data'!D50,"")</f>
        <v/>
      </c>
      <c r="E63" s="4">
        <f>IF('Raw Data'!E50&lt;&gt;"",'Raw Data'!E50,"")</f>
        <v/>
      </c>
      <c r="F63" s="14">
        <f>IF('Raw Data'!A50&lt;&gt;"",AVERAGE('Raw Data'!F50,'Raw Data'!H50,'Raw Data'!J50,'Raw Data'!L50,'Raw Data'!N50),"")</f>
        <v/>
      </c>
      <c r="G63" s="14">
        <f>IF('Raw Data'!A50&lt;&gt;"",AVERAGE('Raw Data'!G50,'Raw Data'!I50,'Raw Data'!K50,'Raw Data'!M50,'Raw Data'!O50),"")</f>
        <v/>
      </c>
      <c r="H63" s="14">
        <f>IF(F63&lt;&gt;"",F63-G63,"")</f>
        <v/>
      </c>
      <c r="I63" s="14">
        <f>IF('Raw Data'!A50&lt;&gt;"",AVERAGE('Raw Data'!P50,'Raw Data'!R50,'Raw Data'!T50,'Raw Data'!V50,'Raw Data'!X50),"")</f>
        <v/>
      </c>
      <c r="J63" s="14">
        <f>IF('Raw Data'!A50&lt;&gt;"",AVERAGE('Raw Data'!Q50,'Raw Data'!S50,'Raw Data'!U50,'Raw Data'!W50,'Raw Data'!Y50),"")</f>
        <v/>
      </c>
      <c r="K63" s="14">
        <f>IF(I63&lt;&gt;"",I63-J63,"")</f>
        <v/>
      </c>
      <c r="L63" s="14">
        <f>IF('Raw Data'!A50&lt;&gt;"",AVERAGE('Raw Data'!Z50,'Raw Data'!AB50,'Raw Data'!AD50,'Raw Data'!AF50,'Raw Data'!AH50),"")</f>
        <v/>
      </c>
      <c r="M63" s="14">
        <f>IF('Raw Data'!A50&lt;&gt;"",AVERAGE('Raw Data'!AA50,'Raw Data'!AC50,'Raw Data'!AE50,'Raw Data'!AG50,'Raw Data'!AI50),"")</f>
        <v/>
      </c>
      <c r="N63" s="14">
        <f>IF(L63&lt;&gt;"",L63-M63,"")</f>
        <v/>
      </c>
      <c r="O63" s="14">
        <f>IF('Raw Data'!A50&lt;&gt;"",AVERAGE('Raw Data'!AJ50,'Raw Data'!AL50,'Raw Data'!AN50,'Raw Data'!AP50,'Raw Data'!AR50),"")</f>
        <v/>
      </c>
      <c r="P63" s="14">
        <f>IF('Raw Data'!A50&lt;&gt;"",AVERAGE('Raw Data'!AK50,'Raw Data'!AM50,'Raw Data'!AO50,'Raw Data'!AQ50,'Raw Data'!AS50),"")</f>
        <v/>
      </c>
      <c r="Q63" s="14">
        <f>IF(O63&lt;&gt;"",O63-P63,"")</f>
        <v/>
      </c>
      <c r="R63" s="14">
        <f>IF('Raw Data'!A50&lt;&gt;"",AVERAGE('Raw Data'!AT50,'Raw Data'!AV50,'Raw Data'!AX50,'Raw Data'!AZ50,'Raw Data'!BB50),"")</f>
        <v/>
      </c>
      <c r="S63" s="14">
        <f>IF('Raw Data'!A50&lt;&gt;"",AVERAGE('Raw Data'!AU50,'Raw Data'!AW50,'Raw Data'!AY50,'Raw Data'!BA50,'Raw Data'!BC50),"")</f>
        <v/>
      </c>
      <c r="T63" s="14">
        <f>IF(R63&lt;&gt;"",R63-S63,"")</f>
        <v/>
      </c>
      <c r="U63" s="14">
        <f>IF('Raw Data'!A50&lt;&gt;"",AVERAGE('Raw Data'!BD50,'Raw Data'!BF50,'Raw Data'!BH50,'Raw Data'!BJ50,'Raw Data'!BL50),"")</f>
        <v/>
      </c>
      <c r="V63" s="14">
        <f>IF('Raw Data'!A50&lt;&gt;"",AVERAGE('Raw Data'!BE50,'Raw Data'!BG50,'Raw Data'!BI50,'Raw Data'!BK50,'Raw Data'!BM50),"")</f>
        <v/>
      </c>
      <c r="W63" s="14">
        <f>IF(U63&lt;&gt;"",U63-V63,"")</f>
        <v/>
      </c>
      <c r="X63" s="14">
        <f>IF(A63&lt;&gt;"",AVERAGE(F63,I63,L63,O63,R63,U63),"")</f>
        <v/>
      </c>
      <c r="Y63" s="14">
        <f>IF(A63&lt;&gt;"",AVERAGE(G63,J63,M63,P63,S63,V63),"")</f>
        <v/>
      </c>
      <c r="Z63" s="14">
        <f>IF(A63&lt;&gt;"",X63-Y63,"")</f>
        <v/>
      </c>
      <c r="AA63" s="15">
        <f>IF(A63&lt;&gt;"",ROUND(MIN(100,100*((MAX(0,K63)*0.25)+(MAX(0,Q63)*0.20)+(MAX(0,W63)*0.20)+(MAX(0,H63)*0.15)+(MAX(0,N63)*0.10)+(MAX(0,T63)*0.10))/9),1),"")</f>
        <v/>
      </c>
      <c r="AB63" s="28">
        <f>IF(A63&lt;&gt;"",MIN(1,(0.5*AA63/100)+(0.3*MAX(0,K63)/9)+(0.2*MAX(0,Q63)/9)),"")</f>
        <v/>
      </c>
    </row>
    <row r="64">
      <c r="A64" s="13">
        <f>IF('Raw Data'!A51&lt;&gt;"",'Raw Data'!A51,"")</f>
        <v/>
      </c>
      <c r="B64" s="13">
        <f>IF('Raw Data'!B51&lt;&gt;"",'Raw Data'!B51,"")</f>
        <v/>
      </c>
      <c r="C64" s="13">
        <f>IF('Raw Data'!C51&lt;&gt;"",'Raw Data'!C51,"")</f>
        <v/>
      </c>
      <c r="D64" s="13">
        <f>IF('Raw Data'!D51&lt;&gt;"",'Raw Data'!D51,"")</f>
        <v/>
      </c>
      <c r="E64" s="13">
        <f>IF('Raw Data'!E51&lt;&gt;"",'Raw Data'!E51,"")</f>
        <v/>
      </c>
      <c r="F64" s="17">
        <f>IF('Raw Data'!A51&lt;&gt;"",AVERAGE('Raw Data'!F51,'Raw Data'!H51,'Raw Data'!J51,'Raw Data'!L51,'Raw Data'!N51),"")</f>
        <v/>
      </c>
      <c r="G64" s="17">
        <f>IF('Raw Data'!A51&lt;&gt;"",AVERAGE('Raw Data'!G51,'Raw Data'!I51,'Raw Data'!K51,'Raw Data'!M51,'Raw Data'!O51),"")</f>
        <v/>
      </c>
      <c r="H64" s="17">
        <f>IF(F64&lt;&gt;"",F64-G64,"")</f>
        <v/>
      </c>
      <c r="I64" s="17">
        <f>IF('Raw Data'!A51&lt;&gt;"",AVERAGE('Raw Data'!P51,'Raw Data'!R51,'Raw Data'!T51,'Raw Data'!V51,'Raw Data'!X51),"")</f>
        <v/>
      </c>
      <c r="J64" s="17">
        <f>IF('Raw Data'!A51&lt;&gt;"",AVERAGE('Raw Data'!Q51,'Raw Data'!S51,'Raw Data'!U51,'Raw Data'!W51,'Raw Data'!Y51),"")</f>
        <v/>
      </c>
      <c r="K64" s="17">
        <f>IF(I64&lt;&gt;"",I64-J64,"")</f>
        <v/>
      </c>
      <c r="L64" s="17">
        <f>IF('Raw Data'!A51&lt;&gt;"",AVERAGE('Raw Data'!Z51,'Raw Data'!AB51,'Raw Data'!AD51,'Raw Data'!AF51,'Raw Data'!AH51),"")</f>
        <v/>
      </c>
      <c r="M64" s="17">
        <f>IF('Raw Data'!A51&lt;&gt;"",AVERAGE('Raw Data'!AA51,'Raw Data'!AC51,'Raw Data'!AE51,'Raw Data'!AG51,'Raw Data'!AI51),"")</f>
        <v/>
      </c>
      <c r="N64" s="17">
        <f>IF(L64&lt;&gt;"",L64-M64,"")</f>
        <v/>
      </c>
      <c r="O64" s="17">
        <f>IF('Raw Data'!A51&lt;&gt;"",AVERAGE('Raw Data'!AJ51,'Raw Data'!AL51,'Raw Data'!AN51,'Raw Data'!AP51,'Raw Data'!AR51),"")</f>
        <v/>
      </c>
      <c r="P64" s="17">
        <f>IF('Raw Data'!A51&lt;&gt;"",AVERAGE('Raw Data'!AK51,'Raw Data'!AM51,'Raw Data'!AO51,'Raw Data'!AQ51,'Raw Data'!AS51),"")</f>
        <v/>
      </c>
      <c r="Q64" s="17">
        <f>IF(O64&lt;&gt;"",O64-P64,"")</f>
        <v/>
      </c>
      <c r="R64" s="17">
        <f>IF('Raw Data'!A51&lt;&gt;"",AVERAGE('Raw Data'!AT51,'Raw Data'!AV51,'Raw Data'!AX51,'Raw Data'!AZ51,'Raw Data'!BB51),"")</f>
        <v/>
      </c>
      <c r="S64" s="17">
        <f>IF('Raw Data'!A51&lt;&gt;"",AVERAGE('Raw Data'!AU51,'Raw Data'!AW51,'Raw Data'!AY51,'Raw Data'!BA51,'Raw Data'!BC51),"")</f>
        <v/>
      </c>
      <c r="T64" s="17">
        <f>IF(R64&lt;&gt;"",R64-S64,"")</f>
        <v/>
      </c>
      <c r="U64" s="17">
        <f>IF('Raw Data'!A51&lt;&gt;"",AVERAGE('Raw Data'!BD51,'Raw Data'!BF51,'Raw Data'!BH51,'Raw Data'!BJ51,'Raw Data'!BL51),"")</f>
        <v/>
      </c>
      <c r="V64" s="17">
        <f>IF('Raw Data'!A51&lt;&gt;"",AVERAGE('Raw Data'!BE51,'Raw Data'!BG51,'Raw Data'!BI51,'Raw Data'!BK51,'Raw Data'!BM51),"")</f>
        <v/>
      </c>
      <c r="W64" s="17">
        <f>IF(U64&lt;&gt;"",U64-V64,"")</f>
        <v/>
      </c>
      <c r="X64" s="17">
        <f>IF(A64&lt;&gt;"",AVERAGE(F64,I64,L64,O64,R64,U64),"")</f>
        <v/>
      </c>
      <c r="Y64" s="17">
        <f>IF(A64&lt;&gt;"",AVERAGE(G64,J64,M64,P64,S64,V64),"")</f>
        <v/>
      </c>
      <c r="Z64" s="17">
        <f>IF(A64&lt;&gt;"",X64-Y64,"")</f>
        <v/>
      </c>
      <c r="AA64" s="18">
        <f>IF(A64&lt;&gt;"",ROUND(MIN(100,100*((MAX(0,K64)*0.25)+(MAX(0,Q64)*0.20)+(MAX(0,W64)*0.20)+(MAX(0,H64)*0.15)+(MAX(0,N64)*0.10)+(MAX(0,T64)*0.10))/9),1),"")</f>
        <v/>
      </c>
      <c r="AB64" s="29">
        <f>IF(A64&lt;&gt;"",MIN(1,(0.5*AA64/100)+(0.3*MAX(0,K64)/9)+(0.2*MAX(0,Q64)/9)),"")</f>
        <v/>
      </c>
    </row>
    <row r="65">
      <c r="A65" s="4">
        <f>IF('Raw Data'!A52&lt;&gt;"",'Raw Data'!A52,"")</f>
        <v/>
      </c>
      <c r="B65" s="4">
        <f>IF('Raw Data'!B52&lt;&gt;"",'Raw Data'!B52,"")</f>
        <v/>
      </c>
      <c r="C65" s="4">
        <f>IF('Raw Data'!C52&lt;&gt;"",'Raw Data'!C52,"")</f>
        <v/>
      </c>
      <c r="D65" s="4">
        <f>IF('Raw Data'!D52&lt;&gt;"",'Raw Data'!D52,"")</f>
        <v/>
      </c>
      <c r="E65" s="4">
        <f>IF('Raw Data'!E52&lt;&gt;"",'Raw Data'!E52,"")</f>
        <v/>
      </c>
      <c r="F65" s="14">
        <f>IF('Raw Data'!A52&lt;&gt;"",AVERAGE('Raw Data'!F52,'Raw Data'!H52,'Raw Data'!J52,'Raw Data'!L52,'Raw Data'!N52),"")</f>
        <v/>
      </c>
      <c r="G65" s="14">
        <f>IF('Raw Data'!A52&lt;&gt;"",AVERAGE('Raw Data'!G52,'Raw Data'!I52,'Raw Data'!K52,'Raw Data'!M52,'Raw Data'!O52),"")</f>
        <v/>
      </c>
      <c r="H65" s="14">
        <f>IF(F65&lt;&gt;"",F65-G65,"")</f>
        <v/>
      </c>
      <c r="I65" s="14">
        <f>IF('Raw Data'!A52&lt;&gt;"",AVERAGE('Raw Data'!P52,'Raw Data'!R52,'Raw Data'!T52,'Raw Data'!V52,'Raw Data'!X52),"")</f>
        <v/>
      </c>
      <c r="J65" s="14">
        <f>IF('Raw Data'!A52&lt;&gt;"",AVERAGE('Raw Data'!Q52,'Raw Data'!S52,'Raw Data'!U52,'Raw Data'!W52,'Raw Data'!Y52),"")</f>
        <v/>
      </c>
      <c r="K65" s="14">
        <f>IF(I65&lt;&gt;"",I65-J65,"")</f>
        <v/>
      </c>
      <c r="L65" s="14">
        <f>IF('Raw Data'!A52&lt;&gt;"",AVERAGE('Raw Data'!Z52,'Raw Data'!AB52,'Raw Data'!AD52,'Raw Data'!AF52,'Raw Data'!AH52),"")</f>
        <v/>
      </c>
      <c r="M65" s="14">
        <f>IF('Raw Data'!A52&lt;&gt;"",AVERAGE('Raw Data'!AA52,'Raw Data'!AC52,'Raw Data'!AE52,'Raw Data'!AG52,'Raw Data'!AI52),"")</f>
        <v/>
      </c>
      <c r="N65" s="14">
        <f>IF(L65&lt;&gt;"",L65-M65,"")</f>
        <v/>
      </c>
      <c r="O65" s="14">
        <f>IF('Raw Data'!A52&lt;&gt;"",AVERAGE('Raw Data'!AJ52,'Raw Data'!AL52,'Raw Data'!AN52,'Raw Data'!AP52,'Raw Data'!AR52),"")</f>
        <v/>
      </c>
      <c r="P65" s="14">
        <f>IF('Raw Data'!A52&lt;&gt;"",AVERAGE('Raw Data'!AK52,'Raw Data'!AM52,'Raw Data'!AO52,'Raw Data'!AQ52,'Raw Data'!AS52),"")</f>
        <v/>
      </c>
      <c r="Q65" s="14">
        <f>IF(O65&lt;&gt;"",O65-P65,"")</f>
        <v/>
      </c>
      <c r="R65" s="14">
        <f>IF('Raw Data'!A52&lt;&gt;"",AVERAGE('Raw Data'!AT52,'Raw Data'!AV52,'Raw Data'!AX52,'Raw Data'!AZ52,'Raw Data'!BB52),"")</f>
        <v/>
      </c>
      <c r="S65" s="14">
        <f>IF('Raw Data'!A52&lt;&gt;"",AVERAGE('Raw Data'!AU52,'Raw Data'!AW52,'Raw Data'!AY52,'Raw Data'!BA52,'Raw Data'!BC52),"")</f>
        <v/>
      </c>
      <c r="T65" s="14">
        <f>IF(R65&lt;&gt;"",R65-S65,"")</f>
        <v/>
      </c>
      <c r="U65" s="14">
        <f>IF('Raw Data'!A52&lt;&gt;"",AVERAGE('Raw Data'!BD52,'Raw Data'!BF52,'Raw Data'!BH52,'Raw Data'!BJ52,'Raw Data'!BL52),"")</f>
        <v/>
      </c>
      <c r="V65" s="14">
        <f>IF('Raw Data'!A52&lt;&gt;"",AVERAGE('Raw Data'!BE52,'Raw Data'!BG52,'Raw Data'!BI52,'Raw Data'!BK52,'Raw Data'!BM52),"")</f>
        <v/>
      </c>
      <c r="W65" s="14">
        <f>IF(U65&lt;&gt;"",U65-V65,"")</f>
        <v/>
      </c>
      <c r="X65" s="14">
        <f>IF(A65&lt;&gt;"",AVERAGE(F65,I65,L65,O65,R65,U65),"")</f>
        <v/>
      </c>
      <c r="Y65" s="14">
        <f>IF(A65&lt;&gt;"",AVERAGE(G65,J65,M65,P65,S65,V65),"")</f>
        <v/>
      </c>
      <c r="Z65" s="14">
        <f>IF(A65&lt;&gt;"",X65-Y65,"")</f>
        <v/>
      </c>
      <c r="AA65" s="15">
        <f>IF(A65&lt;&gt;"",ROUND(MIN(100,100*((MAX(0,K65)*0.25)+(MAX(0,Q65)*0.20)+(MAX(0,W65)*0.20)+(MAX(0,H65)*0.15)+(MAX(0,N65)*0.10)+(MAX(0,T65)*0.10))/9),1),"")</f>
        <v/>
      </c>
      <c r="AB65" s="28">
        <f>IF(A65&lt;&gt;"",MIN(1,(0.5*AA65/100)+(0.3*MAX(0,K65)/9)+(0.2*MAX(0,Q65)/9)),"")</f>
        <v/>
      </c>
    </row>
    <row r="66">
      <c r="A66" s="13">
        <f>IF('Raw Data'!A53&lt;&gt;"",'Raw Data'!A53,"")</f>
        <v/>
      </c>
      <c r="B66" s="13">
        <f>IF('Raw Data'!B53&lt;&gt;"",'Raw Data'!B53,"")</f>
        <v/>
      </c>
      <c r="C66" s="13">
        <f>IF('Raw Data'!C53&lt;&gt;"",'Raw Data'!C53,"")</f>
        <v/>
      </c>
      <c r="D66" s="13">
        <f>IF('Raw Data'!D53&lt;&gt;"",'Raw Data'!D53,"")</f>
        <v/>
      </c>
      <c r="E66" s="13">
        <f>IF('Raw Data'!E53&lt;&gt;"",'Raw Data'!E53,"")</f>
        <v/>
      </c>
      <c r="F66" s="17">
        <f>IF('Raw Data'!A53&lt;&gt;"",AVERAGE('Raw Data'!F53,'Raw Data'!H53,'Raw Data'!J53,'Raw Data'!L53,'Raw Data'!N53),"")</f>
        <v/>
      </c>
      <c r="G66" s="17">
        <f>IF('Raw Data'!A53&lt;&gt;"",AVERAGE('Raw Data'!G53,'Raw Data'!I53,'Raw Data'!K53,'Raw Data'!M53,'Raw Data'!O53),"")</f>
        <v/>
      </c>
      <c r="H66" s="17">
        <f>IF(F66&lt;&gt;"",F66-G66,"")</f>
        <v/>
      </c>
      <c r="I66" s="17">
        <f>IF('Raw Data'!A53&lt;&gt;"",AVERAGE('Raw Data'!P53,'Raw Data'!R53,'Raw Data'!T53,'Raw Data'!V53,'Raw Data'!X53),"")</f>
        <v/>
      </c>
      <c r="J66" s="17">
        <f>IF('Raw Data'!A53&lt;&gt;"",AVERAGE('Raw Data'!Q53,'Raw Data'!S53,'Raw Data'!U53,'Raw Data'!W53,'Raw Data'!Y53),"")</f>
        <v/>
      </c>
      <c r="K66" s="17">
        <f>IF(I66&lt;&gt;"",I66-J66,"")</f>
        <v/>
      </c>
      <c r="L66" s="17">
        <f>IF('Raw Data'!A53&lt;&gt;"",AVERAGE('Raw Data'!Z53,'Raw Data'!AB53,'Raw Data'!AD53,'Raw Data'!AF53,'Raw Data'!AH53),"")</f>
        <v/>
      </c>
      <c r="M66" s="17">
        <f>IF('Raw Data'!A53&lt;&gt;"",AVERAGE('Raw Data'!AA53,'Raw Data'!AC53,'Raw Data'!AE53,'Raw Data'!AG53,'Raw Data'!AI53),"")</f>
        <v/>
      </c>
      <c r="N66" s="17">
        <f>IF(L66&lt;&gt;"",L66-M66,"")</f>
        <v/>
      </c>
      <c r="O66" s="17">
        <f>IF('Raw Data'!A53&lt;&gt;"",AVERAGE('Raw Data'!AJ53,'Raw Data'!AL53,'Raw Data'!AN53,'Raw Data'!AP53,'Raw Data'!AR53),"")</f>
        <v/>
      </c>
      <c r="P66" s="17">
        <f>IF('Raw Data'!A53&lt;&gt;"",AVERAGE('Raw Data'!AK53,'Raw Data'!AM53,'Raw Data'!AO53,'Raw Data'!AQ53,'Raw Data'!AS53),"")</f>
        <v/>
      </c>
      <c r="Q66" s="17">
        <f>IF(O66&lt;&gt;"",O66-P66,"")</f>
        <v/>
      </c>
      <c r="R66" s="17">
        <f>IF('Raw Data'!A53&lt;&gt;"",AVERAGE('Raw Data'!AT53,'Raw Data'!AV53,'Raw Data'!AX53,'Raw Data'!AZ53,'Raw Data'!BB53),"")</f>
        <v/>
      </c>
      <c r="S66" s="17">
        <f>IF('Raw Data'!A53&lt;&gt;"",AVERAGE('Raw Data'!AU53,'Raw Data'!AW53,'Raw Data'!AY53,'Raw Data'!BA53,'Raw Data'!BC53),"")</f>
        <v/>
      </c>
      <c r="T66" s="17">
        <f>IF(R66&lt;&gt;"",R66-S66,"")</f>
        <v/>
      </c>
      <c r="U66" s="17">
        <f>IF('Raw Data'!A53&lt;&gt;"",AVERAGE('Raw Data'!BD53,'Raw Data'!BF53,'Raw Data'!BH53,'Raw Data'!BJ53,'Raw Data'!BL53),"")</f>
        <v/>
      </c>
      <c r="V66" s="17">
        <f>IF('Raw Data'!A53&lt;&gt;"",AVERAGE('Raw Data'!BE53,'Raw Data'!BG53,'Raw Data'!BI53,'Raw Data'!BK53,'Raw Data'!BM53),"")</f>
        <v/>
      </c>
      <c r="W66" s="17">
        <f>IF(U66&lt;&gt;"",U66-V66,"")</f>
        <v/>
      </c>
      <c r="X66" s="17">
        <f>IF(A66&lt;&gt;"",AVERAGE(F66,I66,L66,O66,R66,U66),"")</f>
        <v/>
      </c>
      <c r="Y66" s="17">
        <f>IF(A66&lt;&gt;"",AVERAGE(G66,J66,M66,P66,S66,V66),"")</f>
        <v/>
      </c>
      <c r="Z66" s="17">
        <f>IF(A66&lt;&gt;"",X66-Y66,"")</f>
        <v/>
      </c>
      <c r="AA66" s="18">
        <f>IF(A66&lt;&gt;"",ROUND(MIN(100,100*((MAX(0,K66)*0.25)+(MAX(0,Q66)*0.20)+(MAX(0,W66)*0.20)+(MAX(0,H66)*0.15)+(MAX(0,N66)*0.10)+(MAX(0,T66)*0.10))/9),1),"")</f>
        <v/>
      </c>
      <c r="AB66" s="29">
        <f>IF(A66&lt;&gt;"",MIN(1,(0.5*AA66/100)+(0.3*MAX(0,K66)/9)+(0.2*MAX(0,Q66)/9)),"")</f>
        <v/>
      </c>
    </row>
    <row r="67">
      <c r="A67" s="4">
        <f>IF('Raw Data'!A54&lt;&gt;"",'Raw Data'!A54,"")</f>
        <v/>
      </c>
      <c r="B67" s="4">
        <f>IF('Raw Data'!B54&lt;&gt;"",'Raw Data'!B54,"")</f>
        <v/>
      </c>
      <c r="C67" s="4">
        <f>IF('Raw Data'!C54&lt;&gt;"",'Raw Data'!C54,"")</f>
        <v/>
      </c>
      <c r="D67" s="4">
        <f>IF('Raw Data'!D54&lt;&gt;"",'Raw Data'!D54,"")</f>
        <v/>
      </c>
      <c r="E67" s="4">
        <f>IF('Raw Data'!E54&lt;&gt;"",'Raw Data'!E54,"")</f>
        <v/>
      </c>
      <c r="F67" s="14">
        <f>IF('Raw Data'!A54&lt;&gt;"",AVERAGE('Raw Data'!F54,'Raw Data'!H54,'Raw Data'!J54,'Raw Data'!L54,'Raw Data'!N54),"")</f>
        <v/>
      </c>
      <c r="G67" s="14">
        <f>IF('Raw Data'!A54&lt;&gt;"",AVERAGE('Raw Data'!G54,'Raw Data'!I54,'Raw Data'!K54,'Raw Data'!M54,'Raw Data'!O54),"")</f>
        <v/>
      </c>
      <c r="H67" s="14">
        <f>IF(F67&lt;&gt;"",F67-G67,"")</f>
        <v/>
      </c>
      <c r="I67" s="14">
        <f>IF('Raw Data'!A54&lt;&gt;"",AVERAGE('Raw Data'!P54,'Raw Data'!R54,'Raw Data'!T54,'Raw Data'!V54,'Raw Data'!X54),"")</f>
        <v/>
      </c>
      <c r="J67" s="14">
        <f>IF('Raw Data'!A54&lt;&gt;"",AVERAGE('Raw Data'!Q54,'Raw Data'!S54,'Raw Data'!U54,'Raw Data'!W54,'Raw Data'!Y54),"")</f>
        <v/>
      </c>
      <c r="K67" s="14">
        <f>IF(I67&lt;&gt;"",I67-J67,"")</f>
        <v/>
      </c>
      <c r="L67" s="14">
        <f>IF('Raw Data'!A54&lt;&gt;"",AVERAGE('Raw Data'!Z54,'Raw Data'!AB54,'Raw Data'!AD54,'Raw Data'!AF54,'Raw Data'!AH54),"")</f>
        <v/>
      </c>
      <c r="M67" s="14">
        <f>IF('Raw Data'!A54&lt;&gt;"",AVERAGE('Raw Data'!AA54,'Raw Data'!AC54,'Raw Data'!AE54,'Raw Data'!AG54,'Raw Data'!AI54),"")</f>
        <v/>
      </c>
      <c r="N67" s="14">
        <f>IF(L67&lt;&gt;"",L67-M67,"")</f>
        <v/>
      </c>
      <c r="O67" s="14">
        <f>IF('Raw Data'!A54&lt;&gt;"",AVERAGE('Raw Data'!AJ54,'Raw Data'!AL54,'Raw Data'!AN54,'Raw Data'!AP54,'Raw Data'!AR54),"")</f>
        <v/>
      </c>
      <c r="P67" s="14">
        <f>IF('Raw Data'!A54&lt;&gt;"",AVERAGE('Raw Data'!AK54,'Raw Data'!AM54,'Raw Data'!AO54,'Raw Data'!AQ54,'Raw Data'!AS54),"")</f>
        <v/>
      </c>
      <c r="Q67" s="14">
        <f>IF(O67&lt;&gt;"",O67-P67,"")</f>
        <v/>
      </c>
      <c r="R67" s="14">
        <f>IF('Raw Data'!A54&lt;&gt;"",AVERAGE('Raw Data'!AT54,'Raw Data'!AV54,'Raw Data'!AX54,'Raw Data'!AZ54,'Raw Data'!BB54),"")</f>
        <v/>
      </c>
      <c r="S67" s="14">
        <f>IF('Raw Data'!A54&lt;&gt;"",AVERAGE('Raw Data'!AU54,'Raw Data'!AW54,'Raw Data'!AY54,'Raw Data'!BA54,'Raw Data'!BC54),"")</f>
        <v/>
      </c>
      <c r="T67" s="14">
        <f>IF(R67&lt;&gt;"",R67-S67,"")</f>
        <v/>
      </c>
      <c r="U67" s="14">
        <f>IF('Raw Data'!A54&lt;&gt;"",AVERAGE('Raw Data'!BD54,'Raw Data'!BF54,'Raw Data'!BH54,'Raw Data'!BJ54,'Raw Data'!BL54),"")</f>
        <v/>
      </c>
      <c r="V67" s="14">
        <f>IF('Raw Data'!A54&lt;&gt;"",AVERAGE('Raw Data'!BE54,'Raw Data'!BG54,'Raw Data'!BI54,'Raw Data'!BK54,'Raw Data'!BM54),"")</f>
        <v/>
      </c>
      <c r="W67" s="14">
        <f>IF(U67&lt;&gt;"",U67-V67,"")</f>
        <v/>
      </c>
      <c r="X67" s="14">
        <f>IF(A67&lt;&gt;"",AVERAGE(F67,I67,L67,O67,R67,U67),"")</f>
        <v/>
      </c>
      <c r="Y67" s="14">
        <f>IF(A67&lt;&gt;"",AVERAGE(G67,J67,M67,P67,S67,V67),"")</f>
        <v/>
      </c>
      <c r="Z67" s="14">
        <f>IF(A67&lt;&gt;"",X67-Y67,"")</f>
        <v/>
      </c>
      <c r="AA67" s="15">
        <f>IF(A67&lt;&gt;"",ROUND(MIN(100,100*((MAX(0,K67)*0.25)+(MAX(0,Q67)*0.20)+(MAX(0,W67)*0.20)+(MAX(0,H67)*0.15)+(MAX(0,N67)*0.10)+(MAX(0,T67)*0.10))/9),1),"")</f>
        <v/>
      </c>
      <c r="AB67" s="28">
        <f>IF(A67&lt;&gt;"",MIN(1,(0.5*AA67/100)+(0.3*MAX(0,K67)/9)+(0.2*MAX(0,Q67)/9)),"")</f>
        <v/>
      </c>
    </row>
    <row r="68">
      <c r="A68" s="13">
        <f>IF('Raw Data'!A55&lt;&gt;"",'Raw Data'!A55,"")</f>
        <v/>
      </c>
      <c r="B68" s="13">
        <f>IF('Raw Data'!B55&lt;&gt;"",'Raw Data'!B55,"")</f>
        <v/>
      </c>
      <c r="C68" s="13">
        <f>IF('Raw Data'!C55&lt;&gt;"",'Raw Data'!C55,"")</f>
        <v/>
      </c>
      <c r="D68" s="13">
        <f>IF('Raw Data'!D55&lt;&gt;"",'Raw Data'!D55,"")</f>
        <v/>
      </c>
      <c r="E68" s="13">
        <f>IF('Raw Data'!E55&lt;&gt;"",'Raw Data'!E55,"")</f>
        <v/>
      </c>
      <c r="F68" s="17">
        <f>IF('Raw Data'!A55&lt;&gt;"",AVERAGE('Raw Data'!F55,'Raw Data'!H55,'Raw Data'!J55,'Raw Data'!L55,'Raw Data'!N55),"")</f>
        <v/>
      </c>
      <c r="G68" s="17">
        <f>IF('Raw Data'!A55&lt;&gt;"",AVERAGE('Raw Data'!G55,'Raw Data'!I55,'Raw Data'!K55,'Raw Data'!M55,'Raw Data'!O55),"")</f>
        <v/>
      </c>
      <c r="H68" s="17">
        <f>IF(F68&lt;&gt;"",F68-G68,"")</f>
        <v/>
      </c>
      <c r="I68" s="17">
        <f>IF('Raw Data'!A55&lt;&gt;"",AVERAGE('Raw Data'!P55,'Raw Data'!R55,'Raw Data'!T55,'Raw Data'!V55,'Raw Data'!X55),"")</f>
        <v/>
      </c>
      <c r="J68" s="17">
        <f>IF('Raw Data'!A55&lt;&gt;"",AVERAGE('Raw Data'!Q55,'Raw Data'!S55,'Raw Data'!U55,'Raw Data'!W55,'Raw Data'!Y55),"")</f>
        <v/>
      </c>
      <c r="K68" s="17">
        <f>IF(I68&lt;&gt;"",I68-J68,"")</f>
        <v/>
      </c>
      <c r="L68" s="17">
        <f>IF('Raw Data'!A55&lt;&gt;"",AVERAGE('Raw Data'!Z55,'Raw Data'!AB55,'Raw Data'!AD55,'Raw Data'!AF55,'Raw Data'!AH55),"")</f>
        <v/>
      </c>
      <c r="M68" s="17">
        <f>IF('Raw Data'!A55&lt;&gt;"",AVERAGE('Raw Data'!AA55,'Raw Data'!AC55,'Raw Data'!AE55,'Raw Data'!AG55,'Raw Data'!AI55),"")</f>
        <v/>
      </c>
      <c r="N68" s="17">
        <f>IF(L68&lt;&gt;"",L68-M68,"")</f>
        <v/>
      </c>
      <c r="O68" s="17">
        <f>IF('Raw Data'!A55&lt;&gt;"",AVERAGE('Raw Data'!AJ55,'Raw Data'!AL55,'Raw Data'!AN55,'Raw Data'!AP55,'Raw Data'!AR55),"")</f>
        <v/>
      </c>
      <c r="P68" s="17">
        <f>IF('Raw Data'!A55&lt;&gt;"",AVERAGE('Raw Data'!AK55,'Raw Data'!AM55,'Raw Data'!AO55,'Raw Data'!AQ55,'Raw Data'!AS55),"")</f>
        <v/>
      </c>
      <c r="Q68" s="17">
        <f>IF(O68&lt;&gt;"",O68-P68,"")</f>
        <v/>
      </c>
      <c r="R68" s="17">
        <f>IF('Raw Data'!A55&lt;&gt;"",AVERAGE('Raw Data'!AT55,'Raw Data'!AV55,'Raw Data'!AX55,'Raw Data'!AZ55,'Raw Data'!BB55),"")</f>
        <v/>
      </c>
      <c r="S68" s="17">
        <f>IF('Raw Data'!A55&lt;&gt;"",AVERAGE('Raw Data'!AU55,'Raw Data'!AW55,'Raw Data'!AY55,'Raw Data'!BA55,'Raw Data'!BC55),"")</f>
        <v/>
      </c>
      <c r="T68" s="17">
        <f>IF(R68&lt;&gt;"",R68-S68,"")</f>
        <v/>
      </c>
      <c r="U68" s="17">
        <f>IF('Raw Data'!A55&lt;&gt;"",AVERAGE('Raw Data'!BD55,'Raw Data'!BF55,'Raw Data'!BH55,'Raw Data'!BJ55,'Raw Data'!BL55),"")</f>
        <v/>
      </c>
      <c r="V68" s="17">
        <f>IF('Raw Data'!A55&lt;&gt;"",AVERAGE('Raw Data'!BE55,'Raw Data'!BG55,'Raw Data'!BI55,'Raw Data'!BK55,'Raw Data'!BM55),"")</f>
        <v/>
      </c>
      <c r="W68" s="17">
        <f>IF(U68&lt;&gt;"",U68-V68,"")</f>
        <v/>
      </c>
      <c r="X68" s="17">
        <f>IF(A68&lt;&gt;"",AVERAGE(F68,I68,L68,O68,R68,U68),"")</f>
        <v/>
      </c>
      <c r="Y68" s="17">
        <f>IF(A68&lt;&gt;"",AVERAGE(G68,J68,M68,P68,S68,V68),"")</f>
        <v/>
      </c>
      <c r="Z68" s="17">
        <f>IF(A68&lt;&gt;"",X68-Y68,"")</f>
        <v/>
      </c>
      <c r="AA68" s="18">
        <f>IF(A68&lt;&gt;"",ROUND(MIN(100,100*((MAX(0,K68)*0.25)+(MAX(0,Q68)*0.20)+(MAX(0,W68)*0.20)+(MAX(0,H68)*0.15)+(MAX(0,N68)*0.10)+(MAX(0,T68)*0.10))/9),1),"")</f>
        <v/>
      </c>
      <c r="AB68" s="29">
        <f>IF(A68&lt;&gt;"",MIN(1,(0.5*AA68/100)+(0.3*MAX(0,K68)/9)+(0.2*MAX(0,Q68)/9)),"")</f>
        <v/>
      </c>
    </row>
    <row r="69">
      <c r="A69" s="4">
        <f>IF('Raw Data'!A56&lt;&gt;"",'Raw Data'!A56,"")</f>
        <v/>
      </c>
      <c r="B69" s="4">
        <f>IF('Raw Data'!B56&lt;&gt;"",'Raw Data'!B56,"")</f>
        <v/>
      </c>
      <c r="C69" s="4">
        <f>IF('Raw Data'!C56&lt;&gt;"",'Raw Data'!C56,"")</f>
        <v/>
      </c>
      <c r="D69" s="4">
        <f>IF('Raw Data'!D56&lt;&gt;"",'Raw Data'!D56,"")</f>
        <v/>
      </c>
      <c r="E69" s="4">
        <f>IF('Raw Data'!E56&lt;&gt;"",'Raw Data'!E56,"")</f>
        <v/>
      </c>
      <c r="F69" s="14">
        <f>IF('Raw Data'!A56&lt;&gt;"",AVERAGE('Raw Data'!F56,'Raw Data'!H56,'Raw Data'!J56,'Raw Data'!L56,'Raw Data'!N56),"")</f>
        <v/>
      </c>
      <c r="G69" s="14">
        <f>IF('Raw Data'!A56&lt;&gt;"",AVERAGE('Raw Data'!G56,'Raw Data'!I56,'Raw Data'!K56,'Raw Data'!M56,'Raw Data'!O56),"")</f>
        <v/>
      </c>
      <c r="H69" s="14">
        <f>IF(F69&lt;&gt;"",F69-G69,"")</f>
        <v/>
      </c>
      <c r="I69" s="14">
        <f>IF('Raw Data'!A56&lt;&gt;"",AVERAGE('Raw Data'!P56,'Raw Data'!R56,'Raw Data'!T56,'Raw Data'!V56,'Raw Data'!X56),"")</f>
        <v/>
      </c>
      <c r="J69" s="14">
        <f>IF('Raw Data'!A56&lt;&gt;"",AVERAGE('Raw Data'!Q56,'Raw Data'!S56,'Raw Data'!U56,'Raw Data'!W56,'Raw Data'!Y56),"")</f>
        <v/>
      </c>
      <c r="K69" s="14">
        <f>IF(I69&lt;&gt;"",I69-J69,"")</f>
        <v/>
      </c>
      <c r="L69" s="14">
        <f>IF('Raw Data'!A56&lt;&gt;"",AVERAGE('Raw Data'!Z56,'Raw Data'!AB56,'Raw Data'!AD56,'Raw Data'!AF56,'Raw Data'!AH56),"")</f>
        <v/>
      </c>
      <c r="M69" s="14">
        <f>IF('Raw Data'!A56&lt;&gt;"",AVERAGE('Raw Data'!AA56,'Raw Data'!AC56,'Raw Data'!AE56,'Raw Data'!AG56,'Raw Data'!AI56),"")</f>
        <v/>
      </c>
      <c r="N69" s="14">
        <f>IF(L69&lt;&gt;"",L69-M69,"")</f>
        <v/>
      </c>
      <c r="O69" s="14">
        <f>IF('Raw Data'!A56&lt;&gt;"",AVERAGE('Raw Data'!AJ56,'Raw Data'!AL56,'Raw Data'!AN56,'Raw Data'!AP56,'Raw Data'!AR56),"")</f>
        <v/>
      </c>
      <c r="P69" s="14">
        <f>IF('Raw Data'!A56&lt;&gt;"",AVERAGE('Raw Data'!AK56,'Raw Data'!AM56,'Raw Data'!AO56,'Raw Data'!AQ56,'Raw Data'!AS56),"")</f>
        <v/>
      </c>
      <c r="Q69" s="14">
        <f>IF(O69&lt;&gt;"",O69-P69,"")</f>
        <v/>
      </c>
      <c r="R69" s="14">
        <f>IF('Raw Data'!A56&lt;&gt;"",AVERAGE('Raw Data'!AT56,'Raw Data'!AV56,'Raw Data'!AX56,'Raw Data'!AZ56,'Raw Data'!BB56),"")</f>
        <v/>
      </c>
      <c r="S69" s="14">
        <f>IF('Raw Data'!A56&lt;&gt;"",AVERAGE('Raw Data'!AU56,'Raw Data'!AW56,'Raw Data'!AY56,'Raw Data'!BA56,'Raw Data'!BC56),"")</f>
        <v/>
      </c>
      <c r="T69" s="14">
        <f>IF(R69&lt;&gt;"",R69-S69,"")</f>
        <v/>
      </c>
      <c r="U69" s="14">
        <f>IF('Raw Data'!A56&lt;&gt;"",AVERAGE('Raw Data'!BD56,'Raw Data'!BF56,'Raw Data'!BH56,'Raw Data'!BJ56,'Raw Data'!BL56),"")</f>
        <v/>
      </c>
      <c r="V69" s="14">
        <f>IF('Raw Data'!A56&lt;&gt;"",AVERAGE('Raw Data'!BE56,'Raw Data'!BG56,'Raw Data'!BI56,'Raw Data'!BK56,'Raw Data'!BM56),"")</f>
        <v/>
      </c>
      <c r="W69" s="14">
        <f>IF(U69&lt;&gt;"",U69-V69,"")</f>
        <v/>
      </c>
      <c r="X69" s="14">
        <f>IF(A69&lt;&gt;"",AVERAGE(F69,I69,L69,O69,R69,U69),"")</f>
        <v/>
      </c>
      <c r="Y69" s="14">
        <f>IF(A69&lt;&gt;"",AVERAGE(G69,J69,M69,P69,S69,V69),"")</f>
        <v/>
      </c>
      <c r="Z69" s="14">
        <f>IF(A69&lt;&gt;"",X69-Y69,"")</f>
        <v/>
      </c>
      <c r="AA69" s="15">
        <f>IF(A69&lt;&gt;"",ROUND(MIN(100,100*((MAX(0,K69)*0.25)+(MAX(0,Q69)*0.20)+(MAX(0,W69)*0.20)+(MAX(0,H69)*0.15)+(MAX(0,N69)*0.10)+(MAX(0,T69)*0.10))/9),1),"")</f>
        <v/>
      </c>
      <c r="AB69" s="28">
        <f>IF(A69&lt;&gt;"",MIN(1,(0.5*AA69/100)+(0.3*MAX(0,K69)/9)+(0.2*MAX(0,Q69)/9)),"")</f>
        <v/>
      </c>
    </row>
    <row r="70">
      <c r="A70" s="13">
        <f>IF('Raw Data'!A57&lt;&gt;"",'Raw Data'!A57,"")</f>
        <v/>
      </c>
      <c r="B70" s="13">
        <f>IF('Raw Data'!B57&lt;&gt;"",'Raw Data'!B57,"")</f>
        <v/>
      </c>
      <c r="C70" s="13">
        <f>IF('Raw Data'!C57&lt;&gt;"",'Raw Data'!C57,"")</f>
        <v/>
      </c>
      <c r="D70" s="13">
        <f>IF('Raw Data'!D57&lt;&gt;"",'Raw Data'!D57,"")</f>
        <v/>
      </c>
      <c r="E70" s="13">
        <f>IF('Raw Data'!E57&lt;&gt;"",'Raw Data'!E57,"")</f>
        <v/>
      </c>
      <c r="F70" s="17">
        <f>IF('Raw Data'!A57&lt;&gt;"",AVERAGE('Raw Data'!F57,'Raw Data'!H57,'Raw Data'!J57,'Raw Data'!L57,'Raw Data'!N57),"")</f>
        <v/>
      </c>
      <c r="G70" s="17">
        <f>IF('Raw Data'!A57&lt;&gt;"",AVERAGE('Raw Data'!G57,'Raw Data'!I57,'Raw Data'!K57,'Raw Data'!M57,'Raw Data'!O57),"")</f>
        <v/>
      </c>
      <c r="H70" s="17">
        <f>IF(F70&lt;&gt;"",F70-G70,"")</f>
        <v/>
      </c>
      <c r="I70" s="17">
        <f>IF('Raw Data'!A57&lt;&gt;"",AVERAGE('Raw Data'!P57,'Raw Data'!R57,'Raw Data'!T57,'Raw Data'!V57,'Raw Data'!X57),"")</f>
        <v/>
      </c>
      <c r="J70" s="17">
        <f>IF('Raw Data'!A57&lt;&gt;"",AVERAGE('Raw Data'!Q57,'Raw Data'!S57,'Raw Data'!U57,'Raw Data'!W57,'Raw Data'!Y57),"")</f>
        <v/>
      </c>
      <c r="K70" s="17">
        <f>IF(I70&lt;&gt;"",I70-J70,"")</f>
        <v/>
      </c>
      <c r="L70" s="17">
        <f>IF('Raw Data'!A57&lt;&gt;"",AVERAGE('Raw Data'!Z57,'Raw Data'!AB57,'Raw Data'!AD57,'Raw Data'!AF57,'Raw Data'!AH57),"")</f>
        <v/>
      </c>
      <c r="M70" s="17">
        <f>IF('Raw Data'!A57&lt;&gt;"",AVERAGE('Raw Data'!AA57,'Raw Data'!AC57,'Raw Data'!AE57,'Raw Data'!AG57,'Raw Data'!AI57),"")</f>
        <v/>
      </c>
      <c r="N70" s="17">
        <f>IF(L70&lt;&gt;"",L70-M70,"")</f>
        <v/>
      </c>
      <c r="O70" s="17">
        <f>IF('Raw Data'!A57&lt;&gt;"",AVERAGE('Raw Data'!AJ57,'Raw Data'!AL57,'Raw Data'!AN57,'Raw Data'!AP57,'Raw Data'!AR57),"")</f>
        <v/>
      </c>
      <c r="P70" s="17">
        <f>IF('Raw Data'!A57&lt;&gt;"",AVERAGE('Raw Data'!AK57,'Raw Data'!AM57,'Raw Data'!AO57,'Raw Data'!AQ57,'Raw Data'!AS57),"")</f>
        <v/>
      </c>
      <c r="Q70" s="17">
        <f>IF(O70&lt;&gt;"",O70-P70,"")</f>
        <v/>
      </c>
      <c r="R70" s="17">
        <f>IF('Raw Data'!A57&lt;&gt;"",AVERAGE('Raw Data'!AT57,'Raw Data'!AV57,'Raw Data'!AX57,'Raw Data'!AZ57,'Raw Data'!BB57),"")</f>
        <v/>
      </c>
      <c r="S70" s="17">
        <f>IF('Raw Data'!A57&lt;&gt;"",AVERAGE('Raw Data'!AU57,'Raw Data'!AW57,'Raw Data'!AY57,'Raw Data'!BA57,'Raw Data'!BC57),"")</f>
        <v/>
      </c>
      <c r="T70" s="17">
        <f>IF(R70&lt;&gt;"",R70-S70,"")</f>
        <v/>
      </c>
      <c r="U70" s="17">
        <f>IF('Raw Data'!A57&lt;&gt;"",AVERAGE('Raw Data'!BD57,'Raw Data'!BF57,'Raw Data'!BH57,'Raw Data'!BJ57,'Raw Data'!BL57),"")</f>
        <v/>
      </c>
      <c r="V70" s="17">
        <f>IF('Raw Data'!A57&lt;&gt;"",AVERAGE('Raw Data'!BE57,'Raw Data'!BG57,'Raw Data'!BI57,'Raw Data'!BK57,'Raw Data'!BM57),"")</f>
        <v/>
      </c>
      <c r="W70" s="17">
        <f>IF(U70&lt;&gt;"",U70-V70,"")</f>
        <v/>
      </c>
      <c r="X70" s="17">
        <f>IF(A70&lt;&gt;"",AVERAGE(F70,I70,L70,O70,R70,U70),"")</f>
        <v/>
      </c>
      <c r="Y70" s="17">
        <f>IF(A70&lt;&gt;"",AVERAGE(G70,J70,M70,P70,S70,V70),"")</f>
        <v/>
      </c>
      <c r="Z70" s="17">
        <f>IF(A70&lt;&gt;"",X70-Y70,"")</f>
        <v/>
      </c>
      <c r="AA70" s="18">
        <f>IF(A70&lt;&gt;"",ROUND(MIN(100,100*((MAX(0,K70)*0.25)+(MAX(0,Q70)*0.20)+(MAX(0,W70)*0.20)+(MAX(0,H70)*0.15)+(MAX(0,N70)*0.10)+(MAX(0,T70)*0.10))/9),1),"")</f>
        <v/>
      </c>
      <c r="AB70" s="29">
        <f>IF(A70&lt;&gt;"",MIN(1,(0.5*AA70/100)+(0.3*MAX(0,K70)/9)+(0.2*MAX(0,Q70)/9)),"")</f>
        <v/>
      </c>
    </row>
    <row r="71">
      <c r="A71" s="4">
        <f>IF('Raw Data'!A58&lt;&gt;"",'Raw Data'!A58,"")</f>
        <v/>
      </c>
      <c r="B71" s="4">
        <f>IF('Raw Data'!B58&lt;&gt;"",'Raw Data'!B58,"")</f>
        <v/>
      </c>
      <c r="C71" s="4">
        <f>IF('Raw Data'!C58&lt;&gt;"",'Raw Data'!C58,"")</f>
        <v/>
      </c>
      <c r="D71" s="4">
        <f>IF('Raw Data'!D58&lt;&gt;"",'Raw Data'!D58,"")</f>
        <v/>
      </c>
      <c r="E71" s="4">
        <f>IF('Raw Data'!E58&lt;&gt;"",'Raw Data'!E58,"")</f>
        <v/>
      </c>
      <c r="F71" s="14">
        <f>IF('Raw Data'!A58&lt;&gt;"",AVERAGE('Raw Data'!F58,'Raw Data'!H58,'Raw Data'!J58,'Raw Data'!L58,'Raw Data'!N58),"")</f>
        <v/>
      </c>
      <c r="G71" s="14">
        <f>IF('Raw Data'!A58&lt;&gt;"",AVERAGE('Raw Data'!G58,'Raw Data'!I58,'Raw Data'!K58,'Raw Data'!M58,'Raw Data'!O58),"")</f>
        <v/>
      </c>
      <c r="H71" s="14">
        <f>IF(F71&lt;&gt;"",F71-G71,"")</f>
        <v/>
      </c>
      <c r="I71" s="14">
        <f>IF('Raw Data'!A58&lt;&gt;"",AVERAGE('Raw Data'!P58,'Raw Data'!R58,'Raw Data'!T58,'Raw Data'!V58,'Raw Data'!X58),"")</f>
        <v/>
      </c>
      <c r="J71" s="14">
        <f>IF('Raw Data'!A58&lt;&gt;"",AVERAGE('Raw Data'!Q58,'Raw Data'!S58,'Raw Data'!U58,'Raw Data'!W58,'Raw Data'!Y58),"")</f>
        <v/>
      </c>
      <c r="K71" s="14">
        <f>IF(I71&lt;&gt;"",I71-J71,"")</f>
        <v/>
      </c>
      <c r="L71" s="14">
        <f>IF('Raw Data'!A58&lt;&gt;"",AVERAGE('Raw Data'!Z58,'Raw Data'!AB58,'Raw Data'!AD58,'Raw Data'!AF58,'Raw Data'!AH58),"")</f>
        <v/>
      </c>
      <c r="M71" s="14">
        <f>IF('Raw Data'!A58&lt;&gt;"",AVERAGE('Raw Data'!AA58,'Raw Data'!AC58,'Raw Data'!AE58,'Raw Data'!AG58,'Raw Data'!AI58),"")</f>
        <v/>
      </c>
      <c r="N71" s="14">
        <f>IF(L71&lt;&gt;"",L71-M71,"")</f>
        <v/>
      </c>
      <c r="O71" s="14">
        <f>IF('Raw Data'!A58&lt;&gt;"",AVERAGE('Raw Data'!AJ58,'Raw Data'!AL58,'Raw Data'!AN58,'Raw Data'!AP58,'Raw Data'!AR58),"")</f>
        <v/>
      </c>
      <c r="P71" s="14">
        <f>IF('Raw Data'!A58&lt;&gt;"",AVERAGE('Raw Data'!AK58,'Raw Data'!AM58,'Raw Data'!AO58,'Raw Data'!AQ58,'Raw Data'!AS58),"")</f>
        <v/>
      </c>
      <c r="Q71" s="14">
        <f>IF(O71&lt;&gt;"",O71-P71,"")</f>
        <v/>
      </c>
      <c r="R71" s="14">
        <f>IF('Raw Data'!A58&lt;&gt;"",AVERAGE('Raw Data'!AT58,'Raw Data'!AV58,'Raw Data'!AX58,'Raw Data'!AZ58,'Raw Data'!BB58),"")</f>
        <v/>
      </c>
      <c r="S71" s="14">
        <f>IF('Raw Data'!A58&lt;&gt;"",AVERAGE('Raw Data'!AU58,'Raw Data'!AW58,'Raw Data'!AY58,'Raw Data'!BA58,'Raw Data'!BC58),"")</f>
        <v/>
      </c>
      <c r="T71" s="14">
        <f>IF(R71&lt;&gt;"",R71-S71,"")</f>
        <v/>
      </c>
      <c r="U71" s="14">
        <f>IF('Raw Data'!A58&lt;&gt;"",AVERAGE('Raw Data'!BD58,'Raw Data'!BF58,'Raw Data'!BH58,'Raw Data'!BJ58,'Raw Data'!BL58),"")</f>
        <v/>
      </c>
      <c r="V71" s="14">
        <f>IF('Raw Data'!A58&lt;&gt;"",AVERAGE('Raw Data'!BE58,'Raw Data'!BG58,'Raw Data'!BI58,'Raw Data'!BK58,'Raw Data'!BM58),"")</f>
        <v/>
      </c>
      <c r="W71" s="14">
        <f>IF(U71&lt;&gt;"",U71-V71,"")</f>
        <v/>
      </c>
      <c r="X71" s="14">
        <f>IF(A71&lt;&gt;"",AVERAGE(F71,I71,L71,O71,R71,U71),"")</f>
        <v/>
      </c>
      <c r="Y71" s="14">
        <f>IF(A71&lt;&gt;"",AVERAGE(G71,J71,M71,P71,S71,V71),"")</f>
        <v/>
      </c>
      <c r="Z71" s="14">
        <f>IF(A71&lt;&gt;"",X71-Y71,"")</f>
        <v/>
      </c>
      <c r="AA71" s="15">
        <f>IF(A71&lt;&gt;"",ROUND(MIN(100,100*((MAX(0,K71)*0.25)+(MAX(0,Q71)*0.20)+(MAX(0,W71)*0.20)+(MAX(0,H71)*0.15)+(MAX(0,N71)*0.10)+(MAX(0,T71)*0.10))/9),1),"")</f>
        <v/>
      </c>
      <c r="AB71" s="28">
        <f>IF(A71&lt;&gt;"",MIN(1,(0.5*AA71/100)+(0.3*MAX(0,K71)/9)+(0.2*MAX(0,Q71)/9)),"")</f>
        <v/>
      </c>
    </row>
    <row r="72">
      <c r="A72" s="13">
        <f>IF('Raw Data'!A59&lt;&gt;"",'Raw Data'!A59,"")</f>
        <v/>
      </c>
      <c r="B72" s="13">
        <f>IF('Raw Data'!B59&lt;&gt;"",'Raw Data'!B59,"")</f>
        <v/>
      </c>
      <c r="C72" s="13">
        <f>IF('Raw Data'!C59&lt;&gt;"",'Raw Data'!C59,"")</f>
        <v/>
      </c>
      <c r="D72" s="13">
        <f>IF('Raw Data'!D59&lt;&gt;"",'Raw Data'!D59,"")</f>
        <v/>
      </c>
      <c r="E72" s="13">
        <f>IF('Raw Data'!E59&lt;&gt;"",'Raw Data'!E59,"")</f>
        <v/>
      </c>
      <c r="F72" s="17">
        <f>IF('Raw Data'!A59&lt;&gt;"",AVERAGE('Raw Data'!F59,'Raw Data'!H59,'Raw Data'!J59,'Raw Data'!L59,'Raw Data'!N59),"")</f>
        <v/>
      </c>
      <c r="G72" s="17">
        <f>IF('Raw Data'!A59&lt;&gt;"",AVERAGE('Raw Data'!G59,'Raw Data'!I59,'Raw Data'!K59,'Raw Data'!M59,'Raw Data'!O59),"")</f>
        <v/>
      </c>
      <c r="H72" s="17">
        <f>IF(F72&lt;&gt;"",F72-G72,"")</f>
        <v/>
      </c>
      <c r="I72" s="17">
        <f>IF('Raw Data'!A59&lt;&gt;"",AVERAGE('Raw Data'!P59,'Raw Data'!R59,'Raw Data'!T59,'Raw Data'!V59,'Raw Data'!X59),"")</f>
        <v/>
      </c>
      <c r="J72" s="17">
        <f>IF('Raw Data'!A59&lt;&gt;"",AVERAGE('Raw Data'!Q59,'Raw Data'!S59,'Raw Data'!U59,'Raw Data'!W59,'Raw Data'!Y59),"")</f>
        <v/>
      </c>
      <c r="K72" s="17">
        <f>IF(I72&lt;&gt;"",I72-J72,"")</f>
        <v/>
      </c>
      <c r="L72" s="17">
        <f>IF('Raw Data'!A59&lt;&gt;"",AVERAGE('Raw Data'!Z59,'Raw Data'!AB59,'Raw Data'!AD59,'Raw Data'!AF59,'Raw Data'!AH59),"")</f>
        <v/>
      </c>
      <c r="M72" s="17">
        <f>IF('Raw Data'!A59&lt;&gt;"",AVERAGE('Raw Data'!AA59,'Raw Data'!AC59,'Raw Data'!AE59,'Raw Data'!AG59,'Raw Data'!AI59),"")</f>
        <v/>
      </c>
      <c r="N72" s="17">
        <f>IF(L72&lt;&gt;"",L72-M72,"")</f>
        <v/>
      </c>
      <c r="O72" s="17">
        <f>IF('Raw Data'!A59&lt;&gt;"",AVERAGE('Raw Data'!AJ59,'Raw Data'!AL59,'Raw Data'!AN59,'Raw Data'!AP59,'Raw Data'!AR59),"")</f>
        <v/>
      </c>
      <c r="P72" s="17">
        <f>IF('Raw Data'!A59&lt;&gt;"",AVERAGE('Raw Data'!AK59,'Raw Data'!AM59,'Raw Data'!AO59,'Raw Data'!AQ59,'Raw Data'!AS59),"")</f>
        <v/>
      </c>
      <c r="Q72" s="17">
        <f>IF(O72&lt;&gt;"",O72-P72,"")</f>
        <v/>
      </c>
      <c r="R72" s="17">
        <f>IF('Raw Data'!A59&lt;&gt;"",AVERAGE('Raw Data'!AT59,'Raw Data'!AV59,'Raw Data'!AX59,'Raw Data'!AZ59,'Raw Data'!BB59),"")</f>
        <v/>
      </c>
      <c r="S72" s="17">
        <f>IF('Raw Data'!A59&lt;&gt;"",AVERAGE('Raw Data'!AU59,'Raw Data'!AW59,'Raw Data'!AY59,'Raw Data'!BA59,'Raw Data'!BC59),"")</f>
        <v/>
      </c>
      <c r="T72" s="17">
        <f>IF(R72&lt;&gt;"",R72-S72,"")</f>
        <v/>
      </c>
      <c r="U72" s="17">
        <f>IF('Raw Data'!A59&lt;&gt;"",AVERAGE('Raw Data'!BD59,'Raw Data'!BF59,'Raw Data'!BH59,'Raw Data'!BJ59,'Raw Data'!BL59),"")</f>
        <v/>
      </c>
      <c r="V72" s="17">
        <f>IF('Raw Data'!A59&lt;&gt;"",AVERAGE('Raw Data'!BE59,'Raw Data'!BG59,'Raw Data'!BI59,'Raw Data'!BK59,'Raw Data'!BM59),"")</f>
        <v/>
      </c>
      <c r="W72" s="17">
        <f>IF(U72&lt;&gt;"",U72-V72,"")</f>
        <v/>
      </c>
      <c r="X72" s="17">
        <f>IF(A72&lt;&gt;"",AVERAGE(F72,I72,L72,O72,R72,U72),"")</f>
        <v/>
      </c>
      <c r="Y72" s="17">
        <f>IF(A72&lt;&gt;"",AVERAGE(G72,J72,M72,P72,S72,V72),"")</f>
        <v/>
      </c>
      <c r="Z72" s="17">
        <f>IF(A72&lt;&gt;"",X72-Y72,"")</f>
        <v/>
      </c>
      <c r="AA72" s="18">
        <f>IF(A72&lt;&gt;"",ROUND(MIN(100,100*((MAX(0,K72)*0.25)+(MAX(0,Q72)*0.20)+(MAX(0,W72)*0.20)+(MAX(0,H72)*0.15)+(MAX(0,N72)*0.10)+(MAX(0,T72)*0.10))/9),1),"")</f>
        <v/>
      </c>
      <c r="AB72" s="29">
        <f>IF(A72&lt;&gt;"",MIN(1,(0.5*AA72/100)+(0.3*MAX(0,K72)/9)+(0.2*MAX(0,Q72)/9)),"")</f>
        <v/>
      </c>
    </row>
    <row r="73">
      <c r="A73" s="4">
        <f>IF('Raw Data'!A60&lt;&gt;"",'Raw Data'!A60,"")</f>
        <v/>
      </c>
      <c r="B73" s="4">
        <f>IF('Raw Data'!B60&lt;&gt;"",'Raw Data'!B60,"")</f>
        <v/>
      </c>
      <c r="C73" s="4">
        <f>IF('Raw Data'!C60&lt;&gt;"",'Raw Data'!C60,"")</f>
        <v/>
      </c>
      <c r="D73" s="4">
        <f>IF('Raw Data'!D60&lt;&gt;"",'Raw Data'!D60,"")</f>
        <v/>
      </c>
      <c r="E73" s="4">
        <f>IF('Raw Data'!E60&lt;&gt;"",'Raw Data'!E60,"")</f>
        <v/>
      </c>
      <c r="F73" s="14">
        <f>IF('Raw Data'!A60&lt;&gt;"",AVERAGE('Raw Data'!F60,'Raw Data'!H60,'Raw Data'!J60,'Raw Data'!L60,'Raw Data'!N60),"")</f>
        <v/>
      </c>
      <c r="G73" s="14">
        <f>IF('Raw Data'!A60&lt;&gt;"",AVERAGE('Raw Data'!G60,'Raw Data'!I60,'Raw Data'!K60,'Raw Data'!M60,'Raw Data'!O60),"")</f>
        <v/>
      </c>
      <c r="H73" s="14">
        <f>IF(F73&lt;&gt;"",F73-G73,"")</f>
        <v/>
      </c>
      <c r="I73" s="14">
        <f>IF('Raw Data'!A60&lt;&gt;"",AVERAGE('Raw Data'!P60,'Raw Data'!R60,'Raw Data'!T60,'Raw Data'!V60,'Raw Data'!X60),"")</f>
        <v/>
      </c>
      <c r="J73" s="14">
        <f>IF('Raw Data'!A60&lt;&gt;"",AVERAGE('Raw Data'!Q60,'Raw Data'!S60,'Raw Data'!U60,'Raw Data'!W60,'Raw Data'!Y60),"")</f>
        <v/>
      </c>
      <c r="K73" s="14">
        <f>IF(I73&lt;&gt;"",I73-J73,"")</f>
        <v/>
      </c>
      <c r="L73" s="14">
        <f>IF('Raw Data'!A60&lt;&gt;"",AVERAGE('Raw Data'!Z60,'Raw Data'!AB60,'Raw Data'!AD60,'Raw Data'!AF60,'Raw Data'!AH60),"")</f>
        <v/>
      </c>
      <c r="M73" s="14">
        <f>IF('Raw Data'!A60&lt;&gt;"",AVERAGE('Raw Data'!AA60,'Raw Data'!AC60,'Raw Data'!AE60,'Raw Data'!AG60,'Raw Data'!AI60),"")</f>
        <v/>
      </c>
      <c r="N73" s="14">
        <f>IF(L73&lt;&gt;"",L73-M73,"")</f>
        <v/>
      </c>
      <c r="O73" s="14">
        <f>IF('Raw Data'!A60&lt;&gt;"",AVERAGE('Raw Data'!AJ60,'Raw Data'!AL60,'Raw Data'!AN60,'Raw Data'!AP60,'Raw Data'!AR60),"")</f>
        <v/>
      </c>
      <c r="P73" s="14">
        <f>IF('Raw Data'!A60&lt;&gt;"",AVERAGE('Raw Data'!AK60,'Raw Data'!AM60,'Raw Data'!AO60,'Raw Data'!AQ60,'Raw Data'!AS60),"")</f>
        <v/>
      </c>
      <c r="Q73" s="14">
        <f>IF(O73&lt;&gt;"",O73-P73,"")</f>
        <v/>
      </c>
      <c r="R73" s="14">
        <f>IF('Raw Data'!A60&lt;&gt;"",AVERAGE('Raw Data'!AT60,'Raw Data'!AV60,'Raw Data'!AX60,'Raw Data'!AZ60,'Raw Data'!BB60),"")</f>
        <v/>
      </c>
      <c r="S73" s="14">
        <f>IF('Raw Data'!A60&lt;&gt;"",AVERAGE('Raw Data'!AU60,'Raw Data'!AW60,'Raw Data'!AY60,'Raw Data'!BA60,'Raw Data'!BC60),"")</f>
        <v/>
      </c>
      <c r="T73" s="14">
        <f>IF(R73&lt;&gt;"",R73-S73,"")</f>
        <v/>
      </c>
      <c r="U73" s="14">
        <f>IF('Raw Data'!A60&lt;&gt;"",AVERAGE('Raw Data'!BD60,'Raw Data'!BF60,'Raw Data'!BH60,'Raw Data'!BJ60,'Raw Data'!BL60),"")</f>
        <v/>
      </c>
      <c r="V73" s="14">
        <f>IF('Raw Data'!A60&lt;&gt;"",AVERAGE('Raw Data'!BE60,'Raw Data'!BG60,'Raw Data'!BI60,'Raw Data'!BK60,'Raw Data'!BM60),"")</f>
        <v/>
      </c>
      <c r="W73" s="14">
        <f>IF(U73&lt;&gt;"",U73-V73,"")</f>
        <v/>
      </c>
      <c r="X73" s="14">
        <f>IF(A73&lt;&gt;"",AVERAGE(F73,I73,L73,O73,R73,U73),"")</f>
        <v/>
      </c>
      <c r="Y73" s="14">
        <f>IF(A73&lt;&gt;"",AVERAGE(G73,J73,M73,P73,S73,V73),"")</f>
        <v/>
      </c>
      <c r="Z73" s="14">
        <f>IF(A73&lt;&gt;"",X73-Y73,"")</f>
        <v/>
      </c>
      <c r="AA73" s="15">
        <f>IF(A73&lt;&gt;"",ROUND(MIN(100,100*((MAX(0,K73)*0.25)+(MAX(0,Q73)*0.20)+(MAX(0,W73)*0.20)+(MAX(0,H73)*0.15)+(MAX(0,N73)*0.10)+(MAX(0,T73)*0.10))/9),1),"")</f>
        <v/>
      </c>
      <c r="AB73" s="28">
        <f>IF(A73&lt;&gt;"",MIN(1,(0.5*AA73/100)+(0.3*MAX(0,K73)/9)+(0.2*MAX(0,Q73)/9)),"")</f>
        <v/>
      </c>
    </row>
    <row r="74">
      <c r="A74" s="13">
        <f>IF('Raw Data'!A61&lt;&gt;"",'Raw Data'!A61,"")</f>
        <v/>
      </c>
      <c r="B74" s="13">
        <f>IF('Raw Data'!B61&lt;&gt;"",'Raw Data'!B61,"")</f>
        <v/>
      </c>
      <c r="C74" s="13">
        <f>IF('Raw Data'!C61&lt;&gt;"",'Raw Data'!C61,"")</f>
        <v/>
      </c>
      <c r="D74" s="13">
        <f>IF('Raw Data'!D61&lt;&gt;"",'Raw Data'!D61,"")</f>
        <v/>
      </c>
      <c r="E74" s="13">
        <f>IF('Raw Data'!E61&lt;&gt;"",'Raw Data'!E61,"")</f>
        <v/>
      </c>
      <c r="F74" s="17">
        <f>IF('Raw Data'!A61&lt;&gt;"",AVERAGE('Raw Data'!F61,'Raw Data'!H61,'Raw Data'!J61,'Raw Data'!L61,'Raw Data'!N61),"")</f>
        <v/>
      </c>
      <c r="G74" s="17">
        <f>IF('Raw Data'!A61&lt;&gt;"",AVERAGE('Raw Data'!G61,'Raw Data'!I61,'Raw Data'!K61,'Raw Data'!M61,'Raw Data'!O61),"")</f>
        <v/>
      </c>
      <c r="H74" s="17">
        <f>IF(F74&lt;&gt;"",F74-G74,"")</f>
        <v/>
      </c>
      <c r="I74" s="17">
        <f>IF('Raw Data'!A61&lt;&gt;"",AVERAGE('Raw Data'!P61,'Raw Data'!R61,'Raw Data'!T61,'Raw Data'!V61,'Raw Data'!X61),"")</f>
        <v/>
      </c>
      <c r="J74" s="17">
        <f>IF('Raw Data'!A61&lt;&gt;"",AVERAGE('Raw Data'!Q61,'Raw Data'!S61,'Raw Data'!U61,'Raw Data'!W61,'Raw Data'!Y61),"")</f>
        <v/>
      </c>
      <c r="K74" s="17">
        <f>IF(I74&lt;&gt;"",I74-J74,"")</f>
        <v/>
      </c>
      <c r="L74" s="17">
        <f>IF('Raw Data'!A61&lt;&gt;"",AVERAGE('Raw Data'!Z61,'Raw Data'!AB61,'Raw Data'!AD61,'Raw Data'!AF61,'Raw Data'!AH61),"")</f>
        <v/>
      </c>
      <c r="M74" s="17">
        <f>IF('Raw Data'!A61&lt;&gt;"",AVERAGE('Raw Data'!AA61,'Raw Data'!AC61,'Raw Data'!AE61,'Raw Data'!AG61,'Raw Data'!AI61),"")</f>
        <v/>
      </c>
      <c r="N74" s="17">
        <f>IF(L74&lt;&gt;"",L74-M74,"")</f>
        <v/>
      </c>
      <c r="O74" s="17">
        <f>IF('Raw Data'!A61&lt;&gt;"",AVERAGE('Raw Data'!AJ61,'Raw Data'!AL61,'Raw Data'!AN61,'Raw Data'!AP61,'Raw Data'!AR61),"")</f>
        <v/>
      </c>
      <c r="P74" s="17">
        <f>IF('Raw Data'!A61&lt;&gt;"",AVERAGE('Raw Data'!AK61,'Raw Data'!AM61,'Raw Data'!AO61,'Raw Data'!AQ61,'Raw Data'!AS61),"")</f>
        <v/>
      </c>
      <c r="Q74" s="17">
        <f>IF(O74&lt;&gt;"",O74-P74,"")</f>
        <v/>
      </c>
      <c r="R74" s="17">
        <f>IF('Raw Data'!A61&lt;&gt;"",AVERAGE('Raw Data'!AT61,'Raw Data'!AV61,'Raw Data'!AX61,'Raw Data'!AZ61,'Raw Data'!BB61),"")</f>
        <v/>
      </c>
      <c r="S74" s="17">
        <f>IF('Raw Data'!A61&lt;&gt;"",AVERAGE('Raw Data'!AU61,'Raw Data'!AW61,'Raw Data'!AY61,'Raw Data'!BA61,'Raw Data'!BC61),"")</f>
        <v/>
      </c>
      <c r="T74" s="17">
        <f>IF(R74&lt;&gt;"",R74-S74,"")</f>
        <v/>
      </c>
      <c r="U74" s="17">
        <f>IF('Raw Data'!A61&lt;&gt;"",AVERAGE('Raw Data'!BD61,'Raw Data'!BF61,'Raw Data'!BH61,'Raw Data'!BJ61,'Raw Data'!BL61),"")</f>
        <v/>
      </c>
      <c r="V74" s="17">
        <f>IF('Raw Data'!A61&lt;&gt;"",AVERAGE('Raw Data'!BE61,'Raw Data'!BG61,'Raw Data'!BI61,'Raw Data'!BK61,'Raw Data'!BM61),"")</f>
        <v/>
      </c>
      <c r="W74" s="17">
        <f>IF(U74&lt;&gt;"",U74-V74,"")</f>
        <v/>
      </c>
      <c r="X74" s="17">
        <f>IF(A74&lt;&gt;"",AVERAGE(F74,I74,L74,O74,R74,U74),"")</f>
        <v/>
      </c>
      <c r="Y74" s="17">
        <f>IF(A74&lt;&gt;"",AVERAGE(G74,J74,M74,P74,S74,V74),"")</f>
        <v/>
      </c>
      <c r="Z74" s="17">
        <f>IF(A74&lt;&gt;"",X74-Y74,"")</f>
        <v/>
      </c>
      <c r="AA74" s="18">
        <f>IF(A74&lt;&gt;"",ROUND(MIN(100,100*((MAX(0,K74)*0.25)+(MAX(0,Q74)*0.20)+(MAX(0,W74)*0.20)+(MAX(0,H74)*0.15)+(MAX(0,N74)*0.10)+(MAX(0,T74)*0.10))/9),1),"")</f>
        <v/>
      </c>
      <c r="AB74" s="29">
        <f>IF(A74&lt;&gt;"",MIN(1,(0.5*AA74/100)+(0.3*MAX(0,K74)/9)+(0.2*MAX(0,Q74)/9)),"")</f>
        <v/>
      </c>
    </row>
    <row r="75">
      <c r="A75" s="4">
        <f>IF('Raw Data'!A62&lt;&gt;"",'Raw Data'!A62,"")</f>
        <v/>
      </c>
      <c r="B75" s="4">
        <f>IF('Raw Data'!B62&lt;&gt;"",'Raw Data'!B62,"")</f>
        <v/>
      </c>
      <c r="C75" s="4">
        <f>IF('Raw Data'!C62&lt;&gt;"",'Raw Data'!C62,"")</f>
        <v/>
      </c>
      <c r="D75" s="4">
        <f>IF('Raw Data'!D62&lt;&gt;"",'Raw Data'!D62,"")</f>
        <v/>
      </c>
      <c r="E75" s="4">
        <f>IF('Raw Data'!E62&lt;&gt;"",'Raw Data'!E62,"")</f>
        <v/>
      </c>
      <c r="F75" s="14">
        <f>IF('Raw Data'!A62&lt;&gt;"",AVERAGE('Raw Data'!F62,'Raw Data'!H62,'Raw Data'!J62,'Raw Data'!L62,'Raw Data'!N62),"")</f>
        <v/>
      </c>
      <c r="G75" s="14">
        <f>IF('Raw Data'!A62&lt;&gt;"",AVERAGE('Raw Data'!G62,'Raw Data'!I62,'Raw Data'!K62,'Raw Data'!M62,'Raw Data'!O62),"")</f>
        <v/>
      </c>
      <c r="H75" s="14">
        <f>IF(F75&lt;&gt;"",F75-G75,"")</f>
        <v/>
      </c>
      <c r="I75" s="14">
        <f>IF('Raw Data'!A62&lt;&gt;"",AVERAGE('Raw Data'!P62,'Raw Data'!R62,'Raw Data'!T62,'Raw Data'!V62,'Raw Data'!X62),"")</f>
        <v/>
      </c>
      <c r="J75" s="14">
        <f>IF('Raw Data'!A62&lt;&gt;"",AVERAGE('Raw Data'!Q62,'Raw Data'!S62,'Raw Data'!U62,'Raw Data'!W62,'Raw Data'!Y62),"")</f>
        <v/>
      </c>
      <c r="K75" s="14">
        <f>IF(I75&lt;&gt;"",I75-J75,"")</f>
        <v/>
      </c>
      <c r="L75" s="14">
        <f>IF('Raw Data'!A62&lt;&gt;"",AVERAGE('Raw Data'!Z62,'Raw Data'!AB62,'Raw Data'!AD62,'Raw Data'!AF62,'Raw Data'!AH62),"")</f>
        <v/>
      </c>
      <c r="M75" s="14">
        <f>IF('Raw Data'!A62&lt;&gt;"",AVERAGE('Raw Data'!AA62,'Raw Data'!AC62,'Raw Data'!AE62,'Raw Data'!AG62,'Raw Data'!AI62),"")</f>
        <v/>
      </c>
      <c r="N75" s="14">
        <f>IF(L75&lt;&gt;"",L75-M75,"")</f>
        <v/>
      </c>
      <c r="O75" s="14">
        <f>IF('Raw Data'!A62&lt;&gt;"",AVERAGE('Raw Data'!AJ62,'Raw Data'!AL62,'Raw Data'!AN62,'Raw Data'!AP62,'Raw Data'!AR62),"")</f>
        <v/>
      </c>
      <c r="P75" s="14">
        <f>IF('Raw Data'!A62&lt;&gt;"",AVERAGE('Raw Data'!AK62,'Raw Data'!AM62,'Raw Data'!AO62,'Raw Data'!AQ62,'Raw Data'!AS62),"")</f>
        <v/>
      </c>
      <c r="Q75" s="14">
        <f>IF(O75&lt;&gt;"",O75-P75,"")</f>
        <v/>
      </c>
      <c r="R75" s="14">
        <f>IF('Raw Data'!A62&lt;&gt;"",AVERAGE('Raw Data'!AT62,'Raw Data'!AV62,'Raw Data'!AX62,'Raw Data'!AZ62,'Raw Data'!BB62),"")</f>
        <v/>
      </c>
      <c r="S75" s="14">
        <f>IF('Raw Data'!A62&lt;&gt;"",AVERAGE('Raw Data'!AU62,'Raw Data'!AW62,'Raw Data'!AY62,'Raw Data'!BA62,'Raw Data'!BC62),"")</f>
        <v/>
      </c>
      <c r="T75" s="14">
        <f>IF(R75&lt;&gt;"",R75-S75,"")</f>
        <v/>
      </c>
      <c r="U75" s="14">
        <f>IF('Raw Data'!A62&lt;&gt;"",AVERAGE('Raw Data'!BD62,'Raw Data'!BF62,'Raw Data'!BH62,'Raw Data'!BJ62,'Raw Data'!BL62),"")</f>
        <v/>
      </c>
      <c r="V75" s="14">
        <f>IF('Raw Data'!A62&lt;&gt;"",AVERAGE('Raw Data'!BE62,'Raw Data'!BG62,'Raw Data'!BI62,'Raw Data'!BK62,'Raw Data'!BM62),"")</f>
        <v/>
      </c>
      <c r="W75" s="14">
        <f>IF(U75&lt;&gt;"",U75-V75,"")</f>
        <v/>
      </c>
      <c r="X75" s="14">
        <f>IF(A75&lt;&gt;"",AVERAGE(F75,I75,L75,O75,R75,U75),"")</f>
        <v/>
      </c>
      <c r="Y75" s="14">
        <f>IF(A75&lt;&gt;"",AVERAGE(G75,J75,M75,P75,S75,V75),"")</f>
        <v/>
      </c>
      <c r="Z75" s="14">
        <f>IF(A75&lt;&gt;"",X75-Y75,"")</f>
        <v/>
      </c>
      <c r="AA75" s="15">
        <f>IF(A75&lt;&gt;"",ROUND(MIN(100,100*((MAX(0,K75)*0.25)+(MAX(0,Q75)*0.20)+(MAX(0,W75)*0.20)+(MAX(0,H75)*0.15)+(MAX(0,N75)*0.10)+(MAX(0,T75)*0.10))/9),1),"")</f>
        <v/>
      </c>
      <c r="AB75" s="28">
        <f>IF(A75&lt;&gt;"",MIN(1,(0.5*AA75/100)+(0.3*MAX(0,K75)/9)+(0.2*MAX(0,Q75)/9)),"")</f>
        <v/>
      </c>
    </row>
    <row r="76">
      <c r="A76" s="13">
        <f>IF('Raw Data'!A63&lt;&gt;"",'Raw Data'!A63,"")</f>
        <v/>
      </c>
      <c r="B76" s="13">
        <f>IF('Raw Data'!B63&lt;&gt;"",'Raw Data'!B63,"")</f>
        <v/>
      </c>
      <c r="C76" s="13">
        <f>IF('Raw Data'!C63&lt;&gt;"",'Raw Data'!C63,"")</f>
        <v/>
      </c>
      <c r="D76" s="13">
        <f>IF('Raw Data'!D63&lt;&gt;"",'Raw Data'!D63,"")</f>
        <v/>
      </c>
      <c r="E76" s="13">
        <f>IF('Raw Data'!E63&lt;&gt;"",'Raw Data'!E63,"")</f>
        <v/>
      </c>
      <c r="F76" s="17">
        <f>IF('Raw Data'!A63&lt;&gt;"",AVERAGE('Raw Data'!F63,'Raw Data'!H63,'Raw Data'!J63,'Raw Data'!L63,'Raw Data'!N63),"")</f>
        <v/>
      </c>
      <c r="G76" s="17">
        <f>IF('Raw Data'!A63&lt;&gt;"",AVERAGE('Raw Data'!G63,'Raw Data'!I63,'Raw Data'!K63,'Raw Data'!M63,'Raw Data'!O63),"")</f>
        <v/>
      </c>
      <c r="H76" s="17">
        <f>IF(F76&lt;&gt;"",F76-G76,"")</f>
        <v/>
      </c>
      <c r="I76" s="17">
        <f>IF('Raw Data'!A63&lt;&gt;"",AVERAGE('Raw Data'!P63,'Raw Data'!R63,'Raw Data'!T63,'Raw Data'!V63,'Raw Data'!X63),"")</f>
        <v/>
      </c>
      <c r="J76" s="17">
        <f>IF('Raw Data'!A63&lt;&gt;"",AVERAGE('Raw Data'!Q63,'Raw Data'!S63,'Raw Data'!U63,'Raw Data'!W63,'Raw Data'!Y63),"")</f>
        <v/>
      </c>
      <c r="K76" s="17">
        <f>IF(I76&lt;&gt;"",I76-J76,"")</f>
        <v/>
      </c>
      <c r="L76" s="17">
        <f>IF('Raw Data'!A63&lt;&gt;"",AVERAGE('Raw Data'!Z63,'Raw Data'!AB63,'Raw Data'!AD63,'Raw Data'!AF63,'Raw Data'!AH63),"")</f>
        <v/>
      </c>
      <c r="M76" s="17">
        <f>IF('Raw Data'!A63&lt;&gt;"",AVERAGE('Raw Data'!AA63,'Raw Data'!AC63,'Raw Data'!AE63,'Raw Data'!AG63,'Raw Data'!AI63),"")</f>
        <v/>
      </c>
      <c r="N76" s="17">
        <f>IF(L76&lt;&gt;"",L76-M76,"")</f>
        <v/>
      </c>
      <c r="O76" s="17">
        <f>IF('Raw Data'!A63&lt;&gt;"",AVERAGE('Raw Data'!AJ63,'Raw Data'!AL63,'Raw Data'!AN63,'Raw Data'!AP63,'Raw Data'!AR63),"")</f>
        <v/>
      </c>
      <c r="P76" s="17">
        <f>IF('Raw Data'!A63&lt;&gt;"",AVERAGE('Raw Data'!AK63,'Raw Data'!AM63,'Raw Data'!AO63,'Raw Data'!AQ63,'Raw Data'!AS63),"")</f>
        <v/>
      </c>
      <c r="Q76" s="17">
        <f>IF(O76&lt;&gt;"",O76-P76,"")</f>
        <v/>
      </c>
      <c r="R76" s="17">
        <f>IF('Raw Data'!A63&lt;&gt;"",AVERAGE('Raw Data'!AT63,'Raw Data'!AV63,'Raw Data'!AX63,'Raw Data'!AZ63,'Raw Data'!BB63),"")</f>
        <v/>
      </c>
      <c r="S76" s="17">
        <f>IF('Raw Data'!A63&lt;&gt;"",AVERAGE('Raw Data'!AU63,'Raw Data'!AW63,'Raw Data'!AY63,'Raw Data'!BA63,'Raw Data'!BC63),"")</f>
        <v/>
      </c>
      <c r="T76" s="17">
        <f>IF(R76&lt;&gt;"",R76-S76,"")</f>
        <v/>
      </c>
      <c r="U76" s="17">
        <f>IF('Raw Data'!A63&lt;&gt;"",AVERAGE('Raw Data'!BD63,'Raw Data'!BF63,'Raw Data'!BH63,'Raw Data'!BJ63,'Raw Data'!BL63),"")</f>
        <v/>
      </c>
      <c r="V76" s="17">
        <f>IF('Raw Data'!A63&lt;&gt;"",AVERAGE('Raw Data'!BE63,'Raw Data'!BG63,'Raw Data'!BI63,'Raw Data'!BK63,'Raw Data'!BM63),"")</f>
        <v/>
      </c>
      <c r="W76" s="17">
        <f>IF(U76&lt;&gt;"",U76-V76,"")</f>
        <v/>
      </c>
      <c r="X76" s="17">
        <f>IF(A76&lt;&gt;"",AVERAGE(F76,I76,L76,O76,R76,U76),"")</f>
        <v/>
      </c>
      <c r="Y76" s="17">
        <f>IF(A76&lt;&gt;"",AVERAGE(G76,J76,M76,P76,S76,V76),"")</f>
        <v/>
      </c>
      <c r="Z76" s="17">
        <f>IF(A76&lt;&gt;"",X76-Y76,"")</f>
        <v/>
      </c>
      <c r="AA76" s="18">
        <f>IF(A76&lt;&gt;"",ROUND(MIN(100,100*((MAX(0,K76)*0.25)+(MAX(0,Q76)*0.20)+(MAX(0,W76)*0.20)+(MAX(0,H76)*0.15)+(MAX(0,N76)*0.10)+(MAX(0,T76)*0.10))/9),1),"")</f>
        <v/>
      </c>
      <c r="AB76" s="29">
        <f>IF(A76&lt;&gt;"",MIN(1,(0.5*AA76/100)+(0.3*MAX(0,K76)/9)+(0.2*MAX(0,Q76)/9)),"")</f>
        <v/>
      </c>
    </row>
    <row r="77">
      <c r="A77" s="4">
        <f>IF('Raw Data'!A64&lt;&gt;"",'Raw Data'!A64,"")</f>
        <v/>
      </c>
      <c r="B77" s="4">
        <f>IF('Raw Data'!B64&lt;&gt;"",'Raw Data'!B64,"")</f>
        <v/>
      </c>
      <c r="C77" s="4">
        <f>IF('Raw Data'!C64&lt;&gt;"",'Raw Data'!C64,"")</f>
        <v/>
      </c>
      <c r="D77" s="4">
        <f>IF('Raw Data'!D64&lt;&gt;"",'Raw Data'!D64,"")</f>
        <v/>
      </c>
      <c r="E77" s="4">
        <f>IF('Raw Data'!E64&lt;&gt;"",'Raw Data'!E64,"")</f>
        <v/>
      </c>
      <c r="F77" s="14">
        <f>IF('Raw Data'!A64&lt;&gt;"",AVERAGE('Raw Data'!F64,'Raw Data'!H64,'Raw Data'!J64,'Raw Data'!L64,'Raw Data'!N64),"")</f>
        <v/>
      </c>
      <c r="G77" s="14">
        <f>IF('Raw Data'!A64&lt;&gt;"",AVERAGE('Raw Data'!G64,'Raw Data'!I64,'Raw Data'!K64,'Raw Data'!M64,'Raw Data'!O64),"")</f>
        <v/>
      </c>
      <c r="H77" s="14">
        <f>IF(F77&lt;&gt;"",F77-G77,"")</f>
        <v/>
      </c>
      <c r="I77" s="14">
        <f>IF('Raw Data'!A64&lt;&gt;"",AVERAGE('Raw Data'!P64,'Raw Data'!R64,'Raw Data'!T64,'Raw Data'!V64,'Raw Data'!X64),"")</f>
        <v/>
      </c>
      <c r="J77" s="14">
        <f>IF('Raw Data'!A64&lt;&gt;"",AVERAGE('Raw Data'!Q64,'Raw Data'!S64,'Raw Data'!U64,'Raw Data'!W64,'Raw Data'!Y64),"")</f>
        <v/>
      </c>
      <c r="K77" s="14">
        <f>IF(I77&lt;&gt;"",I77-J77,"")</f>
        <v/>
      </c>
      <c r="L77" s="14">
        <f>IF('Raw Data'!A64&lt;&gt;"",AVERAGE('Raw Data'!Z64,'Raw Data'!AB64,'Raw Data'!AD64,'Raw Data'!AF64,'Raw Data'!AH64),"")</f>
        <v/>
      </c>
      <c r="M77" s="14">
        <f>IF('Raw Data'!A64&lt;&gt;"",AVERAGE('Raw Data'!AA64,'Raw Data'!AC64,'Raw Data'!AE64,'Raw Data'!AG64,'Raw Data'!AI64),"")</f>
        <v/>
      </c>
      <c r="N77" s="14">
        <f>IF(L77&lt;&gt;"",L77-M77,"")</f>
        <v/>
      </c>
      <c r="O77" s="14">
        <f>IF('Raw Data'!A64&lt;&gt;"",AVERAGE('Raw Data'!AJ64,'Raw Data'!AL64,'Raw Data'!AN64,'Raw Data'!AP64,'Raw Data'!AR64),"")</f>
        <v/>
      </c>
      <c r="P77" s="14">
        <f>IF('Raw Data'!A64&lt;&gt;"",AVERAGE('Raw Data'!AK64,'Raw Data'!AM64,'Raw Data'!AO64,'Raw Data'!AQ64,'Raw Data'!AS64),"")</f>
        <v/>
      </c>
      <c r="Q77" s="14">
        <f>IF(O77&lt;&gt;"",O77-P77,"")</f>
        <v/>
      </c>
      <c r="R77" s="14">
        <f>IF('Raw Data'!A64&lt;&gt;"",AVERAGE('Raw Data'!AT64,'Raw Data'!AV64,'Raw Data'!AX64,'Raw Data'!AZ64,'Raw Data'!BB64),"")</f>
        <v/>
      </c>
      <c r="S77" s="14">
        <f>IF('Raw Data'!A64&lt;&gt;"",AVERAGE('Raw Data'!AU64,'Raw Data'!AW64,'Raw Data'!AY64,'Raw Data'!BA64,'Raw Data'!BC64),"")</f>
        <v/>
      </c>
      <c r="T77" s="14">
        <f>IF(R77&lt;&gt;"",R77-S77,"")</f>
        <v/>
      </c>
      <c r="U77" s="14">
        <f>IF('Raw Data'!A64&lt;&gt;"",AVERAGE('Raw Data'!BD64,'Raw Data'!BF64,'Raw Data'!BH64,'Raw Data'!BJ64,'Raw Data'!BL64),"")</f>
        <v/>
      </c>
      <c r="V77" s="14">
        <f>IF('Raw Data'!A64&lt;&gt;"",AVERAGE('Raw Data'!BE64,'Raw Data'!BG64,'Raw Data'!BI64,'Raw Data'!BK64,'Raw Data'!BM64),"")</f>
        <v/>
      </c>
      <c r="W77" s="14">
        <f>IF(U77&lt;&gt;"",U77-V77,"")</f>
        <v/>
      </c>
      <c r="X77" s="14">
        <f>IF(A77&lt;&gt;"",AVERAGE(F77,I77,L77,O77,R77,U77),"")</f>
        <v/>
      </c>
      <c r="Y77" s="14">
        <f>IF(A77&lt;&gt;"",AVERAGE(G77,J77,M77,P77,S77,V77),"")</f>
        <v/>
      </c>
      <c r="Z77" s="14">
        <f>IF(A77&lt;&gt;"",X77-Y77,"")</f>
        <v/>
      </c>
      <c r="AA77" s="15">
        <f>IF(A77&lt;&gt;"",ROUND(MIN(100,100*((MAX(0,K77)*0.25)+(MAX(0,Q77)*0.20)+(MAX(0,W77)*0.20)+(MAX(0,H77)*0.15)+(MAX(0,N77)*0.10)+(MAX(0,T77)*0.10))/9),1),"")</f>
        <v/>
      </c>
      <c r="AB77" s="28">
        <f>IF(A77&lt;&gt;"",MIN(1,(0.5*AA77/100)+(0.3*MAX(0,K77)/9)+(0.2*MAX(0,Q77)/9)),"")</f>
        <v/>
      </c>
    </row>
    <row r="78">
      <c r="A78" s="13">
        <f>IF('Raw Data'!A65&lt;&gt;"",'Raw Data'!A65,"")</f>
        <v/>
      </c>
      <c r="B78" s="13">
        <f>IF('Raw Data'!B65&lt;&gt;"",'Raw Data'!B65,"")</f>
        <v/>
      </c>
      <c r="C78" s="13">
        <f>IF('Raw Data'!C65&lt;&gt;"",'Raw Data'!C65,"")</f>
        <v/>
      </c>
      <c r="D78" s="13">
        <f>IF('Raw Data'!D65&lt;&gt;"",'Raw Data'!D65,"")</f>
        <v/>
      </c>
      <c r="E78" s="13">
        <f>IF('Raw Data'!E65&lt;&gt;"",'Raw Data'!E65,"")</f>
        <v/>
      </c>
      <c r="F78" s="17">
        <f>IF('Raw Data'!A65&lt;&gt;"",AVERAGE('Raw Data'!F65,'Raw Data'!H65,'Raw Data'!J65,'Raw Data'!L65,'Raw Data'!N65),"")</f>
        <v/>
      </c>
      <c r="G78" s="17">
        <f>IF('Raw Data'!A65&lt;&gt;"",AVERAGE('Raw Data'!G65,'Raw Data'!I65,'Raw Data'!K65,'Raw Data'!M65,'Raw Data'!O65),"")</f>
        <v/>
      </c>
      <c r="H78" s="17">
        <f>IF(F78&lt;&gt;"",F78-G78,"")</f>
        <v/>
      </c>
      <c r="I78" s="17">
        <f>IF('Raw Data'!A65&lt;&gt;"",AVERAGE('Raw Data'!P65,'Raw Data'!R65,'Raw Data'!T65,'Raw Data'!V65,'Raw Data'!X65),"")</f>
        <v/>
      </c>
      <c r="J78" s="17">
        <f>IF('Raw Data'!A65&lt;&gt;"",AVERAGE('Raw Data'!Q65,'Raw Data'!S65,'Raw Data'!U65,'Raw Data'!W65,'Raw Data'!Y65),"")</f>
        <v/>
      </c>
      <c r="K78" s="17">
        <f>IF(I78&lt;&gt;"",I78-J78,"")</f>
        <v/>
      </c>
      <c r="L78" s="17">
        <f>IF('Raw Data'!A65&lt;&gt;"",AVERAGE('Raw Data'!Z65,'Raw Data'!AB65,'Raw Data'!AD65,'Raw Data'!AF65,'Raw Data'!AH65),"")</f>
        <v/>
      </c>
      <c r="M78" s="17">
        <f>IF('Raw Data'!A65&lt;&gt;"",AVERAGE('Raw Data'!AA65,'Raw Data'!AC65,'Raw Data'!AE65,'Raw Data'!AG65,'Raw Data'!AI65),"")</f>
        <v/>
      </c>
      <c r="N78" s="17">
        <f>IF(L78&lt;&gt;"",L78-M78,"")</f>
        <v/>
      </c>
      <c r="O78" s="17">
        <f>IF('Raw Data'!A65&lt;&gt;"",AVERAGE('Raw Data'!AJ65,'Raw Data'!AL65,'Raw Data'!AN65,'Raw Data'!AP65,'Raw Data'!AR65),"")</f>
        <v/>
      </c>
      <c r="P78" s="17">
        <f>IF('Raw Data'!A65&lt;&gt;"",AVERAGE('Raw Data'!AK65,'Raw Data'!AM65,'Raw Data'!AO65,'Raw Data'!AQ65,'Raw Data'!AS65),"")</f>
        <v/>
      </c>
      <c r="Q78" s="17">
        <f>IF(O78&lt;&gt;"",O78-P78,"")</f>
        <v/>
      </c>
      <c r="R78" s="17">
        <f>IF('Raw Data'!A65&lt;&gt;"",AVERAGE('Raw Data'!AT65,'Raw Data'!AV65,'Raw Data'!AX65,'Raw Data'!AZ65,'Raw Data'!BB65),"")</f>
        <v/>
      </c>
      <c r="S78" s="17">
        <f>IF('Raw Data'!A65&lt;&gt;"",AVERAGE('Raw Data'!AU65,'Raw Data'!AW65,'Raw Data'!AY65,'Raw Data'!BA65,'Raw Data'!BC65),"")</f>
        <v/>
      </c>
      <c r="T78" s="17">
        <f>IF(R78&lt;&gt;"",R78-S78,"")</f>
        <v/>
      </c>
      <c r="U78" s="17">
        <f>IF('Raw Data'!A65&lt;&gt;"",AVERAGE('Raw Data'!BD65,'Raw Data'!BF65,'Raw Data'!BH65,'Raw Data'!BJ65,'Raw Data'!BL65),"")</f>
        <v/>
      </c>
      <c r="V78" s="17">
        <f>IF('Raw Data'!A65&lt;&gt;"",AVERAGE('Raw Data'!BE65,'Raw Data'!BG65,'Raw Data'!BI65,'Raw Data'!BK65,'Raw Data'!BM65),"")</f>
        <v/>
      </c>
      <c r="W78" s="17">
        <f>IF(U78&lt;&gt;"",U78-V78,"")</f>
        <v/>
      </c>
      <c r="X78" s="17">
        <f>IF(A78&lt;&gt;"",AVERAGE(F78,I78,L78,O78,R78,U78),"")</f>
        <v/>
      </c>
      <c r="Y78" s="17">
        <f>IF(A78&lt;&gt;"",AVERAGE(G78,J78,M78,P78,S78,V78),"")</f>
        <v/>
      </c>
      <c r="Z78" s="17">
        <f>IF(A78&lt;&gt;"",X78-Y78,"")</f>
        <v/>
      </c>
      <c r="AA78" s="18">
        <f>IF(A78&lt;&gt;"",ROUND(MIN(100,100*((MAX(0,K78)*0.25)+(MAX(0,Q78)*0.20)+(MAX(0,W78)*0.20)+(MAX(0,H78)*0.15)+(MAX(0,N78)*0.10)+(MAX(0,T78)*0.10))/9),1),"")</f>
        <v/>
      </c>
      <c r="AB78" s="29">
        <f>IF(A78&lt;&gt;"",MIN(1,(0.5*AA78/100)+(0.3*MAX(0,K78)/9)+(0.2*MAX(0,Q78)/9)),"")</f>
        <v/>
      </c>
    </row>
    <row r="79">
      <c r="A79" s="4">
        <f>IF('Raw Data'!A66&lt;&gt;"",'Raw Data'!A66,"")</f>
        <v/>
      </c>
      <c r="B79" s="4">
        <f>IF('Raw Data'!B66&lt;&gt;"",'Raw Data'!B66,"")</f>
        <v/>
      </c>
      <c r="C79" s="4">
        <f>IF('Raw Data'!C66&lt;&gt;"",'Raw Data'!C66,"")</f>
        <v/>
      </c>
      <c r="D79" s="4">
        <f>IF('Raw Data'!D66&lt;&gt;"",'Raw Data'!D66,"")</f>
        <v/>
      </c>
      <c r="E79" s="4">
        <f>IF('Raw Data'!E66&lt;&gt;"",'Raw Data'!E66,"")</f>
        <v/>
      </c>
      <c r="F79" s="14">
        <f>IF('Raw Data'!A66&lt;&gt;"",AVERAGE('Raw Data'!F66,'Raw Data'!H66,'Raw Data'!J66,'Raw Data'!L66,'Raw Data'!N66),"")</f>
        <v/>
      </c>
      <c r="G79" s="14">
        <f>IF('Raw Data'!A66&lt;&gt;"",AVERAGE('Raw Data'!G66,'Raw Data'!I66,'Raw Data'!K66,'Raw Data'!M66,'Raw Data'!O66),"")</f>
        <v/>
      </c>
      <c r="H79" s="14">
        <f>IF(F79&lt;&gt;"",F79-G79,"")</f>
        <v/>
      </c>
      <c r="I79" s="14">
        <f>IF('Raw Data'!A66&lt;&gt;"",AVERAGE('Raw Data'!P66,'Raw Data'!R66,'Raw Data'!T66,'Raw Data'!V66,'Raw Data'!X66),"")</f>
        <v/>
      </c>
      <c r="J79" s="14">
        <f>IF('Raw Data'!A66&lt;&gt;"",AVERAGE('Raw Data'!Q66,'Raw Data'!S66,'Raw Data'!U66,'Raw Data'!W66,'Raw Data'!Y66),"")</f>
        <v/>
      </c>
      <c r="K79" s="14">
        <f>IF(I79&lt;&gt;"",I79-J79,"")</f>
        <v/>
      </c>
      <c r="L79" s="14">
        <f>IF('Raw Data'!A66&lt;&gt;"",AVERAGE('Raw Data'!Z66,'Raw Data'!AB66,'Raw Data'!AD66,'Raw Data'!AF66,'Raw Data'!AH66),"")</f>
        <v/>
      </c>
      <c r="M79" s="14">
        <f>IF('Raw Data'!A66&lt;&gt;"",AVERAGE('Raw Data'!AA66,'Raw Data'!AC66,'Raw Data'!AE66,'Raw Data'!AG66,'Raw Data'!AI66),"")</f>
        <v/>
      </c>
      <c r="N79" s="14">
        <f>IF(L79&lt;&gt;"",L79-M79,"")</f>
        <v/>
      </c>
      <c r="O79" s="14">
        <f>IF('Raw Data'!A66&lt;&gt;"",AVERAGE('Raw Data'!AJ66,'Raw Data'!AL66,'Raw Data'!AN66,'Raw Data'!AP66,'Raw Data'!AR66),"")</f>
        <v/>
      </c>
      <c r="P79" s="14">
        <f>IF('Raw Data'!A66&lt;&gt;"",AVERAGE('Raw Data'!AK66,'Raw Data'!AM66,'Raw Data'!AO66,'Raw Data'!AQ66,'Raw Data'!AS66),"")</f>
        <v/>
      </c>
      <c r="Q79" s="14">
        <f>IF(O79&lt;&gt;"",O79-P79,"")</f>
        <v/>
      </c>
      <c r="R79" s="14">
        <f>IF('Raw Data'!A66&lt;&gt;"",AVERAGE('Raw Data'!AT66,'Raw Data'!AV66,'Raw Data'!AX66,'Raw Data'!AZ66,'Raw Data'!BB66),"")</f>
        <v/>
      </c>
      <c r="S79" s="14">
        <f>IF('Raw Data'!A66&lt;&gt;"",AVERAGE('Raw Data'!AU66,'Raw Data'!AW66,'Raw Data'!AY66,'Raw Data'!BA66,'Raw Data'!BC66),"")</f>
        <v/>
      </c>
      <c r="T79" s="14">
        <f>IF(R79&lt;&gt;"",R79-S79,"")</f>
        <v/>
      </c>
      <c r="U79" s="14">
        <f>IF('Raw Data'!A66&lt;&gt;"",AVERAGE('Raw Data'!BD66,'Raw Data'!BF66,'Raw Data'!BH66,'Raw Data'!BJ66,'Raw Data'!BL66),"")</f>
        <v/>
      </c>
      <c r="V79" s="14">
        <f>IF('Raw Data'!A66&lt;&gt;"",AVERAGE('Raw Data'!BE66,'Raw Data'!BG66,'Raw Data'!BI66,'Raw Data'!BK66,'Raw Data'!BM66),"")</f>
        <v/>
      </c>
      <c r="W79" s="14">
        <f>IF(U79&lt;&gt;"",U79-V79,"")</f>
        <v/>
      </c>
      <c r="X79" s="14">
        <f>IF(A79&lt;&gt;"",AVERAGE(F79,I79,L79,O79,R79,U79),"")</f>
        <v/>
      </c>
      <c r="Y79" s="14">
        <f>IF(A79&lt;&gt;"",AVERAGE(G79,J79,M79,P79,S79,V79),"")</f>
        <v/>
      </c>
      <c r="Z79" s="14">
        <f>IF(A79&lt;&gt;"",X79-Y79,"")</f>
        <v/>
      </c>
      <c r="AA79" s="15">
        <f>IF(A79&lt;&gt;"",ROUND(MIN(100,100*((MAX(0,K79)*0.25)+(MAX(0,Q79)*0.20)+(MAX(0,W79)*0.20)+(MAX(0,H79)*0.15)+(MAX(0,N79)*0.10)+(MAX(0,T79)*0.10))/9),1),"")</f>
        <v/>
      </c>
      <c r="AB79" s="28">
        <f>IF(A79&lt;&gt;"",MIN(1,(0.5*AA79/100)+(0.3*MAX(0,K79)/9)+(0.2*MAX(0,Q79)/9)),"")</f>
        <v/>
      </c>
    </row>
    <row r="80">
      <c r="A80" s="13">
        <f>IF('Raw Data'!A67&lt;&gt;"",'Raw Data'!A67,"")</f>
        <v/>
      </c>
      <c r="B80" s="13">
        <f>IF('Raw Data'!B67&lt;&gt;"",'Raw Data'!B67,"")</f>
        <v/>
      </c>
      <c r="C80" s="13">
        <f>IF('Raw Data'!C67&lt;&gt;"",'Raw Data'!C67,"")</f>
        <v/>
      </c>
      <c r="D80" s="13">
        <f>IF('Raw Data'!D67&lt;&gt;"",'Raw Data'!D67,"")</f>
        <v/>
      </c>
      <c r="E80" s="13">
        <f>IF('Raw Data'!E67&lt;&gt;"",'Raw Data'!E67,"")</f>
        <v/>
      </c>
      <c r="F80" s="17">
        <f>IF('Raw Data'!A67&lt;&gt;"",AVERAGE('Raw Data'!F67,'Raw Data'!H67,'Raw Data'!J67,'Raw Data'!L67,'Raw Data'!N67),"")</f>
        <v/>
      </c>
      <c r="G80" s="17">
        <f>IF('Raw Data'!A67&lt;&gt;"",AVERAGE('Raw Data'!G67,'Raw Data'!I67,'Raw Data'!K67,'Raw Data'!M67,'Raw Data'!O67),"")</f>
        <v/>
      </c>
      <c r="H80" s="17">
        <f>IF(F80&lt;&gt;"",F80-G80,"")</f>
        <v/>
      </c>
      <c r="I80" s="17">
        <f>IF('Raw Data'!A67&lt;&gt;"",AVERAGE('Raw Data'!P67,'Raw Data'!R67,'Raw Data'!T67,'Raw Data'!V67,'Raw Data'!X67),"")</f>
        <v/>
      </c>
      <c r="J80" s="17">
        <f>IF('Raw Data'!A67&lt;&gt;"",AVERAGE('Raw Data'!Q67,'Raw Data'!S67,'Raw Data'!U67,'Raw Data'!W67,'Raw Data'!Y67),"")</f>
        <v/>
      </c>
      <c r="K80" s="17">
        <f>IF(I80&lt;&gt;"",I80-J80,"")</f>
        <v/>
      </c>
      <c r="L80" s="17">
        <f>IF('Raw Data'!A67&lt;&gt;"",AVERAGE('Raw Data'!Z67,'Raw Data'!AB67,'Raw Data'!AD67,'Raw Data'!AF67,'Raw Data'!AH67),"")</f>
        <v/>
      </c>
      <c r="M80" s="17">
        <f>IF('Raw Data'!A67&lt;&gt;"",AVERAGE('Raw Data'!AA67,'Raw Data'!AC67,'Raw Data'!AE67,'Raw Data'!AG67,'Raw Data'!AI67),"")</f>
        <v/>
      </c>
      <c r="N80" s="17">
        <f>IF(L80&lt;&gt;"",L80-M80,"")</f>
        <v/>
      </c>
      <c r="O80" s="17">
        <f>IF('Raw Data'!A67&lt;&gt;"",AVERAGE('Raw Data'!AJ67,'Raw Data'!AL67,'Raw Data'!AN67,'Raw Data'!AP67,'Raw Data'!AR67),"")</f>
        <v/>
      </c>
      <c r="P80" s="17">
        <f>IF('Raw Data'!A67&lt;&gt;"",AVERAGE('Raw Data'!AK67,'Raw Data'!AM67,'Raw Data'!AO67,'Raw Data'!AQ67,'Raw Data'!AS67),"")</f>
        <v/>
      </c>
      <c r="Q80" s="17">
        <f>IF(O80&lt;&gt;"",O80-P80,"")</f>
        <v/>
      </c>
      <c r="R80" s="17">
        <f>IF('Raw Data'!A67&lt;&gt;"",AVERAGE('Raw Data'!AT67,'Raw Data'!AV67,'Raw Data'!AX67,'Raw Data'!AZ67,'Raw Data'!BB67),"")</f>
        <v/>
      </c>
      <c r="S80" s="17">
        <f>IF('Raw Data'!A67&lt;&gt;"",AVERAGE('Raw Data'!AU67,'Raw Data'!AW67,'Raw Data'!AY67,'Raw Data'!BA67,'Raw Data'!BC67),"")</f>
        <v/>
      </c>
      <c r="T80" s="17">
        <f>IF(R80&lt;&gt;"",R80-S80,"")</f>
        <v/>
      </c>
      <c r="U80" s="17">
        <f>IF('Raw Data'!A67&lt;&gt;"",AVERAGE('Raw Data'!BD67,'Raw Data'!BF67,'Raw Data'!BH67,'Raw Data'!BJ67,'Raw Data'!BL67),"")</f>
        <v/>
      </c>
      <c r="V80" s="17">
        <f>IF('Raw Data'!A67&lt;&gt;"",AVERAGE('Raw Data'!BE67,'Raw Data'!BG67,'Raw Data'!BI67,'Raw Data'!BK67,'Raw Data'!BM67),"")</f>
        <v/>
      </c>
      <c r="W80" s="17">
        <f>IF(U80&lt;&gt;"",U80-V80,"")</f>
        <v/>
      </c>
      <c r="X80" s="17">
        <f>IF(A80&lt;&gt;"",AVERAGE(F80,I80,L80,O80,R80,U80),"")</f>
        <v/>
      </c>
      <c r="Y80" s="17">
        <f>IF(A80&lt;&gt;"",AVERAGE(G80,J80,M80,P80,S80,V80),"")</f>
        <v/>
      </c>
      <c r="Z80" s="17">
        <f>IF(A80&lt;&gt;"",X80-Y80,"")</f>
        <v/>
      </c>
      <c r="AA80" s="18">
        <f>IF(A80&lt;&gt;"",ROUND(MIN(100,100*((MAX(0,K80)*0.25)+(MAX(0,Q80)*0.20)+(MAX(0,W80)*0.20)+(MAX(0,H80)*0.15)+(MAX(0,N80)*0.10)+(MAX(0,T80)*0.10))/9),1),"")</f>
        <v/>
      </c>
      <c r="AB80" s="29">
        <f>IF(A80&lt;&gt;"",MIN(1,(0.5*AA80/100)+(0.3*MAX(0,K80)/9)+(0.2*MAX(0,Q80)/9)),"")</f>
        <v/>
      </c>
    </row>
    <row r="81">
      <c r="A81" s="4">
        <f>IF('Raw Data'!A68&lt;&gt;"",'Raw Data'!A68,"")</f>
        <v/>
      </c>
      <c r="B81" s="4">
        <f>IF('Raw Data'!B68&lt;&gt;"",'Raw Data'!B68,"")</f>
        <v/>
      </c>
      <c r="C81" s="4">
        <f>IF('Raw Data'!C68&lt;&gt;"",'Raw Data'!C68,"")</f>
        <v/>
      </c>
      <c r="D81" s="4">
        <f>IF('Raw Data'!D68&lt;&gt;"",'Raw Data'!D68,"")</f>
        <v/>
      </c>
      <c r="E81" s="4">
        <f>IF('Raw Data'!E68&lt;&gt;"",'Raw Data'!E68,"")</f>
        <v/>
      </c>
      <c r="F81" s="14">
        <f>IF('Raw Data'!A68&lt;&gt;"",AVERAGE('Raw Data'!F68,'Raw Data'!H68,'Raw Data'!J68,'Raw Data'!L68,'Raw Data'!N68),"")</f>
        <v/>
      </c>
      <c r="G81" s="14">
        <f>IF('Raw Data'!A68&lt;&gt;"",AVERAGE('Raw Data'!G68,'Raw Data'!I68,'Raw Data'!K68,'Raw Data'!M68,'Raw Data'!O68),"")</f>
        <v/>
      </c>
      <c r="H81" s="14">
        <f>IF(F81&lt;&gt;"",F81-G81,"")</f>
        <v/>
      </c>
      <c r="I81" s="14">
        <f>IF('Raw Data'!A68&lt;&gt;"",AVERAGE('Raw Data'!P68,'Raw Data'!R68,'Raw Data'!T68,'Raw Data'!V68,'Raw Data'!X68),"")</f>
        <v/>
      </c>
      <c r="J81" s="14">
        <f>IF('Raw Data'!A68&lt;&gt;"",AVERAGE('Raw Data'!Q68,'Raw Data'!S68,'Raw Data'!U68,'Raw Data'!W68,'Raw Data'!Y68),"")</f>
        <v/>
      </c>
      <c r="K81" s="14">
        <f>IF(I81&lt;&gt;"",I81-J81,"")</f>
        <v/>
      </c>
      <c r="L81" s="14">
        <f>IF('Raw Data'!A68&lt;&gt;"",AVERAGE('Raw Data'!Z68,'Raw Data'!AB68,'Raw Data'!AD68,'Raw Data'!AF68,'Raw Data'!AH68),"")</f>
        <v/>
      </c>
      <c r="M81" s="14">
        <f>IF('Raw Data'!A68&lt;&gt;"",AVERAGE('Raw Data'!AA68,'Raw Data'!AC68,'Raw Data'!AE68,'Raw Data'!AG68,'Raw Data'!AI68),"")</f>
        <v/>
      </c>
      <c r="N81" s="14">
        <f>IF(L81&lt;&gt;"",L81-M81,"")</f>
        <v/>
      </c>
      <c r="O81" s="14">
        <f>IF('Raw Data'!A68&lt;&gt;"",AVERAGE('Raw Data'!AJ68,'Raw Data'!AL68,'Raw Data'!AN68,'Raw Data'!AP68,'Raw Data'!AR68),"")</f>
        <v/>
      </c>
      <c r="P81" s="14">
        <f>IF('Raw Data'!A68&lt;&gt;"",AVERAGE('Raw Data'!AK68,'Raw Data'!AM68,'Raw Data'!AO68,'Raw Data'!AQ68,'Raw Data'!AS68),"")</f>
        <v/>
      </c>
      <c r="Q81" s="14">
        <f>IF(O81&lt;&gt;"",O81-P81,"")</f>
        <v/>
      </c>
      <c r="R81" s="14">
        <f>IF('Raw Data'!A68&lt;&gt;"",AVERAGE('Raw Data'!AT68,'Raw Data'!AV68,'Raw Data'!AX68,'Raw Data'!AZ68,'Raw Data'!BB68),"")</f>
        <v/>
      </c>
      <c r="S81" s="14">
        <f>IF('Raw Data'!A68&lt;&gt;"",AVERAGE('Raw Data'!AU68,'Raw Data'!AW68,'Raw Data'!AY68,'Raw Data'!BA68,'Raw Data'!BC68),"")</f>
        <v/>
      </c>
      <c r="T81" s="14">
        <f>IF(R81&lt;&gt;"",R81-S81,"")</f>
        <v/>
      </c>
      <c r="U81" s="14">
        <f>IF('Raw Data'!A68&lt;&gt;"",AVERAGE('Raw Data'!BD68,'Raw Data'!BF68,'Raw Data'!BH68,'Raw Data'!BJ68,'Raw Data'!BL68),"")</f>
        <v/>
      </c>
      <c r="V81" s="14">
        <f>IF('Raw Data'!A68&lt;&gt;"",AVERAGE('Raw Data'!BE68,'Raw Data'!BG68,'Raw Data'!BI68,'Raw Data'!BK68,'Raw Data'!BM68),"")</f>
        <v/>
      </c>
      <c r="W81" s="14">
        <f>IF(U81&lt;&gt;"",U81-V81,"")</f>
        <v/>
      </c>
      <c r="X81" s="14">
        <f>IF(A81&lt;&gt;"",AVERAGE(F81,I81,L81,O81,R81,U81),"")</f>
        <v/>
      </c>
      <c r="Y81" s="14">
        <f>IF(A81&lt;&gt;"",AVERAGE(G81,J81,M81,P81,S81,V81),"")</f>
        <v/>
      </c>
      <c r="Z81" s="14">
        <f>IF(A81&lt;&gt;"",X81-Y81,"")</f>
        <v/>
      </c>
      <c r="AA81" s="15">
        <f>IF(A81&lt;&gt;"",ROUND(MIN(100,100*((MAX(0,K81)*0.25)+(MAX(0,Q81)*0.20)+(MAX(0,W81)*0.20)+(MAX(0,H81)*0.15)+(MAX(0,N81)*0.10)+(MAX(0,T81)*0.10))/9),1),"")</f>
        <v/>
      </c>
      <c r="AB81" s="28">
        <f>IF(A81&lt;&gt;"",MIN(1,(0.5*AA81/100)+(0.3*MAX(0,K81)/9)+(0.2*MAX(0,Q81)/9)),"")</f>
        <v/>
      </c>
    </row>
    <row r="82">
      <c r="A82" s="13">
        <f>IF('Raw Data'!A69&lt;&gt;"",'Raw Data'!A69,"")</f>
        <v/>
      </c>
      <c r="B82" s="13">
        <f>IF('Raw Data'!B69&lt;&gt;"",'Raw Data'!B69,"")</f>
        <v/>
      </c>
      <c r="C82" s="13">
        <f>IF('Raw Data'!C69&lt;&gt;"",'Raw Data'!C69,"")</f>
        <v/>
      </c>
      <c r="D82" s="13">
        <f>IF('Raw Data'!D69&lt;&gt;"",'Raw Data'!D69,"")</f>
        <v/>
      </c>
      <c r="E82" s="13">
        <f>IF('Raw Data'!E69&lt;&gt;"",'Raw Data'!E69,"")</f>
        <v/>
      </c>
      <c r="F82" s="17">
        <f>IF('Raw Data'!A69&lt;&gt;"",AVERAGE('Raw Data'!F69,'Raw Data'!H69,'Raw Data'!J69,'Raw Data'!L69,'Raw Data'!N69),"")</f>
        <v/>
      </c>
      <c r="G82" s="17">
        <f>IF('Raw Data'!A69&lt;&gt;"",AVERAGE('Raw Data'!G69,'Raw Data'!I69,'Raw Data'!K69,'Raw Data'!M69,'Raw Data'!O69),"")</f>
        <v/>
      </c>
      <c r="H82" s="17">
        <f>IF(F82&lt;&gt;"",F82-G82,"")</f>
        <v/>
      </c>
      <c r="I82" s="17">
        <f>IF('Raw Data'!A69&lt;&gt;"",AVERAGE('Raw Data'!P69,'Raw Data'!R69,'Raw Data'!T69,'Raw Data'!V69,'Raw Data'!X69),"")</f>
        <v/>
      </c>
      <c r="J82" s="17">
        <f>IF('Raw Data'!A69&lt;&gt;"",AVERAGE('Raw Data'!Q69,'Raw Data'!S69,'Raw Data'!U69,'Raw Data'!W69,'Raw Data'!Y69),"")</f>
        <v/>
      </c>
      <c r="K82" s="17">
        <f>IF(I82&lt;&gt;"",I82-J82,"")</f>
        <v/>
      </c>
      <c r="L82" s="17">
        <f>IF('Raw Data'!A69&lt;&gt;"",AVERAGE('Raw Data'!Z69,'Raw Data'!AB69,'Raw Data'!AD69,'Raw Data'!AF69,'Raw Data'!AH69),"")</f>
        <v/>
      </c>
      <c r="M82" s="17">
        <f>IF('Raw Data'!A69&lt;&gt;"",AVERAGE('Raw Data'!AA69,'Raw Data'!AC69,'Raw Data'!AE69,'Raw Data'!AG69,'Raw Data'!AI69),"")</f>
        <v/>
      </c>
      <c r="N82" s="17">
        <f>IF(L82&lt;&gt;"",L82-M82,"")</f>
        <v/>
      </c>
      <c r="O82" s="17">
        <f>IF('Raw Data'!A69&lt;&gt;"",AVERAGE('Raw Data'!AJ69,'Raw Data'!AL69,'Raw Data'!AN69,'Raw Data'!AP69,'Raw Data'!AR69),"")</f>
        <v/>
      </c>
      <c r="P82" s="17">
        <f>IF('Raw Data'!A69&lt;&gt;"",AVERAGE('Raw Data'!AK69,'Raw Data'!AM69,'Raw Data'!AO69,'Raw Data'!AQ69,'Raw Data'!AS69),"")</f>
        <v/>
      </c>
      <c r="Q82" s="17">
        <f>IF(O82&lt;&gt;"",O82-P82,"")</f>
        <v/>
      </c>
      <c r="R82" s="17">
        <f>IF('Raw Data'!A69&lt;&gt;"",AVERAGE('Raw Data'!AT69,'Raw Data'!AV69,'Raw Data'!AX69,'Raw Data'!AZ69,'Raw Data'!BB69),"")</f>
        <v/>
      </c>
      <c r="S82" s="17">
        <f>IF('Raw Data'!A69&lt;&gt;"",AVERAGE('Raw Data'!AU69,'Raw Data'!AW69,'Raw Data'!AY69,'Raw Data'!BA69,'Raw Data'!BC69),"")</f>
        <v/>
      </c>
      <c r="T82" s="17">
        <f>IF(R82&lt;&gt;"",R82-S82,"")</f>
        <v/>
      </c>
      <c r="U82" s="17">
        <f>IF('Raw Data'!A69&lt;&gt;"",AVERAGE('Raw Data'!BD69,'Raw Data'!BF69,'Raw Data'!BH69,'Raw Data'!BJ69,'Raw Data'!BL69),"")</f>
        <v/>
      </c>
      <c r="V82" s="17">
        <f>IF('Raw Data'!A69&lt;&gt;"",AVERAGE('Raw Data'!BE69,'Raw Data'!BG69,'Raw Data'!BI69,'Raw Data'!BK69,'Raw Data'!BM69),"")</f>
        <v/>
      </c>
      <c r="W82" s="17">
        <f>IF(U82&lt;&gt;"",U82-V82,"")</f>
        <v/>
      </c>
      <c r="X82" s="17">
        <f>IF(A82&lt;&gt;"",AVERAGE(F82,I82,L82,O82,R82,U82),"")</f>
        <v/>
      </c>
      <c r="Y82" s="17">
        <f>IF(A82&lt;&gt;"",AVERAGE(G82,J82,M82,P82,S82,V82),"")</f>
        <v/>
      </c>
      <c r="Z82" s="17">
        <f>IF(A82&lt;&gt;"",X82-Y82,"")</f>
        <v/>
      </c>
      <c r="AA82" s="18">
        <f>IF(A82&lt;&gt;"",ROUND(MIN(100,100*((MAX(0,K82)*0.25)+(MAX(0,Q82)*0.20)+(MAX(0,W82)*0.20)+(MAX(0,H82)*0.15)+(MAX(0,N82)*0.10)+(MAX(0,T82)*0.10))/9),1),"")</f>
        <v/>
      </c>
      <c r="AB82" s="29">
        <f>IF(A82&lt;&gt;"",MIN(1,(0.5*AA82/100)+(0.3*MAX(0,K82)/9)+(0.2*MAX(0,Q82)/9)),"")</f>
        <v/>
      </c>
    </row>
    <row r="83">
      <c r="A83" s="4">
        <f>IF('Raw Data'!A70&lt;&gt;"",'Raw Data'!A70,"")</f>
        <v/>
      </c>
      <c r="B83" s="4">
        <f>IF('Raw Data'!B70&lt;&gt;"",'Raw Data'!B70,"")</f>
        <v/>
      </c>
      <c r="C83" s="4">
        <f>IF('Raw Data'!C70&lt;&gt;"",'Raw Data'!C70,"")</f>
        <v/>
      </c>
      <c r="D83" s="4">
        <f>IF('Raw Data'!D70&lt;&gt;"",'Raw Data'!D70,"")</f>
        <v/>
      </c>
      <c r="E83" s="4">
        <f>IF('Raw Data'!E70&lt;&gt;"",'Raw Data'!E70,"")</f>
        <v/>
      </c>
      <c r="F83" s="14">
        <f>IF('Raw Data'!A70&lt;&gt;"",AVERAGE('Raw Data'!F70,'Raw Data'!H70,'Raw Data'!J70,'Raw Data'!L70,'Raw Data'!N70),"")</f>
        <v/>
      </c>
      <c r="G83" s="14">
        <f>IF('Raw Data'!A70&lt;&gt;"",AVERAGE('Raw Data'!G70,'Raw Data'!I70,'Raw Data'!K70,'Raw Data'!M70,'Raw Data'!O70),"")</f>
        <v/>
      </c>
      <c r="H83" s="14">
        <f>IF(F83&lt;&gt;"",F83-G83,"")</f>
        <v/>
      </c>
      <c r="I83" s="14">
        <f>IF('Raw Data'!A70&lt;&gt;"",AVERAGE('Raw Data'!P70,'Raw Data'!R70,'Raw Data'!T70,'Raw Data'!V70,'Raw Data'!X70),"")</f>
        <v/>
      </c>
      <c r="J83" s="14">
        <f>IF('Raw Data'!A70&lt;&gt;"",AVERAGE('Raw Data'!Q70,'Raw Data'!S70,'Raw Data'!U70,'Raw Data'!W70,'Raw Data'!Y70),"")</f>
        <v/>
      </c>
      <c r="K83" s="14">
        <f>IF(I83&lt;&gt;"",I83-J83,"")</f>
        <v/>
      </c>
      <c r="L83" s="14">
        <f>IF('Raw Data'!A70&lt;&gt;"",AVERAGE('Raw Data'!Z70,'Raw Data'!AB70,'Raw Data'!AD70,'Raw Data'!AF70,'Raw Data'!AH70),"")</f>
        <v/>
      </c>
      <c r="M83" s="14">
        <f>IF('Raw Data'!A70&lt;&gt;"",AVERAGE('Raw Data'!AA70,'Raw Data'!AC70,'Raw Data'!AE70,'Raw Data'!AG70,'Raw Data'!AI70),"")</f>
        <v/>
      </c>
      <c r="N83" s="14">
        <f>IF(L83&lt;&gt;"",L83-M83,"")</f>
        <v/>
      </c>
      <c r="O83" s="14">
        <f>IF('Raw Data'!A70&lt;&gt;"",AVERAGE('Raw Data'!AJ70,'Raw Data'!AL70,'Raw Data'!AN70,'Raw Data'!AP70,'Raw Data'!AR70),"")</f>
        <v/>
      </c>
      <c r="P83" s="14">
        <f>IF('Raw Data'!A70&lt;&gt;"",AVERAGE('Raw Data'!AK70,'Raw Data'!AM70,'Raw Data'!AO70,'Raw Data'!AQ70,'Raw Data'!AS70),"")</f>
        <v/>
      </c>
      <c r="Q83" s="14">
        <f>IF(O83&lt;&gt;"",O83-P83,"")</f>
        <v/>
      </c>
      <c r="R83" s="14">
        <f>IF('Raw Data'!A70&lt;&gt;"",AVERAGE('Raw Data'!AT70,'Raw Data'!AV70,'Raw Data'!AX70,'Raw Data'!AZ70,'Raw Data'!BB70),"")</f>
        <v/>
      </c>
      <c r="S83" s="14">
        <f>IF('Raw Data'!A70&lt;&gt;"",AVERAGE('Raw Data'!AU70,'Raw Data'!AW70,'Raw Data'!AY70,'Raw Data'!BA70,'Raw Data'!BC70),"")</f>
        <v/>
      </c>
      <c r="T83" s="14">
        <f>IF(R83&lt;&gt;"",R83-S83,"")</f>
        <v/>
      </c>
      <c r="U83" s="14">
        <f>IF('Raw Data'!A70&lt;&gt;"",AVERAGE('Raw Data'!BD70,'Raw Data'!BF70,'Raw Data'!BH70,'Raw Data'!BJ70,'Raw Data'!BL70),"")</f>
        <v/>
      </c>
      <c r="V83" s="14">
        <f>IF('Raw Data'!A70&lt;&gt;"",AVERAGE('Raw Data'!BE70,'Raw Data'!BG70,'Raw Data'!BI70,'Raw Data'!BK70,'Raw Data'!BM70),"")</f>
        <v/>
      </c>
      <c r="W83" s="14">
        <f>IF(U83&lt;&gt;"",U83-V83,"")</f>
        <v/>
      </c>
      <c r="X83" s="14">
        <f>IF(A83&lt;&gt;"",AVERAGE(F83,I83,L83,O83,R83,U83),"")</f>
        <v/>
      </c>
      <c r="Y83" s="14">
        <f>IF(A83&lt;&gt;"",AVERAGE(G83,J83,M83,P83,S83,V83),"")</f>
        <v/>
      </c>
      <c r="Z83" s="14">
        <f>IF(A83&lt;&gt;"",X83-Y83,"")</f>
        <v/>
      </c>
      <c r="AA83" s="15">
        <f>IF(A83&lt;&gt;"",ROUND(MIN(100,100*((MAX(0,K83)*0.25)+(MAX(0,Q83)*0.20)+(MAX(0,W83)*0.20)+(MAX(0,H83)*0.15)+(MAX(0,N83)*0.10)+(MAX(0,T83)*0.10))/9),1),"")</f>
        <v/>
      </c>
      <c r="AB83" s="28">
        <f>IF(A83&lt;&gt;"",MIN(1,(0.5*AA83/100)+(0.3*MAX(0,K83)/9)+(0.2*MAX(0,Q83)/9)),"")</f>
        <v/>
      </c>
    </row>
    <row r="84">
      <c r="A84" s="13">
        <f>IF('Raw Data'!A71&lt;&gt;"",'Raw Data'!A71,"")</f>
        <v/>
      </c>
      <c r="B84" s="13">
        <f>IF('Raw Data'!B71&lt;&gt;"",'Raw Data'!B71,"")</f>
        <v/>
      </c>
      <c r="C84" s="13">
        <f>IF('Raw Data'!C71&lt;&gt;"",'Raw Data'!C71,"")</f>
        <v/>
      </c>
      <c r="D84" s="13">
        <f>IF('Raw Data'!D71&lt;&gt;"",'Raw Data'!D71,"")</f>
        <v/>
      </c>
      <c r="E84" s="13">
        <f>IF('Raw Data'!E71&lt;&gt;"",'Raw Data'!E71,"")</f>
        <v/>
      </c>
      <c r="F84" s="17">
        <f>IF('Raw Data'!A71&lt;&gt;"",AVERAGE('Raw Data'!F71,'Raw Data'!H71,'Raw Data'!J71,'Raw Data'!L71,'Raw Data'!N71),"")</f>
        <v/>
      </c>
      <c r="G84" s="17">
        <f>IF('Raw Data'!A71&lt;&gt;"",AVERAGE('Raw Data'!G71,'Raw Data'!I71,'Raw Data'!K71,'Raw Data'!M71,'Raw Data'!O71),"")</f>
        <v/>
      </c>
      <c r="H84" s="17">
        <f>IF(F84&lt;&gt;"",F84-G84,"")</f>
        <v/>
      </c>
      <c r="I84" s="17">
        <f>IF('Raw Data'!A71&lt;&gt;"",AVERAGE('Raw Data'!P71,'Raw Data'!R71,'Raw Data'!T71,'Raw Data'!V71,'Raw Data'!X71),"")</f>
        <v/>
      </c>
      <c r="J84" s="17">
        <f>IF('Raw Data'!A71&lt;&gt;"",AVERAGE('Raw Data'!Q71,'Raw Data'!S71,'Raw Data'!U71,'Raw Data'!W71,'Raw Data'!Y71),"")</f>
        <v/>
      </c>
      <c r="K84" s="17">
        <f>IF(I84&lt;&gt;"",I84-J84,"")</f>
        <v/>
      </c>
      <c r="L84" s="17">
        <f>IF('Raw Data'!A71&lt;&gt;"",AVERAGE('Raw Data'!Z71,'Raw Data'!AB71,'Raw Data'!AD71,'Raw Data'!AF71,'Raw Data'!AH71),"")</f>
        <v/>
      </c>
      <c r="M84" s="17">
        <f>IF('Raw Data'!A71&lt;&gt;"",AVERAGE('Raw Data'!AA71,'Raw Data'!AC71,'Raw Data'!AE71,'Raw Data'!AG71,'Raw Data'!AI71),"")</f>
        <v/>
      </c>
      <c r="N84" s="17">
        <f>IF(L84&lt;&gt;"",L84-M84,"")</f>
        <v/>
      </c>
      <c r="O84" s="17">
        <f>IF('Raw Data'!A71&lt;&gt;"",AVERAGE('Raw Data'!AJ71,'Raw Data'!AL71,'Raw Data'!AN71,'Raw Data'!AP71,'Raw Data'!AR71),"")</f>
        <v/>
      </c>
      <c r="P84" s="17">
        <f>IF('Raw Data'!A71&lt;&gt;"",AVERAGE('Raw Data'!AK71,'Raw Data'!AM71,'Raw Data'!AO71,'Raw Data'!AQ71,'Raw Data'!AS71),"")</f>
        <v/>
      </c>
      <c r="Q84" s="17">
        <f>IF(O84&lt;&gt;"",O84-P84,"")</f>
        <v/>
      </c>
      <c r="R84" s="17">
        <f>IF('Raw Data'!A71&lt;&gt;"",AVERAGE('Raw Data'!AT71,'Raw Data'!AV71,'Raw Data'!AX71,'Raw Data'!AZ71,'Raw Data'!BB71),"")</f>
        <v/>
      </c>
      <c r="S84" s="17">
        <f>IF('Raw Data'!A71&lt;&gt;"",AVERAGE('Raw Data'!AU71,'Raw Data'!AW71,'Raw Data'!AY71,'Raw Data'!BA71,'Raw Data'!BC71),"")</f>
        <v/>
      </c>
      <c r="T84" s="17">
        <f>IF(R84&lt;&gt;"",R84-S84,"")</f>
        <v/>
      </c>
      <c r="U84" s="17">
        <f>IF('Raw Data'!A71&lt;&gt;"",AVERAGE('Raw Data'!BD71,'Raw Data'!BF71,'Raw Data'!BH71,'Raw Data'!BJ71,'Raw Data'!BL71),"")</f>
        <v/>
      </c>
      <c r="V84" s="17">
        <f>IF('Raw Data'!A71&lt;&gt;"",AVERAGE('Raw Data'!BE71,'Raw Data'!BG71,'Raw Data'!BI71,'Raw Data'!BK71,'Raw Data'!BM71),"")</f>
        <v/>
      </c>
      <c r="W84" s="17">
        <f>IF(U84&lt;&gt;"",U84-V84,"")</f>
        <v/>
      </c>
      <c r="X84" s="17">
        <f>IF(A84&lt;&gt;"",AVERAGE(F84,I84,L84,O84,R84,U84),"")</f>
        <v/>
      </c>
      <c r="Y84" s="17">
        <f>IF(A84&lt;&gt;"",AVERAGE(G84,J84,M84,P84,S84,V84),"")</f>
        <v/>
      </c>
      <c r="Z84" s="17">
        <f>IF(A84&lt;&gt;"",X84-Y84,"")</f>
        <v/>
      </c>
      <c r="AA84" s="18">
        <f>IF(A84&lt;&gt;"",ROUND(MIN(100,100*((MAX(0,K84)*0.25)+(MAX(0,Q84)*0.20)+(MAX(0,W84)*0.20)+(MAX(0,H84)*0.15)+(MAX(0,N84)*0.10)+(MAX(0,T84)*0.10))/9),1),"")</f>
        <v/>
      </c>
      <c r="AB84" s="29">
        <f>IF(A84&lt;&gt;"",MIN(1,(0.5*AA84/100)+(0.3*MAX(0,K84)/9)+(0.2*MAX(0,Q84)/9)),"")</f>
        <v/>
      </c>
    </row>
    <row r="85">
      <c r="A85" s="4">
        <f>IF('Raw Data'!A72&lt;&gt;"",'Raw Data'!A72,"")</f>
        <v/>
      </c>
      <c r="B85" s="4">
        <f>IF('Raw Data'!B72&lt;&gt;"",'Raw Data'!B72,"")</f>
        <v/>
      </c>
      <c r="C85" s="4">
        <f>IF('Raw Data'!C72&lt;&gt;"",'Raw Data'!C72,"")</f>
        <v/>
      </c>
      <c r="D85" s="4">
        <f>IF('Raw Data'!D72&lt;&gt;"",'Raw Data'!D72,"")</f>
        <v/>
      </c>
      <c r="E85" s="4">
        <f>IF('Raw Data'!E72&lt;&gt;"",'Raw Data'!E72,"")</f>
        <v/>
      </c>
      <c r="F85" s="14">
        <f>IF('Raw Data'!A72&lt;&gt;"",AVERAGE('Raw Data'!F72,'Raw Data'!H72,'Raw Data'!J72,'Raw Data'!L72,'Raw Data'!N72),"")</f>
        <v/>
      </c>
      <c r="G85" s="14">
        <f>IF('Raw Data'!A72&lt;&gt;"",AVERAGE('Raw Data'!G72,'Raw Data'!I72,'Raw Data'!K72,'Raw Data'!M72,'Raw Data'!O72),"")</f>
        <v/>
      </c>
      <c r="H85" s="14">
        <f>IF(F85&lt;&gt;"",F85-G85,"")</f>
        <v/>
      </c>
      <c r="I85" s="14">
        <f>IF('Raw Data'!A72&lt;&gt;"",AVERAGE('Raw Data'!P72,'Raw Data'!R72,'Raw Data'!T72,'Raw Data'!V72,'Raw Data'!X72),"")</f>
        <v/>
      </c>
      <c r="J85" s="14">
        <f>IF('Raw Data'!A72&lt;&gt;"",AVERAGE('Raw Data'!Q72,'Raw Data'!S72,'Raw Data'!U72,'Raw Data'!W72,'Raw Data'!Y72),"")</f>
        <v/>
      </c>
      <c r="K85" s="14">
        <f>IF(I85&lt;&gt;"",I85-J85,"")</f>
        <v/>
      </c>
      <c r="L85" s="14">
        <f>IF('Raw Data'!A72&lt;&gt;"",AVERAGE('Raw Data'!Z72,'Raw Data'!AB72,'Raw Data'!AD72,'Raw Data'!AF72,'Raw Data'!AH72),"")</f>
        <v/>
      </c>
      <c r="M85" s="14">
        <f>IF('Raw Data'!A72&lt;&gt;"",AVERAGE('Raw Data'!AA72,'Raw Data'!AC72,'Raw Data'!AE72,'Raw Data'!AG72,'Raw Data'!AI72),"")</f>
        <v/>
      </c>
      <c r="N85" s="14">
        <f>IF(L85&lt;&gt;"",L85-M85,"")</f>
        <v/>
      </c>
      <c r="O85" s="14">
        <f>IF('Raw Data'!A72&lt;&gt;"",AVERAGE('Raw Data'!AJ72,'Raw Data'!AL72,'Raw Data'!AN72,'Raw Data'!AP72,'Raw Data'!AR72),"")</f>
        <v/>
      </c>
      <c r="P85" s="14">
        <f>IF('Raw Data'!A72&lt;&gt;"",AVERAGE('Raw Data'!AK72,'Raw Data'!AM72,'Raw Data'!AO72,'Raw Data'!AQ72,'Raw Data'!AS72),"")</f>
        <v/>
      </c>
      <c r="Q85" s="14">
        <f>IF(O85&lt;&gt;"",O85-P85,"")</f>
        <v/>
      </c>
      <c r="R85" s="14">
        <f>IF('Raw Data'!A72&lt;&gt;"",AVERAGE('Raw Data'!AT72,'Raw Data'!AV72,'Raw Data'!AX72,'Raw Data'!AZ72,'Raw Data'!BB72),"")</f>
        <v/>
      </c>
      <c r="S85" s="14">
        <f>IF('Raw Data'!A72&lt;&gt;"",AVERAGE('Raw Data'!AU72,'Raw Data'!AW72,'Raw Data'!AY72,'Raw Data'!BA72,'Raw Data'!BC72),"")</f>
        <v/>
      </c>
      <c r="T85" s="14">
        <f>IF(R85&lt;&gt;"",R85-S85,"")</f>
        <v/>
      </c>
      <c r="U85" s="14">
        <f>IF('Raw Data'!A72&lt;&gt;"",AVERAGE('Raw Data'!BD72,'Raw Data'!BF72,'Raw Data'!BH72,'Raw Data'!BJ72,'Raw Data'!BL72),"")</f>
        <v/>
      </c>
      <c r="V85" s="14">
        <f>IF('Raw Data'!A72&lt;&gt;"",AVERAGE('Raw Data'!BE72,'Raw Data'!BG72,'Raw Data'!BI72,'Raw Data'!BK72,'Raw Data'!BM72),"")</f>
        <v/>
      </c>
      <c r="W85" s="14">
        <f>IF(U85&lt;&gt;"",U85-V85,"")</f>
        <v/>
      </c>
      <c r="X85" s="14">
        <f>IF(A85&lt;&gt;"",AVERAGE(F85,I85,L85,O85,R85,U85),"")</f>
        <v/>
      </c>
      <c r="Y85" s="14">
        <f>IF(A85&lt;&gt;"",AVERAGE(G85,J85,M85,P85,S85,V85),"")</f>
        <v/>
      </c>
      <c r="Z85" s="14">
        <f>IF(A85&lt;&gt;"",X85-Y85,"")</f>
        <v/>
      </c>
      <c r="AA85" s="15">
        <f>IF(A85&lt;&gt;"",ROUND(MIN(100,100*((MAX(0,K85)*0.25)+(MAX(0,Q85)*0.20)+(MAX(0,W85)*0.20)+(MAX(0,H85)*0.15)+(MAX(0,N85)*0.10)+(MAX(0,T85)*0.10))/9),1),"")</f>
        <v/>
      </c>
      <c r="AB85" s="28">
        <f>IF(A85&lt;&gt;"",MIN(1,(0.5*AA85/100)+(0.3*MAX(0,K85)/9)+(0.2*MAX(0,Q85)/9)),"")</f>
        <v/>
      </c>
    </row>
    <row r="86">
      <c r="A86" s="13">
        <f>IF('Raw Data'!A73&lt;&gt;"",'Raw Data'!A73,"")</f>
        <v/>
      </c>
      <c r="B86" s="13">
        <f>IF('Raw Data'!B73&lt;&gt;"",'Raw Data'!B73,"")</f>
        <v/>
      </c>
      <c r="C86" s="13">
        <f>IF('Raw Data'!C73&lt;&gt;"",'Raw Data'!C73,"")</f>
        <v/>
      </c>
      <c r="D86" s="13">
        <f>IF('Raw Data'!D73&lt;&gt;"",'Raw Data'!D73,"")</f>
        <v/>
      </c>
      <c r="E86" s="13">
        <f>IF('Raw Data'!E73&lt;&gt;"",'Raw Data'!E73,"")</f>
        <v/>
      </c>
      <c r="F86" s="17">
        <f>IF('Raw Data'!A73&lt;&gt;"",AVERAGE('Raw Data'!F73,'Raw Data'!H73,'Raw Data'!J73,'Raw Data'!L73,'Raw Data'!N73),"")</f>
        <v/>
      </c>
      <c r="G86" s="17">
        <f>IF('Raw Data'!A73&lt;&gt;"",AVERAGE('Raw Data'!G73,'Raw Data'!I73,'Raw Data'!K73,'Raw Data'!M73,'Raw Data'!O73),"")</f>
        <v/>
      </c>
      <c r="H86" s="17">
        <f>IF(F86&lt;&gt;"",F86-G86,"")</f>
        <v/>
      </c>
      <c r="I86" s="17">
        <f>IF('Raw Data'!A73&lt;&gt;"",AVERAGE('Raw Data'!P73,'Raw Data'!R73,'Raw Data'!T73,'Raw Data'!V73,'Raw Data'!X73),"")</f>
        <v/>
      </c>
      <c r="J86" s="17">
        <f>IF('Raw Data'!A73&lt;&gt;"",AVERAGE('Raw Data'!Q73,'Raw Data'!S73,'Raw Data'!U73,'Raw Data'!W73,'Raw Data'!Y73),"")</f>
        <v/>
      </c>
      <c r="K86" s="17">
        <f>IF(I86&lt;&gt;"",I86-J86,"")</f>
        <v/>
      </c>
      <c r="L86" s="17">
        <f>IF('Raw Data'!A73&lt;&gt;"",AVERAGE('Raw Data'!Z73,'Raw Data'!AB73,'Raw Data'!AD73,'Raw Data'!AF73,'Raw Data'!AH73),"")</f>
        <v/>
      </c>
      <c r="M86" s="17">
        <f>IF('Raw Data'!A73&lt;&gt;"",AVERAGE('Raw Data'!AA73,'Raw Data'!AC73,'Raw Data'!AE73,'Raw Data'!AG73,'Raw Data'!AI73),"")</f>
        <v/>
      </c>
      <c r="N86" s="17">
        <f>IF(L86&lt;&gt;"",L86-M86,"")</f>
        <v/>
      </c>
      <c r="O86" s="17">
        <f>IF('Raw Data'!A73&lt;&gt;"",AVERAGE('Raw Data'!AJ73,'Raw Data'!AL73,'Raw Data'!AN73,'Raw Data'!AP73,'Raw Data'!AR73),"")</f>
        <v/>
      </c>
      <c r="P86" s="17">
        <f>IF('Raw Data'!A73&lt;&gt;"",AVERAGE('Raw Data'!AK73,'Raw Data'!AM73,'Raw Data'!AO73,'Raw Data'!AQ73,'Raw Data'!AS73),"")</f>
        <v/>
      </c>
      <c r="Q86" s="17">
        <f>IF(O86&lt;&gt;"",O86-P86,"")</f>
        <v/>
      </c>
      <c r="R86" s="17">
        <f>IF('Raw Data'!A73&lt;&gt;"",AVERAGE('Raw Data'!AT73,'Raw Data'!AV73,'Raw Data'!AX73,'Raw Data'!AZ73,'Raw Data'!BB73),"")</f>
        <v/>
      </c>
      <c r="S86" s="17">
        <f>IF('Raw Data'!A73&lt;&gt;"",AVERAGE('Raw Data'!AU73,'Raw Data'!AW73,'Raw Data'!AY73,'Raw Data'!BA73,'Raw Data'!BC73),"")</f>
        <v/>
      </c>
      <c r="T86" s="17">
        <f>IF(R86&lt;&gt;"",R86-S86,"")</f>
        <v/>
      </c>
      <c r="U86" s="17">
        <f>IF('Raw Data'!A73&lt;&gt;"",AVERAGE('Raw Data'!BD73,'Raw Data'!BF73,'Raw Data'!BH73,'Raw Data'!BJ73,'Raw Data'!BL73),"")</f>
        <v/>
      </c>
      <c r="V86" s="17">
        <f>IF('Raw Data'!A73&lt;&gt;"",AVERAGE('Raw Data'!BE73,'Raw Data'!BG73,'Raw Data'!BI73,'Raw Data'!BK73,'Raw Data'!BM73),"")</f>
        <v/>
      </c>
      <c r="W86" s="17">
        <f>IF(U86&lt;&gt;"",U86-V86,"")</f>
        <v/>
      </c>
      <c r="X86" s="17">
        <f>IF(A86&lt;&gt;"",AVERAGE(F86,I86,L86,O86,R86,U86),"")</f>
        <v/>
      </c>
      <c r="Y86" s="17">
        <f>IF(A86&lt;&gt;"",AVERAGE(G86,J86,M86,P86,S86,V86),"")</f>
        <v/>
      </c>
      <c r="Z86" s="17">
        <f>IF(A86&lt;&gt;"",X86-Y86,"")</f>
        <v/>
      </c>
      <c r="AA86" s="18">
        <f>IF(A86&lt;&gt;"",ROUND(MIN(100,100*((MAX(0,K86)*0.25)+(MAX(0,Q86)*0.20)+(MAX(0,W86)*0.20)+(MAX(0,H86)*0.15)+(MAX(0,N86)*0.10)+(MAX(0,T86)*0.10))/9),1),"")</f>
        <v/>
      </c>
      <c r="AB86" s="29">
        <f>IF(A86&lt;&gt;"",MIN(1,(0.5*AA86/100)+(0.3*MAX(0,K86)/9)+(0.2*MAX(0,Q86)/9)),"")</f>
        <v/>
      </c>
    </row>
    <row r="87">
      <c r="A87" s="4">
        <f>IF('Raw Data'!A74&lt;&gt;"",'Raw Data'!A74,"")</f>
        <v/>
      </c>
      <c r="B87" s="4">
        <f>IF('Raw Data'!B74&lt;&gt;"",'Raw Data'!B74,"")</f>
        <v/>
      </c>
      <c r="C87" s="4">
        <f>IF('Raw Data'!C74&lt;&gt;"",'Raw Data'!C74,"")</f>
        <v/>
      </c>
      <c r="D87" s="4">
        <f>IF('Raw Data'!D74&lt;&gt;"",'Raw Data'!D74,"")</f>
        <v/>
      </c>
      <c r="E87" s="4">
        <f>IF('Raw Data'!E74&lt;&gt;"",'Raw Data'!E74,"")</f>
        <v/>
      </c>
      <c r="F87" s="14">
        <f>IF('Raw Data'!A74&lt;&gt;"",AVERAGE('Raw Data'!F74,'Raw Data'!H74,'Raw Data'!J74,'Raw Data'!L74,'Raw Data'!N74),"")</f>
        <v/>
      </c>
      <c r="G87" s="14">
        <f>IF('Raw Data'!A74&lt;&gt;"",AVERAGE('Raw Data'!G74,'Raw Data'!I74,'Raw Data'!K74,'Raw Data'!M74,'Raw Data'!O74),"")</f>
        <v/>
      </c>
      <c r="H87" s="14">
        <f>IF(F87&lt;&gt;"",F87-G87,"")</f>
        <v/>
      </c>
      <c r="I87" s="14">
        <f>IF('Raw Data'!A74&lt;&gt;"",AVERAGE('Raw Data'!P74,'Raw Data'!R74,'Raw Data'!T74,'Raw Data'!V74,'Raw Data'!X74),"")</f>
        <v/>
      </c>
      <c r="J87" s="14">
        <f>IF('Raw Data'!A74&lt;&gt;"",AVERAGE('Raw Data'!Q74,'Raw Data'!S74,'Raw Data'!U74,'Raw Data'!W74,'Raw Data'!Y74),"")</f>
        <v/>
      </c>
      <c r="K87" s="14">
        <f>IF(I87&lt;&gt;"",I87-J87,"")</f>
        <v/>
      </c>
      <c r="L87" s="14">
        <f>IF('Raw Data'!A74&lt;&gt;"",AVERAGE('Raw Data'!Z74,'Raw Data'!AB74,'Raw Data'!AD74,'Raw Data'!AF74,'Raw Data'!AH74),"")</f>
        <v/>
      </c>
      <c r="M87" s="14">
        <f>IF('Raw Data'!A74&lt;&gt;"",AVERAGE('Raw Data'!AA74,'Raw Data'!AC74,'Raw Data'!AE74,'Raw Data'!AG74,'Raw Data'!AI74),"")</f>
        <v/>
      </c>
      <c r="N87" s="14">
        <f>IF(L87&lt;&gt;"",L87-M87,"")</f>
        <v/>
      </c>
      <c r="O87" s="14">
        <f>IF('Raw Data'!A74&lt;&gt;"",AVERAGE('Raw Data'!AJ74,'Raw Data'!AL74,'Raw Data'!AN74,'Raw Data'!AP74,'Raw Data'!AR74),"")</f>
        <v/>
      </c>
      <c r="P87" s="14">
        <f>IF('Raw Data'!A74&lt;&gt;"",AVERAGE('Raw Data'!AK74,'Raw Data'!AM74,'Raw Data'!AO74,'Raw Data'!AQ74,'Raw Data'!AS74),"")</f>
        <v/>
      </c>
      <c r="Q87" s="14">
        <f>IF(O87&lt;&gt;"",O87-P87,"")</f>
        <v/>
      </c>
      <c r="R87" s="14">
        <f>IF('Raw Data'!A74&lt;&gt;"",AVERAGE('Raw Data'!AT74,'Raw Data'!AV74,'Raw Data'!AX74,'Raw Data'!AZ74,'Raw Data'!BB74),"")</f>
        <v/>
      </c>
      <c r="S87" s="14">
        <f>IF('Raw Data'!A74&lt;&gt;"",AVERAGE('Raw Data'!AU74,'Raw Data'!AW74,'Raw Data'!AY74,'Raw Data'!BA74,'Raw Data'!BC74),"")</f>
        <v/>
      </c>
      <c r="T87" s="14">
        <f>IF(R87&lt;&gt;"",R87-S87,"")</f>
        <v/>
      </c>
      <c r="U87" s="14">
        <f>IF('Raw Data'!A74&lt;&gt;"",AVERAGE('Raw Data'!BD74,'Raw Data'!BF74,'Raw Data'!BH74,'Raw Data'!BJ74,'Raw Data'!BL74),"")</f>
        <v/>
      </c>
      <c r="V87" s="14">
        <f>IF('Raw Data'!A74&lt;&gt;"",AVERAGE('Raw Data'!BE74,'Raw Data'!BG74,'Raw Data'!BI74,'Raw Data'!BK74,'Raw Data'!BM74),"")</f>
        <v/>
      </c>
      <c r="W87" s="14">
        <f>IF(U87&lt;&gt;"",U87-V87,"")</f>
        <v/>
      </c>
      <c r="X87" s="14">
        <f>IF(A87&lt;&gt;"",AVERAGE(F87,I87,L87,O87,R87,U87),"")</f>
        <v/>
      </c>
      <c r="Y87" s="14">
        <f>IF(A87&lt;&gt;"",AVERAGE(G87,J87,M87,P87,S87,V87),"")</f>
        <v/>
      </c>
      <c r="Z87" s="14">
        <f>IF(A87&lt;&gt;"",X87-Y87,"")</f>
        <v/>
      </c>
      <c r="AA87" s="15">
        <f>IF(A87&lt;&gt;"",ROUND(MIN(100,100*((MAX(0,K87)*0.25)+(MAX(0,Q87)*0.20)+(MAX(0,W87)*0.20)+(MAX(0,H87)*0.15)+(MAX(0,N87)*0.10)+(MAX(0,T87)*0.10))/9),1),"")</f>
        <v/>
      </c>
      <c r="AB87" s="28">
        <f>IF(A87&lt;&gt;"",MIN(1,(0.5*AA87/100)+(0.3*MAX(0,K87)/9)+(0.2*MAX(0,Q87)/9)),"")</f>
        <v/>
      </c>
    </row>
    <row r="88">
      <c r="A88" s="13">
        <f>IF('Raw Data'!A75&lt;&gt;"",'Raw Data'!A75,"")</f>
        <v/>
      </c>
      <c r="B88" s="13">
        <f>IF('Raw Data'!B75&lt;&gt;"",'Raw Data'!B75,"")</f>
        <v/>
      </c>
      <c r="C88" s="13">
        <f>IF('Raw Data'!C75&lt;&gt;"",'Raw Data'!C75,"")</f>
        <v/>
      </c>
      <c r="D88" s="13">
        <f>IF('Raw Data'!D75&lt;&gt;"",'Raw Data'!D75,"")</f>
        <v/>
      </c>
      <c r="E88" s="13">
        <f>IF('Raw Data'!E75&lt;&gt;"",'Raw Data'!E75,"")</f>
        <v/>
      </c>
      <c r="F88" s="17">
        <f>IF('Raw Data'!A75&lt;&gt;"",AVERAGE('Raw Data'!F75,'Raw Data'!H75,'Raw Data'!J75,'Raw Data'!L75,'Raw Data'!N75),"")</f>
        <v/>
      </c>
      <c r="G88" s="17">
        <f>IF('Raw Data'!A75&lt;&gt;"",AVERAGE('Raw Data'!G75,'Raw Data'!I75,'Raw Data'!K75,'Raw Data'!M75,'Raw Data'!O75),"")</f>
        <v/>
      </c>
      <c r="H88" s="17">
        <f>IF(F88&lt;&gt;"",F88-G88,"")</f>
        <v/>
      </c>
      <c r="I88" s="17">
        <f>IF('Raw Data'!A75&lt;&gt;"",AVERAGE('Raw Data'!P75,'Raw Data'!R75,'Raw Data'!T75,'Raw Data'!V75,'Raw Data'!X75),"")</f>
        <v/>
      </c>
      <c r="J88" s="17">
        <f>IF('Raw Data'!A75&lt;&gt;"",AVERAGE('Raw Data'!Q75,'Raw Data'!S75,'Raw Data'!U75,'Raw Data'!W75,'Raw Data'!Y75),"")</f>
        <v/>
      </c>
      <c r="K88" s="17">
        <f>IF(I88&lt;&gt;"",I88-J88,"")</f>
        <v/>
      </c>
      <c r="L88" s="17">
        <f>IF('Raw Data'!A75&lt;&gt;"",AVERAGE('Raw Data'!Z75,'Raw Data'!AB75,'Raw Data'!AD75,'Raw Data'!AF75,'Raw Data'!AH75),"")</f>
        <v/>
      </c>
      <c r="M88" s="17">
        <f>IF('Raw Data'!A75&lt;&gt;"",AVERAGE('Raw Data'!AA75,'Raw Data'!AC75,'Raw Data'!AE75,'Raw Data'!AG75,'Raw Data'!AI75),"")</f>
        <v/>
      </c>
      <c r="N88" s="17">
        <f>IF(L88&lt;&gt;"",L88-M88,"")</f>
        <v/>
      </c>
      <c r="O88" s="17">
        <f>IF('Raw Data'!A75&lt;&gt;"",AVERAGE('Raw Data'!AJ75,'Raw Data'!AL75,'Raw Data'!AN75,'Raw Data'!AP75,'Raw Data'!AR75),"")</f>
        <v/>
      </c>
      <c r="P88" s="17">
        <f>IF('Raw Data'!A75&lt;&gt;"",AVERAGE('Raw Data'!AK75,'Raw Data'!AM75,'Raw Data'!AO75,'Raw Data'!AQ75,'Raw Data'!AS75),"")</f>
        <v/>
      </c>
      <c r="Q88" s="17">
        <f>IF(O88&lt;&gt;"",O88-P88,"")</f>
        <v/>
      </c>
      <c r="R88" s="17">
        <f>IF('Raw Data'!A75&lt;&gt;"",AVERAGE('Raw Data'!AT75,'Raw Data'!AV75,'Raw Data'!AX75,'Raw Data'!AZ75,'Raw Data'!BB75),"")</f>
        <v/>
      </c>
      <c r="S88" s="17">
        <f>IF('Raw Data'!A75&lt;&gt;"",AVERAGE('Raw Data'!AU75,'Raw Data'!AW75,'Raw Data'!AY75,'Raw Data'!BA75,'Raw Data'!BC75),"")</f>
        <v/>
      </c>
      <c r="T88" s="17">
        <f>IF(R88&lt;&gt;"",R88-S88,"")</f>
        <v/>
      </c>
      <c r="U88" s="17">
        <f>IF('Raw Data'!A75&lt;&gt;"",AVERAGE('Raw Data'!BD75,'Raw Data'!BF75,'Raw Data'!BH75,'Raw Data'!BJ75,'Raw Data'!BL75),"")</f>
        <v/>
      </c>
      <c r="V88" s="17">
        <f>IF('Raw Data'!A75&lt;&gt;"",AVERAGE('Raw Data'!BE75,'Raw Data'!BG75,'Raw Data'!BI75,'Raw Data'!BK75,'Raw Data'!BM75),"")</f>
        <v/>
      </c>
      <c r="W88" s="17">
        <f>IF(U88&lt;&gt;"",U88-V88,"")</f>
        <v/>
      </c>
      <c r="X88" s="17">
        <f>IF(A88&lt;&gt;"",AVERAGE(F88,I88,L88,O88,R88,U88),"")</f>
        <v/>
      </c>
      <c r="Y88" s="17">
        <f>IF(A88&lt;&gt;"",AVERAGE(G88,J88,M88,P88,S88,V88),"")</f>
        <v/>
      </c>
      <c r="Z88" s="17">
        <f>IF(A88&lt;&gt;"",X88-Y88,"")</f>
        <v/>
      </c>
      <c r="AA88" s="18">
        <f>IF(A88&lt;&gt;"",ROUND(MIN(100,100*((MAX(0,K88)*0.25)+(MAX(0,Q88)*0.20)+(MAX(0,W88)*0.20)+(MAX(0,H88)*0.15)+(MAX(0,N88)*0.10)+(MAX(0,T88)*0.10))/9),1),"")</f>
        <v/>
      </c>
      <c r="AB88" s="29">
        <f>IF(A88&lt;&gt;"",MIN(1,(0.5*AA88/100)+(0.3*MAX(0,K88)/9)+(0.2*MAX(0,Q88)/9)),"")</f>
        <v/>
      </c>
    </row>
    <row r="89">
      <c r="A89" s="4">
        <f>IF('Raw Data'!A76&lt;&gt;"",'Raw Data'!A76,"")</f>
        <v/>
      </c>
      <c r="B89" s="4">
        <f>IF('Raw Data'!B76&lt;&gt;"",'Raw Data'!B76,"")</f>
        <v/>
      </c>
      <c r="C89" s="4">
        <f>IF('Raw Data'!C76&lt;&gt;"",'Raw Data'!C76,"")</f>
        <v/>
      </c>
      <c r="D89" s="4">
        <f>IF('Raw Data'!D76&lt;&gt;"",'Raw Data'!D76,"")</f>
        <v/>
      </c>
      <c r="E89" s="4">
        <f>IF('Raw Data'!E76&lt;&gt;"",'Raw Data'!E76,"")</f>
        <v/>
      </c>
      <c r="F89" s="14">
        <f>IF('Raw Data'!A76&lt;&gt;"",AVERAGE('Raw Data'!F76,'Raw Data'!H76,'Raw Data'!J76,'Raw Data'!L76,'Raw Data'!N76),"")</f>
        <v/>
      </c>
      <c r="G89" s="14">
        <f>IF('Raw Data'!A76&lt;&gt;"",AVERAGE('Raw Data'!G76,'Raw Data'!I76,'Raw Data'!K76,'Raw Data'!M76,'Raw Data'!O76),"")</f>
        <v/>
      </c>
      <c r="H89" s="14">
        <f>IF(F89&lt;&gt;"",F89-G89,"")</f>
        <v/>
      </c>
      <c r="I89" s="14">
        <f>IF('Raw Data'!A76&lt;&gt;"",AVERAGE('Raw Data'!P76,'Raw Data'!R76,'Raw Data'!T76,'Raw Data'!V76,'Raw Data'!X76),"")</f>
        <v/>
      </c>
      <c r="J89" s="14">
        <f>IF('Raw Data'!A76&lt;&gt;"",AVERAGE('Raw Data'!Q76,'Raw Data'!S76,'Raw Data'!U76,'Raw Data'!W76,'Raw Data'!Y76),"")</f>
        <v/>
      </c>
      <c r="K89" s="14">
        <f>IF(I89&lt;&gt;"",I89-J89,"")</f>
        <v/>
      </c>
      <c r="L89" s="14">
        <f>IF('Raw Data'!A76&lt;&gt;"",AVERAGE('Raw Data'!Z76,'Raw Data'!AB76,'Raw Data'!AD76,'Raw Data'!AF76,'Raw Data'!AH76),"")</f>
        <v/>
      </c>
      <c r="M89" s="14">
        <f>IF('Raw Data'!A76&lt;&gt;"",AVERAGE('Raw Data'!AA76,'Raw Data'!AC76,'Raw Data'!AE76,'Raw Data'!AG76,'Raw Data'!AI76),"")</f>
        <v/>
      </c>
      <c r="N89" s="14">
        <f>IF(L89&lt;&gt;"",L89-M89,"")</f>
        <v/>
      </c>
      <c r="O89" s="14">
        <f>IF('Raw Data'!A76&lt;&gt;"",AVERAGE('Raw Data'!AJ76,'Raw Data'!AL76,'Raw Data'!AN76,'Raw Data'!AP76,'Raw Data'!AR76),"")</f>
        <v/>
      </c>
      <c r="P89" s="14">
        <f>IF('Raw Data'!A76&lt;&gt;"",AVERAGE('Raw Data'!AK76,'Raw Data'!AM76,'Raw Data'!AO76,'Raw Data'!AQ76,'Raw Data'!AS76),"")</f>
        <v/>
      </c>
      <c r="Q89" s="14">
        <f>IF(O89&lt;&gt;"",O89-P89,"")</f>
        <v/>
      </c>
      <c r="R89" s="14">
        <f>IF('Raw Data'!A76&lt;&gt;"",AVERAGE('Raw Data'!AT76,'Raw Data'!AV76,'Raw Data'!AX76,'Raw Data'!AZ76,'Raw Data'!BB76),"")</f>
        <v/>
      </c>
      <c r="S89" s="14">
        <f>IF('Raw Data'!A76&lt;&gt;"",AVERAGE('Raw Data'!AU76,'Raw Data'!AW76,'Raw Data'!AY76,'Raw Data'!BA76,'Raw Data'!BC76),"")</f>
        <v/>
      </c>
      <c r="T89" s="14">
        <f>IF(R89&lt;&gt;"",R89-S89,"")</f>
        <v/>
      </c>
      <c r="U89" s="14">
        <f>IF('Raw Data'!A76&lt;&gt;"",AVERAGE('Raw Data'!BD76,'Raw Data'!BF76,'Raw Data'!BH76,'Raw Data'!BJ76,'Raw Data'!BL76),"")</f>
        <v/>
      </c>
      <c r="V89" s="14">
        <f>IF('Raw Data'!A76&lt;&gt;"",AVERAGE('Raw Data'!BE76,'Raw Data'!BG76,'Raw Data'!BI76,'Raw Data'!BK76,'Raw Data'!BM76),"")</f>
        <v/>
      </c>
      <c r="W89" s="14">
        <f>IF(U89&lt;&gt;"",U89-V89,"")</f>
        <v/>
      </c>
      <c r="X89" s="14">
        <f>IF(A89&lt;&gt;"",AVERAGE(F89,I89,L89,O89,R89,U89),"")</f>
        <v/>
      </c>
      <c r="Y89" s="14">
        <f>IF(A89&lt;&gt;"",AVERAGE(G89,J89,M89,P89,S89,V89),"")</f>
        <v/>
      </c>
      <c r="Z89" s="14">
        <f>IF(A89&lt;&gt;"",X89-Y89,"")</f>
        <v/>
      </c>
      <c r="AA89" s="15">
        <f>IF(A89&lt;&gt;"",ROUND(MIN(100,100*((MAX(0,K89)*0.25)+(MAX(0,Q89)*0.20)+(MAX(0,W89)*0.20)+(MAX(0,H89)*0.15)+(MAX(0,N89)*0.10)+(MAX(0,T89)*0.10))/9),1),"")</f>
        <v/>
      </c>
      <c r="AB89" s="28">
        <f>IF(A89&lt;&gt;"",MIN(1,(0.5*AA89/100)+(0.3*MAX(0,K89)/9)+(0.2*MAX(0,Q89)/9)),"")</f>
        <v/>
      </c>
    </row>
    <row r="90">
      <c r="A90" s="13">
        <f>IF('Raw Data'!A77&lt;&gt;"",'Raw Data'!A77,"")</f>
        <v/>
      </c>
      <c r="B90" s="13">
        <f>IF('Raw Data'!B77&lt;&gt;"",'Raw Data'!B77,"")</f>
        <v/>
      </c>
      <c r="C90" s="13">
        <f>IF('Raw Data'!C77&lt;&gt;"",'Raw Data'!C77,"")</f>
        <v/>
      </c>
      <c r="D90" s="13">
        <f>IF('Raw Data'!D77&lt;&gt;"",'Raw Data'!D77,"")</f>
        <v/>
      </c>
      <c r="E90" s="13">
        <f>IF('Raw Data'!E77&lt;&gt;"",'Raw Data'!E77,"")</f>
        <v/>
      </c>
      <c r="F90" s="17">
        <f>IF('Raw Data'!A77&lt;&gt;"",AVERAGE('Raw Data'!F77,'Raw Data'!H77,'Raw Data'!J77,'Raw Data'!L77,'Raw Data'!N77),"")</f>
        <v/>
      </c>
      <c r="G90" s="17">
        <f>IF('Raw Data'!A77&lt;&gt;"",AVERAGE('Raw Data'!G77,'Raw Data'!I77,'Raw Data'!K77,'Raw Data'!M77,'Raw Data'!O77),"")</f>
        <v/>
      </c>
      <c r="H90" s="17">
        <f>IF(F90&lt;&gt;"",F90-G90,"")</f>
        <v/>
      </c>
      <c r="I90" s="17">
        <f>IF('Raw Data'!A77&lt;&gt;"",AVERAGE('Raw Data'!P77,'Raw Data'!R77,'Raw Data'!T77,'Raw Data'!V77,'Raw Data'!X77),"")</f>
        <v/>
      </c>
      <c r="J90" s="17">
        <f>IF('Raw Data'!A77&lt;&gt;"",AVERAGE('Raw Data'!Q77,'Raw Data'!S77,'Raw Data'!U77,'Raw Data'!W77,'Raw Data'!Y77),"")</f>
        <v/>
      </c>
      <c r="K90" s="17">
        <f>IF(I90&lt;&gt;"",I90-J90,"")</f>
        <v/>
      </c>
      <c r="L90" s="17">
        <f>IF('Raw Data'!A77&lt;&gt;"",AVERAGE('Raw Data'!Z77,'Raw Data'!AB77,'Raw Data'!AD77,'Raw Data'!AF77,'Raw Data'!AH77),"")</f>
        <v/>
      </c>
      <c r="M90" s="17">
        <f>IF('Raw Data'!A77&lt;&gt;"",AVERAGE('Raw Data'!AA77,'Raw Data'!AC77,'Raw Data'!AE77,'Raw Data'!AG77,'Raw Data'!AI77),"")</f>
        <v/>
      </c>
      <c r="N90" s="17">
        <f>IF(L90&lt;&gt;"",L90-M90,"")</f>
        <v/>
      </c>
      <c r="O90" s="17">
        <f>IF('Raw Data'!A77&lt;&gt;"",AVERAGE('Raw Data'!AJ77,'Raw Data'!AL77,'Raw Data'!AN77,'Raw Data'!AP77,'Raw Data'!AR77),"")</f>
        <v/>
      </c>
      <c r="P90" s="17">
        <f>IF('Raw Data'!A77&lt;&gt;"",AVERAGE('Raw Data'!AK77,'Raw Data'!AM77,'Raw Data'!AO77,'Raw Data'!AQ77,'Raw Data'!AS77),"")</f>
        <v/>
      </c>
      <c r="Q90" s="17">
        <f>IF(O90&lt;&gt;"",O90-P90,"")</f>
        <v/>
      </c>
      <c r="R90" s="17">
        <f>IF('Raw Data'!A77&lt;&gt;"",AVERAGE('Raw Data'!AT77,'Raw Data'!AV77,'Raw Data'!AX77,'Raw Data'!AZ77,'Raw Data'!BB77),"")</f>
        <v/>
      </c>
      <c r="S90" s="17">
        <f>IF('Raw Data'!A77&lt;&gt;"",AVERAGE('Raw Data'!AU77,'Raw Data'!AW77,'Raw Data'!AY77,'Raw Data'!BA77,'Raw Data'!BC77),"")</f>
        <v/>
      </c>
      <c r="T90" s="17">
        <f>IF(R90&lt;&gt;"",R90-S90,"")</f>
        <v/>
      </c>
      <c r="U90" s="17">
        <f>IF('Raw Data'!A77&lt;&gt;"",AVERAGE('Raw Data'!BD77,'Raw Data'!BF77,'Raw Data'!BH77,'Raw Data'!BJ77,'Raw Data'!BL77),"")</f>
        <v/>
      </c>
      <c r="V90" s="17">
        <f>IF('Raw Data'!A77&lt;&gt;"",AVERAGE('Raw Data'!BE77,'Raw Data'!BG77,'Raw Data'!BI77,'Raw Data'!BK77,'Raw Data'!BM77),"")</f>
        <v/>
      </c>
      <c r="W90" s="17">
        <f>IF(U90&lt;&gt;"",U90-V90,"")</f>
        <v/>
      </c>
      <c r="X90" s="17">
        <f>IF(A90&lt;&gt;"",AVERAGE(F90,I90,L90,O90,R90,U90),"")</f>
        <v/>
      </c>
      <c r="Y90" s="17">
        <f>IF(A90&lt;&gt;"",AVERAGE(G90,J90,M90,P90,S90,V90),"")</f>
        <v/>
      </c>
      <c r="Z90" s="17">
        <f>IF(A90&lt;&gt;"",X90-Y90,"")</f>
        <v/>
      </c>
      <c r="AA90" s="18">
        <f>IF(A90&lt;&gt;"",ROUND(MIN(100,100*((MAX(0,K90)*0.25)+(MAX(0,Q90)*0.20)+(MAX(0,W90)*0.20)+(MAX(0,H90)*0.15)+(MAX(0,N90)*0.10)+(MAX(0,T90)*0.10))/9),1),"")</f>
        <v/>
      </c>
      <c r="AB90" s="29">
        <f>IF(A90&lt;&gt;"",MIN(1,(0.5*AA90/100)+(0.3*MAX(0,K90)/9)+(0.2*MAX(0,Q90)/9)),"")</f>
        <v/>
      </c>
    </row>
    <row r="91">
      <c r="A91" s="4">
        <f>IF('Raw Data'!A78&lt;&gt;"",'Raw Data'!A78,"")</f>
        <v/>
      </c>
      <c r="B91" s="4">
        <f>IF('Raw Data'!B78&lt;&gt;"",'Raw Data'!B78,"")</f>
        <v/>
      </c>
      <c r="C91" s="4">
        <f>IF('Raw Data'!C78&lt;&gt;"",'Raw Data'!C78,"")</f>
        <v/>
      </c>
      <c r="D91" s="4">
        <f>IF('Raw Data'!D78&lt;&gt;"",'Raw Data'!D78,"")</f>
        <v/>
      </c>
      <c r="E91" s="4">
        <f>IF('Raw Data'!E78&lt;&gt;"",'Raw Data'!E78,"")</f>
        <v/>
      </c>
      <c r="F91" s="14">
        <f>IF('Raw Data'!A78&lt;&gt;"",AVERAGE('Raw Data'!F78,'Raw Data'!H78,'Raw Data'!J78,'Raw Data'!L78,'Raw Data'!N78),"")</f>
        <v/>
      </c>
      <c r="G91" s="14">
        <f>IF('Raw Data'!A78&lt;&gt;"",AVERAGE('Raw Data'!G78,'Raw Data'!I78,'Raw Data'!K78,'Raw Data'!M78,'Raw Data'!O78),"")</f>
        <v/>
      </c>
      <c r="H91" s="14">
        <f>IF(F91&lt;&gt;"",F91-G91,"")</f>
        <v/>
      </c>
      <c r="I91" s="14">
        <f>IF('Raw Data'!A78&lt;&gt;"",AVERAGE('Raw Data'!P78,'Raw Data'!R78,'Raw Data'!T78,'Raw Data'!V78,'Raw Data'!X78),"")</f>
        <v/>
      </c>
      <c r="J91" s="14">
        <f>IF('Raw Data'!A78&lt;&gt;"",AVERAGE('Raw Data'!Q78,'Raw Data'!S78,'Raw Data'!U78,'Raw Data'!W78,'Raw Data'!Y78),"")</f>
        <v/>
      </c>
      <c r="K91" s="14">
        <f>IF(I91&lt;&gt;"",I91-J91,"")</f>
        <v/>
      </c>
      <c r="L91" s="14">
        <f>IF('Raw Data'!A78&lt;&gt;"",AVERAGE('Raw Data'!Z78,'Raw Data'!AB78,'Raw Data'!AD78,'Raw Data'!AF78,'Raw Data'!AH78),"")</f>
        <v/>
      </c>
      <c r="M91" s="14">
        <f>IF('Raw Data'!A78&lt;&gt;"",AVERAGE('Raw Data'!AA78,'Raw Data'!AC78,'Raw Data'!AE78,'Raw Data'!AG78,'Raw Data'!AI78),"")</f>
        <v/>
      </c>
      <c r="N91" s="14">
        <f>IF(L91&lt;&gt;"",L91-M91,"")</f>
        <v/>
      </c>
      <c r="O91" s="14">
        <f>IF('Raw Data'!A78&lt;&gt;"",AVERAGE('Raw Data'!AJ78,'Raw Data'!AL78,'Raw Data'!AN78,'Raw Data'!AP78,'Raw Data'!AR78),"")</f>
        <v/>
      </c>
      <c r="P91" s="14">
        <f>IF('Raw Data'!A78&lt;&gt;"",AVERAGE('Raw Data'!AK78,'Raw Data'!AM78,'Raw Data'!AO78,'Raw Data'!AQ78,'Raw Data'!AS78),"")</f>
        <v/>
      </c>
      <c r="Q91" s="14">
        <f>IF(O91&lt;&gt;"",O91-P91,"")</f>
        <v/>
      </c>
      <c r="R91" s="14">
        <f>IF('Raw Data'!A78&lt;&gt;"",AVERAGE('Raw Data'!AT78,'Raw Data'!AV78,'Raw Data'!AX78,'Raw Data'!AZ78,'Raw Data'!BB78),"")</f>
        <v/>
      </c>
      <c r="S91" s="14">
        <f>IF('Raw Data'!A78&lt;&gt;"",AVERAGE('Raw Data'!AU78,'Raw Data'!AW78,'Raw Data'!AY78,'Raw Data'!BA78,'Raw Data'!BC78),"")</f>
        <v/>
      </c>
      <c r="T91" s="14">
        <f>IF(R91&lt;&gt;"",R91-S91,"")</f>
        <v/>
      </c>
      <c r="U91" s="14">
        <f>IF('Raw Data'!A78&lt;&gt;"",AVERAGE('Raw Data'!BD78,'Raw Data'!BF78,'Raw Data'!BH78,'Raw Data'!BJ78,'Raw Data'!BL78),"")</f>
        <v/>
      </c>
      <c r="V91" s="14">
        <f>IF('Raw Data'!A78&lt;&gt;"",AVERAGE('Raw Data'!BE78,'Raw Data'!BG78,'Raw Data'!BI78,'Raw Data'!BK78,'Raw Data'!BM78),"")</f>
        <v/>
      </c>
      <c r="W91" s="14">
        <f>IF(U91&lt;&gt;"",U91-V91,"")</f>
        <v/>
      </c>
      <c r="X91" s="14">
        <f>IF(A91&lt;&gt;"",AVERAGE(F91,I91,L91,O91,R91,U91),"")</f>
        <v/>
      </c>
      <c r="Y91" s="14">
        <f>IF(A91&lt;&gt;"",AVERAGE(G91,J91,M91,P91,S91,V91),"")</f>
        <v/>
      </c>
      <c r="Z91" s="14">
        <f>IF(A91&lt;&gt;"",X91-Y91,"")</f>
        <v/>
      </c>
      <c r="AA91" s="15">
        <f>IF(A91&lt;&gt;"",ROUND(MIN(100,100*((MAX(0,K91)*0.25)+(MAX(0,Q91)*0.20)+(MAX(0,W91)*0.20)+(MAX(0,H91)*0.15)+(MAX(0,N91)*0.10)+(MAX(0,T91)*0.10))/9),1),"")</f>
        <v/>
      </c>
      <c r="AB91" s="28">
        <f>IF(A91&lt;&gt;"",MIN(1,(0.5*AA91/100)+(0.3*MAX(0,K91)/9)+(0.2*MAX(0,Q91)/9)),"")</f>
        <v/>
      </c>
    </row>
    <row r="92">
      <c r="A92" s="13">
        <f>IF('Raw Data'!A79&lt;&gt;"",'Raw Data'!A79,"")</f>
        <v/>
      </c>
      <c r="B92" s="13">
        <f>IF('Raw Data'!B79&lt;&gt;"",'Raw Data'!B79,"")</f>
        <v/>
      </c>
      <c r="C92" s="13">
        <f>IF('Raw Data'!C79&lt;&gt;"",'Raw Data'!C79,"")</f>
        <v/>
      </c>
      <c r="D92" s="13">
        <f>IF('Raw Data'!D79&lt;&gt;"",'Raw Data'!D79,"")</f>
        <v/>
      </c>
      <c r="E92" s="13">
        <f>IF('Raw Data'!E79&lt;&gt;"",'Raw Data'!E79,"")</f>
        <v/>
      </c>
      <c r="F92" s="17">
        <f>IF('Raw Data'!A79&lt;&gt;"",AVERAGE('Raw Data'!F79,'Raw Data'!H79,'Raw Data'!J79,'Raw Data'!L79,'Raw Data'!N79),"")</f>
        <v/>
      </c>
      <c r="G92" s="17">
        <f>IF('Raw Data'!A79&lt;&gt;"",AVERAGE('Raw Data'!G79,'Raw Data'!I79,'Raw Data'!K79,'Raw Data'!M79,'Raw Data'!O79),"")</f>
        <v/>
      </c>
      <c r="H92" s="17">
        <f>IF(F92&lt;&gt;"",F92-G92,"")</f>
        <v/>
      </c>
      <c r="I92" s="17">
        <f>IF('Raw Data'!A79&lt;&gt;"",AVERAGE('Raw Data'!P79,'Raw Data'!R79,'Raw Data'!T79,'Raw Data'!V79,'Raw Data'!X79),"")</f>
        <v/>
      </c>
      <c r="J92" s="17">
        <f>IF('Raw Data'!A79&lt;&gt;"",AVERAGE('Raw Data'!Q79,'Raw Data'!S79,'Raw Data'!U79,'Raw Data'!W79,'Raw Data'!Y79),"")</f>
        <v/>
      </c>
      <c r="K92" s="17">
        <f>IF(I92&lt;&gt;"",I92-J92,"")</f>
        <v/>
      </c>
      <c r="L92" s="17">
        <f>IF('Raw Data'!A79&lt;&gt;"",AVERAGE('Raw Data'!Z79,'Raw Data'!AB79,'Raw Data'!AD79,'Raw Data'!AF79,'Raw Data'!AH79),"")</f>
        <v/>
      </c>
      <c r="M92" s="17">
        <f>IF('Raw Data'!A79&lt;&gt;"",AVERAGE('Raw Data'!AA79,'Raw Data'!AC79,'Raw Data'!AE79,'Raw Data'!AG79,'Raw Data'!AI79),"")</f>
        <v/>
      </c>
      <c r="N92" s="17">
        <f>IF(L92&lt;&gt;"",L92-M92,"")</f>
        <v/>
      </c>
      <c r="O92" s="17">
        <f>IF('Raw Data'!A79&lt;&gt;"",AVERAGE('Raw Data'!AJ79,'Raw Data'!AL79,'Raw Data'!AN79,'Raw Data'!AP79,'Raw Data'!AR79),"")</f>
        <v/>
      </c>
      <c r="P92" s="17">
        <f>IF('Raw Data'!A79&lt;&gt;"",AVERAGE('Raw Data'!AK79,'Raw Data'!AM79,'Raw Data'!AO79,'Raw Data'!AQ79,'Raw Data'!AS79),"")</f>
        <v/>
      </c>
      <c r="Q92" s="17">
        <f>IF(O92&lt;&gt;"",O92-P92,"")</f>
        <v/>
      </c>
      <c r="R92" s="17">
        <f>IF('Raw Data'!A79&lt;&gt;"",AVERAGE('Raw Data'!AT79,'Raw Data'!AV79,'Raw Data'!AX79,'Raw Data'!AZ79,'Raw Data'!BB79),"")</f>
        <v/>
      </c>
      <c r="S92" s="17">
        <f>IF('Raw Data'!A79&lt;&gt;"",AVERAGE('Raw Data'!AU79,'Raw Data'!AW79,'Raw Data'!AY79,'Raw Data'!BA79,'Raw Data'!BC79),"")</f>
        <v/>
      </c>
      <c r="T92" s="17">
        <f>IF(R92&lt;&gt;"",R92-S92,"")</f>
        <v/>
      </c>
      <c r="U92" s="17">
        <f>IF('Raw Data'!A79&lt;&gt;"",AVERAGE('Raw Data'!BD79,'Raw Data'!BF79,'Raw Data'!BH79,'Raw Data'!BJ79,'Raw Data'!BL79),"")</f>
        <v/>
      </c>
      <c r="V92" s="17">
        <f>IF('Raw Data'!A79&lt;&gt;"",AVERAGE('Raw Data'!BE79,'Raw Data'!BG79,'Raw Data'!BI79,'Raw Data'!BK79,'Raw Data'!BM79),"")</f>
        <v/>
      </c>
      <c r="W92" s="17">
        <f>IF(U92&lt;&gt;"",U92-V92,"")</f>
        <v/>
      </c>
      <c r="X92" s="17">
        <f>IF(A92&lt;&gt;"",AVERAGE(F92,I92,L92,O92,R92,U92),"")</f>
        <v/>
      </c>
      <c r="Y92" s="17">
        <f>IF(A92&lt;&gt;"",AVERAGE(G92,J92,M92,P92,S92,V92),"")</f>
        <v/>
      </c>
      <c r="Z92" s="17">
        <f>IF(A92&lt;&gt;"",X92-Y92,"")</f>
        <v/>
      </c>
      <c r="AA92" s="18">
        <f>IF(A92&lt;&gt;"",ROUND(MIN(100,100*((MAX(0,K92)*0.25)+(MAX(0,Q92)*0.20)+(MAX(0,W92)*0.20)+(MAX(0,H92)*0.15)+(MAX(0,N92)*0.10)+(MAX(0,T92)*0.10))/9),1),"")</f>
        <v/>
      </c>
      <c r="AB92" s="29">
        <f>IF(A92&lt;&gt;"",MIN(1,(0.5*AA92/100)+(0.3*MAX(0,K92)/9)+(0.2*MAX(0,Q92)/9)),"")</f>
        <v/>
      </c>
    </row>
    <row r="93">
      <c r="A93" s="4">
        <f>IF('Raw Data'!A80&lt;&gt;"",'Raw Data'!A80,"")</f>
        <v/>
      </c>
      <c r="B93" s="4">
        <f>IF('Raw Data'!B80&lt;&gt;"",'Raw Data'!B80,"")</f>
        <v/>
      </c>
      <c r="C93" s="4">
        <f>IF('Raw Data'!C80&lt;&gt;"",'Raw Data'!C80,"")</f>
        <v/>
      </c>
      <c r="D93" s="4">
        <f>IF('Raw Data'!D80&lt;&gt;"",'Raw Data'!D80,"")</f>
        <v/>
      </c>
      <c r="E93" s="4">
        <f>IF('Raw Data'!E80&lt;&gt;"",'Raw Data'!E80,"")</f>
        <v/>
      </c>
      <c r="F93" s="14">
        <f>IF('Raw Data'!A80&lt;&gt;"",AVERAGE('Raw Data'!F80,'Raw Data'!H80,'Raw Data'!J80,'Raw Data'!L80,'Raw Data'!N80),"")</f>
        <v/>
      </c>
      <c r="G93" s="14">
        <f>IF('Raw Data'!A80&lt;&gt;"",AVERAGE('Raw Data'!G80,'Raw Data'!I80,'Raw Data'!K80,'Raw Data'!M80,'Raw Data'!O80),"")</f>
        <v/>
      </c>
      <c r="H93" s="14">
        <f>IF(F93&lt;&gt;"",F93-G93,"")</f>
        <v/>
      </c>
      <c r="I93" s="14">
        <f>IF('Raw Data'!A80&lt;&gt;"",AVERAGE('Raw Data'!P80,'Raw Data'!R80,'Raw Data'!T80,'Raw Data'!V80,'Raw Data'!X80),"")</f>
        <v/>
      </c>
      <c r="J93" s="14">
        <f>IF('Raw Data'!A80&lt;&gt;"",AVERAGE('Raw Data'!Q80,'Raw Data'!S80,'Raw Data'!U80,'Raw Data'!W80,'Raw Data'!Y80),"")</f>
        <v/>
      </c>
      <c r="K93" s="14">
        <f>IF(I93&lt;&gt;"",I93-J93,"")</f>
        <v/>
      </c>
      <c r="L93" s="14">
        <f>IF('Raw Data'!A80&lt;&gt;"",AVERAGE('Raw Data'!Z80,'Raw Data'!AB80,'Raw Data'!AD80,'Raw Data'!AF80,'Raw Data'!AH80),"")</f>
        <v/>
      </c>
      <c r="M93" s="14">
        <f>IF('Raw Data'!A80&lt;&gt;"",AVERAGE('Raw Data'!AA80,'Raw Data'!AC80,'Raw Data'!AE80,'Raw Data'!AG80,'Raw Data'!AI80),"")</f>
        <v/>
      </c>
      <c r="N93" s="14">
        <f>IF(L93&lt;&gt;"",L93-M93,"")</f>
        <v/>
      </c>
      <c r="O93" s="14">
        <f>IF('Raw Data'!A80&lt;&gt;"",AVERAGE('Raw Data'!AJ80,'Raw Data'!AL80,'Raw Data'!AN80,'Raw Data'!AP80,'Raw Data'!AR80),"")</f>
        <v/>
      </c>
      <c r="P93" s="14">
        <f>IF('Raw Data'!A80&lt;&gt;"",AVERAGE('Raw Data'!AK80,'Raw Data'!AM80,'Raw Data'!AO80,'Raw Data'!AQ80,'Raw Data'!AS80),"")</f>
        <v/>
      </c>
      <c r="Q93" s="14">
        <f>IF(O93&lt;&gt;"",O93-P93,"")</f>
        <v/>
      </c>
      <c r="R93" s="14">
        <f>IF('Raw Data'!A80&lt;&gt;"",AVERAGE('Raw Data'!AT80,'Raw Data'!AV80,'Raw Data'!AX80,'Raw Data'!AZ80,'Raw Data'!BB80),"")</f>
        <v/>
      </c>
      <c r="S93" s="14">
        <f>IF('Raw Data'!A80&lt;&gt;"",AVERAGE('Raw Data'!AU80,'Raw Data'!AW80,'Raw Data'!AY80,'Raw Data'!BA80,'Raw Data'!BC80),"")</f>
        <v/>
      </c>
      <c r="T93" s="14">
        <f>IF(R93&lt;&gt;"",R93-S93,"")</f>
        <v/>
      </c>
      <c r="U93" s="14">
        <f>IF('Raw Data'!A80&lt;&gt;"",AVERAGE('Raw Data'!BD80,'Raw Data'!BF80,'Raw Data'!BH80,'Raw Data'!BJ80,'Raw Data'!BL80),"")</f>
        <v/>
      </c>
      <c r="V93" s="14">
        <f>IF('Raw Data'!A80&lt;&gt;"",AVERAGE('Raw Data'!BE80,'Raw Data'!BG80,'Raw Data'!BI80,'Raw Data'!BK80,'Raw Data'!BM80),"")</f>
        <v/>
      </c>
      <c r="W93" s="14">
        <f>IF(U93&lt;&gt;"",U93-V93,"")</f>
        <v/>
      </c>
      <c r="X93" s="14">
        <f>IF(A93&lt;&gt;"",AVERAGE(F93,I93,L93,O93,R93,U93),"")</f>
        <v/>
      </c>
      <c r="Y93" s="14">
        <f>IF(A93&lt;&gt;"",AVERAGE(G93,J93,M93,P93,S93,V93),"")</f>
        <v/>
      </c>
      <c r="Z93" s="14">
        <f>IF(A93&lt;&gt;"",X93-Y93,"")</f>
        <v/>
      </c>
      <c r="AA93" s="15">
        <f>IF(A93&lt;&gt;"",ROUND(MIN(100,100*((MAX(0,K93)*0.25)+(MAX(0,Q93)*0.20)+(MAX(0,W93)*0.20)+(MAX(0,H93)*0.15)+(MAX(0,N93)*0.10)+(MAX(0,T93)*0.10))/9),1),"")</f>
        <v/>
      </c>
      <c r="AB93" s="28">
        <f>IF(A93&lt;&gt;"",MIN(1,(0.5*AA93/100)+(0.3*MAX(0,K93)/9)+(0.2*MAX(0,Q93)/9)),"")</f>
        <v/>
      </c>
    </row>
    <row r="94">
      <c r="A94" s="13">
        <f>IF('Raw Data'!A81&lt;&gt;"",'Raw Data'!A81,"")</f>
        <v/>
      </c>
      <c r="B94" s="13">
        <f>IF('Raw Data'!B81&lt;&gt;"",'Raw Data'!B81,"")</f>
        <v/>
      </c>
      <c r="C94" s="13">
        <f>IF('Raw Data'!C81&lt;&gt;"",'Raw Data'!C81,"")</f>
        <v/>
      </c>
      <c r="D94" s="13">
        <f>IF('Raw Data'!D81&lt;&gt;"",'Raw Data'!D81,"")</f>
        <v/>
      </c>
      <c r="E94" s="13">
        <f>IF('Raw Data'!E81&lt;&gt;"",'Raw Data'!E81,"")</f>
        <v/>
      </c>
      <c r="F94" s="17">
        <f>IF('Raw Data'!A81&lt;&gt;"",AVERAGE('Raw Data'!F81,'Raw Data'!H81,'Raw Data'!J81,'Raw Data'!L81,'Raw Data'!N81),"")</f>
        <v/>
      </c>
      <c r="G94" s="17">
        <f>IF('Raw Data'!A81&lt;&gt;"",AVERAGE('Raw Data'!G81,'Raw Data'!I81,'Raw Data'!K81,'Raw Data'!M81,'Raw Data'!O81),"")</f>
        <v/>
      </c>
      <c r="H94" s="17">
        <f>IF(F94&lt;&gt;"",F94-G94,"")</f>
        <v/>
      </c>
      <c r="I94" s="17">
        <f>IF('Raw Data'!A81&lt;&gt;"",AVERAGE('Raw Data'!P81,'Raw Data'!R81,'Raw Data'!T81,'Raw Data'!V81,'Raw Data'!X81),"")</f>
        <v/>
      </c>
      <c r="J94" s="17">
        <f>IF('Raw Data'!A81&lt;&gt;"",AVERAGE('Raw Data'!Q81,'Raw Data'!S81,'Raw Data'!U81,'Raw Data'!W81,'Raw Data'!Y81),"")</f>
        <v/>
      </c>
      <c r="K94" s="17">
        <f>IF(I94&lt;&gt;"",I94-J94,"")</f>
        <v/>
      </c>
      <c r="L94" s="17">
        <f>IF('Raw Data'!A81&lt;&gt;"",AVERAGE('Raw Data'!Z81,'Raw Data'!AB81,'Raw Data'!AD81,'Raw Data'!AF81,'Raw Data'!AH81),"")</f>
        <v/>
      </c>
      <c r="M94" s="17">
        <f>IF('Raw Data'!A81&lt;&gt;"",AVERAGE('Raw Data'!AA81,'Raw Data'!AC81,'Raw Data'!AE81,'Raw Data'!AG81,'Raw Data'!AI81),"")</f>
        <v/>
      </c>
      <c r="N94" s="17">
        <f>IF(L94&lt;&gt;"",L94-M94,"")</f>
        <v/>
      </c>
      <c r="O94" s="17">
        <f>IF('Raw Data'!A81&lt;&gt;"",AVERAGE('Raw Data'!AJ81,'Raw Data'!AL81,'Raw Data'!AN81,'Raw Data'!AP81,'Raw Data'!AR81),"")</f>
        <v/>
      </c>
      <c r="P94" s="17">
        <f>IF('Raw Data'!A81&lt;&gt;"",AVERAGE('Raw Data'!AK81,'Raw Data'!AM81,'Raw Data'!AO81,'Raw Data'!AQ81,'Raw Data'!AS81),"")</f>
        <v/>
      </c>
      <c r="Q94" s="17">
        <f>IF(O94&lt;&gt;"",O94-P94,"")</f>
        <v/>
      </c>
      <c r="R94" s="17">
        <f>IF('Raw Data'!A81&lt;&gt;"",AVERAGE('Raw Data'!AT81,'Raw Data'!AV81,'Raw Data'!AX81,'Raw Data'!AZ81,'Raw Data'!BB81),"")</f>
        <v/>
      </c>
      <c r="S94" s="17">
        <f>IF('Raw Data'!A81&lt;&gt;"",AVERAGE('Raw Data'!AU81,'Raw Data'!AW81,'Raw Data'!AY81,'Raw Data'!BA81,'Raw Data'!BC81),"")</f>
        <v/>
      </c>
      <c r="T94" s="17">
        <f>IF(R94&lt;&gt;"",R94-S94,"")</f>
        <v/>
      </c>
      <c r="U94" s="17">
        <f>IF('Raw Data'!A81&lt;&gt;"",AVERAGE('Raw Data'!BD81,'Raw Data'!BF81,'Raw Data'!BH81,'Raw Data'!BJ81,'Raw Data'!BL81),"")</f>
        <v/>
      </c>
      <c r="V94" s="17">
        <f>IF('Raw Data'!A81&lt;&gt;"",AVERAGE('Raw Data'!BE81,'Raw Data'!BG81,'Raw Data'!BI81,'Raw Data'!BK81,'Raw Data'!BM81),"")</f>
        <v/>
      </c>
      <c r="W94" s="17">
        <f>IF(U94&lt;&gt;"",U94-V94,"")</f>
        <v/>
      </c>
      <c r="X94" s="17">
        <f>IF(A94&lt;&gt;"",AVERAGE(F94,I94,L94,O94,R94,U94),"")</f>
        <v/>
      </c>
      <c r="Y94" s="17">
        <f>IF(A94&lt;&gt;"",AVERAGE(G94,J94,M94,P94,S94,V94),"")</f>
        <v/>
      </c>
      <c r="Z94" s="17">
        <f>IF(A94&lt;&gt;"",X94-Y94,"")</f>
        <v/>
      </c>
      <c r="AA94" s="18">
        <f>IF(A94&lt;&gt;"",ROUND(MIN(100,100*((MAX(0,K94)*0.25)+(MAX(0,Q94)*0.20)+(MAX(0,W94)*0.20)+(MAX(0,H94)*0.15)+(MAX(0,N94)*0.10)+(MAX(0,T94)*0.10))/9),1),"")</f>
        <v/>
      </c>
      <c r="AB94" s="29">
        <f>IF(A94&lt;&gt;"",MIN(1,(0.5*AA94/100)+(0.3*MAX(0,K94)/9)+(0.2*MAX(0,Q94)/9)),"")</f>
        <v/>
      </c>
    </row>
    <row r="95">
      <c r="A95" s="4">
        <f>IF('Raw Data'!A82&lt;&gt;"",'Raw Data'!A82,"")</f>
        <v/>
      </c>
      <c r="B95" s="4">
        <f>IF('Raw Data'!B82&lt;&gt;"",'Raw Data'!B82,"")</f>
        <v/>
      </c>
      <c r="C95" s="4">
        <f>IF('Raw Data'!C82&lt;&gt;"",'Raw Data'!C82,"")</f>
        <v/>
      </c>
      <c r="D95" s="4">
        <f>IF('Raw Data'!D82&lt;&gt;"",'Raw Data'!D82,"")</f>
        <v/>
      </c>
      <c r="E95" s="4">
        <f>IF('Raw Data'!E82&lt;&gt;"",'Raw Data'!E82,"")</f>
        <v/>
      </c>
      <c r="F95" s="14">
        <f>IF('Raw Data'!A82&lt;&gt;"",AVERAGE('Raw Data'!F82,'Raw Data'!H82,'Raw Data'!J82,'Raw Data'!L82,'Raw Data'!N82),"")</f>
        <v/>
      </c>
      <c r="G95" s="14">
        <f>IF('Raw Data'!A82&lt;&gt;"",AVERAGE('Raw Data'!G82,'Raw Data'!I82,'Raw Data'!K82,'Raw Data'!M82,'Raw Data'!O82),"")</f>
        <v/>
      </c>
      <c r="H95" s="14">
        <f>IF(F95&lt;&gt;"",F95-G95,"")</f>
        <v/>
      </c>
      <c r="I95" s="14">
        <f>IF('Raw Data'!A82&lt;&gt;"",AVERAGE('Raw Data'!P82,'Raw Data'!R82,'Raw Data'!T82,'Raw Data'!V82,'Raw Data'!X82),"")</f>
        <v/>
      </c>
      <c r="J95" s="14">
        <f>IF('Raw Data'!A82&lt;&gt;"",AVERAGE('Raw Data'!Q82,'Raw Data'!S82,'Raw Data'!U82,'Raw Data'!W82,'Raw Data'!Y82),"")</f>
        <v/>
      </c>
      <c r="K95" s="14">
        <f>IF(I95&lt;&gt;"",I95-J95,"")</f>
        <v/>
      </c>
      <c r="L95" s="14">
        <f>IF('Raw Data'!A82&lt;&gt;"",AVERAGE('Raw Data'!Z82,'Raw Data'!AB82,'Raw Data'!AD82,'Raw Data'!AF82,'Raw Data'!AH82),"")</f>
        <v/>
      </c>
      <c r="M95" s="14">
        <f>IF('Raw Data'!A82&lt;&gt;"",AVERAGE('Raw Data'!AA82,'Raw Data'!AC82,'Raw Data'!AE82,'Raw Data'!AG82,'Raw Data'!AI82),"")</f>
        <v/>
      </c>
      <c r="N95" s="14">
        <f>IF(L95&lt;&gt;"",L95-M95,"")</f>
        <v/>
      </c>
      <c r="O95" s="14">
        <f>IF('Raw Data'!A82&lt;&gt;"",AVERAGE('Raw Data'!AJ82,'Raw Data'!AL82,'Raw Data'!AN82,'Raw Data'!AP82,'Raw Data'!AR82),"")</f>
        <v/>
      </c>
      <c r="P95" s="14">
        <f>IF('Raw Data'!A82&lt;&gt;"",AVERAGE('Raw Data'!AK82,'Raw Data'!AM82,'Raw Data'!AO82,'Raw Data'!AQ82,'Raw Data'!AS82),"")</f>
        <v/>
      </c>
      <c r="Q95" s="14">
        <f>IF(O95&lt;&gt;"",O95-P95,"")</f>
        <v/>
      </c>
      <c r="R95" s="14">
        <f>IF('Raw Data'!A82&lt;&gt;"",AVERAGE('Raw Data'!AT82,'Raw Data'!AV82,'Raw Data'!AX82,'Raw Data'!AZ82,'Raw Data'!BB82),"")</f>
        <v/>
      </c>
      <c r="S95" s="14">
        <f>IF('Raw Data'!A82&lt;&gt;"",AVERAGE('Raw Data'!AU82,'Raw Data'!AW82,'Raw Data'!AY82,'Raw Data'!BA82,'Raw Data'!BC82),"")</f>
        <v/>
      </c>
      <c r="T95" s="14">
        <f>IF(R95&lt;&gt;"",R95-S95,"")</f>
        <v/>
      </c>
      <c r="U95" s="14">
        <f>IF('Raw Data'!A82&lt;&gt;"",AVERAGE('Raw Data'!BD82,'Raw Data'!BF82,'Raw Data'!BH82,'Raw Data'!BJ82,'Raw Data'!BL82),"")</f>
        <v/>
      </c>
      <c r="V95" s="14">
        <f>IF('Raw Data'!A82&lt;&gt;"",AVERAGE('Raw Data'!BE82,'Raw Data'!BG82,'Raw Data'!BI82,'Raw Data'!BK82,'Raw Data'!BM82),"")</f>
        <v/>
      </c>
      <c r="W95" s="14">
        <f>IF(U95&lt;&gt;"",U95-V95,"")</f>
        <v/>
      </c>
      <c r="X95" s="14">
        <f>IF(A95&lt;&gt;"",AVERAGE(F95,I95,L95,O95,R95,U95),"")</f>
        <v/>
      </c>
      <c r="Y95" s="14">
        <f>IF(A95&lt;&gt;"",AVERAGE(G95,J95,M95,P95,S95,V95),"")</f>
        <v/>
      </c>
      <c r="Z95" s="14">
        <f>IF(A95&lt;&gt;"",X95-Y95,"")</f>
        <v/>
      </c>
      <c r="AA95" s="15">
        <f>IF(A95&lt;&gt;"",ROUND(MIN(100,100*((MAX(0,K95)*0.25)+(MAX(0,Q95)*0.20)+(MAX(0,W95)*0.20)+(MAX(0,H95)*0.15)+(MAX(0,N95)*0.10)+(MAX(0,T95)*0.10))/9),1),"")</f>
        <v/>
      </c>
      <c r="AB95" s="28">
        <f>IF(A95&lt;&gt;"",MIN(1,(0.5*AA95/100)+(0.3*MAX(0,K95)/9)+(0.2*MAX(0,Q95)/9)),"")</f>
        <v/>
      </c>
    </row>
    <row r="96">
      <c r="A96" s="13">
        <f>IF('Raw Data'!A83&lt;&gt;"",'Raw Data'!A83,"")</f>
        <v/>
      </c>
      <c r="B96" s="13">
        <f>IF('Raw Data'!B83&lt;&gt;"",'Raw Data'!B83,"")</f>
        <v/>
      </c>
      <c r="C96" s="13">
        <f>IF('Raw Data'!C83&lt;&gt;"",'Raw Data'!C83,"")</f>
        <v/>
      </c>
      <c r="D96" s="13">
        <f>IF('Raw Data'!D83&lt;&gt;"",'Raw Data'!D83,"")</f>
        <v/>
      </c>
      <c r="E96" s="13">
        <f>IF('Raw Data'!E83&lt;&gt;"",'Raw Data'!E83,"")</f>
        <v/>
      </c>
      <c r="F96" s="17">
        <f>IF('Raw Data'!A83&lt;&gt;"",AVERAGE('Raw Data'!F83,'Raw Data'!H83,'Raw Data'!J83,'Raw Data'!L83,'Raw Data'!N83),"")</f>
        <v/>
      </c>
      <c r="G96" s="17">
        <f>IF('Raw Data'!A83&lt;&gt;"",AVERAGE('Raw Data'!G83,'Raw Data'!I83,'Raw Data'!K83,'Raw Data'!M83,'Raw Data'!O83),"")</f>
        <v/>
      </c>
      <c r="H96" s="17">
        <f>IF(F96&lt;&gt;"",F96-G96,"")</f>
        <v/>
      </c>
      <c r="I96" s="17">
        <f>IF('Raw Data'!A83&lt;&gt;"",AVERAGE('Raw Data'!P83,'Raw Data'!R83,'Raw Data'!T83,'Raw Data'!V83,'Raw Data'!X83),"")</f>
        <v/>
      </c>
      <c r="J96" s="17">
        <f>IF('Raw Data'!A83&lt;&gt;"",AVERAGE('Raw Data'!Q83,'Raw Data'!S83,'Raw Data'!U83,'Raw Data'!W83,'Raw Data'!Y83),"")</f>
        <v/>
      </c>
      <c r="K96" s="17">
        <f>IF(I96&lt;&gt;"",I96-J96,"")</f>
        <v/>
      </c>
      <c r="L96" s="17">
        <f>IF('Raw Data'!A83&lt;&gt;"",AVERAGE('Raw Data'!Z83,'Raw Data'!AB83,'Raw Data'!AD83,'Raw Data'!AF83,'Raw Data'!AH83),"")</f>
        <v/>
      </c>
      <c r="M96" s="17">
        <f>IF('Raw Data'!A83&lt;&gt;"",AVERAGE('Raw Data'!AA83,'Raw Data'!AC83,'Raw Data'!AE83,'Raw Data'!AG83,'Raw Data'!AI83),"")</f>
        <v/>
      </c>
      <c r="N96" s="17">
        <f>IF(L96&lt;&gt;"",L96-M96,"")</f>
        <v/>
      </c>
      <c r="O96" s="17">
        <f>IF('Raw Data'!A83&lt;&gt;"",AVERAGE('Raw Data'!AJ83,'Raw Data'!AL83,'Raw Data'!AN83,'Raw Data'!AP83,'Raw Data'!AR83),"")</f>
        <v/>
      </c>
      <c r="P96" s="17">
        <f>IF('Raw Data'!A83&lt;&gt;"",AVERAGE('Raw Data'!AK83,'Raw Data'!AM83,'Raw Data'!AO83,'Raw Data'!AQ83,'Raw Data'!AS83),"")</f>
        <v/>
      </c>
      <c r="Q96" s="17">
        <f>IF(O96&lt;&gt;"",O96-P96,"")</f>
        <v/>
      </c>
      <c r="R96" s="17">
        <f>IF('Raw Data'!A83&lt;&gt;"",AVERAGE('Raw Data'!AT83,'Raw Data'!AV83,'Raw Data'!AX83,'Raw Data'!AZ83,'Raw Data'!BB83),"")</f>
        <v/>
      </c>
      <c r="S96" s="17">
        <f>IF('Raw Data'!A83&lt;&gt;"",AVERAGE('Raw Data'!AU83,'Raw Data'!AW83,'Raw Data'!AY83,'Raw Data'!BA83,'Raw Data'!BC83),"")</f>
        <v/>
      </c>
      <c r="T96" s="17">
        <f>IF(R96&lt;&gt;"",R96-S96,"")</f>
        <v/>
      </c>
      <c r="U96" s="17">
        <f>IF('Raw Data'!A83&lt;&gt;"",AVERAGE('Raw Data'!BD83,'Raw Data'!BF83,'Raw Data'!BH83,'Raw Data'!BJ83,'Raw Data'!BL83),"")</f>
        <v/>
      </c>
      <c r="V96" s="17">
        <f>IF('Raw Data'!A83&lt;&gt;"",AVERAGE('Raw Data'!BE83,'Raw Data'!BG83,'Raw Data'!BI83,'Raw Data'!BK83,'Raw Data'!BM83),"")</f>
        <v/>
      </c>
      <c r="W96" s="17">
        <f>IF(U96&lt;&gt;"",U96-V96,"")</f>
        <v/>
      </c>
      <c r="X96" s="17">
        <f>IF(A96&lt;&gt;"",AVERAGE(F96,I96,L96,O96,R96,U96),"")</f>
        <v/>
      </c>
      <c r="Y96" s="17">
        <f>IF(A96&lt;&gt;"",AVERAGE(G96,J96,M96,P96,S96,V96),"")</f>
        <v/>
      </c>
      <c r="Z96" s="17">
        <f>IF(A96&lt;&gt;"",X96-Y96,"")</f>
        <v/>
      </c>
      <c r="AA96" s="18">
        <f>IF(A96&lt;&gt;"",ROUND(MIN(100,100*((MAX(0,K96)*0.25)+(MAX(0,Q96)*0.20)+(MAX(0,W96)*0.20)+(MAX(0,H96)*0.15)+(MAX(0,N96)*0.10)+(MAX(0,T96)*0.10))/9),1),"")</f>
        <v/>
      </c>
      <c r="AB96" s="29">
        <f>IF(A96&lt;&gt;"",MIN(1,(0.5*AA96/100)+(0.3*MAX(0,K96)/9)+(0.2*MAX(0,Q96)/9)),"")</f>
        <v/>
      </c>
    </row>
    <row r="97">
      <c r="A97" s="4">
        <f>IF('Raw Data'!A84&lt;&gt;"",'Raw Data'!A84,"")</f>
        <v/>
      </c>
      <c r="B97" s="4">
        <f>IF('Raw Data'!B84&lt;&gt;"",'Raw Data'!B84,"")</f>
        <v/>
      </c>
      <c r="C97" s="4">
        <f>IF('Raw Data'!C84&lt;&gt;"",'Raw Data'!C84,"")</f>
        <v/>
      </c>
      <c r="D97" s="4">
        <f>IF('Raw Data'!D84&lt;&gt;"",'Raw Data'!D84,"")</f>
        <v/>
      </c>
      <c r="E97" s="4">
        <f>IF('Raw Data'!E84&lt;&gt;"",'Raw Data'!E84,"")</f>
        <v/>
      </c>
      <c r="F97" s="14">
        <f>IF('Raw Data'!A84&lt;&gt;"",AVERAGE('Raw Data'!F84,'Raw Data'!H84,'Raw Data'!J84,'Raw Data'!L84,'Raw Data'!N84),"")</f>
        <v/>
      </c>
      <c r="G97" s="14">
        <f>IF('Raw Data'!A84&lt;&gt;"",AVERAGE('Raw Data'!G84,'Raw Data'!I84,'Raw Data'!K84,'Raw Data'!M84,'Raw Data'!O84),"")</f>
        <v/>
      </c>
      <c r="H97" s="14">
        <f>IF(F97&lt;&gt;"",F97-G97,"")</f>
        <v/>
      </c>
      <c r="I97" s="14">
        <f>IF('Raw Data'!A84&lt;&gt;"",AVERAGE('Raw Data'!P84,'Raw Data'!R84,'Raw Data'!T84,'Raw Data'!V84,'Raw Data'!X84),"")</f>
        <v/>
      </c>
      <c r="J97" s="14">
        <f>IF('Raw Data'!A84&lt;&gt;"",AVERAGE('Raw Data'!Q84,'Raw Data'!S84,'Raw Data'!U84,'Raw Data'!W84,'Raw Data'!Y84),"")</f>
        <v/>
      </c>
      <c r="K97" s="14">
        <f>IF(I97&lt;&gt;"",I97-J97,"")</f>
        <v/>
      </c>
      <c r="L97" s="14">
        <f>IF('Raw Data'!A84&lt;&gt;"",AVERAGE('Raw Data'!Z84,'Raw Data'!AB84,'Raw Data'!AD84,'Raw Data'!AF84,'Raw Data'!AH84),"")</f>
        <v/>
      </c>
      <c r="M97" s="14">
        <f>IF('Raw Data'!A84&lt;&gt;"",AVERAGE('Raw Data'!AA84,'Raw Data'!AC84,'Raw Data'!AE84,'Raw Data'!AG84,'Raw Data'!AI84),"")</f>
        <v/>
      </c>
      <c r="N97" s="14">
        <f>IF(L97&lt;&gt;"",L97-M97,"")</f>
        <v/>
      </c>
      <c r="O97" s="14">
        <f>IF('Raw Data'!A84&lt;&gt;"",AVERAGE('Raw Data'!AJ84,'Raw Data'!AL84,'Raw Data'!AN84,'Raw Data'!AP84,'Raw Data'!AR84),"")</f>
        <v/>
      </c>
      <c r="P97" s="14">
        <f>IF('Raw Data'!A84&lt;&gt;"",AVERAGE('Raw Data'!AK84,'Raw Data'!AM84,'Raw Data'!AO84,'Raw Data'!AQ84,'Raw Data'!AS84),"")</f>
        <v/>
      </c>
      <c r="Q97" s="14">
        <f>IF(O97&lt;&gt;"",O97-P97,"")</f>
        <v/>
      </c>
      <c r="R97" s="14">
        <f>IF('Raw Data'!A84&lt;&gt;"",AVERAGE('Raw Data'!AT84,'Raw Data'!AV84,'Raw Data'!AX84,'Raw Data'!AZ84,'Raw Data'!BB84),"")</f>
        <v/>
      </c>
      <c r="S97" s="14">
        <f>IF('Raw Data'!A84&lt;&gt;"",AVERAGE('Raw Data'!AU84,'Raw Data'!AW84,'Raw Data'!AY84,'Raw Data'!BA84,'Raw Data'!BC84),"")</f>
        <v/>
      </c>
      <c r="T97" s="14">
        <f>IF(R97&lt;&gt;"",R97-S97,"")</f>
        <v/>
      </c>
      <c r="U97" s="14">
        <f>IF('Raw Data'!A84&lt;&gt;"",AVERAGE('Raw Data'!BD84,'Raw Data'!BF84,'Raw Data'!BH84,'Raw Data'!BJ84,'Raw Data'!BL84),"")</f>
        <v/>
      </c>
      <c r="V97" s="14">
        <f>IF('Raw Data'!A84&lt;&gt;"",AVERAGE('Raw Data'!BE84,'Raw Data'!BG84,'Raw Data'!BI84,'Raw Data'!BK84,'Raw Data'!BM84),"")</f>
        <v/>
      </c>
      <c r="W97" s="14">
        <f>IF(U97&lt;&gt;"",U97-V97,"")</f>
        <v/>
      </c>
      <c r="X97" s="14">
        <f>IF(A97&lt;&gt;"",AVERAGE(F97,I97,L97,O97,R97,U97),"")</f>
        <v/>
      </c>
      <c r="Y97" s="14">
        <f>IF(A97&lt;&gt;"",AVERAGE(G97,J97,M97,P97,S97,V97),"")</f>
        <v/>
      </c>
      <c r="Z97" s="14">
        <f>IF(A97&lt;&gt;"",X97-Y97,"")</f>
        <v/>
      </c>
      <c r="AA97" s="15">
        <f>IF(A97&lt;&gt;"",ROUND(MIN(100,100*((MAX(0,K97)*0.25)+(MAX(0,Q97)*0.20)+(MAX(0,W97)*0.20)+(MAX(0,H97)*0.15)+(MAX(0,N97)*0.10)+(MAX(0,T97)*0.10))/9),1),"")</f>
        <v/>
      </c>
      <c r="AB97" s="28">
        <f>IF(A97&lt;&gt;"",MIN(1,(0.5*AA97/100)+(0.3*MAX(0,K97)/9)+(0.2*MAX(0,Q97)/9)),"")</f>
        <v/>
      </c>
    </row>
    <row r="98">
      <c r="A98" s="13">
        <f>IF('Raw Data'!A85&lt;&gt;"",'Raw Data'!A85,"")</f>
        <v/>
      </c>
      <c r="B98" s="13">
        <f>IF('Raw Data'!B85&lt;&gt;"",'Raw Data'!B85,"")</f>
        <v/>
      </c>
      <c r="C98" s="13">
        <f>IF('Raw Data'!C85&lt;&gt;"",'Raw Data'!C85,"")</f>
        <v/>
      </c>
      <c r="D98" s="13">
        <f>IF('Raw Data'!D85&lt;&gt;"",'Raw Data'!D85,"")</f>
        <v/>
      </c>
      <c r="E98" s="13">
        <f>IF('Raw Data'!E85&lt;&gt;"",'Raw Data'!E85,"")</f>
        <v/>
      </c>
      <c r="F98" s="17">
        <f>IF('Raw Data'!A85&lt;&gt;"",AVERAGE('Raw Data'!F85,'Raw Data'!H85,'Raw Data'!J85,'Raw Data'!L85,'Raw Data'!N85),"")</f>
        <v/>
      </c>
      <c r="G98" s="17">
        <f>IF('Raw Data'!A85&lt;&gt;"",AVERAGE('Raw Data'!G85,'Raw Data'!I85,'Raw Data'!K85,'Raw Data'!M85,'Raw Data'!O85),"")</f>
        <v/>
      </c>
      <c r="H98" s="17">
        <f>IF(F98&lt;&gt;"",F98-G98,"")</f>
        <v/>
      </c>
      <c r="I98" s="17">
        <f>IF('Raw Data'!A85&lt;&gt;"",AVERAGE('Raw Data'!P85,'Raw Data'!R85,'Raw Data'!T85,'Raw Data'!V85,'Raw Data'!X85),"")</f>
        <v/>
      </c>
      <c r="J98" s="17">
        <f>IF('Raw Data'!A85&lt;&gt;"",AVERAGE('Raw Data'!Q85,'Raw Data'!S85,'Raw Data'!U85,'Raw Data'!W85,'Raw Data'!Y85),"")</f>
        <v/>
      </c>
      <c r="K98" s="17">
        <f>IF(I98&lt;&gt;"",I98-J98,"")</f>
        <v/>
      </c>
      <c r="L98" s="17">
        <f>IF('Raw Data'!A85&lt;&gt;"",AVERAGE('Raw Data'!Z85,'Raw Data'!AB85,'Raw Data'!AD85,'Raw Data'!AF85,'Raw Data'!AH85),"")</f>
        <v/>
      </c>
      <c r="M98" s="17">
        <f>IF('Raw Data'!A85&lt;&gt;"",AVERAGE('Raw Data'!AA85,'Raw Data'!AC85,'Raw Data'!AE85,'Raw Data'!AG85,'Raw Data'!AI85),"")</f>
        <v/>
      </c>
      <c r="N98" s="17">
        <f>IF(L98&lt;&gt;"",L98-M98,"")</f>
        <v/>
      </c>
      <c r="O98" s="17">
        <f>IF('Raw Data'!A85&lt;&gt;"",AVERAGE('Raw Data'!AJ85,'Raw Data'!AL85,'Raw Data'!AN85,'Raw Data'!AP85,'Raw Data'!AR85),"")</f>
        <v/>
      </c>
      <c r="P98" s="17">
        <f>IF('Raw Data'!A85&lt;&gt;"",AVERAGE('Raw Data'!AK85,'Raw Data'!AM85,'Raw Data'!AO85,'Raw Data'!AQ85,'Raw Data'!AS85),"")</f>
        <v/>
      </c>
      <c r="Q98" s="17">
        <f>IF(O98&lt;&gt;"",O98-P98,"")</f>
        <v/>
      </c>
      <c r="R98" s="17">
        <f>IF('Raw Data'!A85&lt;&gt;"",AVERAGE('Raw Data'!AT85,'Raw Data'!AV85,'Raw Data'!AX85,'Raw Data'!AZ85,'Raw Data'!BB85),"")</f>
        <v/>
      </c>
      <c r="S98" s="17">
        <f>IF('Raw Data'!A85&lt;&gt;"",AVERAGE('Raw Data'!AU85,'Raw Data'!AW85,'Raw Data'!AY85,'Raw Data'!BA85,'Raw Data'!BC85),"")</f>
        <v/>
      </c>
      <c r="T98" s="17">
        <f>IF(R98&lt;&gt;"",R98-S98,"")</f>
        <v/>
      </c>
      <c r="U98" s="17">
        <f>IF('Raw Data'!A85&lt;&gt;"",AVERAGE('Raw Data'!BD85,'Raw Data'!BF85,'Raw Data'!BH85,'Raw Data'!BJ85,'Raw Data'!BL85),"")</f>
        <v/>
      </c>
      <c r="V98" s="17">
        <f>IF('Raw Data'!A85&lt;&gt;"",AVERAGE('Raw Data'!BE85,'Raw Data'!BG85,'Raw Data'!BI85,'Raw Data'!BK85,'Raw Data'!BM85),"")</f>
        <v/>
      </c>
      <c r="W98" s="17">
        <f>IF(U98&lt;&gt;"",U98-V98,"")</f>
        <v/>
      </c>
      <c r="X98" s="17">
        <f>IF(A98&lt;&gt;"",AVERAGE(F98,I98,L98,O98,R98,U98),"")</f>
        <v/>
      </c>
      <c r="Y98" s="17">
        <f>IF(A98&lt;&gt;"",AVERAGE(G98,J98,M98,P98,S98,V98),"")</f>
        <v/>
      </c>
      <c r="Z98" s="17">
        <f>IF(A98&lt;&gt;"",X98-Y98,"")</f>
        <v/>
      </c>
      <c r="AA98" s="18">
        <f>IF(A98&lt;&gt;"",ROUND(MIN(100,100*((MAX(0,K98)*0.25)+(MAX(0,Q98)*0.20)+(MAX(0,W98)*0.20)+(MAX(0,H98)*0.15)+(MAX(0,N98)*0.10)+(MAX(0,T98)*0.10))/9),1),"")</f>
        <v/>
      </c>
      <c r="AB98" s="29">
        <f>IF(A98&lt;&gt;"",MIN(1,(0.5*AA98/100)+(0.3*MAX(0,K98)/9)+(0.2*MAX(0,Q98)/9)),"")</f>
        <v/>
      </c>
    </row>
    <row r="99">
      <c r="A99" s="4">
        <f>IF('Raw Data'!A86&lt;&gt;"",'Raw Data'!A86,"")</f>
        <v/>
      </c>
      <c r="B99" s="4">
        <f>IF('Raw Data'!B86&lt;&gt;"",'Raw Data'!B86,"")</f>
        <v/>
      </c>
      <c r="C99" s="4">
        <f>IF('Raw Data'!C86&lt;&gt;"",'Raw Data'!C86,"")</f>
        <v/>
      </c>
      <c r="D99" s="4">
        <f>IF('Raw Data'!D86&lt;&gt;"",'Raw Data'!D86,"")</f>
        <v/>
      </c>
      <c r="E99" s="4">
        <f>IF('Raw Data'!E86&lt;&gt;"",'Raw Data'!E86,"")</f>
        <v/>
      </c>
      <c r="F99" s="14">
        <f>IF('Raw Data'!A86&lt;&gt;"",AVERAGE('Raw Data'!F86,'Raw Data'!H86,'Raw Data'!J86,'Raw Data'!L86,'Raw Data'!N86),"")</f>
        <v/>
      </c>
      <c r="G99" s="14">
        <f>IF('Raw Data'!A86&lt;&gt;"",AVERAGE('Raw Data'!G86,'Raw Data'!I86,'Raw Data'!K86,'Raw Data'!M86,'Raw Data'!O86),"")</f>
        <v/>
      </c>
      <c r="H99" s="14">
        <f>IF(F99&lt;&gt;"",F99-G99,"")</f>
        <v/>
      </c>
      <c r="I99" s="14">
        <f>IF('Raw Data'!A86&lt;&gt;"",AVERAGE('Raw Data'!P86,'Raw Data'!R86,'Raw Data'!T86,'Raw Data'!V86,'Raw Data'!X86),"")</f>
        <v/>
      </c>
      <c r="J99" s="14">
        <f>IF('Raw Data'!A86&lt;&gt;"",AVERAGE('Raw Data'!Q86,'Raw Data'!S86,'Raw Data'!U86,'Raw Data'!W86,'Raw Data'!Y86),"")</f>
        <v/>
      </c>
      <c r="K99" s="14">
        <f>IF(I99&lt;&gt;"",I99-J99,"")</f>
        <v/>
      </c>
      <c r="L99" s="14">
        <f>IF('Raw Data'!A86&lt;&gt;"",AVERAGE('Raw Data'!Z86,'Raw Data'!AB86,'Raw Data'!AD86,'Raw Data'!AF86,'Raw Data'!AH86),"")</f>
        <v/>
      </c>
      <c r="M99" s="14">
        <f>IF('Raw Data'!A86&lt;&gt;"",AVERAGE('Raw Data'!AA86,'Raw Data'!AC86,'Raw Data'!AE86,'Raw Data'!AG86,'Raw Data'!AI86),"")</f>
        <v/>
      </c>
      <c r="N99" s="14">
        <f>IF(L99&lt;&gt;"",L99-M99,"")</f>
        <v/>
      </c>
      <c r="O99" s="14">
        <f>IF('Raw Data'!A86&lt;&gt;"",AVERAGE('Raw Data'!AJ86,'Raw Data'!AL86,'Raw Data'!AN86,'Raw Data'!AP86,'Raw Data'!AR86),"")</f>
        <v/>
      </c>
      <c r="P99" s="14">
        <f>IF('Raw Data'!A86&lt;&gt;"",AVERAGE('Raw Data'!AK86,'Raw Data'!AM86,'Raw Data'!AO86,'Raw Data'!AQ86,'Raw Data'!AS86),"")</f>
        <v/>
      </c>
      <c r="Q99" s="14">
        <f>IF(O99&lt;&gt;"",O99-P99,"")</f>
        <v/>
      </c>
      <c r="R99" s="14">
        <f>IF('Raw Data'!A86&lt;&gt;"",AVERAGE('Raw Data'!AT86,'Raw Data'!AV86,'Raw Data'!AX86,'Raw Data'!AZ86,'Raw Data'!BB86),"")</f>
        <v/>
      </c>
      <c r="S99" s="14">
        <f>IF('Raw Data'!A86&lt;&gt;"",AVERAGE('Raw Data'!AU86,'Raw Data'!AW86,'Raw Data'!AY86,'Raw Data'!BA86,'Raw Data'!BC86),"")</f>
        <v/>
      </c>
      <c r="T99" s="14">
        <f>IF(R99&lt;&gt;"",R99-S99,"")</f>
        <v/>
      </c>
      <c r="U99" s="14">
        <f>IF('Raw Data'!A86&lt;&gt;"",AVERAGE('Raw Data'!BD86,'Raw Data'!BF86,'Raw Data'!BH86,'Raw Data'!BJ86,'Raw Data'!BL86),"")</f>
        <v/>
      </c>
      <c r="V99" s="14">
        <f>IF('Raw Data'!A86&lt;&gt;"",AVERAGE('Raw Data'!BE86,'Raw Data'!BG86,'Raw Data'!BI86,'Raw Data'!BK86,'Raw Data'!BM86),"")</f>
        <v/>
      </c>
      <c r="W99" s="14">
        <f>IF(U99&lt;&gt;"",U99-V99,"")</f>
        <v/>
      </c>
      <c r="X99" s="14">
        <f>IF(A99&lt;&gt;"",AVERAGE(F99,I99,L99,O99,R99,U99),"")</f>
        <v/>
      </c>
      <c r="Y99" s="14">
        <f>IF(A99&lt;&gt;"",AVERAGE(G99,J99,M99,P99,S99,V99),"")</f>
        <v/>
      </c>
      <c r="Z99" s="14">
        <f>IF(A99&lt;&gt;"",X99-Y99,"")</f>
        <v/>
      </c>
      <c r="AA99" s="15">
        <f>IF(A99&lt;&gt;"",ROUND(MIN(100,100*((MAX(0,K99)*0.25)+(MAX(0,Q99)*0.20)+(MAX(0,W99)*0.20)+(MAX(0,H99)*0.15)+(MAX(0,N99)*0.10)+(MAX(0,T99)*0.10))/9),1),"")</f>
        <v/>
      </c>
      <c r="AB99" s="28">
        <f>IF(A99&lt;&gt;"",MIN(1,(0.5*AA99/100)+(0.3*MAX(0,K99)/9)+(0.2*MAX(0,Q99)/9)),"")</f>
        <v/>
      </c>
    </row>
    <row r="100">
      <c r="A100" s="13">
        <f>IF('Raw Data'!A87&lt;&gt;"",'Raw Data'!A87,"")</f>
        <v/>
      </c>
      <c r="B100" s="13">
        <f>IF('Raw Data'!B87&lt;&gt;"",'Raw Data'!B87,"")</f>
        <v/>
      </c>
      <c r="C100" s="13">
        <f>IF('Raw Data'!C87&lt;&gt;"",'Raw Data'!C87,"")</f>
        <v/>
      </c>
      <c r="D100" s="13">
        <f>IF('Raw Data'!D87&lt;&gt;"",'Raw Data'!D87,"")</f>
        <v/>
      </c>
      <c r="E100" s="13">
        <f>IF('Raw Data'!E87&lt;&gt;"",'Raw Data'!E87,"")</f>
        <v/>
      </c>
      <c r="F100" s="17">
        <f>IF('Raw Data'!A87&lt;&gt;"",AVERAGE('Raw Data'!F87,'Raw Data'!H87,'Raw Data'!J87,'Raw Data'!L87,'Raw Data'!N87),"")</f>
        <v/>
      </c>
      <c r="G100" s="17">
        <f>IF('Raw Data'!A87&lt;&gt;"",AVERAGE('Raw Data'!G87,'Raw Data'!I87,'Raw Data'!K87,'Raw Data'!M87,'Raw Data'!O87),"")</f>
        <v/>
      </c>
      <c r="H100" s="17">
        <f>IF(F100&lt;&gt;"",F100-G100,"")</f>
        <v/>
      </c>
      <c r="I100" s="17">
        <f>IF('Raw Data'!A87&lt;&gt;"",AVERAGE('Raw Data'!P87,'Raw Data'!R87,'Raw Data'!T87,'Raw Data'!V87,'Raw Data'!X87),"")</f>
        <v/>
      </c>
      <c r="J100" s="17">
        <f>IF('Raw Data'!A87&lt;&gt;"",AVERAGE('Raw Data'!Q87,'Raw Data'!S87,'Raw Data'!U87,'Raw Data'!W87,'Raw Data'!Y87),"")</f>
        <v/>
      </c>
      <c r="K100" s="17">
        <f>IF(I100&lt;&gt;"",I100-J100,"")</f>
        <v/>
      </c>
      <c r="L100" s="17">
        <f>IF('Raw Data'!A87&lt;&gt;"",AVERAGE('Raw Data'!Z87,'Raw Data'!AB87,'Raw Data'!AD87,'Raw Data'!AF87,'Raw Data'!AH87),"")</f>
        <v/>
      </c>
      <c r="M100" s="17">
        <f>IF('Raw Data'!A87&lt;&gt;"",AVERAGE('Raw Data'!AA87,'Raw Data'!AC87,'Raw Data'!AE87,'Raw Data'!AG87,'Raw Data'!AI87),"")</f>
        <v/>
      </c>
      <c r="N100" s="17">
        <f>IF(L100&lt;&gt;"",L100-M100,"")</f>
        <v/>
      </c>
      <c r="O100" s="17">
        <f>IF('Raw Data'!A87&lt;&gt;"",AVERAGE('Raw Data'!AJ87,'Raw Data'!AL87,'Raw Data'!AN87,'Raw Data'!AP87,'Raw Data'!AR87),"")</f>
        <v/>
      </c>
      <c r="P100" s="17">
        <f>IF('Raw Data'!A87&lt;&gt;"",AVERAGE('Raw Data'!AK87,'Raw Data'!AM87,'Raw Data'!AO87,'Raw Data'!AQ87,'Raw Data'!AS87),"")</f>
        <v/>
      </c>
      <c r="Q100" s="17">
        <f>IF(O100&lt;&gt;"",O100-P100,"")</f>
        <v/>
      </c>
      <c r="R100" s="17">
        <f>IF('Raw Data'!A87&lt;&gt;"",AVERAGE('Raw Data'!AT87,'Raw Data'!AV87,'Raw Data'!AX87,'Raw Data'!AZ87,'Raw Data'!BB87),"")</f>
        <v/>
      </c>
      <c r="S100" s="17">
        <f>IF('Raw Data'!A87&lt;&gt;"",AVERAGE('Raw Data'!AU87,'Raw Data'!AW87,'Raw Data'!AY87,'Raw Data'!BA87,'Raw Data'!BC87),"")</f>
        <v/>
      </c>
      <c r="T100" s="17">
        <f>IF(R100&lt;&gt;"",R100-S100,"")</f>
        <v/>
      </c>
      <c r="U100" s="17">
        <f>IF('Raw Data'!A87&lt;&gt;"",AVERAGE('Raw Data'!BD87,'Raw Data'!BF87,'Raw Data'!BH87,'Raw Data'!BJ87,'Raw Data'!BL87),"")</f>
        <v/>
      </c>
      <c r="V100" s="17">
        <f>IF('Raw Data'!A87&lt;&gt;"",AVERAGE('Raw Data'!BE87,'Raw Data'!BG87,'Raw Data'!BI87,'Raw Data'!BK87,'Raw Data'!BM87),"")</f>
        <v/>
      </c>
      <c r="W100" s="17">
        <f>IF(U100&lt;&gt;"",U100-V100,"")</f>
        <v/>
      </c>
      <c r="X100" s="17">
        <f>IF(A100&lt;&gt;"",AVERAGE(F100,I100,L100,O100,R100,U100),"")</f>
        <v/>
      </c>
      <c r="Y100" s="17">
        <f>IF(A100&lt;&gt;"",AVERAGE(G100,J100,M100,P100,S100,V100),"")</f>
        <v/>
      </c>
      <c r="Z100" s="17">
        <f>IF(A100&lt;&gt;"",X100-Y100,"")</f>
        <v/>
      </c>
      <c r="AA100" s="18">
        <f>IF(A100&lt;&gt;"",ROUND(MIN(100,100*((MAX(0,K100)*0.25)+(MAX(0,Q100)*0.20)+(MAX(0,W100)*0.20)+(MAX(0,H100)*0.15)+(MAX(0,N100)*0.10)+(MAX(0,T100)*0.10))/9),1),"")</f>
        <v/>
      </c>
      <c r="AB100" s="29">
        <f>IF(A100&lt;&gt;"",MIN(1,(0.5*AA100/100)+(0.3*MAX(0,K100)/9)+(0.2*MAX(0,Q100)/9)),"")</f>
        <v/>
      </c>
    </row>
    <row r="101">
      <c r="A101" s="4">
        <f>IF('Raw Data'!A88&lt;&gt;"",'Raw Data'!A88,"")</f>
        <v/>
      </c>
      <c r="B101" s="4">
        <f>IF('Raw Data'!B88&lt;&gt;"",'Raw Data'!B88,"")</f>
        <v/>
      </c>
      <c r="C101" s="4">
        <f>IF('Raw Data'!C88&lt;&gt;"",'Raw Data'!C88,"")</f>
        <v/>
      </c>
      <c r="D101" s="4">
        <f>IF('Raw Data'!D88&lt;&gt;"",'Raw Data'!D88,"")</f>
        <v/>
      </c>
      <c r="E101" s="4">
        <f>IF('Raw Data'!E88&lt;&gt;"",'Raw Data'!E88,"")</f>
        <v/>
      </c>
      <c r="F101" s="14">
        <f>IF('Raw Data'!A88&lt;&gt;"",AVERAGE('Raw Data'!F88,'Raw Data'!H88,'Raw Data'!J88,'Raw Data'!L88,'Raw Data'!N88),"")</f>
        <v/>
      </c>
      <c r="G101" s="14">
        <f>IF('Raw Data'!A88&lt;&gt;"",AVERAGE('Raw Data'!G88,'Raw Data'!I88,'Raw Data'!K88,'Raw Data'!M88,'Raw Data'!O88),"")</f>
        <v/>
      </c>
      <c r="H101" s="14">
        <f>IF(F101&lt;&gt;"",F101-G101,"")</f>
        <v/>
      </c>
      <c r="I101" s="14">
        <f>IF('Raw Data'!A88&lt;&gt;"",AVERAGE('Raw Data'!P88,'Raw Data'!R88,'Raw Data'!T88,'Raw Data'!V88,'Raw Data'!X88),"")</f>
        <v/>
      </c>
      <c r="J101" s="14">
        <f>IF('Raw Data'!A88&lt;&gt;"",AVERAGE('Raw Data'!Q88,'Raw Data'!S88,'Raw Data'!U88,'Raw Data'!W88,'Raw Data'!Y88),"")</f>
        <v/>
      </c>
      <c r="K101" s="14">
        <f>IF(I101&lt;&gt;"",I101-J101,"")</f>
        <v/>
      </c>
      <c r="L101" s="14">
        <f>IF('Raw Data'!A88&lt;&gt;"",AVERAGE('Raw Data'!Z88,'Raw Data'!AB88,'Raw Data'!AD88,'Raw Data'!AF88,'Raw Data'!AH88),"")</f>
        <v/>
      </c>
      <c r="M101" s="14">
        <f>IF('Raw Data'!A88&lt;&gt;"",AVERAGE('Raw Data'!AA88,'Raw Data'!AC88,'Raw Data'!AE88,'Raw Data'!AG88,'Raw Data'!AI88),"")</f>
        <v/>
      </c>
      <c r="N101" s="14">
        <f>IF(L101&lt;&gt;"",L101-M101,"")</f>
        <v/>
      </c>
      <c r="O101" s="14">
        <f>IF('Raw Data'!A88&lt;&gt;"",AVERAGE('Raw Data'!AJ88,'Raw Data'!AL88,'Raw Data'!AN88,'Raw Data'!AP88,'Raw Data'!AR88),"")</f>
        <v/>
      </c>
      <c r="P101" s="14">
        <f>IF('Raw Data'!A88&lt;&gt;"",AVERAGE('Raw Data'!AK88,'Raw Data'!AM88,'Raw Data'!AO88,'Raw Data'!AQ88,'Raw Data'!AS88),"")</f>
        <v/>
      </c>
      <c r="Q101" s="14">
        <f>IF(O101&lt;&gt;"",O101-P101,"")</f>
        <v/>
      </c>
      <c r="R101" s="14">
        <f>IF('Raw Data'!A88&lt;&gt;"",AVERAGE('Raw Data'!AT88,'Raw Data'!AV88,'Raw Data'!AX88,'Raw Data'!AZ88,'Raw Data'!BB88),"")</f>
        <v/>
      </c>
      <c r="S101" s="14">
        <f>IF('Raw Data'!A88&lt;&gt;"",AVERAGE('Raw Data'!AU88,'Raw Data'!AW88,'Raw Data'!AY88,'Raw Data'!BA88,'Raw Data'!BC88),"")</f>
        <v/>
      </c>
      <c r="T101" s="14">
        <f>IF(R101&lt;&gt;"",R101-S101,"")</f>
        <v/>
      </c>
      <c r="U101" s="14">
        <f>IF('Raw Data'!A88&lt;&gt;"",AVERAGE('Raw Data'!BD88,'Raw Data'!BF88,'Raw Data'!BH88,'Raw Data'!BJ88,'Raw Data'!BL88),"")</f>
        <v/>
      </c>
      <c r="V101" s="14">
        <f>IF('Raw Data'!A88&lt;&gt;"",AVERAGE('Raw Data'!BE88,'Raw Data'!BG88,'Raw Data'!BI88,'Raw Data'!BK88,'Raw Data'!BM88),"")</f>
        <v/>
      </c>
      <c r="W101" s="14">
        <f>IF(U101&lt;&gt;"",U101-V101,"")</f>
        <v/>
      </c>
      <c r="X101" s="14">
        <f>IF(A101&lt;&gt;"",AVERAGE(F101,I101,L101,O101,R101,U101),"")</f>
        <v/>
      </c>
      <c r="Y101" s="14">
        <f>IF(A101&lt;&gt;"",AVERAGE(G101,J101,M101,P101,S101,V101),"")</f>
        <v/>
      </c>
      <c r="Z101" s="14">
        <f>IF(A101&lt;&gt;"",X101-Y101,"")</f>
        <v/>
      </c>
      <c r="AA101" s="15">
        <f>IF(A101&lt;&gt;"",ROUND(MIN(100,100*((MAX(0,K101)*0.25)+(MAX(0,Q101)*0.20)+(MAX(0,W101)*0.20)+(MAX(0,H101)*0.15)+(MAX(0,N101)*0.10)+(MAX(0,T101)*0.10))/9),1),"")</f>
        <v/>
      </c>
      <c r="AB101" s="28">
        <f>IF(A101&lt;&gt;"",MIN(1,(0.5*AA101/100)+(0.3*MAX(0,K101)/9)+(0.2*MAX(0,Q101)/9)),"")</f>
        <v/>
      </c>
    </row>
    <row r="102">
      <c r="A102" s="13">
        <f>IF('Raw Data'!A89&lt;&gt;"",'Raw Data'!A89,"")</f>
        <v/>
      </c>
      <c r="B102" s="13">
        <f>IF('Raw Data'!B89&lt;&gt;"",'Raw Data'!B89,"")</f>
        <v/>
      </c>
      <c r="C102" s="13">
        <f>IF('Raw Data'!C89&lt;&gt;"",'Raw Data'!C89,"")</f>
        <v/>
      </c>
      <c r="D102" s="13">
        <f>IF('Raw Data'!D89&lt;&gt;"",'Raw Data'!D89,"")</f>
        <v/>
      </c>
      <c r="E102" s="13">
        <f>IF('Raw Data'!E89&lt;&gt;"",'Raw Data'!E89,"")</f>
        <v/>
      </c>
      <c r="F102" s="17">
        <f>IF('Raw Data'!A89&lt;&gt;"",AVERAGE('Raw Data'!F89,'Raw Data'!H89,'Raw Data'!J89,'Raw Data'!L89,'Raw Data'!N89),"")</f>
        <v/>
      </c>
      <c r="G102" s="17">
        <f>IF('Raw Data'!A89&lt;&gt;"",AVERAGE('Raw Data'!G89,'Raw Data'!I89,'Raw Data'!K89,'Raw Data'!M89,'Raw Data'!O89),"")</f>
        <v/>
      </c>
      <c r="H102" s="17">
        <f>IF(F102&lt;&gt;"",F102-G102,"")</f>
        <v/>
      </c>
      <c r="I102" s="17">
        <f>IF('Raw Data'!A89&lt;&gt;"",AVERAGE('Raw Data'!P89,'Raw Data'!R89,'Raw Data'!T89,'Raw Data'!V89,'Raw Data'!X89),"")</f>
        <v/>
      </c>
      <c r="J102" s="17">
        <f>IF('Raw Data'!A89&lt;&gt;"",AVERAGE('Raw Data'!Q89,'Raw Data'!S89,'Raw Data'!U89,'Raw Data'!W89,'Raw Data'!Y89),"")</f>
        <v/>
      </c>
      <c r="K102" s="17">
        <f>IF(I102&lt;&gt;"",I102-J102,"")</f>
        <v/>
      </c>
      <c r="L102" s="17">
        <f>IF('Raw Data'!A89&lt;&gt;"",AVERAGE('Raw Data'!Z89,'Raw Data'!AB89,'Raw Data'!AD89,'Raw Data'!AF89,'Raw Data'!AH89),"")</f>
        <v/>
      </c>
      <c r="M102" s="17">
        <f>IF('Raw Data'!A89&lt;&gt;"",AVERAGE('Raw Data'!AA89,'Raw Data'!AC89,'Raw Data'!AE89,'Raw Data'!AG89,'Raw Data'!AI89),"")</f>
        <v/>
      </c>
      <c r="N102" s="17">
        <f>IF(L102&lt;&gt;"",L102-M102,"")</f>
        <v/>
      </c>
      <c r="O102" s="17">
        <f>IF('Raw Data'!A89&lt;&gt;"",AVERAGE('Raw Data'!AJ89,'Raw Data'!AL89,'Raw Data'!AN89,'Raw Data'!AP89,'Raw Data'!AR89),"")</f>
        <v/>
      </c>
      <c r="P102" s="17">
        <f>IF('Raw Data'!A89&lt;&gt;"",AVERAGE('Raw Data'!AK89,'Raw Data'!AM89,'Raw Data'!AO89,'Raw Data'!AQ89,'Raw Data'!AS89),"")</f>
        <v/>
      </c>
      <c r="Q102" s="17">
        <f>IF(O102&lt;&gt;"",O102-P102,"")</f>
        <v/>
      </c>
      <c r="R102" s="17">
        <f>IF('Raw Data'!A89&lt;&gt;"",AVERAGE('Raw Data'!AT89,'Raw Data'!AV89,'Raw Data'!AX89,'Raw Data'!AZ89,'Raw Data'!BB89),"")</f>
        <v/>
      </c>
      <c r="S102" s="17">
        <f>IF('Raw Data'!A89&lt;&gt;"",AVERAGE('Raw Data'!AU89,'Raw Data'!AW89,'Raw Data'!AY89,'Raw Data'!BA89,'Raw Data'!BC89),"")</f>
        <v/>
      </c>
      <c r="T102" s="17">
        <f>IF(R102&lt;&gt;"",R102-S102,"")</f>
        <v/>
      </c>
      <c r="U102" s="17">
        <f>IF('Raw Data'!A89&lt;&gt;"",AVERAGE('Raw Data'!BD89,'Raw Data'!BF89,'Raw Data'!BH89,'Raw Data'!BJ89,'Raw Data'!BL89),"")</f>
        <v/>
      </c>
      <c r="V102" s="17">
        <f>IF('Raw Data'!A89&lt;&gt;"",AVERAGE('Raw Data'!BE89,'Raw Data'!BG89,'Raw Data'!BI89,'Raw Data'!BK89,'Raw Data'!BM89),"")</f>
        <v/>
      </c>
      <c r="W102" s="17">
        <f>IF(U102&lt;&gt;"",U102-V102,"")</f>
        <v/>
      </c>
      <c r="X102" s="17">
        <f>IF(A102&lt;&gt;"",AVERAGE(F102,I102,L102,O102,R102,U102),"")</f>
        <v/>
      </c>
      <c r="Y102" s="17">
        <f>IF(A102&lt;&gt;"",AVERAGE(G102,J102,M102,P102,S102,V102),"")</f>
        <v/>
      </c>
      <c r="Z102" s="17">
        <f>IF(A102&lt;&gt;"",X102-Y102,"")</f>
        <v/>
      </c>
      <c r="AA102" s="18">
        <f>IF(A102&lt;&gt;"",ROUND(MIN(100,100*((MAX(0,K102)*0.25)+(MAX(0,Q102)*0.20)+(MAX(0,W102)*0.20)+(MAX(0,H102)*0.15)+(MAX(0,N102)*0.10)+(MAX(0,T102)*0.10))/9),1),"")</f>
        <v/>
      </c>
      <c r="AB102" s="29">
        <f>IF(A102&lt;&gt;"",MIN(1,(0.5*AA102/100)+(0.3*MAX(0,K102)/9)+(0.2*MAX(0,Q102)/9)),"")</f>
        <v/>
      </c>
    </row>
    <row r="103">
      <c r="A103" s="4">
        <f>IF('Raw Data'!A90&lt;&gt;"",'Raw Data'!A90,"")</f>
        <v/>
      </c>
      <c r="B103" s="4">
        <f>IF('Raw Data'!B90&lt;&gt;"",'Raw Data'!B90,"")</f>
        <v/>
      </c>
      <c r="C103" s="4">
        <f>IF('Raw Data'!C90&lt;&gt;"",'Raw Data'!C90,"")</f>
        <v/>
      </c>
      <c r="D103" s="4">
        <f>IF('Raw Data'!D90&lt;&gt;"",'Raw Data'!D90,"")</f>
        <v/>
      </c>
      <c r="E103" s="4">
        <f>IF('Raw Data'!E90&lt;&gt;"",'Raw Data'!E90,"")</f>
        <v/>
      </c>
      <c r="F103" s="14">
        <f>IF('Raw Data'!A90&lt;&gt;"",AVERAGE('Raw Data'!F90,'Raw Data'!H90,'Raw Data'!J90,'Raw Data'!L90,'Raw Data'!N90),"")</f>
        <v/>
      </c>
      <c r="G103" s="14">
        <f>IF('Raw Data'!A90&lt;&gt;"",AVERAGE('Raw Data'!G90,'Raw Data'!I90,'Raw Data'!K90,'Raw Data'!M90,'Raw Data'!O90),"")</f>
        <v/>
      </c>
      <c r="H103" s="14">
        <f>IF(F103&lt;&gt;"",F103-G103,"")</f>
        <v/>
      </c>
      <c r="I103" s="14">
        <f>IF('Raw Data'!A90&lt;&gt;"",AVERAGE('Raw Data'!P90,'Raw Data'!R90,'Raw Data'!T90,'Raw Data'!V90,'Raw Data'!X90),"")</f>
        <v/>
      </c>
      <c r="J103" s="14">
        <f>IF('Raw Data'!A90&lt;&gt;"",AVERAGE('Raw Data'!Q90,'Raw Data'!S90,'Raw Data'!U90,'Raw Data'!W90,'Raw Data'!Y90),"")</f>
        <v/>
      </c>
      <c r="K103" s="14">
        <f>IF(I103&lt;&gt;"",I103-J103,"")</f>
        <v/>
      </c>
      <c r="L103" s="14">
        <f>IF('Raw Data'!A90&lt;&gt;"",AVERAGE('Raw Data'!Z90,'Raw Data'!AB90,'Raw Data'!AD90,'Raw Data'!AF90,'Raw Data'!AH90),"")</f>
        <v/>
      </c>
      <c r="M103" s="14">
        <f>IF('Raw Data'!A90&lt;&gt;"",AVERAGE('Raw Data'!AA90,'Raw Data'!AC90,'Raw Data'!AE90,'Raw Data'!AG90,'Raw Data'!AI90),"")</f>
        <v/>
      </c>
      <c r="N103" s="14">
        <f>IF(L103&lt;&gt;"",L103-M103,"")</f>
        <v/>
      </c>
      <c r="O103" s="14">
        <f>IF('Raw Data'!A90&lt;&gt;"",AVERAGE('Raw Data'!AJ90,'Raw Data'!AL90,'Raw Data'!AN90,'Raw Data'!AP90,'Raw Data'!AR90),"")</f>
        <v/>
      </c>
      <c r="P103" s="14">
        <f>IF('Raw Data'!A90&lt;&gt;"",AVERAGE('Raw Data'!AK90,'Raw Data'!AM90,'Raw Data'!AO90,'Raw Data'!AQ90,'Raw Data'!AS90),"")</f>
        <v/>
      </c>
      <c r="Q103" s="14">
        <f>IF(O103&lt;&gt;"",O103-P103,"")</f>
        <v/>
      </c>
      <c r="R103" s="14">
        <f>IF('Raw Data'!A90&lt;&gt;"",AVERAGE('Raw Data'!AT90,'Raw Data'!AV90,'Raw Data'!AX90,'Raw Data'!AZ90,'Raw Data'!BB90),"")</f>
        <v/>
      </c>
      <c r="S103" s="14">
        <f>IF('Raw Data'!A90&lt;&gt;"",AVERAGE('Raw Data'!AU90,'Raw Data'!AW90,'Raw Data'!AY90,'Raw Data'!BA90,'Raw Data'!BC90),"")</f>
        <v/>
      </c>
      <c r="T103" s="14">
        <f>IF(R103&lt;&gt;"",R103-S103,"")</f>
        <v/>
      </c>
      <c r="U103" s="14">
        <f>IF('Raw Data'!A90&lt;&gt;"",AVERAGE('Raw Data'!BD90,'Raw Data'!BF90,'Raw Data'!BH90,'Raw Data'!BJ90,'Raw Data'!BL90),"")</f>
        <v/>
      </c>
      <c r="V103" s="14">
        <f>IF('Raw Data'!A90&lt;&gt;"",AVERAGE('Raw Data'!BE90,'Raw Data'!BG90,'Raw Data'!BI90,'Raw Data'!BK90,'Raw Data'!BM90),"")</f>
        <v/>
      </c>
      <c r="W103" s="14">
        <f>IF(U103&lt;&gt;"",U103-V103,"")</f>
        <v/>
      </c>
      <c r="X103" s="14">
        <f>IF(A103&lt;&gt;"",AVERAGE(F103,I103,L103,O103,R103,U103),"")</f>
        <v/>
      </c>
      <c r="Y103" s="14">
        <f>IF(A103&lt;&gt;"",AVERAGE(G103,J103,M103,P103,S103,V103),"")</f>
        <v/>
      </c>
      <c r="Z103" s="14">
        <f>IF(A103&lt;&gt;"",X103-Y103,"")</f>
        <v/>
      </c>
      <c r="AA103" s="15">
        <f>IF(A103&lt;&gt;"",ROUND(MIN(100,100*((MAX(0,K103)*0.25)+(MAX(0,Q103)*0.20)+(MAX(0,W103)*0.20)+(MAX(0,H103)*0.15)+(MAX(0,N103)*0.10)+(MAX(0,T103)*0.10))/9),1),"")</f>
        <v/>
      </c>
      <c r="AB103" s="28">
        <f>IF(A103&lt;&gt;"",MIN(1,(0.5*AA103/100)+(0.3*MAX(0,K103)/9)+(0.2*MAX(0,Q103)/9)),"")</f>
        <v/>
      </c>
    </row>
    <row r="104">
      <c r="A104" s="13">
        <f>IF('Raw Data'!A91&lt;&gt;"",'Raw Data'!A91,"")</f>
        <v/>
      </c>
      <c r="B104" s="13">
        <f>IF('Raw Data'!B91&lt;&gt;"",'Raw Data'!B91,"")</f>
        <v/>
      </c>
      <c r="C104" s="13">
        <f>IF('Raw Data'!C91&lt;&gt;"",'Raw Data'!C91,"")</f>
        <v/>
      </c>
      <c r="D104" s="13">
        <f>IF('Raw Data'!D91&lt;&gt;"",'Raw Data'!D91,"")</f>
        <v/>
      </c>
      <c r="E104" s="13">
        <f>IF('Raw Data'!E91&lt;&gt;"",'Raw Data'!E91,"")</f>
        <v/>
      </c>
      <c r="F104" s="17">
        <f>IF('Raw Data'!A91&lt;&gt;"",AVERAGE('Raw Data'!F91,'Raw Data'!H91,'Raw Data'!J91,'Raw Data'!L91,'Raw Data'!N91),"")</f>
        <v/>
      </c>
      <c r="G104" s="17">
        <f>IF('Raw Data'!A91&lt;&gt;"",AVERAGE('Raw Data'!G91,'Raw Data'!I91,'Raw Data'!K91,'Raw Data'!M91,'Raw Data'!O91),"")</f>
        <v/>
      </c>
      <c r="H104" s="17">
        <f>IF(F104&lt;&gt;"",F104-G104,"")</f>
        <v/>
      </c>
      <c r="I104" s="17">
        <f>IF('Raw Data'!A91&lt;&gt;"",AVERAGE('Raw Data'!P91,'Raw Data'!R91,'Raw Data'!T91,'Raw Data'!V91,'Raw Data'!X91),"")</f>
        <v/>
      </c>
      <c r="J104" s="17">
        <f>IF('Raw Data'!A91&lt;&gt;"",AVERAGE('Raw Data'!Q91,'Raw Data'!S91,'Raw Data'!U91,'Raw Data'!W91,'Raw Data'!Y91),"")</f>
        <v/>
      </c>
      <c r="K104" s="17">
        <f>IF(I104&lt;&gt;"",I104-J104,"")</f>
        <v/>
      </c>
      <c r="L104" s="17">
        <f>IF('Raw Data'!A91&lt;&gt;"",AVERAGE('Raw Data'!Z91,'Raw Data'!AB91,'Raw Data'!AD91,'Raw Data'!AF91,'Raw Data'!AH91),"")</f>
        <v/>
      </c>
      <c r="M104" s="17">
        <f>IF('Raw Data'!A91&lt;&gt;"",AVERAGE('Raw Data'!AA91,'Raw Data'!AC91,'Raw Data'!AE91,'Raw Data'!AG91,'Raw Data'!AI91),"")</f>
        <v/>
      </c>
      <c r="N104" s="17">
        <f>IF(L104&lt;&gt;"",L104-M104,"")</f>
        <v/>
      </c>
      <c r="O104" s="17">
        <f>IF('Raw Data'!A91&lt;&gt;"",AVERAGE('Raw Data'!AJ91,'Raw Data'!AL91,'Raw Data'!AN91,'Raw Data'!AP91,'Raw Data'!AR91),"")</f>
        <v/>
      </c>
      <c r="P104" s="17">
        <f>IF('Raw Data'!A91&lt;&gt;"",AVERAGE('Raw Data'!AK91,'Raw Data'!AM91,'Raw Data'!AO91,'Raw Data'!AQ91,'Raw Data'!AS91),"")</f>
        <v/>
      </c>
      <c r="Q104" s="17">
        <f>IF(O104&lt;&gt;"",O104-P104,"")</f>
        <v/>
      </c>
      <c r="R104" s="17">
        <f>IF('Raw Data'!A91&lt;&gt;"",AVERAGE('Raw Data'!AT91,'Raw Data'!AV91,'Raw Data'!AX91,'Raw Data'!AZ91,'Raw Data'!BB91),"")</f>
        <v/>
      </c>
      <c r="S104" s="17">
        <f>IF('Raw Data'!A91&lt;&gt;"",AVERAGE('Raw Data'!AU91,'Raw Data'!AW91,'Raw Data'!AY91,'Raw Data'!BA91,'Raw Data'!BC91),"")</f>
        <v/>
      </c>
      <c r="T104" s="17">
        <f>IF(R104&lt;&gt;"",R104-S104,"")</f>
        <v/>
      </c>
      <c r="U104" s="17">
        <f>IF('Raw Data'!A91&lt;&gt;"",AVERAGE('Raw Data'!BD91,'Raw Data'!BF91,'Raw Data'!BH91,'Raw Data'!BJ91,'Raw Data'!BL91),"")</f>
        <v/>
      </c>
      <c r="V104" s="17">
        <f>IF('Raw Data'!A91&lt;&gt;"",AVERAGE('Raw Data'!BE91,'Raw Data'!BG91,'Raw Data'!BI91,'Raw Data'!BK91,'Raw Data'!BM91),"")</f>
        <v/>
      </c>
      <c r="W104" s="17">
        <f>IF(U104&lt;&gt;"",U104-V104,"")</f>
        <v/>
      </c>
      <c r="X104" s="17">
        <f>IF(A104&lt;&gt;"",AVERAGE(F104,I104,L104,O104,R104,U104),"")</f>
        <v/>
      </c>
      <c r="Y104" s="17">
        <f>IF(A104&lt;&gt;"",AVERAGE(G104,J104,M104,P104,S104,V104),"")</f>
        <v/>
      </c>
      <c r="Z104" s="17">
        <f>IF(A104&lt;&gt;"",X104-Y104,"")</f>
        <v/>
      </c>
      <c r="AA104" s="18">
        <f>IF(A104&lt;&gt;"",ROUND(MIN(100,100*((MAX(0,K104)*0.25)+(MAX(0,Q104)*0.20)+(MAX(0,W104)*0.20)+(MAX(0,H104)*0.15)+(MAX(0,N104)*0.10)+(MAX(0,T104)*0.10))/9),1),"")</f>
        <v/>
      </c>
      <c r="AB104" s="29">
        <f>IF(A104&lt;&gt;"",MIN(1,(0.5*AA104/100)+(0.3*MAX(0,K104)/9)+(0.2*MAX(0,Q104)/9)),"")</f>
        <v/>
      </c>
    </row>
    <row r="105">
      <c r="A105" s="4">
        <f>IF('Raw Data'!A92&lt;&gt;"",'Raw Data'!A92,"")</f>
        <v/>
      </c>
      <c r="B105" s="4">
        <f>IF('Raw Data'!B92&lt;&gt;"",'Raw Data'!B92,"")</f>
        <v/>
      </c>
      <c r="C105" s="4">
        <f>IF('Raw Data'!C92&lt;&gt;"",'Raw Data'!C92,"")</f>
        <v/>
      </c>
      <c r="D105" s="4">
        <f>IF('Raw Data'!D92&lt;&gt;"",'Raw Data'!D92,"")</f>
        <v/>
      </c>
      <c r="E105" s="4">
        <f>IF('Raw Data'!E92&lt;&gt;"",'Raw Data'!E92,"")</f>
        <v/>
      </c>
      <c r="F105" s="14">
        <f>IF('Raw Data'!A92&lt;&gt;"",AVERAGE('Raw Data'!F92,'Raw Data'!H92,'Raw Data'!J92,'Raw Data'!L92,'Raw Data'!N92),"")</f>
        <v/>
      </c>
      <c r="G105" s="14">
        <f>IF('Raw Data'!A92&lt;&gt;"",AVERAGE('Raw Data'!G92,'Raw Data'!I92,'Raw Data'!K92,'Raw Data'!M92,'Raw Data'!O92),"")</f>
        <v/>
      </c>
      <c r="H105" s="14">
        <f>IF(F105&lt;&gt;"",F105-G105,"")</f>
        <v/>
      </c>
      <c r="I105" s="14">
        <f>IF('Raw Data'!A92&lt;&gt;"",AVERAGE('Raw Data'!P92,'Raw Data'!R92,'Raw Data'!T92,'Raw Data'!V92,'Raw Data'!X92),"")</f>
        <v/>
      </c>
      <c r="J105" s="14">
        <f>IF('Raw Data'!A92&lt;&gt;"",AVERAGE('Raw Data'!Q92,'Raw Data'!S92,'Raw Data'!U92,'Raw Data'!W92,'Raw Data'!Y92),"")</f>
        <v/>
      </c>
      <c r="K105" s="14">
        <f>IF(I105&lt;&gt;"",I105-J105,"")</f>
        <v/>
      </c>
      <c r="L105" s="14">
        <f>IF('Raw Data'!A92&lt;&gt;"",AVERAGE('Raw Data'!Z92,'Raw Data'!AB92,'Raw Data'!AD92,'Raw Data'!AF92,'Raw Data'!AH92),"")</f>
        <v/>
      </c>
      <c r="M105" s="14">
        <f>IF('Raw Data'!A92&lt;&gt;"",AVERAGE('Raw Data'!AA92,'Raw Data'!AC92,'Raw Data'!AE92,'Raw Data'!AG92,'Raw Data'!AI92),"")</f>
        <v/>
      </c>
      <c r="N105" s="14">
        <f>IF(L105&lt;&gt;"",L105-M105,"")</f>
        <v/>
      </c>
      <c r="O105" s="14">
        <f>IF('Raw Data'!A92&lt;&gt;"",AVERAGE('Raw Data'!AJ92,'Raw Data'!AL92,'Raw Data'!AN92,'Raw Data'!AP92,'Raw Data'!AR92),"")</f>
        <v/>
      </c>
      <c r="P105" s="14">
        <f>IF('Raw Data'!A92&lt;&gt;"",AVERAGE('Raw Data'!AK92,'Raw Data'!AM92,'Raw Data'!AO92,'Raw Data'!AQ92,'Raw Data'!AS92),"")</f>
        <v/>
      </c>
      <c r="Q105" s="14">
        <f>IF(O105&lt;&gt;"",O105-P105,"")</f>
        <v/>
      </c>
      <c r="R105" s="14">
        <f>IF('Raw Data'!A92&lt;&gt;"",AVERAGE('Raw Data'!AT92,'Raw Data'!AV92,'Raw Data'!AX92,'Raw Data'!AZ92,'Raw Data'!BB92),"")</f>
        <v/>
      </c>
      <c r="S105" s="14">
        <f>IF('Raw Data'!A92&lt;&gt;"",AVERAGE('Raw Data'!AU92,'Raw Data'!AW92,'Raw Data'!AY92,'Raw Data'!BA92,'Raw Data'!BC92),"")</f>
        <v/>
      </c>
      <c r="T105" s="14">
        <f>IF(R105&lt;&gt;"",R105-S105,"")</f>
        <v/>
      </c>
      <c r="U105" s="14">
        <f>IF('Raw Data'!A92&lt;&gt;"",AVERAGE('Raw Data'!BD92,'Raw Data'!BF92,'Raw Data'!BH92,'Raw Data'!BJ92,'Raw Data'!BL92),"")</f>
        <v/>
      </c>
      <c r="V105" s="14">
        <f>IF('Raw Data'!A92&lt;&gt;"",AVERAGE('Raw Data'!BE92,'Raw Data'!BG92,'Raw Data'!BI92,'Raw Data'!BK92,'Raw Data'!BM92),"")</f>
        <v/>
      </c>
      <c r="W105" s="14">
        <f>IF(U105&lt;&gt;"",U105-V105,"")</f>
        <v/>
      </c>
      <c r="X105" s="14">
        <f>IF(A105&lt;&gt;"",AVERAGE(F105,I105,L105,O105,R105,U105),"")</f>
        <v/>
      </c>
      <c r="Y105" s="14">
        <f>IF(A105&lt;&gt;"",AVERAGE(G105,J105,M105,P105,S105,V105),"")</f>
        <v/>
      </c>
      <c r="Z105" s="14">
        <f>IF(A105&lt;&gt;"",X105-Y105,"")</f>
        <v/>
      </c>
      <c r="AA105" s="15">
        <f>IF(A105&lt;&gt;"",ROUND(MIN(100,100*((MAX(0,K105)*0.25)+(MAX(0,Q105)*0.20)+(MAX(0,W105)*0.20)+(MAX(0,H105)*0.15)+(MAX(0,N105)*0.10)+(MAX(0,T105)*0.10))/9),1),"")</f>
        <v/>
      </c>
      <c r="AB105" s="28">
        <f>IF(A105&lt;&gt;"",MIN(1,(0.5*AA105/100)+(0.3*MAX(0,K105)/9)+(0.2*MAX(0,Q105)/9)),"")</f>
        <v/>
      </c>
    </row>
    <row r="106">
      <c r="A106" s="13">
        <f>IF('Raw Data'!A93&lt;&gt;"",'Raw Data'!A93,"")</f>
        <v/>
      </c>
      <c r="B106" s="13">
        <f>IF('Raw Data'!B93&lt;&gt;"",'Raw Data'!B93,"")</f>
        <v/>
      </c>
      <c r="C106" s="13">
        <f>IF('Raw Data'!C93&lt;&gt;"",'Raw Data'!C93,"")</f>
        <v/>
      </c>
      <c r="D106" s="13">
        <f>IF('Raw Data'!D93&lt;&gt;"",'Raw Data'!D93,"")</f>
        <v/>
      </c>
      <c r="E106" s="13">
        <f>IF('Raw Data'!E93&lt;&gt;"",'Raw Data'!E93,"")</f>
        <v/>
      </c>
      <c r="F106" s="17">
        <f>IF('Raw Data'!A93&lt;&gt;"",AVERAGE('Raw Data'!F93,'Raw Data'!H93,'Raw Data'!J93,'Raw Data'!L93,'Raw Data'!N93),"")</f>
        <v/>
      </c>
      <c r="G106" s="17">
        <f>IF('Raw Data'!A93&lt;&gt;"",AVERAGE('Raw Data'!G93,'Raw Data'!I93,'Raw Data'!K93,'Raw Data'!M93,'Raw Data'!O93),"")</f>
        <v/>
      </c>
      <c r="H106" s="17">
        <f>IF(F106&lt;&gt;"",F106-G106,"")</f>
        <v/>
      </c>
      <c r="I106" s="17">
        <f>IF('Raw Data'!A93&lt;&gt;"",AVERAGE('Raw Data'!P93,'Raw Data'!R93,'Raw Data'!T93,'Raw Data'!V93,'Raw Data'!X93),"")</f>
        <v/>
      </c>
      <c r="J106" s="17">
        <f>IF('Raw Data'!A93&lt;&gt;"",AVERAGE('Raw Data'!Q93,'Raw Data'!S93,'Raw Data'!U93,'Raw Data'!W93,'Raw Data'!Y93),"")</f>
        <v/>
      </c>
      <c r="K106" s="17">
        <f>IF(I106&lt;&gt;"",I106-J106,"")</f>
        <v/>
      </c>
      <c r="L106" s="17">
        <f>IF('Raw Data'!A93&lt;&gt;"",AVERAGE('Raw Data'!Z93,'Raw Data'!AB93,'Raw Data'!AD93,'Raw Data'!AF93,'Raw Data'!AH93),"")</f>
        <v/>
      </c>
      <c r="M106" s="17">
        <f>IF('Raw Data'!A93&lt;&gt;"",AVERAGE('Raw Data'!AA93,'Raw Data'!AC93,'Raw Data'!AE93,'Raw Data'!AG93,'Raw Data'!AI93),"")</f>
        <v/>
      </c>
      <c r="N106" s="17">
        <f>IF(L106&lt;&gt;"",L106-M106,"")</f>
        <v/>
      </c>
      <c r="O106" s="17">
        <f>IF('Raw Data'!A93&lt;&gt;"",AVERAGE('Raw Data'!AJ93,'Raw Data'!AL93,'Raw Data'!AN93,'Raw Data'!AP93,'Raw Data'!AR93),"")</f>
        <v/>
      </c>
      <c r="P106" s="17">
        <f>IF('Raw Data'!A93&lt;&gt;"",AVERAGE('Raw Data'!AK93,'Raw Data'!AM93,'Raw Data'!AO93,'Raw Data'!AQ93,'Raw Data'!AS93),"")</f>
        <v/>
      </c>
      <c r="Q106" s="17">
        <f>IF(O106&lt;&gt;"",O106-P106,"")</f>
        <v/>
      </c>
      <c r="R106" s="17">
        <f>IF('Raw Data'!A93&lt;&gt;"",AVERAGE('Raw Data'!AT93,'Raw Data'!AV93,'Raw Data'!AX93,'Raw Data'!AZ93,'Raw Data'!BB93),"")</f>
        <v/>
      </c>
      <c r="S106" s="17">
        <f>IF('Raw Data'!A93&lt;&gt;"",AVERAGE('Raw Data'!AU93,'Raw Data'!AW93,'Raw Data'!AY93,'Raw Data'!BA93,'Raw Data'!BC93),"")</f>
        <v/>
      </c>
      <c r="T106" s="17">
        <f>IF(R106&lt;&gt;"",R106-S106,"")</f>
        <v/>
      </c>
      <c r="U106" s="17">
        <f>IF('Raw Data'!A93&lt;&gt;"",AVERAGE('Raw Data'!BD93,'Raw Data'!BF93,'Raw Data'!BH93,'Raw Data'!BJ93,'Raw Data'!BL93),"")</f>
        <v/>
      </c>
      <c r="V106" s="17">
        <f>IF('Raw Data'!A93&lt;&gt;"",AVERAGE('Raw Data'!BE93,'Raw Data'!BG93,'Raw Data'!BI93,'Raw Data'!BK93,'Raw Data'!BM93),"")</f>
        <v/>
      </c>
      <c r="W106" s="17">
        <f>IF(U106&lt;&gt;"",U106-V106,"")</f>
        <v/>
      </c>
      <c r="X106" s="17">
        <f>IF(A106&lt;&gt;"",AVERAGE(F106,I106,L106,O106,R106,U106),"")</f>
        <v/>
      </c>
      <c r="Y106" s="17">
        <f>IF(A106&lt;&gt;"",AVERAGE(G106,J106,M106,P106,S106,V106),"")</f>
        <v/>
      </c>
      <c r="Z106" s="17">
        <f>IF(A106&lt;&gt;"",X106-Y106,"")</f>
        <v/>
      </c>
      <c r="AA106" s="18">
        <f>IF(A106&lt;&gt;"",ROUND(MIN(100,100*((MAX(0,K106)*0.25)+(MAX(0,Q106)*0.20)+(MAX(0,W106)*0.20)+(MAX(0,H106)*0.15)+(MAX(0,N106)*0.10)+(MAX(0,T106)*0.10))/9),1),"")</f>
        <v/>
      </c>
      <c r="AB106" s="29">
        <f>IF(A106&lt;&gt;"",MIN(1,(0.5*AA106/100)+(0.3*MAX(0,K106)/9)+(0.2*MAX(0,Q106)/9)),"")</f>
        <v/>
      </c>
    </row>
    <row r="107">
      <c r="A107" s="4">
        <f>IF('Raw Data'!A94&lt;&gt;"",'Raw Data'!A94,"")</f>
        <v/>
      </c>
      <c r="B107" s="4">
        <f>IF('Raw Data'!B94&lt;&gt;"",'Raw Data'!B94,"")</f>
        <v/>
      </c>
      <c r="C107" s="4">
        <f>IF('Raw Data'!C94&lt;&gt;"",'Raw Data'!C94,"")</f>
        <v/>
      </c>
      <c r="D107" s="4">
        <f>IF('Raw Data'!D94&lt;&gt;"",'Raw Data'!D94,"")</f>
        <v/>
      </c>
      <c r="E107" s="4">
        <f>IF('Raw Data'!E94&lt;&gt;"",'Raw Data'!E94,"")</f>
        <v/>
      </c>
      <c r="F107" s="14">
        <f>IF('Raw Data'!A94&lt;&gt;"",AVERAGE('Raw Data'!F94,'Raw Data'!H94,'Raw Data'!J94,'Raw Data'!L94,'Raw Data'!N94),"")</f>
        <v/>
      </c>
      <c r="G107" s="14">
        <f>IF('Raw Data'!A94&lt;&gt;"",AVERAGE('Raw Data'!G94,'Raw Data'!I94,'Raw Data'!K94,'Raw Data'!M94,'Raw Data'!O94),"")</f>
        <v/>
      </c>
      <c r="H107" s="14">
        <f>IF(F107&lt;&gt;"",F107-G107,"")</f>
        <v/>
      </c>
      <c r="I107" s="14">
        <f>IF('Raw Data'!A94&lt;&gt;"",AVERAGE('Raw Data'!P94,'Raw Data'!R94,'Raw Data'!T94,'Raw Data'!V94,'Raw Data'!X94),"")</f>
        <v/>
      </c>
      <c r="J107" s="14">
        <f>IF('Raw Data'!A94&lt;&gt;"",AVERAGE('Raw Data'!Q94,'Raw Data'!S94,'Raw Data'!U94,'Raw Data'!W94,'Raw Data'!Y94),"")</f>
        <v/>
      </c>
      <c r="K107" s="14">
        <f>IF(I107&lt;&gt;"",I107-J107,"")</f>
        <v/>
      </c>
      <c r="L107" s="14">
        <f>IF('Raw Data'!A94&lt;&gt;"",AVERAGE('Raw Data'!Z94,'Raw Data'!AB94,'Raw Data'!AD94,'Raw Data'!AF94,'Raw Data'!AH94),"")</f>
        <v/>
      </c>
      <c r="M107" s="14">
        <f>IF('Raw Data'!A94&lt;&gt;"",AVERAGE('Raw Data'!AA94,'Raw Data'!AC94,'Raw Data'!AE94,'Raw Data'!AG94,'Raw Data'!AI94),"")</f>
        <v/>
      </c>
      <c r="N107" s="14">
        <f>IF(L107&lt;&gt;"",L107-M107,"")</f>
        <v/>
      </c>
      <c r="O107" s="14">
        <f>IF('Raw Data'!A94&lt;&gt;"",AVERAGE('Raw Data'!AJ94,'Raw Data'!AL94,'Raw Data'!AN94,'Raw Data'!AP94,'Raw Data'!AR94),"")</f>
        <v/>
      </c>
      <c r="P107" s="14">
        <f>IF('Raw Data'!A94&lt;&gt;"",AVERAGE('Raw Data'!AK94,'Raw Data'!AM94,'Raw Data'!AO94,'Raw Data'!AQ94,'Raw Data'!AS94),"")</f>
        <v/>
      </c>
      <c r="Q107" s="14">
        <f>IF(O107&lt;&gt;"",O107-P107,"")</f>
        <v/>
      </c>
      <c r="R107" s="14">
        <f>IF('Raw Data'!A94&lt;&gt;"",AVERAGE('Raw Data'!AT94,'Raw Data'!AV94,'Raw Data'!AX94,'Raw Data'!AZ94,'Raw Data'!BB94),"")</f>
        <v/>
      </c>
      <c r="S107" s="14">
        <f>IF('Raw Data'!A94&lt;&gt;"",AVERAGE('Raw Data'!AU94,'Raw Data'!AW94,'Raw Data'!AY94,'Raw Data'!BA94,'Raw Data'!BC94),"")</f>
        <v/>
      </c>
      <c r="T107" s="14">
        <f>IF(R107&lt;&gt;"",R107-S107,"")</f>
        <v/>
      </c>
      <c r="U107" s="14">
        <f>IF('Raw Data'!A94&lt;&gt;"",AVERAGE('Raw Data'!BD94,'Raw Data'!BF94,'Raw Data'!BH94,'Raw Data'!BJ94,'Raw Data'!BL94),"")</f>
        <v/>
      </c>
      <c r="V107" s="14">
        <f>IF('Raw Data'!A94&lt;&gt;"",AVERAGE('Raw Data'!BE94,'Raw Data'!BG94,'Raw Data'!BI94,'Raw Data'!BK94,'Raw Data'!BM94),"")</f>
        <v/>
      </c>
      <c r="W107" s="14">
        <f>IF(U107&lt;&gt;"",U107-V107,"")</f>
        <v/>
      </c>
      <c r="X107" s="14">
        <f>IF(A107&lt;&gt;"",AVERAGE(F107,I107,L107,O107,R107,U107),"")</f>
        <v/>
      </c>
      <c r="Y107" s="14">
        <f>IF(A107&lt;&gt;"",AVERAGE(G107,J107,M107,P107,S107,V107),"")</f>
        <v/>
      </c>
      <c r="Z107" s="14">
        <f>IF(A107&lt;&gt;"",X107-Y107,"")</f>
        <v/>
      </c>
      <c r="AA107" s="15">
        <f>IF(A107&lt;&gt;"",ROUND(MIN(100,100*((MAX(0,K107)*0.25)+(MAX(0,Q107)*0.20)+(MAX(0,W107)*0.20)+(MAX(0,H107)*0.15)+(MAX(0,N107)*0.10)+(MAX(0,T107)*0.10))/9),1),"")</f>
        <v/>
      </c>
      <c r="AB107" s="28">
        <f>IF(A107&lt;&gt;"",MIN(1,(0.5*AA107/100)+(0.3*MAX(0,K107)/9)+(0.2*MAX(0,Q107)/9)),"")</f>
        <v/>
      </c>
    </row>
    <row r="108">
      <c r="A108" s="13">
        <f>IF('Raw Data'!A95&lt;&gt;"",'Raw Data'!A95,"")</f>
        <v/>
      </c>
      <c r="B108" s="13">
        <f>IF('Raw Data'!B95&lt;&gt;"",'Raw Data'!B95,"")</f>
        <v/>
      </c>
      <c r="C108" s="13">
        <f>IF('Raw Data'!C95&lt;&gt;"",'Raw Data'!C95,"")</f>
        <v/>
      </c>
      <c r="D108" s="13">
        <f>IF('Raw Data'!D95&lt;&gt;"",'Raw Data'!D95,"")</f>
        <v/>
      </c>
      <c r="E108" s="13">
        <f>IF('Raw Data'!E95&lt;&gt;"",'Raw Data'!E95,"")</f>
        <v/>
      </c>
      <c r="F108" s="17">
        <f>IF('Raw Data'!A95&lt;&gt;"",AVERAGE('Raw Data'!F95,'Raw Data'!H95,'Raw Data'!J95,'Raw Data'!L95,'Raw Data'!N95),"")</f>
        <v/>
      </c>
      <c r="G108" s="17">
        <f>IF('Raw Data'!A95&lt;&gt;"",AVERAGE('Raw Data'!G95,'Raw Data'!I95,'Raw Data'!K95,'Raw Data'!M95,'Raw Data'!O95),"")</f>
        <v/>
      </c>
      <c r="H108" s="17">
        <f>IF(F108&lt;&gt;"",F108-G108,"")</f>
        <v/>
      </c>
      <c r="I108" s="17">
        <f>IF('Raw Data'!A95&lt;&gt;"",AVERAGE('Raw Data'!P95,'Raw Data'!R95,'Raw Data'!T95,'Raw Data'!V95,'Raw Data'!X95),"")</f>
        <v/>
      </c>
      <c r="J108" s="17">
        <f>IF('Raw Data'!A95&lt;&gt;"",AVERAGE('Raw Data'!Q95,'Raw Data'!S95,'Raw Data'!U95,'Raw Data'!W95,'Raw Data'!Y95),"")</f>
        <v/>
      </c>
      <c r="K108" s="17">
        <f>IF(I108&lt;&gt;"",I108-J108,"")</f>
        <v/>
      </c>
      <c r="L108" s="17">
        <f>IF('Raw Data'!A95&lt;&gt;"",AVERAGE('Raw Data'!Z95,'Raw Data'!AB95,'Raw Data'!AD95,'Raw Data'!AF95,'Raw Data'!AH95),"")</f>
        <v/>
      </c>
      <c r="M108" s="17">
        <f>IF('Raw Data'!A95&lt;&gt;"",AVERAGE('Raw Data'!AA95,'Raw Data'!AC95,'Raw Data'!AE95,'Raw Data'!AG95,'Raw Data'!AI95),"")</f>
        <v/>
      </c>
      <c r="N108" s="17">
        <f>IF(L108&lt;&gt;"",L108-M108,"")</f>
        <v/>
      </c>
      <c r="O108" s="17">
        <f>IF('Raw Data'!A95&lt;&gt;"",AVERAGE('Raw Data'!AJ95,'Raw Data'!AL95,'Raw Data'!AN95,'Raw Data'!AP95,'Raw Data'!AR95),"")</f>
        <v/>
      </c>
      <c r="P108" s="17">
        <f>IF('Raw Data'!A95&lt;&gt;"",AVERAGE('Raw Data'!AK95,'Raw Data'!AM95,'Raw Data'!AO95,'Raw Data'!AQ95,'Raw Data'!AS95),"")</f>
        <v/>
      </c>
      <c r="Q108" s="17">
        <f>IF(O108&lt;&gt;"",O108-P108,"")</f>
        <v/>
      </c>
      <c r="R108" s="17">
        <f>IF('Raw Data'!A95&lt;&gt;"",AVERAGE('Raw Data'!AT95,'Raw Data'!AV95,'Raw Data'!AX95,'Raw Data'!AZ95,'Raw Data'!BB95),"")</f>
        <v/>
      </c>
      <c r="S108" s="17">
        <f>IF('Raw Data'!A95&lt;&gt;"",AVERAGE('Raw Data'!AU95,'Raw Data'!AW95,'Raw Data'!AY95,'Raw Data'!BA95,'Raw Data'!BC95),"")</f>
        <v/>
      </c>
      <c r="T108" s="17">
        <f>IF(R108&lt;&gt;"",R108-S108,"")</f>
        <v/>
      </c>
      <c r="U108" s="17">
        <f>IF('Raw Data'!A95&lt;&gt;"",AVERAGE('Raw Data'!BD95,'Raw Data'!BF95,'Raw Data'!BH95,'Raw Data'!BJ95,'Raw Data'!BL95),"")</f>
        <v/>
      </c>
      <c r="V108" s="17">
        <f>IF('Raw Data'!A95&lt;&gt;"",AVERAGE('Raw Data'!BE95,'Raw Data'!BG95,'Raw Data'!BI95,'Raw Data'!BK95,'Raw Data'!BM95),"")</f>
        <v/>
      </c>
      <c r="W108" s="17">
        <f>IF(U108&lt;&gt;"",U108-V108,"")</f>
        <v/>
      </c>
      <c r="X108" s="17">
        <f>IF(A108&lt;&gt;"",AVERAGE(F108,I108,L108,O108,R108,U108),"")</f>
        <v/>
      </c>
      <c r="Y108" s="17">
        <f>IF(A108&lt;&gt;"",AVERAGE(G108,J108,M108,P108,S108,V108),"")</f>
        <v/>
      </c>
      <c r="Z108" s="17">
        <f>IF(A108&lt;&gt;"",X108-Y108,"")</f>
        <v/>
      </c>
      <c r="AA108" s="18">
        <f>IF(A108&lt;&gt;"",ROUND(MIN(100,100*((MAX(0,K108)*0.25)+(MAX(0,Q108)*0.20)+(MAX(0,W108)*0.20)+(MAX(0,H108)*0.15)+(MAX(0,N108)*0.10)+(MAX(0,T108)*0.10))/9),1),"")</f>
        <v/>
      </c>
      <c r="AB108" s="29">
        <f>IF(A108&lt;&gt;"",MIN(1,(0.5*AA108/100)+(0.3*MAX(0,K108)/9)+(0.2*MAX(0,Q108)/9)),"")</f>
        <v/>
      </c>
    </row>
    <row r="109">
      <c r="A109" s="4">
        <f>IF('Raw Data'!A96&lt;&gt;"",'Raw Data'!A96,"")</f>
        <v/>
      </c>
      <c r="B109" s="4">
        <f>IF('Raw Data'!B96&lt;&gt;"",'Raw Data'!B96,"")</f>
        <v/>
      </c>
      <c r="C109" s="4">
        <f>IF('Raw Data'!C96&lt;&gt;"",'Raw Data'!C96,"")</f>
        <v/>
      </c>
      <c r="D109" s="4">
        <f>IF('Raw Data'!D96&lt;&gt;"",'Raw Data'!D96,"")</f>
        <v/>
      </c>
      <c r="E109" s="4">
        <f>IF('Raw Data'!E96&lt;&gt;"",'Raw Data'!E96,"")</f>
        <v/>
      </c>
      <c r="F109" s="14">
        <f>IF('Raw Data'!A96&lt;&gt;"",AVERAGE('Raw Data'!F96,'Raw Data'!H96,'Raw Data'!J96,'Raw Data'!L96,'Raw Data'!N96),"")</f>
        <v/>
      </c>
      <c r="G109" s="14">
        <f>IF('Raw Data'!A96&lt;&gt;"",AVERAGE('Raw Data'!G96,'Raw Data'!I96,'Raw Data'!K96,'Raw Data'!M96,'Raw Data'!O96),"")</f>
        <v/>
      </c>
      <c r="H109" s="14">
        <f>IF(F109&lt;&gt;"",F109-G109,"")</f>
        <v/>
      </c>
      <c r="I109" s="14">
        <f>IF('Raw Data'!A96&lt;&gt;"",AVERAGE('Raw Data'!P96,'Raw Data'!R96,'Raw Data'!T96,'Raw Data'!V96,'Raw Data'!X96),"")</f>
        <v/>
      </c>
      <c r="J109" s="14">
        <f>IF('Raw Data'!A96&lt;&gt;"",AVERAGE('Raw Data'!Q96,'Raw Data'!S96,'Raw Data'!U96,'Raw Data'!W96,'Raw Data'!Y96),"")</f>
        <v/>
      </c>
      <c r="K109" s="14">
        <f>IF(I109&lt;&gt;"",I109-J109,"")</f>
        <v/>
      </c>
      <c r="L109" s="14">
        <f>IF('Raw Data'!A96&lt;&gt;"",AVERAGE('Raw Data'!Z96,'Raw Data'!AB96,'Raw Data'!AD96,'Raw Data'!AF96,'Raw Data'!AH96),"")</f>
        <v/>
      </c>
      <c r="M109" s="14">
        <f>IF('Raw Data'!A96&lt;&gt;"",AVERAGE('Raw Data'!AA96,'Raw Data'!AC96,'Raw Data'!AE96,'Raw Data'!AG96,'Raw Data'!AI96),"")</f>
        <v/>
      </c>
      <c r="N109" s="14">
        <f>IF(L109&lt;&gt;"",L109-M109,"")</f>
        <v/>
      </c>
      <c r="O109" s="14">
        <f>IF('Raw Data'!A96&lt;&gt;"",AVERAGE('Raw Data'!AJ96,'Raw Data'!AL96,'Raw Data'!AN96,'Raw Data'!AP96,'Raw Data'!AR96),"")</f>
        <v/>
      </c>
      <c r="P109" s="14">
        <f>IF('Raw Data'!A96&lt;&gt;"",AVERAGE('Raw Data'!AK96,'Raw Data'!AM96,'Raw Data'!AO96,'Raw Data'!AQ96,'Raw Data'!AS96),"")</f>
        <v/>
      </c>
      <c r="Q109" s="14">
        <f>IF(O109&lt;&gt;"",O109-P109,"")</f>
        <v/>
      </c>
      <c r="R109" s="14">
        <f>IF('Raw Data'!A96&lt;&gt;"",AVERAGE('Raw Data'!AT96,'Raw Data'!AV96,'Raw Data'!AX96,'Raw Data'!AZ96,'Raw Data'!BB96),"")</f>
        <v/>
      </c>
      <c r="S109" s="14">
        <f>IF('Raw Data'!A96&lt;&gt;"",AVERAGE('Raw Data'!AU96,'Raw Data'!AW96,'Raw Data'!AY96,'Raw Data'!BA96,'Raw Data'!BC96),"")</f>
        <v/>
      </c>
      <c r="T109" s="14">
        <f>IF(R109&lt;&gt;"",R109-S109,"")</f>
        <v/>
      </c>
      <c r="U109" s="14">
        <f>IF('Raw Data'!A96&lt;&gt;"",AVERAGE('Raw Data'!BD96,'Raw Data'!BF96,'Raw Data'!BH96,'Raw Data'!BJ96,'Raw Data'!BL96),"")</f>
        <v/>
      </c>
      <c r="V109" s="14">
        <f>IF('Raw Data'!A96&lt;&gt;"",AVERAGE('Raw Data'!BE96,'Raw Data'!BG96,'Raw Data'!BI96,'Raw Data'!BK96,'Raw Data'!BM96),"")</f>
        <v/>
      </c>
      <c r="W109" s="14">
        <f>IF(U109&lt;&gt;"",U109-V109,"")</f>
        <v/>
      </c>
      <c r="X109" s="14">
        <f>IF(A109&lt;&gt;"",AVERAGE(F109,I109,L109,O109,R109,U109),"")</f>
        <v/>
      </c>
      <c r="Y109" s="14">
        <f>IF(A109&lt;&gt;"",AVERAGE(G109,J109,M109,P109,S109,V109),"")</f>
        <v/>
      </c>
      <c r="Z109" s="14">
        <f>IF(A109&lt;&gt;"",X109-Y109,"")</f>
        <v/>
      </c>
      <c r="AA109" s="15">
        <f>IF(A109&lt;&gt;"",ROUND(MIN(100,100*((MAX(0,K109)*0.25)+(MAX(0,Q109)*0.20)+(MAX(0,W109)*0.20)+(MAX(0,H109)*0.15)+(MAX(0,N109)*0.10)+(MAX(0,T109)*0.10))/9),1),"")</f>
        <v/>
      </c>
      <c r="AB109" s="28">
        <f>IF(A109&lt;&gt;"",MIN(1,(0.5*AA109/100)+(0.3*MAX(0,K109)/9)+(0.2*MAX(0,Q109)/9)),"")</f>
        <v/>
      </c>
    </row>
    <row r="110">
      <c r="A110" s="13">
        <f>IF('Raw Data'!A97&lt;&gt;"",'Raw Data'!A97,"")</f>
        <v/>
      </c>
      <c r="B110" s="13">
        <f>IF('Raw Data'!B97&lt;&gt;"",'Raw Data'!B97,"")</f>
        <v/>
      </c>
      <c r="C110" s="13">
        <f>IF('Raw Data'!C97&lt;&gt;"",'Raw Data'!C97,"")</f>
        <v/>
      </c>
      <c r="D110" s="13">
        <f>IF('Raw Data'!D97&lt;&gt;"",'Raw Data'!D97,"")</f>
        <v/>
      </c>
      <c r="E110" s="13">
        <f>IF('Raw Data'!E97&lt;&gt;"",'Raw Data'!E97,"")</f>
        <v/>
      </c>
      <c r="F110" s="17">
        <f>IF('Raw Data'!A97&lt;&gt;"",AVERAGE('Raw Data'!F97,'Raw Data'!H97,'Raw Data'!J97,'Raw Data'!L97,'Raw Data'!N97),"")</f>
        <v/>
      </c>
      <c r="G110" s="17">
        <f>IF('Raw Data'!A97&lt;&gt;"",AVERAGE('Raw Data'!G97,'Raw Data'!I97,'Raw Data'!K97,'Raw Data'!M97,'Raw Data'!O97),"")</f>
        <v/>
      </c>
      <c r="H110" s="17">
        <f>IF(F110&lt;&gt;"",F110-G110,"")</f>
        <v/>
      </c>
      <c r="I110" s="17">
        <f>IF('Raw Data'!A97&lt;&gt;"",AVERAGE('Raw Data'!P97,'Raw Data'!R97,'Raw Data'!T97,'Raw Data'!V97,'Raw Data'!X97),"")</f>
        <v/>
      </c>
      <c r="J110" s="17">
        <f>IF('Raw Data'!A97&lt;&gt;"",AVERAGE('Raw Data'!Q97,'Raw Data'!S97,'Raw Data'!U97,'Raw Data'!W97,'Raw Data'!Y97),"")</f>
        <v/>
      </c>
      <c r="K110" s="17">
        <f>IF(I110&lt;&gt;"",I110-J110,"")</f>
        <v/>
      </c>
      <c r="L110" s="17">
        <f>IF('Raw Data'!A97&lt;&gt;"",AVERAGE('Raw Data'!Z97,'Raw Data'!AB97,'Raw Data'!AD97,'Raw Data'!AF97,'Raw Data'!AH97),"")</f>
        <v/>
      </c>
      <c r="M110" s="17">
        <f>IF('Raw Data'!A97&lt;&gt;"",AVERAGE('Raw Data'!AA97,'Raw Data'!AC97,'Raw Data'!AE97,'Raw Data'!AG97,'Raw Data'!AI97),"")</f>
        <v/>
      </c>
      <c r="N110" s="17">
        <f>IF(L110&lt;&gt;"",L110-M110,"")</f>
        <v/>
      </c>
      <c r="O110" s="17">
        <f>IF('Raw Data'!A97&lt;&gt;"",AVERAGE('Raw Data'!AJ97,'Raw Data'!AL97,'Raw Data'!AN97,'Raw Data'!AP97,'Raw Data'!AR97),"")</f>
        <v/>
      </c>
      <c r="P110" s="17">
        <f>IF('Raw Data'!A97&lt;&gt;"",AVERAGE('Raw Data'!AK97,'Raw Data'!AM97,'Raw Data'!AO97,'Raw Data'!AQ97,'Raw Data'!AS97),"")</f>
        <v/>
      </c>
      <c r="Q110" s="17">
        <f>IF(O110&lt;&gt;"",O110-P110,"")</f>
        <v/>
      </c>
      <c r="R110" s="17">
        <f>IF('Raw Data'!A97&lt;&gt;"",AVERAGE('Raw Data'!AT97,'Raw Data'!AV97,'Raw Data'!AX97,'Raw Data'!AZ97,'Raw Data'!BB97),"")</f>
        <v/>
      </c>
      <c r="S110" s="17">
        <f>IF('Raw Data'!A97&lt;&gt;"",AVERAGE('Raw Data'!AU97,'Raw Data'!AW97,'Raw Data'!AY97,'Raw Data'!BA97,'Raw Data'!BC97),"")</f>
        <v/>
      </c>
      <c r="T110" s="17">
        <f>IF(R110&lt;&gt;"",R110-S110,"")</f>
        <v/>
      </c>
      <c r="U110" s="17">
        <f>IF('Raw Data'!A97&lt;&gt;"",AVERAGE('Raw Data'!BD97,'Raw Data'!BF97,'Raw Data'!BH97,'Raw Data'!BJ97,'Raw Data'!BL97),"")</f>
        <v/>
      </c>
      <c r="V110" s="17">
        <f>IF('Raw Data'!A97&lt;&gt;"",AVERAGE('Raw Data'!BE97,'Raw Data'!BG97,'Raw Data'!BI97,'Raw Data'!BK97,'Raw Data'!BM97),"")</f>
        <v/>
      </c>
      <c r="W110" s="17">
        <f>IF(U110&lt;&gt;"",U110-V110,"")</f>
        <v/>
      </c>
      <c r="X110" s="17">
        <f>IF(A110&lt;&gt;"",AVERAGE(F110,I110,L110,O110,R110,U110),"")</f>
        <v/>
      </c>
      <c r="Y110" s="17">
        <f>IF(A110&lt;&gt;"",AVERAGE(G110,J110,M110,P110,S110,V110),"")</f>
        <v/>
      </c>
      <c r="Z110" s="17">
        <f>IF(A110&lt;&gt;"",X110-Y110,"")</f>
        <v/>
      </c>
      <c r="AA110" s="18">
        <f>IF(A110&lt;&gt;"",ROUND(MIN(100,100*((MAX(0,K110)*0.25)+(MAX(0,Q110)*0.20)+(MAX(0,W110)*0.20)+(MAX(0,H110)*0.15)+(MAX(0,N110)*0.10)+(MAX(0,T110)*0.10))/9),1),"")</f>
        <v/>
      </c>
      <c r="AB110" s="29">
        <f>IF(A110&lt;&gt;"",MIN(1,(0.5*AA110/100)+(0.3*MAX(0,K110)/9)+(0.2*MAX(0,Q110)/9)),"")</f>
        <v/>
      </c>
    </row>
    <row r="111">
      <c r="A111" s="4">
        <f>IF('Raw Data'!A98&lt;&gt;"",'Raw Data'!A98,"")</f>
        <v/>
      </c>
      <c r="B111" s="4">
        <f>IF('Raw Data'!B98&lt;&gt;"",'Raw Data'!B98,"")</f>
        <v/>
      </c>
      <c r="C111" s="4">
        <f>IF('Raw Data'!C98&lt;&gt;"",'Raw Data'!C98,"")</f>
        <v/>
      </c>
      <c r="D111" s="4">
        <f>IF('Raw Data'!D98&lt;&gt;"",'Raw Data'!D98,"")</f>
        <v/>
      </c>
      <c r="E111" s="4">
        <f>IF('Raw Data'!E98&lt;&gt;"",'Raw Data'!E98,"")</f>
        <v/>
      </c>
      <c r="F111" s="14">
        <f>IF('Raw Data'!A98&lt;&gt;"",AVERAGE('Raw Data'!F98,'Raw Data'!H98,'Raw Data'!J98,'Raw Data'!L98,'Raw Data'!N98),"")</f>
        <v/>
      </c>
      <c r="G111" s="14">
        <f>IF('Raw Data'!A98&lt;&gt;"",AVERAGE('Raw Data'!G98,'Raw Data'!I98,'Raw Data'!K98,'Raw Data'!M98,'Raw Data'!O98),"")</f>
        <v/>
      </c>
      <c r="H111" s="14">
        <f>IF(F111&lt;&gt;"",F111-G111,"")</f>
        <v/>
      </c>
      <c r="I111" s="14">
        <f>IF('Raw Data'!A98&lt;&gt;"",AVERAGE('Raw Data'!P98,'Raw Data'!R98,'Raw Data'!T98,'Raw Data'!V98,'Raw Data'!X98),"")</f>
        <v/>
      </c>
      <c r="J111" s="14">
        <f>IF('Raw Data'!A98&lt;&gt;"",AVERAGE('Raw Data'!Q98,'Raw Data'!S98,'Raw Data'!U98,'Raw Data'!W98,'Raw Data'!Y98),"")</f>
        <v/>
      </c>
      <c r="K111" s="14">
        <f>IF(I111&lt;&gt;"",I111-J111,"")</f>
        <v/>
      </c>
      <c r="L111" s="14">
        <f>IF('Raw Data'!A98&lt;&gt;"",AVERAGE('Raw Data'!Z98,'Raw Data'!AB98,'Raw Data'!AD98,'Raw Data'!AF98,'Raw Data'!AH98),"")</f>
        <v/>
      </c>
      <c r="M111" s="14">
        <f>IF('Raw Data'!A98&lt;&gt;"",AVERAGE('Raw Data'!AA98,'Raw Data'!AC98,'Raw Data'!AE98,'Raw Data'!AG98,'Raw Data'!AI98),"")</f>
        <v/>
      </c>
      <c r="N111" s="14">
        <f>IF(L111&lt;&gt;"",L111-M111,"")</f>
        <v/>
      </c>
      <c r="O111" s="14">
        <f>IF('Raw Data'!A98&lt;&gt;"",AVERAGE('Raw Data'!AJ98,'Raw Data'!AL98,'Raw Data'!AN98,'Raw Data'!AP98,'Raw Data'!AR98),"")</f>
        <v/>
      </c>
      <c r="P111" s="14">
        <f>IF('Raw Data'!A98&lt;&gt;"",AVERAGE('Raw Data'!AK98,'Raw Data'!AM98,'Raw Data'!AO98,'Raw Data'!AQ98,'Raw Data'!AS98),"")</f>
        <v/>
      </c>
      <c r="Q111" s="14">
        <f>IF(O111&lt;&gt;"",O111-P111,"")</f>
        <v/>
      </c>
      <c r="R111" s="14">
        <f>IF('Raw Data'!A98&lt;&gt;"",AVERAGE('Raw Data'!AT98,'Raw Data'!AV98,'Raw Data'!AX98,'Raw Data'!AZ98,'Raw Data'!BB98),"")</f>
        <v/>
      </c>
      <c r="S111" s="14">
        <f>IF('Raw Data'!A98&lt;&gt;"",AVERAGE('Raw Data'!AU98,'Raw Data'!AW98,'Raw Data'!AY98,'Raw Data'!BA98,'Raw Data'!BC98),"")</f>
        <v/>
      </c>
      <c r="T111" s="14">
        <f>IF(R111&lt;&gt;"",R111-S111,"")</f>
        <v/>
      </c>
      <c r="U111" s="14">
        <f>IF('Raw Data'!A98&lt;&gt;"",AVERAGE('Raw Data'!BD98,'Raw Data'!BF98,'Raw Data'!BH98,'Raw Data'!BJ98,'Raw Data'!BL98),"")</f>
        <v/>
      </c>
      <c r="V111" s="14">
        <f>IF('Raw Data'!A98&lt;&gt;"",AVERAGE('Raw Data'!BE98,'Raw Data'!BG98,'Raw Data'!BI98,'Raw Data'!BK98,'Raw Data'!BM98),"")</f>
        <v/>
      </c>
      <c r="W111" s="14">
        <f>IF(U111&lt;&gt;"",U111-V111,"")</f>
        <v/>
      </c>
      <c r="X111" s="14">
        <f>IF(A111&lt;&gt;"",AVERAGE(F111,I111,L111,O111,R111,U111),"")</f>
        <v/>
      </c>
      <c r="Y111" s="14">
        <f>IF(A111&lt;&gt;"",AVERAGE(G111,J111,M111,P111,S111,V111),"")</f>
        <v/>
      </c>
      <c r="Z111" s="14">
        <f>IF(A111&lt;&gt;"",X111-Y111,"")</f>
        <v/>
      </c>
      <c r="AA111" s="15">
        <f>IF(A111&lt;&gt;"",ROUND(MIN(100,100*((MAX(0,K111)*0.25)+(MAX(0,Q111)*0.20)+(MAX(0,W111)*0.20)+(MAX(0,H111)*0.15)+(MAX(0,N111)*0.10)+(MAX(0,T111)*0.10))/9),1),"")</f>
        <v/>
      </c>
      <c r="AB111" s="28">
        <f>IF(A111&lt;&gt;"",MIN(1,(0.5*AA111/100)+(0.3*MAX(0,K111)/9)+(0.2*MAX(0,Q111)/9)),"")</f>
        <v/>
      </c>
    </row>
    <row r="112">
      <c r="A112" s="13">
        <f>IF('Raw Data'!A99&lt;&gt;"",'Raw Data'!A99,"")</f>
        <v/>
      </c>
      <c r="B112" s="13">
        <f>IF('Raw Data'!B99&lt;&gt;"",'Raw Data'!B99,"")</f>
        <v/>
      </c>
      <c r="C112" s="13">
        <f>IF('Raw Data'!C99&lt;&gt;"",'Raw Data'!C99,"")</f>
        <v/>
      </c>
      <c r="D112" s="13">
        <f>IF('Raw Data'!D99&lt;&gt;"",'Raw Data'!D99,"")</f>
        <v/>
      </c>
      <c r="E112" s="13">
        <f>IF('Raw Data'!E99&lt;&gt;"",'Raw Data'!E99,"")</f>
        <v/>
      </c>
      <c r="F112" s="17">
        <f>IF('Raw Data'!A99&lt;&gt;"",AVERAGE('Raw Data'!F99,'Raw Data'!H99,'Raw Data'!J99,'Raw Data'!L99,'Raw Data'!N99),"")</f>
        <v/>
      </c>
      <c r="G112" s="17">
        <f>IF('Raw Data'!A99&lt;&gt;"",AVERAGE('Raw Data'!G99,'Raw Data'!I99,'Raw Data'!K99,'Raw Data'!M99,'Raw Data'!O99),"")</f>
        <v/>
      </c>
      <c r="H112" s="17">
        <f>IF(F112&lt;&gt;"",F112-G112,"")</f>
        <v/>
      </c>
      <c r="I112" s="17">
        <f>IF('Raw Data'!A99&lt;&gt;"",AVERAGE('Raw Data'!P99,'Raw Data'!R99,'Raw Data'!T99,'Raw Data'!V99,'Raw Data'!X99),"")</f>
        <v/>
      </c>
      <c r="J112" s="17">
        <f>IF('Raw Data'!A99&lt;&gt;"",AVERAGE('Raw Data'!Q99,'Raw Data'!S99,'Raw Data'!U99,'Raw Data'!W99,'Raw Data'!Y99),"")</f>
        <v/>
      </c>
      <c r="K112" s="17">
        <f>IF(I112&lt;&gt;"",I112-J112,"")</f>
        <v/>
      </c>
      <c r="L112" s="17">
        <f>IF('Raw Data'!A99&lt;&gt;"",AVERAGE('Raw Data'!Z99,'Raw Data'!AB99,'Raw Data'!AD99,'Raw Data'!AF99,'Raw Data'!AH99),"")</f>
        <v/>
      </c>
      <c r="M112" s="17">
        <f>IF('Raw Data'!A99&lt;&gt;"",AVERAGE('Raw Data'!AA99,'Raw Data'!AC99,'Raw Data'!AE99,'Raw Data'!AG99,'Raw Data'!AI99),"")</f>
        <v/>
      </c>
      <c r="N112" s="17">
        <f>IF(L112&lt;&gt;"",L112-M112,"")</f>
        <v/>
      </c>
      <c r="O112" s="17">
        <f>IF('Raw Data'!A99&lt;&gt;"",AVERAGE('Raw Data'!AJ99,'Raw Data'!AL99,'Raw Data'!AN99,'Raw Data'!AP99,'Raw Data'!AR99),"")</f>
        <v/>
      </c>
      <c r="P112" s="17">
        <f>IF('Raw Data'!A99&lt;&gt;"",AVERAGE('Raw Data'!AK99,'Raw Data'!AM99,'Raw Data'!AO99,'Raw Data'!AQ99,'Raw Data'!AS99),"")</f>
        <v/>
      </c>
      <c r="Q112" s="17">
        <f>IF(O112&lt;&gt;"",O112-P112,"")</f>
        <v/>
      </c>
      <c r="R112" s="17">
        <f>IF('Raw Data'!A99&lt;&gt;"",AVERAGE('Raw Data'!AT99,'Raw Data'!AV99,'Raw Data'!AX99,'Raw Data'!AZ99,'Raw Data'!BB99),"")</f>
        <v/>
      </c>
      <c r="S112" s="17">
        <f>IF('Raw Data'!A99&lt;&gt;"",AVERAGE('Raw Data'!AU99,'Raw Data'!AW99,'Raw Data'!AY99,'Raw Data'!BA99,'Raw Data'!BC99),"")</f>
        <v/>
      </c>
      <c r="T112" s="17">
        <f>IF(R112&lt;&gt;"",R112-S112,"")</f>
        <v/>
      </c>
      <c r="U112" s="17">
        <f>IF('Raw Data'!A99&lt;&gt;"",AVERAGE('Raw Data'!BD99,'Raw Data'!BF99,'Raw Data'!BH99,'Raw Data'!BJ99,'Raw Data'!BL99),"")</f>
        <v/>
      </c>
      <c r="V112" s="17">
        <f>IF('Raw Data'!A99&lt;&gt;"",AVERAGE('Raw Data'!BE99,'Raw Data'!BG99,'Raw Data'!BI99,'Raw Data'!BK99,'Raw Data'!BM99),"")</f>
        <v/>
      </c>
      <c r="W112" s="17">
        <f>IF(U112&lt;&gt;"",U112-V112,"")</f>
        <v/>
      </c>
      <c r="X112" s="17">
        <f>IF(A112&lt;&gt;"",AVERAGE(F112,I112,L112,O112,R112,U112),"")</f>
        <v/>
      </c>
      <c r="Y112" s="17">
        <f>IF(A112&lt;&gt;"",AVERAGE(G112,J112,M112,P112,S112,V112),"")</f>
        <v/>
      </c>
      <c r="Z112" s="17">
        <f>IF(A112&lt;&gt;"",X112-Y112,"")</f>
        <v/>
      </c>
      <c r="AA112" s="18">
        <f>IF(A112&lt;&gt;"",ROUND(MIN(100,100*((MAX(0,K112)*0.25)+(MAX(0,Q112)*0.20)+(MAX(0,W112)*0.20)+(MAX(0,H112)*0.15)+(MAX(0,N112)*0.10)+(MAX(0,T112)*0.10))/9),1),"")</f>
        <v/>
      </c>
      <c r="AB112" s="29">
        <f>IF(A112&lt;&gt;"",MIN(1,(0.5*AA112/100)+(0.3*MAX(0,K112)/9)+(0.2*MAX(0,Q112)/9)),"")</f>
        <v/>
      </c>
    </row>
    <row r="113">
      <c r="A113" s="4">
        <f>IF('Raw Data'!A100&lt;&gt;"",'Raw Data'!A100,"")</f>
        <v/>
      </c>
      <c r="B113" s="4">
        <f>IF('Raw Data'!B100&lt;&gt;"",'Raw Data'!B100,"")</f>
        <v/>
      </c>
      <c r="C113" s="4">
        <f>IF('Raw Data'!C100&lt;&gt;"",'Raw Data'!C100,"")</f>
        <v/>
      </c>
      <c r="D113" s="4">
        <f>IF('Raw Data'!D100&lt;&gt;"",'Raw Data'!D100,"")</f>
        <v/>
      </c>
      <c r="E113" s="4">
        <f>IF('Raw Data'!E100&lt;&gt;"",'Raw Data'!E100,"")</f>
        <v/>
      </c>
      <c r="F113" s="14">
        <f>IF('Raw Data'!A100&lt;&gt;"",AVERAGE('Raw Data'!F100,'Raw Data'!H100,'Raw Data'!J100,'Raw Data'!L100,'Raw Data'!N100),"")</f>
        <v/>
      </c>
      <c r="G113" s="14">
        <f>IF('Raw Data'!A100&lt;&gt;"",AVERAGE('Raw Data'!G100,'Raw Data'!I100,'Raw Data'!K100,'Raw Data'!M100,'Raw Data'!O100),"")</f>
        <v/>
      </c>
      <c r="H113" s="14">
        <f>IF(F113&lt;&gt;"",F113-G113,"")</f>
        <v/>
      </c>
      <c r="I113" s="14">
        <f>IF('Raw Data'!A100&lt;&gt;"",AVERAGE('Raw Data'!P100,'Raw Data'!R100,'Raw Data'!T100,'Raw Data'!V100,'Raw Data'!X100),"")</f>
        <v/>
      </c>
      <c r="J113" s="14">
        <f>IF('Raw Data'!A100&lt;&gt;"",AVERAGE('Raw Data'!Q100,'Raw Data'!S100,'Raw Data'!U100,'Raw Data'!W100,'Raw Data'!Y100),"")</f>
        <v/>
      </c>
      <c r="K113" s="14">
        <f>IF(I113&lt;&gt;"",I113-J113,"")</f>
        <v/>
      </c>
      <c r="L113" s="14">
        <f>IF('Raw Data'!A100&lt;&gt;"",AVERAGE('Raw Data'!Z100,'Raw Data'!AB100,'Raw Data'!AD100,'Raw Data'!AF100,'Raw Data'!AH100),"")</f>
        <v/>
      </c>
      <c r="M113" s="14">
        <f>IF('Raw Data'!A100&lt;&gt;"",AVERAGE('Raw Data'!AA100,'Raw Data'!AC100,'Raw Data'!AE100,'Raw Data'!AG100,'Raw Data'!AI100),"")</f>
        <v/>
      </c>
      <c r="N113" s="14">
        <f>IF(L113&lt;&gt;"",L113-M113,"")</f>
        <v/>
      </c>
      <c r="O113" s="14">
        <f>IF('Raw Data'!A100&lt;&gt;"",AVERAGE('Raw Data'!AJ100,'Raw Data'!AL100,'Raw Data'!AN100,'Raw Data'!AP100,'Raw Data'!AR100),"")</f>
        <v/>
      </c>
      <c r="P113" s="14">
        <f>IF('Raw Data'!A100&lt;&gt;"",AVERAGE('Raw Data'!AK100,'Raw Data'!AM100,'Raw Data'!AO100,'Raw Data'!AQ100,'Raw Data'!AS100),"")</f>
        <v/>
      </c>
      <c r="Q113" s="14">
        <f>IF(O113&lt;&gt;"",O113-P113,"")</f>
        <v/>
      </c>
      <c r="R113" s="14">
        <f>IF('Raw Data'!A100&lt;&gt;"",AVERAGE('Raw Data'!AT100,'Raw Data'!AV100,'Raw Data'!AX100,'Raw Data'!AZ100,'Raw Data'!BB100),"")</f>
        <v/>
      </c>
      <c r="S113" s="14">
        <f>IF('Raw Data'!A100&lt;&gt;"",AVERAGE('Raw Data'!AU100,'Raw Data'!AW100,'Raw Data'!AY100,'Raw Data'!BA100,'Raw Data'!BC100),"")</f>
        <v/>
      </c>
      <c r="T113" s="14">
        <f>IF(R113&lt;&gt;"",R113-S113,"")</f>
        <v/>
      </c>
      <c r="U113" s="14">
        <f>IF('Raw Data'!A100&lt;&gt;"",AVERAGE('Raw Data'!BD100,'Raw Data'!BF100,'Raw Data'!BH100,'Raw Data'!BJ100,'Raw Data'!BL100),"")</f>
        <v/>
      </c>
      <c r="V113" s="14">
        <f>IF('Raw Data'!A100&lt;&gt;"",AVERAGE('Raw Data'!BE100,'Raw Data'!BG100,'Raw Data'!BI100,'Raw Data'!BK100,'Raw Data'!BM100),"")</f>
        <v/>
      </c>
      <c r="W113" s="14">
        <f>IF(U113&lt;&gt;"",U113-V113,"")</f>
        <v/>
      </c>
      <c r="X113" s="14">
        <f>IF(A113&lt;&gt;"",AVERAGE(F113,I113,L113,O113,R113,U113),"")</f>
        <v/>
      </c>
      <c r="Y113" s="14">
        <f>IF(A113&lt;&gt;"",AVERAGE(G113,J113,M113,P113,S113,V113),"")</f>
        <v/>
      </c>
      <c r="Z113" s="14">
        <f>IF(A113&lt;&gt;"",X113-Y113,"")</f>
        <v/>
      </c>
      <c r="AA113" s="15">
        <f>IF(A113&lt;&gt;"",ROUND(MIN(100,100*((MAX(0,K113)*0.25)+(MAX(0,Q113)*0.20)+(MAX(0,W113)*0.20)+(MAX(0,H113)*0.15)+(MAX(0,N113)*0.10)+(MAX(0,T113)*0.10))/9),1),"")</f>
        <v/>
      </c>
      <c r="AB113" s="28">
        <f>IF(A113&lt;&gt;"",MIN(1,(0.5*AA113/100)+(0.3*MAX(0,K113)/9)+(0.2*MAX(0,Q113)/9)),"")</f>
        <v/>
      </c>
    </row>
    <row r="114">
      <c r="A114" s="13">
        <f>IF('Raw Data'!A101&lt;&gt;"",'Raw Data'!A101,"")</f>
        <v/>
      </c>
      <c r="B114" s="13">
        <f>IF('Raw Data'!B101&lt;&gt;"",'Raw Data'!B101,"")</f>
        <v/>
      </c>
      <c r="C114" s="13">
        <f>IF('Raw Data'!C101&lt;&gt;"",'Raw Data'!C101,"")</f>
        <v/>
      </c>
      <c r="D114" s="13">
        <f>IF('Raw Data'!D101&lt;&gt;"",'Raw Data'!D101,"")</f>
        <v/>
      </c>
      <c r="E114" s="13">
        <f>IF('Raw Data'!E101&lt;&gt;"",'Raw Data'!E101,"")</f>
        <v/>
      </c>
      <c r="F114" s="17">
        <f>IF('Raw Data'!A101&lt;&gt;"",AVERAGE('Raw Data'!F101,'Raw Data'!H101,'Raw Data'!J101,'Raw Data'!L101,'Raw Data'!N101),"")</f>
        <v/>
      </c>
      <c r="G114" s="17">
        <f>IF('Raw Data'!A101&lt;&gt;"",AVERAGE('Raw Data'!G101,'Raw Data'!I101,'Raw Data'!K101,'Raw Data'!M101,'Raw Data'!O101),"")</f>
        <v/>
      </c>
      <c r="H114" s="17">
        <f>IF(F114&lt;&gt;"",F114-G114,"")</f>
        <v/>
      </c>
      <c r="I114" s="17">
        <f>IF('Raw Data'!A101&lt;&gt;"",AVERAGE('Raw Data'!P101,'Raw Data'!R101,'Raw Data'!T101,'Raw Data'!V101,'Raw Data'!X101),"")</f>
        <v/>
      </c>
      <c r="J114" s="17">
        <f>IF('Raw Data'!A101&lt;&gt;"",AVERAGE('Raw Data'!Q101,'Raw Data'!S101,'Raw Data'!U101,'Raw Data'!W101,'Raw Data'!Y101),"")</f>
        <v/>
      </c>
      <c r="K114" s="17">
        <f>IF(I114&lt;&gt;"",I114-J114,"")</f>
        <v/>
      </c>
      <c r="L114" s="17">
        <f>IF('Raw Data'!A101&lt;&gt;"",AVERAGE('Raw Data'!Z101,'Raw Data'!AB101,'Raw Data'!AD101,'Raw Data'!AF101,'Raw Data'!AH101),"")</f>
        <v/>
      </c>
      <c r="M114" s="17">
        <f>IF('Raw Data'!A101&lt;&gt;"",AVERAGE('Raw Data'!AA101,'Raw Data'!AC101,'Raw Data'!AE101,'Raw Data'!AG101,'Raw Data'!AI101),"")</f>
        <v/>
      </c>
      <c r="N114" s="17">
        <f>IF(L114&lt;&gt;"",L114-M114,"")</f>
        <v/>
      </c>
      <c r="O114" s="17">
        <f>IF('Raw Data'!A101&lt;&gt;"",AVERAGE('Raw Data'!AJ101,'Raw Data'!AL101,'Raw Data'!AN101,'Raw Data'!AP101,'Raw Data'!AR101),"")</f>
        <v/>
      </c>
      <c r="P114" s="17">
        <f>IF('Raw Data'!A101&lt;&gt;"",AVERAGE('Raw Data'!AK101,'Raw Data'!AM101,'Raw Data'!AO101,'Raw Data'!AQ101,'Raw Data'!AS101),"")</f>
        <v/>
      </c>
      <c r="Q114" s="17">
        <f>IF(O114&lt;&gt;"",O114-P114,"")</f>
        <v/>
      </c>
      <c r="R114" s="17">
        <f>IF('Raw Data'!A101&lt;&gt;"",AVERAGE('Raw Data'!AT101,'Raw Data'!AV101,'Raw Data'!AX101,'Raw Data'!AZ101,'Raw Data'!BB101),"")</f>
        <v/>
      </c>
      <c r="S114" s="17">
        <f>IF('Raw Data'!A101&lt;&gt;"",AVERAGE('Raw Data'!AU101,'Raw Data'!AW101,'Raw Data'!AY101,'Raw Data'!BA101,'Raw Data'!BC101),"")</f>
        <v/>
      </c>
      <c r="T114" s="17">
        <f>IF(R114&lt;&gt;"",R114-S114,"")</f>
        <v/>
      </c>
      <c r="U114" s="17">
        <f>IF('Raw Data'!A101&lt;&gt;"",AVERAGE('Raw Data'!BD101,'Raw Data'!BF101,'Raw Data'!BH101,'Raw Data'!BJ101,'Raw Data'!BL101),"")</f>
        <v/>
      </c>
      <c r="V114" s="17">
        <f>IF('Raw Data'!A101&lt;&gt;"",AVERAGE('Raw Data'!BE101,'Raw Data'!BG101,'Raw Data'!BI101,'Raw Data'!BK101,'Raw Data'!BM101),"")</f>
        <v/>
      </c>
      <c r="W114" s="17">
        <f>IF(U114&lt;&gt;"",U114-V114,"")</f>
        <v/>
      </c>
      <c r="X114" s="17">
        <f>IF(A114&lt;&gt;"",AVERAGE(F114,I114,L114,O114,R114,U114),"")</f>
        <v/>
      </c>
      <c r="Y114" s="17">
        <f>IF(A114&lt;&gt;"",AVERAGE(G114,J114,M114,P114,S114,V114),"")</f>
        <v/>
      </c>
      <c r="Z114" s="17">
        <f>IF(A114&lt;&gt;"",X114-Y114,"")</f>
        <v/>
      </c>
      <c r="AA114" s="18">
        <f>IF(A114&lt;&gt;"",ROUND(MIN(100,100*((MAX(0,K114)*0.25)+(MAX(0,Q114)*0.20)+(MAX(0,W114)*0.20)+(MAX(0,H114)*0.15)+(MAX(0,N114)*0.10)+(MAX(0,T114)*0.10))/9),1),"")</f>
        <v/>
      </c>
      <c r="AB114" s="29">
        <f>IF(A114&lt;&gt;"",MIN(1,(0.5*AA114/100)+(0.3*MAX(0,K114)/9)+(0.2*MAX(0,Q114)/9)),"")</f>
        <v/>
      </c>
    </row>
    <row r="115">
      <c r="A115" s="4">
        <f>IF('Raw Data'!A102&lt;&gt;"",'Raw Data'!A102,"")</f>
        <v/>
      </c>
      <c r="B115" s="4">
        <f>IF('Raw Data'!B102&lt;&gt;"",'Raw Data'!B102,"")</f>
        <v/>
      </c>
      <c r="C115" s="4">
        <f>IF('Raw Data'!C102&lt;&gt;"",'Raw Data'!C102,"")</f>
        <v/>
      </c>
      <c r="D115" s="4">
        <f>IF('Raw Data'!D102&lt;&gt;"",'Raw Data'!D102,"")</f>
        <v/>
      </c>
      <c r="E115" s="4">
        <f>IF('Raw Data'!E102&lt;&gt;"",'Raw Data'!E102,"")</f>
        <v/>
      </c>
      <c r="F115" s="14">
        <f>IF('Raw Data'!A102&lt;&gt;"",AVERAGE('Raw Data'!F102,'Raw Data'!H102,'Raw Data'!J102,'Raw Data'!L102,'Raw Data'!N102),"")</f>
        <v/>
      </c>
      <c r="G115" s="14">
        <f>IF('Raw Data'!A102&lt;&gt;"",AVERAGE('Raw Data'!G102,'Raw Data'!I102,'Raw Data'!K102,'Raw Data'!M102,'Raw Data'!O102),"")</f>
        <v/>
      </c>
      <c r="H115" s="14">
        <f>IF(F115&lt;&gt;"",F115-G115,"")</f>
        <v/>
      </c>
      <c r="I115" s="14">
        <f>IF('Raw Data'!A102&lt;&gt;"",AVERAGE('Raw Data'!P102,'Raw Data'!R102,'Raw Data'!T102,'Raw Data'!V102,'Raw Data'!X102),"")</f>
        <v/>
      </c>
      <c r="J115" s="14">
        <f>IF('Raw Data'!A102&lt;&gt;"",AVERAGE('Raw Data'!Q102,'Raw Data'!S102,'Raw Data'!U102,'Raw Data'!W102,'Raw Data'!Y102),"")</f>
        <v/>
      </c>
      <c r="K115" s="14">
        <f>IF(I115&lt;&gt;"",I115-J115,"")</f>
        <v/>
      </c>
      <c r="L115" s="14">
        <f>IF('Raw Data'!A102&lt;&gt;"",AVERAGE('Raw Data'!Z102,'Raw Data'!AB102,'Raw Data'!AD102,'Raw Data'!AF102,'Raw Data'!AH102),"")</f>
        <v/>
      </c>
      <c r="M115" s="14">
        <f>IF('Raw Data'!A102&lt;&gt;"",AVERAGE('Raw Data'!AA102,'Raw Data'!AC102,'Raw Data'!AE102,'Raw Data'!AG102,'Raw Data'!AI102),"")</f>
        <v/>
      </c>
      <c r="N115" s="14">
        <f>IF(L115&lt;&gt;"",L115-M115,"")</f>
        <v/>
      </c>
      <c r="O115" s="14">
        <f>IF('Raw Data'!A102&lt;&gt;"",AVERAGE('Raw Data'!AJ102,'Raw Data'!AL102,'Raw Data'!AN102,'Raw Data'!AP102,'Raw Data'!AR102),"")</f>
        <v/>
      </c>
      <c r="P115" s="14">
        <f>IF('Raw Data'!A102&lt;&gt;"",AVERAGE('Raw Data'!AK102,'Raw Data'!AM102,'Raw Data'!AO102,'Raw Data'!AQ102,'Raw Data'!AS102),"")</f>
        <v/>
      </c>
      <c r="Q115" s="14">
        <f>IF(O115&lt;&gt;"",O115-P115,"")</f>
        <v/>
      </c>
      <c r="R115" s="14">
        <f>IF('Raw Data'!A102&lt;&gt;"",AVERAGE('Raw Data'!AT102,'Raw Data'!AV102,'Raw Data'!AX102,'Raw Data'!AZ102,'Raw Data'!BB102),"")</f>
        <v/>
      </c>
      <c r="S115" s="14">
        <f>IF('Raw Data'!A102&lt;&gt;"",AVERAGE('Raw Data'!AU102,'Raw Data'!AW102,'Raw Data'!AY102,'Raw Data'!BA102,'Raw Data'!BC102),"")</f>
        <v/>
      </c>
      <c r="T115" s="14">
        <f>IF(R115&lt;&gt;"",R115-S115,"")</f>
        <v/>
      </c>
      <c r="U115" s="14">
        <f>IF('Raw Data'!A102&lt;&gt;"",AVERAGE('Raw Data'!BD102,'Raw Data'!BF102,'Raw Data'!BH102,'Raw Data'!BJ102,'Raw Data'!BL102),"")</f>
        <v/>
      </c>
      <c r="V115" s="14">
        <f>IF('Raw Data'!A102&lt;&gt;"",AVERAGE('Raw Data'!BE102,'Raw Data'!BG102,'Raw Data'!BI102,'Raw Data'!BK102,'Raw Data'!BM102),"")</f>
        <v/>
      </c>
      <c r="W115" s="14">
        <f>IF(U115&lt;&gt;"",U115-V115,"")</f>
        <v/>
      </c>
      <c r="X115" s="14">
        <f>IF(A115&lt;&gt;"",AVERAGE(F115,I115,L115,O115,R115,U115),"")</f>
        <v/>
      </c>
      <c r="Y115" s="14">
        <f>IF(A115&lt;&gt;"",AVERAGE(G115,J115,M115,P115,S115,V115),"")</f>
        <v/>
      </c>
      <c r="Z115" s="14">
        <f>IF(A115&lt;&gt;"",X115-Y115,"")</f>
        <v/>
      </c>
      <c r="AA115" s="15">
        <f>IF(A115&lt;&gt;"",ROUND(MIN(100,100*((MAX(0,K115)*0.25)+(MAX(0,Q115)*0.20)+(MAX(0,W115)*0.20)+(MAX(0,H115)*0.15)+(MAX(0,N115)*0.10)+(MAX(0,T115)*0.10))/9),1),"")</f>
        <v/>
      </c>
      <c r="AB115" s="28">
        <f>IF(A115&lt;&gt;"",MIN(1,(0.5*AA115/100)+(0.3*MAX(0,K115)/9)+(0.2*MAX(0,Q115)/9)),"")</f>
        <v/>
      </c>
    </row>
    <row r="116">
      <c r="A116" s="13">
        <f>IF('Raw Data'!A103&lt;&gt;"",'Raw Data'!A103,"")</f>
        <v/>
      </c>
      <c r="B116" s="13">
        <f>IF('Raw Data'!B103&lt;&gt;"",'Raw Data'!B103,"")</f>
        <v/>
      </c>
      <c r="C116" s="13">
        <f>IF('Raw Data'!C103&lt;&gt;"",'Raw Data'!C103,"")</f>
        <v/>
      </c>
      <c r="D116" s="13">
        <f>IF('Raw Data'!D103&lt;&gt;"",'Raw Data'!D103,"")</f>
        <v/>
      </c>
      <c r="E116" s="13">
        <f>IF('Raw Data'!E103&lt;&gt;"",'Raw Data'!E103,"")</f>
        <v/>
      </c>
      <c r="F116" s="17">
        <f>IF('Raw Data'!A103&lt;&gt;"",AVERAGE('Raw Data'!F103,'Raw Data'!H103,'Raw Data'!J103,'Raw Data'!L103,'Raw Data'!N103),"")</f>
        <v/>
      </c>
      <c r="G116" s="17">
        <f>IF('Raw Data'!A103&lt;&gt;"",AVERAGE('Raw Data'!G103,'Raw Data'!I103,'Raw Data'!K103,'Raw Data'!M103,'Raw Data'!O103),"")</f>
        <v/>
      </c>
      <c r="H116" s="17">
        <f>IF(F116&lt;&gt;"",F116-G116,"")</f>
        <v/>
      </c>
      <c r="I116" s="17">
        <f>IF('Raw Data'!A103&lt;&gt;"",AVERAGE('Raw Data'!P103,'Raw Data'!R103,'Raw Data'!T103,'Raw Data'!V103,'Raw Data'!X103),"")</f>
        <v/>
      </c>
      <c r="J116" s="17">
        <f>IF('Raw Data'!A103&lt;&gt;"",AVERAGE('Raw Data'!Q103,'Raw Data'!S103,'Raw Data'!U103,'Raw Data'!W103,'Raw Data'!Y103),"")</f>
        <v/>
      </c>
      <c r="K116" s="17">
        <f>IF(I116&lt;&gt;"",I116-J116,"")</f>
        <v/>
      </c>
      <c r="L116" s="17">
        <f>IF('Raw Data'!A103&lt;&gt;"",AVERAGE('Raw Data'!Z103,'Raw Data'!AB103,'Raw Data'!AD103,'Raw Data'!AF103,'Raw Data'!AH103),"")</f>
        <v/>
      </c>
      <c r="M116" s="17">
        <f>IF('Raw Data'!A103&lt;&gt;"",AVERAGE('Raw Data'!AA103,'Raw Data'!AC103,'Raw Data'!AE103,'Raw Data'!AG103,'Raw Data'!AI103),"")</f>
        <v/>
      </c>
      <c r="N116" s="17">
        <f>IF(L116&lt;&gt;"",L116-M116,"")</f>
        <v/>
      </c>
      <c r="O116" s="17">
        <f>IF('Raw Data'!A103&lt;&gt;"",AVERAGE('Raw Data'!AJ103,'Raw Data'!AL103,'Raw Data'!AN103,'Raw Data'!AP103,'Raw Data'!AR103),"")</f>
        <v/>
      </c>
      <c r="P116" s="17">
        <f>IF('Raw Data'!A103&lt;&gt;"",AVERAGE('Raw Data'!AK103,'Raw Data'!AM103,'Raw Data'!AO103,'Raw Data'!AQ103,'Raw Data'!AS103),"")</f>
        <v/>
      </c>
      <c r="Q116" s="17">
        <f>IF(O116&lt;&gt;"",O116-P116,"")</f>
        <v/>
      </c>
      <c r="R116" s="17">
        <f>IF('Raw Data'!A103&lt;&gt;"",AVERAGE('Raw Data'!AT103,'Raw Data'!AV103,'Raw Data'!AX103,'Raw Data'!AZ103,'Raw Data'!BB103),"")</f>
        <v/>
      </c>
      <c r="S116" s="17">
        <f>IF('Raw Data'!A103&lt;&gt;"",AVERAGE('Raw Data'!AU103,'Raw Data'!AW103,'Raw Data'!AY103,'Raw Data'!BA103,'Raw Data'!BC103),"")</f>
        <v/>
      </c>
      <c r="T116" s="17">
        <f>IF(R116&lt;&gt;"",R116-S116,"")</f>
        <v/>
      </c>
      <c r="U116" s="17">
        <f>IF('Raw Data'!A103&lt;&gt;"",AVERAGE('Raw Data'!BD103,'Raw Data'!BF103,'Raw Data'!BH103,'Raw Data'!BJ103,'Raw Data'!BL103),"")</f>
        <v/>
      </c>
      <c r="V116" s="17">
        <f>IF('Raw Data'!A103&lt;&gt;"",AVERAGE('Raw Data'!BE103,'Raw Data'!BG103,'Raw Data'!BI103,'Raw Data'!BK103,'Raw Data'!BM103),"")</f>
        <v/>
      </c>
      <c r="W116" s="17">
        <f>IF(U116&lt;&gt;"",U116-V116,"")</f>
        <v/>
      </c>
      <c r="X116" s="17">
        <f>IF(A116&lt;&gt;"",AVERAGE(F116,I116,L116,O116,R116,U116),"")</f>
        <v/>
      </c>
      <c r="Y116" s="17">
        <f>IF(A116&lt;&gt;"",AVERAGE(G116,J116,M116,P116,S116,V116),"")</f>
        <v/>
      </c>
      <c r="Z116" s="17">
        <f>IF(A116&lt;&gt;"",X116-Y116,"")</f>
        <v/>
      </c>
      <c r="AA116" s="18">
        <f>IF(A116&lt;&gt;"",ROUND(MIN(100,100*((MAX(0,K116)*0.25)+(MAX(0,Q116)*0.20)+(MAX(0,W116)*0.20)+(MAX(0,H116)*0.15)+(MAX(0,N116)*0.10)+(MAX(0,T116)*0.10))/9),1),"")</f>
        <v/>
      </c>
      <c r="AB116" s="29">
        <f>IF(A116&lt;&gt;"",MIN(1,(0.5*AA116/100)+(0.3*MAX(0,K116)/9)+(0.2*MAX(0,Q116)/9)),"")</f>
        <v/>
      </c>
    </row>
    <row r="117">
      <c r="A117" s="4">
        <f>IF('Raw Data'!A104&lt;&gt;"",'Raw Data'!A104,"")</f>
        <v/>
      </c>
      <c r="B117" s="4">
        <f>IF('Raw Data'!B104&lt;&gt;"",'Raw Data'!B104,"")</f>
        <v/>
      </c>
      <c r="C117" s="4">
        <f>IF('Raw Data'!C104&lt;&gt;"",'Raw Data'!C104,"")</f>
        <v/>
      </c>
      <c r="D117" s="4">
        <f>IF('Raw Data'!D104&lt;&gt;"",'Raw Data'!D104,"")</f>
        <v/>
      </c>
      <c r="E117" s="4">
        <f>IF('Raw Data'!E104&lt;&gt;"",'Raw Data'!E104,"")</f>
        <v/>
      </c>
      <c r="F117" s="14">
        <f>IF('Raw Data'!A104&lt;&gt;"",AVERAGE('Raw Data'!F104,'Raw Data'!H104,'Raw Data'!J104,'Raw Data'!L104,'Raw Data'!N104),"")</f>
        <v/>
      </c>
      <c r="G117" s="14">
        <f>IF('Raw Data'!A104&lt;&gt;"",AVERAGE('Raw Data'!G104,'Raw Data'!I104,'Raw Data'!K104,'Raw Data'!M104,'Raw Data'!O104),"")</f>
        <v/>
      </c>
      <c r="H117" s="14">
        <f>IF(F117&lt;&gt;"",F117-G117,"")</f>
        <v/>
      </c>
      <c r="I117" s="14">
        <f>IF('Raw Data'!A104&lt;&gt;"",AVERAGE('Raw Data'!P104,'Raw Data'!R104,'Raw Data'!T104,'Raw Data'!V104,'Raw Data'!X104),"")</f>
        <v/>
      </c>
      <c r="J117" s="14">
        <f>IF('Raw Data'!A104&lt;&gt;"",AVERAGE('Raw Data'!Q104,'Raw Data'!S104,'Raw Data'!U104,'Raw Data'!W104,'Raw Data'!Y104),"")</f>
        <v/>
      </c>
      <c r="K117" s="14">
        <f>IF(I117&lt;&gt;"",I117-J117,"")</f>
        <v/>
      </c>
      <c r="L117" s="14">
        <f>IF('Raw Data'!A104&lt;&gt;"",AVERAGE('Raw Data'!Z104,'Raw Data'!AB104,'Raw Data'!AD104,'Raw Data'!AF104,'Raw Data'!AH104),"")</f>
        <v/>
      </c>
      <c r="M117" s="14">
        <f>IF('Raw Data'!A104&lt;&gt;"",AVERAGE('Raw Data'!AA104,'Raw Data'!AC104,'Raw Data'!AE104,'Raw Data'!AG104,'Raw Data'!AI104),"")</f>
        <v/>
      </c>
      <c r="N117" s="14">
        <f>IF(L117&lt;&gt;"",L117-M117,"")</f>
        <v/>
      </c>
      <c r="O117" s="14">
        <f>IF('Raw Data'!A104&lt;&gt;"",AVERAGE('Raw Data'!AJ104,'Raw Data'!AL104,'Raw Data'!AN104,'Raw Data'!AP104,'Raw Data'!AR104),"")</f>
        <v/>
      </c>
      <c r="P117" s="14">
        <f>IF('Raw Data'!A104&lt;&gt;"",AVERAGE('Raw Data'!AK104,'Raw Data'!AM104,'Raw Data'!AO104,'Raw Data'!AQ104,'Raw Data'!AS104),"")</f>
        <v/>
      </c>
      <c r="Q117" s="14">
        <f>IF(O117&lt;&gt;"",O117-P117,"")</f>
        <v/>
      </c>
      <c r="R117" s="14">
        <f>IF('Raw Data'!A104&lt;&gt;"",AVERAGE('Raw Data'!AT104,'Raw Data'!AV104,'Raw Data'!AX104,'Raw Data'!AZ104,'Raw Data'!BB104),"")</f>
        <v/>
      </c>
      <c r="S117" s="14">
        <f>IF('Raw Data'!A104&lt;&gt;"",AVERAGE('Raw Data'!AU104,'Raw Data'!AW104,'Raw Data'!AY104,'Raw Data'!BA104,'Raw Data'!BC104),"")</f>
        <v/>
      </c>
      <c r="T117" s="14">
        <f>IF(R117&lt;&gt;"",R117-S117,"")</f>
        <v/>
      </c>
      <c r="U117" s="14">
        <f>IF('Raw Data'!A104&lt;&gt;"",AVERAGE('Raw Data'!BD104,'Raw Data'!BF104,'Raw Data'!BH104,'Raw Data'!BJ104,'Raw Data'!BL104),"")</f>
        <v/>
      </c>
      <c r="V117" s="14">
        <f>IF('Raw Data'!A104&lt;&gt;"",AVERAGE('Raw Data'!BE104,'Raw Data'!BG104,'Raw Data'!BI104,'Raw Data'!BK104,'Raw Data'!BM104),"")</f>
        <v/>
      </c>
      <c r="W117" s="14">
        <f>IF(U117&lt;&gt;"",U117-V117,"")</f>
        <v/>
      </c>
      <c r="X117" s="14">
        <f>IF(A117&lt;&gt;"",AVERAGE(F117,I117,L117,O117,R117,U117),"")</f>
        <v/>
      </c>
      <c r="Y117" s="14">
        <f>IF(A117&lt;&gt;"",AVERAGE(G117,J117,M117,P117,S117,V117),"")</f>
        <v/>
      </c>
      <c r="Z117" s="14">
        <f>IF(A117&lt;&gt;"",X117-Y117,"")</f>
        <v/>
      </c>
      <c r="AA117" s="15">
        <f>IF(A117&lt;&gt;"",ROUND(MIN(100,100*((MAX(0,K117)*0.25)+(MAX(0,Q117)*0.20)+(MAX(0,W117)*0.20)+(MAX(0,H117)*0.15)+(MAX(0,N117)*0.10)+(MAX(0,T117)*0.10))/9),1),"")</f>
        <v/>
      </c>
      <c r="AB117" s="28">
        <f>IF(A117&lt;&gt;"",MIN(1,(0.5*AA117/100)+(0.3*MAX(0,K117)/9)+(0.2*MAX(0,Q117)/9)),"")</f>
        <v/>
      </c>
    </row>
    <row r="118">
      <c r="A118" s="13">
        <f>IF('Raw Data'!A105&lt;&gt;"",'Raw Data'!A105,"")</f>
        <v/>
      </c>
      <c r="B118" s="13">
        <f>IF('Raw Data'!B105&lt;&gt;"",'Raw Data'!B105,"")</f>
        <v/>
      </c>
      <c r="C118" s="13">
        <f>IF('Raw Data'!C105&lt;&gt;"",'Raw Data'!C105,"")</f>
        <v/>
      </c>
      <c r="D118" s="13">
        <f>IF('Raw Data'!D105&lt;&gt;"",'Raw Data'!D105,"")</f>
        <v/>
      </c>
      <c r="E118" s="13">
        <f>IF('Raw Data'!E105&lt;&gt;"",'Raw Data'!E105,"")</f>
        <v/>
      </c>
      <c r="F118" s="17">
        <f>IF('Raw Data'!A105&lt;&gt;"",AVERAGE('Raw Data'!F105,'Raw Data'!H105,'Raw Data'!J105,'Raw Data'!L105,'Raw Data'!N105),"")</f>
        <v/>
      </c>
      <c r="G118" s="17">
        <f>IF('Raw Data'!A105&lt;&gt;"",AVERAGE('Raw Data'!G105,'Raw Data'!I105,'Raw Data'!K105,'Raw Data'!M105,'Raw Data'!O105),"")</f>
        <v/>
      </c>
      <c r="H118" s="17">
        <f>IF(F118&lt;&gt;"",F118-G118,"")</f>
        <v/>
      </c>
      <c r="I118" s="17">
        <f>IF('Raw Data'!A105&lt;&gt;"",AVERAGE('Raw Data'!P105,'Raw Data'!R105,'Raw Data'!T105,'Raw Data'!V105,'Raw Data'!X105),"")</f>
        <v/>
      </c>
      <c r="J118" s="17">
        <f>IF('Raw Data'!A105&lt;&gt;"",AVERAGE('Raw Data'!Q105,'Raw Data'!S105,'Raw Data'!U105,'Raw Data'!W105,'Raw Data'!Y105),"")</f>
        <v/>
      </c>
      <c r="K118" s="17">
        <f>IF(I118&lt;&gt;"",I118-J118,"")</f>
        <v/>
      </c>
      <c r="L118" s="17">
        <f>IF('Raw Data'!A105&lt;&gt;"",AVERAGE('Raw Data'!Z105,'Raw Data'!AB105,'Raw Data'!AD105,'Raw Data'!AF105,'Raw Data'!AH105),"")</f>
        <v/>
      </c>
      <c r="M118" s="17">
        <f>IF('Raw Data'!A105&lt;&gt;"",AVERAGE('Raw Data'!AA105,'Raw Data'!AC105,'Raw Data'!AE105,'Raw Data'!AG105,'Raw Data'!AI105),"")</f>
        <v/>
      </c>
      <c r="N118" s="17">
        <f>IF(L118&lt;&gt;"",L118-M118,"")</f>
        <v/>
      </c>
      <c r="O118" s="17">
        <f>IF('Raw Data'!A105&lt;&gt;"",AVERAGE('Raw Data'!AJ105,'Raw Data'!AL105,'Raw Data'!AN105,'Raw Data'!AP105,'Raw Data'!AR105),"")</f>
        <v/>
      </c>
      <c r="P118" s="17">
        <f>IF('Raw Data'!A105&lt;&gt;"",AVERAGE('Raw Data'!AK105,'Raw Data'!AM105,'Raw Data'!AO105,'Raw Data'!AQ105,'Raw Data'!AS105),"")</f>
        <v/>
      </c>
      <c r="Q118" s="17">
        <f>IF(O118&lt;&gt;"",O118-P118,"")</f>
        <v/>
      </c>
      <c r="R118" s="17">
        <f>IF('Raw Data'!A105&lt;&gt;"",AVERAGE('Raw Data'!AT105,'Raw Data'!AV105,'Raw Data'!AX105,'Raw Data'!AZ105,'Raw Data'!BB105),"")</f>
        <v/>
      </c>
      <c r="S118" s="17">
        <f>IF('Raw Data'!A105&lt;&gt;"",AVERAGE('Raw Data'!AU105,'Raw Data'!AW105,'Raw Data'!AY105,'Raw Data'!BA105,'Raw Data'!BC105),"")</f>
        <v/>
      </c>
      <c r="T118" s="17">
        <f>IF(R118&lt;&gt;"",R118-S118,"")</f>
        <v/>
      </c>
      <c r="U118" s="17">
        <f>IF('Raw Data'!A105&lt;&gt;"",AVERAGE('Raw Data'!BD105,'Raw Data'!BF105,'Raw Data'!BH105,'Raw Data'!BJ105,'Raw Data'!BL105),"")</f>
        <v/>
      </c>
      <c r="V118" s="17">
        <f>IF('Raw Data'!A105&lt;&gt;"",AVERAGE('Raw Data'!BE105,'Raw Data'!BG105,'Raw Data'!BI105,'Raw Data'!BK105,'Raw Data'!BM105),"")</f>
        <v/>
      </c>
      <c r="W118" s="17">
        <f>IF(U118&lt;&gt;"",U118-V118,"")</f>
        <v/>
      </c>
      <c r="X118" s="17">
        <f>IF(A118&lt;&gt;"",AVERAGE(F118,I118,L118,O118,R118,U118),"")</f>
        <v/>
      </c>
      <c r="Y118" s="17">
        <f>IF(A118&lt;&gt;"",AVERAGE(G118,J118,M118,P118,S118,V118),"")</f>
        <v/>
      </c>
      <c r="Z118" s="17">
        <f>IF(A118&lt;&gt;"",X118-Y118,"")</f>
        <v/>
      </c>
      <c r="AA118" s="18">
        <f>IF(A118&lt;&gt;"",ROUND(MIN(100,100*((MAX(0,K118)*0.25)+(MAX(0,Q118)*0.20)+(MAX(0,W118)*0.20)+(MAX(0,H118)*0.15)+(MAX(0,N118)*0.10)+(MAX(0,T118)*0.10))/9),1),"")</f>
        <v/>
      </c>
      <c r="AB118" s="29">
        <f>IF(A118&lt;&gt;"",MIN(1,(0.5*AA118/100)+(0.3*MAX(0,K118)/9)+(0.2*MAX(0,Q118)/9)),"")</f>
        <v/>
      </c>
    </row>
    <row r="119">
      <c r="A119" s="4">
        <f>IF('Raw Data'!A106&lt;&gt;"",'Raw Data'!A106,"")</f>
        <v/>
      </c>
      <c r="B119" s="4">
        <f>IF('Raw Data'!B106&lt;&gt;"",'Raw Data'!B106,"")</f>
        <v/>
      </c>
      <c r="C119" s="4">
        <f>IF('Raw Data'!C106&lt;&gt;"",'Raw Data'!C106,"")</f>
        <v/>
      </c>
      <c r="D119" s="4">
        <f>IF('Raw Data'!D106&lt;&gt;"",'Raw Data'!D106,"")</f>
        <v/>
      </c>
      <c r="E119" s="4">
        <f>IF('Raw Data'!E106&lt;&gt;"",'Raw Data'!E106,"")</f>
        <v/>
      </c>
      <c r="F119" s="14">
        <f>IF('Raw Data'!A106&lt;&gt;"",AVERAGE('Raw Data'!F106,'Raw Data'!H106,'Raw Data'!J106,'Raw Data'!L106,'Raw Data'!N106),"")</f>
        <v/>
      </c>
      <c r="G119" s="14">
        <f>IF('Raw Data'!A106&lt;&gt;"",AVERAGE('Raw Data'!G106,'Raw Data'!I106,'Raw Data'!K106,'Raw Data'!M106,'Raw Data'!O106),"")</f>
        <v/>
      </c>
      <c r="H119" s="14">
        <f>IF(F119&lt;&gt;"",F119-G119,"")</f>
        <v/>
      </c>
      <c r="I119" s="14">
        <f>IF('Raw Data'!A106&lt;&gt;"",AVERAGE('Raw Data'!P106,'Raw Data'!R106,'Raw Data'!T106,'Raw Data'!V106,'Raw Data'!X106),"")</f>
        <v/>
      </c>
      <c r="J119" s="14">
        <f>IF('Raw Data'!A106&lt;&gt;"",AVERAGE('Raw Data'!Q106,'Raw Data'!S106,'Raw Data'!U106,'Raw Data'!W106,'Raw Data'!Y106),"")</f>
        <v/>
      </c>
      <c r="K119" s="14">
        <f>IF(I119&lt;&gt;"",I119-J119,"")</f>
        <v/>
      </c>
      <c r="L119" s="14">
        <f>IF('Raw Data'!A106&lt;&gt;"",AVERAGE('Raw Data'!Z106,'Raw Data'!AB106,'Raw Data'!AD106,'Raw Data'!AF106,'Raw Data'!AH106),"")</f>
        <v/>
      </c>
      <c r="M119" s="14">
        <f>IF('Raw Data'!A106&lt;&gt;"",AVERAGE('Raw Data'!AA106,'Raw Data'!AC106,'Raw Data'!AE106,'Raw Data'!AG106,'Raw Data'!AI106),"")</f>
        <v/>
      </c>
      <c r="N119" s="14">
        <f>IF(L119&lt;&gt;"",L119-M119,"")</f>
        <v/>
      </c>
      <c r="O119" s="14">
        <f>IF('Raw Data'!A106&lt;&gt;"",AVERAGE('Raw Data'!AJ106,'Raw Data'!AL106,'Raw Data'!AN106,'Raw Data'!AP106,'Raw Data'!AR106),"")</f>
        <v/>
      </c>
      <c r="P119" s="14">
        <f>IF('Raw Data'!A106&lt;&gt;"",AVERAGE('Raw Data'!AK106,'Raw Data'!AM106,'Raw Data'!AO106,'Raw Data'!AQ106,'Raw Data'!AS106),"")</f>
        <v/>
      </c>
      <c r="Q119" s="14">
        <f>IF(O119&lt;&gt;"",O119-P119,"")</f>
        <v/>
      </c>
      <c r="R119" s="14">
        <f>IF('Raw Data'!A106&lt;&gt;"",AVERAGE('Raw Data'!AT106,'Raw Data'!AV106,'Raw Data'!AX106,'Raw Data'!AZ106,'Raw Data'!BB106),"")</f>
        <v/>
      </c>
      <c r="S119" s="14">
        <f>IF('Raw Data'!A106&lt;&gt;"",AVERAGE('Raw Data'!AU106,'Raw Data'!AW106,'Raw Data'!AY106,'Raw Data'!BA106,'Raw Data'!BC106),"")</f>
        <v/>
      </c>
      <c r="T119" s="14">
        <f>IF(R119&lt;&gt;"",R119-S119,"")</f>
        <v/>
      </c>
      <c r="U119" s="14">
        <f>IF('Raw Data'!A106&lt;&gt;"",AVERAGE('Raw Data'!BD106,'Raw Data'!BF106,'Raw Data'!BH106,'Raw Data'!BJ106,'Raw Data'!BL106),"")</f>
        <v/>
      </c>
      <c r="V119" s="14">
        <f>IF('Raw Data'!A106&lt;&gt;"",AVERAGE('Raw Data'!BE106,'Raw Data'!BG106,'Raw Data'!BI106,'Raw Data'!BK106,'Raw Data'!BM106),"")</f>
        <v/>
      </c>
      <c r="W119" s="14">
        <f>IF(U119&lt;&gt;"",U119-V119,"")</f>
        <v/>
      </c>
      <c r="X119" s="14">
        <f>IF(A119&lt;&gt;"",AVERAGE(F119,I119,L119,O119,R119,U119),"")</f>
        <v/>
      </c>
      <c r="Y119" s="14">
        <f>IF(A119&lt;&gt;"",AVERAGE(G119,J119,M119,P119,S119,V119),"")</f>
        <v/>
      </c>
      <c r="Z119" s="14">
        <f>IF(A119&lt;&gt;"",X119-Y119,"")</f>
        <v/>
      </c>
      <c r="AA119" s="15">
        <f>IF(A119&lt;&gt;"",ROUND(MIN(100,100*((MAX(0,K119)*0.25)+(MAX(0,Q119)*0.20)+(MAX(0,W119)*0.20)+(MAX(0,H119)*0.15)+(MAX(0,N119)*0.10)+(MAX(0,T119)*0.10))/9),1),"")</f>
        <v/>
      </c>
      <c r="AB119" s="28">
        <f>IF(A119&lt;&gt;"",MIN(1,(0.5*AA119/100)+(0.3*MAX(0,K119)/9)+(0.2*MAX(0,Q119)/9)),"")</f>
        <v/>
      </c>
    </row>
    <row r="120">
      <c r="A120" s="13">
        <f>IF('Raw Data'!A107&lt;&gt;"",'Raw Data'!A107,"")</f>
        <v/>
      </c>
      <c r="B120" s="13">
        <f>IF('Raw Data'!B107&lt;&gt;"",'Raw Data'!B107,"")</f>
        <v/>
      </c>
      <c r="C120" s="13">
        <f>IF('Raw Data'!C107&lt;&gt;"",'Raw Data'!C107,"")</f>
        <v/>
      </c>
      <c r="D120" s="13">
        <f>IF('Raw Data'!D107&lt;&gt;"",'Raw Data'!D107,"")</f>
        <v/>
      </c>
      <c r="E120" s="13">
        <f>IF('Raw Data'!E107&lt;&gt;"",'Raw Data'!E107,"")</f>
        <v/>
      </c>
      <c r="F120" s="17">
        <f>IF('Raw Data'!A107&lt;&gt;"",AVERAGE('Raw Data'!F107,'Raw Data'!H107,'Raw Data'!J107,'Raw Data'!L107,'Raw Data'!N107),"")</f>
        <v/>
      </c>
      <c r="G120" s="17">
        <f>IF('Raw Data'!A107&lt;&gt;"",AVERAGE('Raw Data'!G107,'Raw Data'!I107,'Raw Data'!K107,'Raw Data'!M107,'Raw Data'!O107),"")</f>
        <v/>
      </c>
      <c r="H120" s="17">
        <f>IF(F120&lt;&gt;"",F120-G120,"")</f>
        <v/>
      </c>
      <c r="I120" s="17">
        <f>IF('Raw Data'!A107&lt;&gt;"",AVERAGE('Raw Data'!P107,'Raw Data'!R107,'Raw Data'!T107,'Raw Data'!V107,'Raw Data'!X107),"")</f>
        <v/>
      </c>
      <c r="J120" s="17">
        <f>IF('Raw Data'!A107&lt;&gt;"",AVERAGE('Raw Data'!Q107,'Raw Data'!S107,'Raw Data'!U107,'Raw Data'!W107,'Raw Data'!Y107),"")</f>
        <v/>
      </c>
      <c r="K120" s="17">
        <f>IF(I120&lt;&gt;"",I120-J120,"")</f>
        <v/>
      </c>
      <c r="L120" s="17">
        <f>IF('Raw Data'!A107&lt;&gt;"",AVERAGE('Raw Data'!Z107,'Raw Data'!AB107,'Raw Data'!AD107,'Raw Data'!AF107,'Raw Data'!AH107),"")</f>
        <v/>
      </c>
      <c r="M120" s="17">
        <f>IF('Raw Data'!A107&lt;&gt;"",AVERAGE('Raw Data'!AA107,'Raw Data'!AC107,'Raw Data'!AE107,'Raw Data'!AG107,'Raw Data'!AI107),"")</f>
        <v/>
      </c>
      <c r="N120" s="17">
        <f>IF(L120&lt;&gt;"",L120-M120,"")</f>
        <v/>
      </c>
      <c r="O120" s="17">
        <f>IF('Raw Data'!A107&lt;&gt;"",AVERAGE('Raw Data'!AJ107,'Raw Data'!AL107,'Raw Data'!AN107,'Raw Data'!AP107,'Raw Data'!AR107),"")</f>
        <v/>
      </c>
      <c r="P120" s="17">
        <f>IF('Raw Data'!A107&lt;&gt;"",AVERAGE('Raw Data'!AK107,'Raw Data'!AM107,'Raw Data'!AO107,'Raw Data'!AQ107,'Raw Data'!AS107),"")</f>
        <v/>
      </c>
      <c r="Q120" s="17">
        <f>IF(O120&lt;&gt;"",O120-P120,"")</f>
        <v/>
      </c>
      <c r="R120" s="17">
        <f>IF('Raw Data'!A107&lt;&gt;"",AVERAGE('Raw Data'!AT107,'Raw Data'!AV107,'Raw Data'!AX107,'Raw Data'!AZ107,'Raw Data'!BB107),"")</f>
        <v/>
      </c>
      <c r="S120" s="17">
        <f>IF('Raw Data'!A107&lt;&gt;"",AVERAGE('Raw Data'!AU107,'Raw Data'!AW107,'Raw Data'!AY107,'Raw Data'!BA107,'Raw Data'!BC107),"")</f>
        <v/>
      </c>
      <c r="T120" s="17">
        <f>IF(R120&lt;&gt;"",R120-S120,"")</f>
        <v/>
      </c>
      <c r="U120" s="17">
        <f>IF('Raw Data'!A107&lt;&gt;"",AVERAGE('Raw Data'!BD107,'Raw Data'!BF107,'Raw Data'!BH107,'Raw Data'!BJ107,'Raw Data'!BL107),"")</f>
        <v/>
      </c>
      <c r="V120" s="17">
        <f>IF('Raw Data'!A107&lt;&gt;"",AVERAGE('Raw Data'!BE107,'Raw Data'!BG107,'Raw Data'!BI107,'Raw Data'!BK107,'Raw Data'!BM107),"")</f>
        <v/>
      </c>
      <c r="W120" s="17">
        <f>IF(U120&lt;&gt;"",U120-V120,"")</f>
        <v/>
      </c>
      <c r="X120" s="17">
        <f>IF(A120&lt;&gt;"",AVERAGE(F120,I120,L120,O120,R120,U120),"")</f>
        <v/>
      </c>
      <c r="Y120" s="17">
        <f>IF(A120&lt;&gt;"",AVERAGE(G120,J120,M120,P120,S120,V120),"")</f>
        <v/>
      </c>
      <c r="Z120" s="17">
        <f>IF(A120&lt;&gt;"",X120-Y120,"")</f>
        <v/>
      </c>
      <c r="AA120" s="18">
        <f>IF(A120&lt;&gt;"",ROUND(MIN(100,100*((MAX(0,K120)*0.25)+(MAX(0,Q120)*0.20)+(MAX(0,W120)*0.20)+(MAX(0,H120)*0.15)+(MAX(0,N120)*0.10)+(MAX(0,T120)*0.10))/9),1),"")</f>
        <v/>
      </c>
      <c r="AB120" s="29">
        <f>IF(A120&lt;&gt;"",MIN(1,(0.5*AA120/100)+(0.3*MAX(0,K120)/9)+(0.2*MAX(0,Q120)/9)),"")</f>
        <v/>
      </c>
    </row>
    <row r="121">
      <c r="A121" s="4">
        <f>IF('Raw Data'!A108&lt;&gt;"",'Raw Data'!A108,"")</f>
        <v/>
      </c>
      <c r="B121" s="4">
        <f>IF('Raw Data'!B108&lt;&gt;"",'Raw Data'!B108,"")</f>
        <v/>
      </c>
      <c r="C121" s="4">
        <f>IF('Raw Data'!C108&lt;&gt;"",'Raw Data'!C108,"")</f>
        <v/>
      </c>
      <c r="D121" s="4">
        <f>IF('Raw Data'!D108&lt;&gt;"",'Raw Data'!D108,"")</f>
        <v/>
      </c>
      <c r="E121" s="4">
        <f>IF('Raw Data'!E108&lt;&gt;"",'Raw Data'!E108,"")</f>
        <v/>
      </c>
      <c r="F121" s="14">
        <f>IF('Raw Data'!A108&lt;&gt;"",AVERAGE('Raw Data'!F108,'Raw Data'!H108,'Raw Data'!J108,'Raw Data'!L108,'Raw Data'!N108),"")</f>
        <v/>
      </c>
      <c r="G121" s="14">
        <f>IF('Raw Data'!A108&lt;&gt;"",AVERAGE('Raw Data'!G108,'Raw Data'!I108,'Raw Data'!K108,'Raw Data'!M108,'Raw Data'!O108),"")</f>
        <v/>
      </c>
      <c r="H121" s="14">
        <f>IF(F121&lt;&gt;"",F121-G121,"")</f>
        <v/>
      </c>
      <c r="I121" s="14">
        <f>IF('Raw Data'!A108&lt;&gt;"",AVERAGE('Raw Data'!P108,'Raw Data'!R108,'Raw Data'!T108,'Raw Data'!V108,'Raw Data'!X108),"")</f>
        <v/>
      </c>
      <c r="J121" s="14">
        <f>IF('Raw Data'!A108&lt;&gt;"",AVERAGE('Raw Data'!Q108,'Raw Data'!S108,'Raw Data'!U108,'Raw Data'!W108,'Raw Data'!Y108),"")</f>
        <v/>
      </c>
      <c r="K121" s="14">
        <f>IF(I121&lt;&gt;"",I121-J121,"")</f>
        <v/>
      </c>
      <c r="L121" s="14">
        <f>IF('Raw Data'!A108&lt;&gt;"",AVERAGE('Raw Data'!Z108,'Raw Data'!AB108,'Raw Data'!AD108,'Raw Data'!AF108,'Raw Data'!AH108),"")</f>
        <v/>
      </c>
      <c r="M121" s="14">
        <f>IF('Raw Data'!A108&lt;&gt;"",AVERAGE('Raw Data'!AA108,'Raw Data'!AC108,'Raw Data'!AE108,'Raw Data'!AG108,'Raw Data'!AI108),"")</f>
        <v/>
      </c>
      <c r="N121" s="14">
        <f>IF(L121&lt;&gt;"",L121-M121,"")</f>
        <v/>
      </c>
      <c r="O121" s="14">
        <f>IF('Raw Data'!A108&lt;&gt;"",AVERAGE('Raw Data'!AJ108,'Raw Data'!AL108,'Raw Data'!AN108,'Raw Data'!AP108,'Raw Data'!AR108),"")</f>
        <v/>
      </c>
      <c r="P121" s="14">
        <f>IF('Raw Data'!A108&lt;&gt;"",AVERAGE('Raw Data'!AK108,'Raw Data'!AM108,'Raw Data'!AO108,'Raw Data'!AQ108,'Raw Data'!AS108),"")</f>
        <v/>
      </c>
      <c r="Q121" s="14">
        <f>IF(O121&lt;&gt;"",O121-P121,"")</f>
        <v/>
      </c>
      <c r="R121" s="14">
        <f>IF('Raw Data'!A108&lt;&gt;"",AVERAGE('Raw Data'!AT108,'Raw Data'!AV108,'Raw Data'!AX108,'Raw Data'!AZ108,'Raw Data'!BB108),"")</f>
        <v/>
      </c>
      <c r="S121" s="14">
        <f>IF('Raw Data'!A108&lt;&gt;"",AVERAGE('Raw Data'!AU108,'Raw Data'!AW108,'Raw Data'!AY108,'Raw Data'!BA108,'Raw Data'!BC108),"")</f>
        <v/>
      </c>
      <c r="T121" s="14">
        <f>IF(R121&lt;&gt;"",R121-S121,"")</f>
        <v/>
      </c>
      <c r="U121" s="14">
        <f>IF('Raw Data'!A108&lt;&gt;"",AVERAGE('Raw Data'!BD108,'Raw Data'!BF108,'Raw Data'!BH108,'Raw Data'!BJ108,'Raw Data'!BL108),"")</f>
        <v/>
      </c>
      <c r="V121" s="14">
        <f>IF('Raw Data'!A108&lt;&gt;"",AVERAGE('Raw Data'!BE108,'Raw Data'!BG108,'Raw Data'!BI108,'Raw Data'!BK108,'Raw Data'!BM108),"")</f>
        <v/>
      </c>
      <c r="W121" s="14">
        <f>IF(U121&lt;&gt;"",U121-V121,"")</f>
        <v/>
      </c>
      <c r="X121" s="14">
        <f>IF(A121&lt;&gt;"",AVERAGE(F121,I121,L121,O121,R121,U121),"")</f>
        <v/>
      </c>
      <c r="Y121" s="14">
        <f>IF(A121&lt;&gt;"",AVERAGE(G121,J121,M121,P121,S121,V121),"")</f>
        <v/>
      </c>
      <c r="Z121" s="14">
        <f>IF(A121&lt;&gt;"",X121-Y121,"")</f>
        <v/>
      </c>
      <c r="AA121" s="15">
        <f>IF(A121&lt;&gt;"",ROUND(MIN(100,100*((MAX(0,K121)*0.25)+(MAX(0,Q121)*0.20)+(MAX(0,W121)*0.20)+(MAX(0,H121)*0.15)+(MAX(0,N121)*0.10)+(MAX(0,T121)*0.10))/9),1),"")</f>
        <v/>
      </c>
      <c r="AB121" s="28">
        <f>IF(A121&lt;&gt;"",MIN(1,(0.5*AA121/100)+(0.3*MAX(0,K121)/9)+(0.2*MAX(0,Q121)/9)),"")</f>
        <v/>
      </c>
    </row>
    <row r="122">
      <c r="A122" s="13">
        <f>IF('Raw Data'!A109&lt;&gt;"",'Raw Data'!A109,"")</f>
        <v/>
      </c>
      <c r="B122" s="13">
        <f>IF('Raw Data'!B109&lt;&gt;"",'Raw Data'!B109,"")</f>
        <v/>
      </c>
      <c r="C122" s="13">
        <f>IF('Raw Data'!C109&lt;&gt;"",'Raw Data'!C109,"")</f>
        <v/>
      </c>
      <c r="D122" s="13">
        <f>IF('Raw Data'!D109&lt;&gt;"",'Raw Data'!D109,"")</f>
        <v/>
      </c>
      <c r="E122" s="13">
        <f>IF('Raw Data'!E109&lt;&gt;"",'Raw Data'!E109,"")</f>
        <v/>
      </c>
      <c r="F122" s="17">
        <f>IF('Raw Data'!A109&lt;&gt;"",AVERAGE('Raw Data'!F109,'Raw Data'!H109,'Raw Data'!J109,'Raw Data'!L109,'Raw Data'!N109),"")</f>
        <v/>
      </c>
      <c r="G122" s="17">
        <f>IF('Raw Data'!A109&lt;&gt;"",AVERAGE('Raw Data'!G109,'Raw Data'!I109,'Raw Data'!K109,'Raw Data'!M109,'Raw Data'!O109),"")</f>
        <v/>
      </c>
      <c r="H122" s="17">
        <f>IF(F122&lt;&gt;"",F122-G122,"")</f>
        <v/>
      </c>
      <c r="I122" s="17">
        <f>IF('Raw Data'!A109&lt;&gt;"",AVERAGE('Raw Data'!P109,'Raw Data'!R109,'Raw Data'!T109,'Raw Data'!V109,'Raw Data'!X109),"")</f>
        <v/>
      </c>
      <c r="J122" s="17">
        <f>IF('Raw Data'!A109&lt;&gt;"",AVERAGE('Raw Data'!Q109,'Raw Data'!S109,'Raw Data'!U109,'Raw Data'!W109,'Raw Data'!Y109),"")</f>
        <v/>
      </c>
      <c r="K122" s="17">
        <f>IF(I122&lt;&gt;"",I122-J122,"")</f>
        <v/>
      </c>
      <c r="L122" s="17">
        <f>IF('Raw Data'!A109&lt;&gt;"",AVERAGE('Raw Data'!Z109,'Raw Data'!AB109,'Raw Data'!AD109,'Raw Data'!AF109,'Raw Data'!AH109),"")</f>
        <v/>
      </c>
      <c r="M122" s="17">
        <f>IF('Raw Data'!A109&lt;&gt;"",AVERAGE('Raw Data'!AA109,'Raw Data'!AC109,'Raw Data'!AE109,'Raw Data'!AG109,'Raw Data'!AI109),"")</f>
        <v/>
      </c>
      <c r="N122" s="17">
        <f>IF(L122&lt;&gt;"",L122-M122,"")</f>
        <v/>
      </c>
      <c r="O122" s="17">
        <f>IF('Raw Data'!A109&lt;&gt;"",AVERAGE('Raw Data'!AJ109,'Raw Data'!AL109,'Raw Data'!AN109,'Raw Data'!AP109,'Raw Data'!AR109),"")</f>
        <v/>
      </c>
      <c r="P122" s="17">
        <f>IF('Raw Data'!A109&lt;&gt;"",AVERAGE('Raw Data'!AK109,'Raw Data'!AM109,'Raw Data'!AO109,'Raw Data'!AQ109,'Raw Data'!AS109),"")</f>
        <v/>
      </c>
      <c r="Q122" s="17">
        <f>IF(O122&lt;&gt;"",O122-P122,"")</f>
        <v/>
      </c>
      <c r="R122" s="17">
        <f>IF('Raw Data'!A109&lt;&gt;"",AVERAGE('Raw Data'!AT109,'Raw Data'!AV109,'Raw Data'!AX109,'Raw Data'!AZ109,'Raw Data'!BB109),"")</f>
        <v/>
      </c>
      <c r="S122" s="17">
        <f>IF('Raw Data'!A109&lt;&gt;"",AVERAGE('Raw Data'!AU109,'Raw Data'!AW109,'Raw Data'!AY109,'Raw Data'!BA109,'Raw Data'!BC109),"")</f>
        <v/>
      </c>
      <c r="T122" s="17">
        <f>IF(R122&lt;&gt;"",R122-S122,"")</f>
        <v/>
      </c>
      <c r="U122" s="17">
        <f>IF('Raw Data'!A109&lt;&gt;"",AVERAGE('Raw Data'!BD109,'Raw Data'!BF109,'Raw Data'!BH109,'Raw Data'!BJ109,'Raw Data'!BL109),"")</f>
        <v/>
      </c>
      <c r="V122" s="17">
        <f>IF('Raw Data'!A109&lt;&gt;"",AVERAGE('Raw Data'!BE109,'Raw Data'!BG109,'Raw Data'!BI109,'Raw Data'!BK109,'Raw Data'!BM109),"")</f>
        <v/>
      </c>
      <c r="W122" s="17">
        <f>IF(U122&lt;&gt;"",U122-V122,"")</f>
        <v/>
      </c>
      <c r="X122" s="17">
        <f>IF(A122&lt;&gt;"",AVERAGE(F122,I122,L122,O122,R122,U122),"")</f>
        <v/>
      </c>
      <c r="Y122" s="17">
        <f>IF(A122&lt;&gt;"",AVERAGE(G122,J122,M122,P122,S122,V122),"")</f>
        <v/>
      </c>
      <c r="Z122" s="17">
        <f>IF(A122&lt;&gt;"",X122-Y122,"")</f>
        <v/>
      </c>
      <c r="AA122" s="18">
        <f>IF(A122&lt;&gt;"",ROUND(MIN(100,100*((MAX(0,K122)*0.25)+(MAX(0,Q122)*0.20)+(MAX(0,W122)*0.20)+(MAX(0,H122)*0.15)+(MAX(0,N122)*0.10)+(MAX(0,T122)*0.10))/9),1),"")</f>
        <v/>
      </c>
      <c r="AB122" s="29">
        <f>IF(A122&lt;&gt;"",MIN(1,(0.5*AA122/100)+(0.3*MAX(0,K122)/9)+(0.2*MAX(0,Q122)/9)),"")</f>
        <v/>
      </c>
    </row>
    <row r="123">
      <c r="A123" s="4">
        <f>IF('Raw Data'!A110&lt;&gt;"",'Raw Data'!A110,"")</f>
        <v/>
      </c>
      <c r="B123" s="4">
        <f>IF('Raw Data'!B110&lt;&gt;"",'Raw Data'!B110,"")</f>
        <v/>
      </c>
      <c r="C123" s="4">
        <f>IF('Raw Data'!C110&lt;&gt;"",'Raw Data'!C110,"")</f>
        <v/>
      </c>
      <c r="D123" s="4">
        <f>IF('Raw Data'!D110&lt;&gt;"",'Raw Data'!D110,"")</f>
        <v/>
      </c>
      <c r="E123" s="4">
        <f>IF('Raw Data'!E110&lt;&gt;"",'Raw Data'!E110,"")</f>
        <v/>
      </c>
      <c r="F123" s="14">
        <f>IF('Raw Data'!A110&lt;&gt;"",AVERAGE('Raw Data'!F110,'Raw Data'!H110,'Raw Data'!J110,'Raw Data'!L110,'Raw Data'!N110),"")</f>
        <v/>
      </c>
      <c r="G123" s="14">
        <f>IF('Raw Data'!A110&lt;&gt;"",AVERAGE('Raw Data'!G110,'Raw Data'!I110,'Raw Data'!K110,'Raw Data'!M110,'Raw Data'!O110),"")</f>
        <v/>
      </c>
      <c r="H123" s="14">
        <f>IF(F123&lt;&gt;"",F123-G123,"")</f>
        <v/>
      </c>
      <c r="I123" s="14">
        <f>IF('Raw Data'!A110&lt;&gt;"",AVERAGE('Raw Data'!P110,'Raw Data'!R110,'Raw Data'!T110,'Raw Data'!V110,'Raw Data'!X110),"")</f>
        <v/>
      </c>
      <c r="J123" s="14">
        <f>IF('Raw Data'!A110&lt;&gt;"",AVERAGE('Raw Data'!Q110,'Raw Data'!S110,'Raw Data'!U110,'Raw Data'!W110,'Raw Data'!Y110),"")</f>
        <v/>
      </c>
      <c r="K123" s="14">
        <f>IF(I123&lt;&gt;"",I123-J123,"")</f>
        <v/>
      </c>
      <c r="L123" s="14">
        <f>IF('Raw Data'!A110&lt;&gt;"",AVERAGE('Raw Data'!Z110,'Raw Data'!AB110,'Raw Data'!AD110,'Raw Data'!AF110,'Raw Data'!AH110),"")</f>
        <v/>
      </c>
      <c r="M123" s="14">
        <f>IF('Raw Data'!A110&lt;&gt;"",AVERAGE('Raw Data'!AA110,'Raw Data'!AC110,'Raw Data'!AE110,'Raw Data'!AG110,'Raw Data'!AI110),"")</f>
        <v/>
      </c>
      <c r="N123" s="14">
        <f>IF(L123&lt;&gt;"",L123-M123,"")</f>
        <v/>
      </c>
      <c r="O123" s="14">
        <f>IF('Raw Data'!A110&lt;&gt;"",AVERAGE('Raw Data'!AJ110,'Raw Data'!AL110,'Raw Data'!AN110,'Raw Data'!AP110,'Raw Data'!AR110),"")</f>
        <v/>
      </c>
      <c r="P123" s="14">
        <f>IF('Raw Data'!A110&lt;&gt;"",AVERAGE('Raw Data'!AK110,'Raw Data'!AM110,'Raw Data'!AO110,'Raw Data'!AQ110,'Raw Data'!AS110),"")</f>
        <v/>
      </c>
      <c r="Q123" s="14">
        <f>IF(O123&lt;&gt;"",O123-P123,"")</f>
        <v/>
      </c>
      <c r="R123" s="14">
        <f>IF('Raw Data'!A110&lt;&gt;"",AVERAGE('Raw Data'!AT110,'Raw Data'!AV110,'Raw Data'!AX110,'Raw Data'!AZ110,'Raw Data'!BB110),"")</f>
        <v/>
      </c>
      <c r="S123" s="14">
        <f>IF('Raw Data'!A110&lt;&gt;"",AVERAGE('Raw Data'!AU110,'Raw Data'!AW110,'Raw Data'!AY110,'Raw Data'!BA110,'Raw Data'!BC110),"")</f>
        <v/>
      </c>
      <c r="T123" s="14">
        <f>IF(R123&lt;&gt;"",R123-S123,"")</f>
        <v/>
      </c>
      <c r="U123" s="14">
        <f>IF('Raw Data'!A110&lt;&gt;"",AVERAGE('Raw Data'!BD110,'Raw Data'!BF110,'Raw Data'!BH110,'Raw Data'!BJ110,'Raw Data'!BL110),"")</f>
        <v/>
      </c>
      <c r="V123" s="14">
        <f>IF('Raw Data'!A110&lt;&gt;"",AVERAGE('Raw Data'!BE110,'Raw Data'!BG110,'Raw Data'!BI110,'Raw Data'!BK110,'Raw Data'!BM110),"")</f>
        <v/>
      </c>
      <c r="W123" s="14">
        <f>IF(U123&lt;&gt;"",U123-V123,"")</f>
        <v/>
      </c>
      <c r="X123" s="14">
        <f>IF(A123&lt;&gt;"",AVERAGE(F123,I123,L123,O123,R123,U123),"")</f>
        <v/>
      </c>
      <c r="Y123" s="14">
        <f>IF(A123&lt;&gt;"",AVERAGE(G123,J123,M123,P123,S123,V123),"")</f>
        <v/>
      </c>
      <c r="Z123" s="14">
        <f>IF(A123&lt;&gt;"",X123-Y123,"")</f>
        <v/>
      </c>
      <c r="AA123" s="15">
        <f>IF(A123&lt;&gt;"",ROUND(MIN(100,100*((MAX(0,K123)*0.25)+(MAX(0,Q123)*0.20)+(MAX(0,W123)*0.20)+(MAX(0,H123)*0.15)+(MAX(0,N123)*0.10)+(MAX(0,T123)*0.10))/9),1),"")</f>
        <v/>
      </c>
      <c r="AB123" s="28">
        <f>IF(A123&lt;&gt;"",MIN(1,(0.5*AA123/100)+(0.3*MAX(0,K123)/9)+(0.2*MAX(0,Q123)/9)),"")</f>
        <v/>
      </c>
    </row>
    <row r="124">
      <c r="A124" s="13">
        <f>IF('Raw Data'!A111&lt;&gt;"",'Raw Data'!A111,"")</f>
        <v/>
      </c>
      <c r="B124" s="13">
        <f>IF('Raw Data'!B111&lt;&gt;"",'Raw Data'!B111,"")</f>
        <v/>
      </c>
      <c r="C124" s="13">
        <f>IF('Raw Data'!C111&lt;&gt;"",'Raw Data'!C111,"")</f>
        <v/>
      </c>
      <c r="D124" s="13">
        <f>IF('Raw Data'!D111&lt;&gt;"",'Raw Data'!D111,"")</f>
        <v/>
      </c>
      <c r="E124" s="13">
        <f>IF('Raw Data'!E111&lt;&gt;"",'Raw Data'!E111,"")</f>
        <v/>
      </c>
      <c r="F124" s="17">
        <f>IF('Raw Data'!A111&lt;&gt;"",AVERAGE('Raw Data'!F111,'Raw Data'!H111,'Raw Data'!J111,'Raw Data'!L111,'Raw Data'!N111),"")</f>
        <v/>
      </c>
      <c r="G124" s="17">
        <f>IF('Raw Data'!A111&lt;&gt;"",AVERAGE('Raw Data'!G111,'Raw Data'!I111,'Raw Data'!K111,'Raw Data'!M111,'Raw Data'!O111),"")</f>
        <v/>
      </c>
      <c r="H124" s="17">
        <f>IF(F124&lt;&gt;"",F124-G124,"")</f>
        <v/>
      </c>
      <c r="I124" s="17">
        <f>IF('Raw Data'!A111&lt;&gt;"",AVERAGE('Raw Data'!P111,'Raw Data'!R111,'Raw Data'!T111,'Raw Data'!V111,'Raw Data'!X111),"")</f>
        <v/>
      </c>
      <c r="J124" s="17">
        <f>IF('Raw Data'!A111&lt;&gt;"",AVERAGE('Raw Data'!Q111,'Raw Data'!S111,'Raw Data'!U111,'Raw Data'!W111,'Raw Data'!Y111),"")</f>
        <v/>
      </c>
      <c r="K124" s="17">
        <f>IF(I124&lt;&gt;"",I124-J124,"")</f>
        <v/>
      </c>
      <c r="L124" s="17">
        <f>IF('Raw Data'!A111&lt;&gt;"",AVERAGE('Raw Data'!Z111,'Raw Data'!AB111,'Raw Data'!AD111,'Raw Data'!AF111,'Raw Data'!AH111),"")</f>
        <v/>
      </c>
      <c r="M124" s="17">
        <f>IF('Raw Data'!A111&lt;&gt;"",AVERAGE('Raw Data'!AA111,'Raw Data'!AC111,'Raw Data'!AE111,'Raw Data'!AG111,'Raw Data'!AI111),"")</f>
        <v/>
      </c>
      <c r="N124" s="17">
        <f>IF(L124&lt;&gt;"",L124-M124,"")</f>
        <v/>
      </c>
      <c r="O124" s="17">
        <f>IF('Raw Data'!A111&lt;&gt;"",AVERAGE('Raw Data'!AJ111,'Raw Data'!AL111,'Raw Data'!AN111,'Raw Data'!AP111,'Raw Data'!AR111),"")</f>
        <v/>
      </c>
      <c r="P124" s="17">
        <f>IF('Raw Data'!A111&lt;&gt;"",AVERAGE('Raw Data'!AK111,'Raw Data'!AM111,'Raw Data'!AO111,'Raw Data'!AQ111,'Raw Data'!AS111),"")</f>
        <v/>
      </c>
      <c r="Q124" s="17">
        <f>IF(O124&lt;&gt;"",O124-P124,"")</f>
        <v/>
      </c>
      <c r="R124" s="17">
        <f>IF('Raw Data'!A111&lt;&gt;"",AVERAGE('Raw Data'!AT111,'Raw Data'!AV111,'Raw Data'!AX111,'Raw Data'!AZ111,'Raw Data'!BB111),"")</f>
        <v/>
      </c>
      <c r="S124" s="17">
        <f>IF('Raw Data'!A111&lt;&gt;"",AVERAGE('Raw Data'!AU111,'Raw Data'!AW111,'Raw Data'!AY111,'Raw Data'!BA111,'Raw Data'!BC111),"")</f>
        <v/>
      </c>
      <c r="T124" s="17">
        <f>IF(R124&lt;&gt;"",R124-S124,"")</f>
        <v/>
      </c>
      <c r="U124" s="17">
        <f>IF('Raw Data'!A111&lt;&gt;"",AVERAGE('Raw Data'!BD111,'Raw Data'!BF111,'Raw Data'!BH111,'Raw Data'!BJ111,'Raw Data'!BL111),"")</f>
        <v/>
      </c>
      <c r="V124" s="17">
        <f>IF('Raw Data'!A111&lt;&gt;"",AVERAGE('Raw Data'!BE111,'Raw Data'!BG111,'Raw Data'!BI111,'Raw Data'!BK111,'Raw Data'!BM111),"")</f>
        <v/>
      </c>
      <c r="W124" s="17">
        <f>IF(U124&lt;&gt;"",U124-V124,"")</f>
        <v/>
      </c>
      <c r="X124" s="17">
        <f>IF(A124&lt;&gt;"",AVERAGE(F124,I124,L124,O124,R124,U124),"")</f>
        <v/>
      </c>
      <c r="Y124" s="17">
        <f>IF(A124&lt;&gt;"",AVERAGE(G124,J124,M124,P124,S124,V124),"")</f>
        <v/>
      </c>
      <c r="Z124" s="17">
        <f>IF(A124&lt;&gt;"",X124-Y124,"")</f>
        <v/>
      </c>
      <c r="AA124" s="18">
        <f>IF(A124&lt;&gt;"",ROUND(MIN(100,100*((MAX(0,K124)*0.25)+(MAX(0,Q124)*0.20)+(MAX(0,W124)*0.20)+(MAX(0,H124)*0.15)+(MAX(0,N124)*0.10)+(MAX(0,T124)*0.10))/9),1),"")</f>
        <v/>
      </c>
      <c r="AB124" s="29">
        <f>IF(A124&lt;&gt;"",MIN(1,(0.5*AA124/100)+(0.3*MAX(0,K124)/9)+(0.2*MAX(0,Q124)/9)),"")</f>
        <v/>
      </c>
    </row>
    <row r="125">
      <c r="A125" s="4">
        <f>IF('Raw Data'!A112&lt;&gt;"",'Raw Data'!A112,"")</f>
        <v/>
      </c>
      <c r="B125" s="4">
        <f>IF('Raw Data'!B112&lt;&gt;"",'Raw Data'!B112,"")</f>
        <v/>
      </c>
      <c r="C125" s="4">
        <f>IF('Raw Data'!C112&lt;&gt;"",'Raw Data'!C112,"")</f>
        <v/>
      </c>
      <c r="D125" s="4">
        <f>IF('Raw Data'!D112&lt;&gt;"",'Raw Data'!D112,"")</f>
        <v/>
      </c>
      <c r="E125" s="4">
        <f>IF('Raw Data'!E112&lt;&gt;"",'Raw Data'!E112,"")</f>
        <v/>
      </c>
      <c r="F125" s="14">
        <f>IF('Raw Data'!A112&lt;&gt;"",AVERAGE('Raw Data'!F112,'Raw Data'!H112,'Raw Data'!J112,'Raw Data'!L112,'Raw Data'!N112),"")</f>
        <v/>
      </c>
      <c r="G125" s="14">
        <f>IF('Raw Data'!A112&lt;&gt;"",AVERAGE('Raw Data'!G112,'Raw Data'!I112,'Raw Data'!K112,'Raw Data'!M112,'Raw Data'!O112),"")</f>
        <v/>
      </c>
      <c r="H125" s="14">
        <f>IF(F125&lt;&gt;"",F125-G125,"")</f>
        <v/>
      </c>
      <c r="I125" s="14">
        <f>IF('Raw Data'!A112&lt;&gt;"",AVERAGE('Raw Data'!P112,'Raw Data'!R112,'Raw Data'!T112,'Raw Data'!V112,'Raw Data'!X112),"")</f>
        <v/>
      </c>
      <c r="J125" s="14">
        <f>IF('Raw Data'!A112&lt;&gt;"",AVERAGE('Raw Data'!Q112,'Raw Data'!S112,'Raw Data'!U112,'Raw Data'!W112,'Raw Data'!Y112),"")</f>
        <v/>
      </c>
      <c r="K125" s="14">
        <f>IF(I125&lt;&gt;"",I125-J125,"")</f>
        <v/>
      </c>
      <c r="L125" s="14">
        <f>IF('Raw Data'!A112&lt;&gt;"",AVERAGE('Raw Data'!Z112,'Raw Data'!AB112,'Raw Data'!AD112,'Raw Data'!AF112,'Raw Data'!AH112),"")</f>
        <v/>
      </c>
      <c r="M125" s="14">
        <f>IF('Raw Data'!A112&lt;&gt;"",AVERAGE('Raw Data'!AA112,'Raw Data'!AC112,'Raw Data'!AE112,'Raw Data'!AG112,'Raw Data'!AI112),"")</f>
        <v/>
      </c>
      <c r="N125" s="14">
        <f>IF(L125&lt;&gt;"",L125-M125,"")</f>
        <v/>
      </c>
      <c r="O125" s="14">
        <f>IF('Raw Data'!A112&lt;&gt;"",AVERAGE('Raw Data'!AJ112,'Raw Data'!AL112,'Raw Data'!AN112,'Raw Data'!AP112,'Raw Data'!AR112),"")</f>
        <v/>
      </c>
      <c r="P125" s="14">
        <f>IF('Raw Data'!A112&lt;&gt;"",AVERAGE('Raw Data'!AK112,'Raw Data'!AM112,'Raw Data'!AO112,'Raw Data'!AQ112,'Raw Data'!AS112),"")</f>
        <v/>
      </c>
      <c r="Q125" s="14">
        <f>IF(O125&lt;&gt;"",O125-P125,"")</f>
        <v/>
      </c>
      <c r="R125" s="14">
        <f>IF('Raw Data'!A112&lt;&gt;"",AVERAGE('Raw Data'!AT112,'Raw Data'!AV112,'Raw Data'!AX112,'Raw Data'!AZ112,'Raw Data'!BB112),"")</f>
        <v/>
      </c>
      <c r="S125" s="14">
        <f>IF('Raw Data'!A112&lt;&gt;"",AVERAGE('Raw Data'!AU112,'Raw Data'!AW112,'Raw Data'!AY112,'Raw Data'!BA112,'Raw Data'!BC112),"")</f>
        <v/>
      </c>
      <c r="T125" s="14">
        <f>IF(R125&lt;&gt;"",R125-S125,"")</f>
        <v/>
      </c>
      <c r="U125" s="14">
        <f>IF('Raw Data'!A112&lt;&gt;"",AVERAGE('Raw Data'!BD112,'Raw Data'!BF112,'Raw Data'!BH112,'Raw Data'!BJ112,'Raw Data'!BL112),"")</f>
        <v/>
      </c>
      <c r="V125" s="14">
        <f>IF('Raw Data'!A112&lt;&gt;"",AVERAGE('Raw Data'!BE112,'Raw Data'!BG112,'Raw Data'!BI112,'Raw Data'!BK112,'Raw Data'!BM112),"")</f>
        <v/>
      </c>
      <c r="W125" s="14">
        <f>IF(U125&lt;&gt;"",U125-V125,"")</f>
        <v/>
      </c>
      <c r="X125" s="14">
        <f>IF(A125&lt;&gt;"",AVERAGE(F125,I125,L125,O125,R125,U125),"")</f>
        <v/>
      </c>
      <c r="Y125" s="14">
        <f>IF(A125&lt;&gt;"",AVERAGE(G125,J125,M125,P125,S125,V125),"")</f>
        <v/>
      </c>
      <c r="Z125" s="14">
        <f>IF(A125&lt;&gt;"",X125-Y125,"")</f>
        <v/>
      </c>
      <c r="AA125" s="15">
        <f>IF(A125&lt;&gt;"",ROUND(MIN(100,100*((MAX(0,K125)*0.25)+(MAX(0,Q125)*0.20)+(MAX(0,W125)*0.20)+(MAX(0,H125)*0.15)+(MAX(0,N125)*0.10)+(MAX(0,T125)*0.10))/9),1),"")</f>
        <v/>
      </c>
      <c r="AB125" s="28">
        <f>IF(A125&lt;&gt;"",MIN(1,(0.5*AA125/100)+(0.3*MAX(0,K125)/9)+(0.2*MAX(0,Q125)/9)),"")</f>
        <v/>
      </c>
    </row>
    <row r="126">
      <c r="A126" s="13">
        <f>IF('Raw Data'!A113&lt;&gt;"",'Raw Data'!A113,"")</f>
        <v/>
      </c>
      <c r="B126" s="13">
        <f>IF('Raw Data'!B113&lt;&gt;"",'Raw Data'!B113,"")</f>
        <v/>
      </c>
      <c r="C126" s="13">
        <f>IF('Raw Data'!C113&lt;&gt;"",'Raw Data'!C113,"")</f>
        <v/>
      </c>
      <c r="D126" s="13">
        <f>IF('Raw Data'!D113&lt;&gt;"",'Raw Data'!D113,"")</f>
        <v/>
      </c>
      <c r="E126" s="13">
        <f>IF('Raw Data'!E113&lt;&gt;"",'Raw Data'!E113,"")</f>
        <v/>
      </c>
      <c r="F126" s="17">
        <f>IF('Raw Data'!A113&lt;&gt;"",AVERAGE('Raw Data'!F113,'Raw Data'!H113,'Raw Data'!J113,'Raw Data'!L113,'Raw Data'!N113),"")</f>
        <v/>
      </c>
      <c r="G126" s="17">
        <f>IF('Raw Data'!A113&lt;&gt;"",AVERAGE('Raw Data'!G113,'Raw Data'!I113,'Raw Data'!K113,'Raw Data'!M113,'Raw Data'!O113),"")</f>
        <v/>
      </c>
      <c r="H126" s="17">
        <f>IF(F126&lt;&gt;"",F126-G126,"")</f>
        <v/>
      </c>
      <c r="I126" s="17">
        <f>IF('Raw Data'!A113&lt;&gt;"",AVERAGE('Raw Data'!P113,'Raw Data'!R113,'Raw Data'!T113,'Raw Data'!V113,'Raw Data'!X113),"")</f>
        <v/>
      </c>
      <c r="J126" s="17">
        <f>IF('Raw Data'!A113&lt;&gt;"",AVERAGE('Raw Data'!Q113,'Raw Data'!S113,'Raw Data'!U113,'Raw Data'!W113,'Raw Data'!Y113),"")</f>
        <v/>
      </c>
      <c r="K126" s="17">
        <f>IF(I126&lt;&gt;"",I126-J126,"")</f>
        <v/>
      </c>
      <c r="L126" s="17">
        <f>IF('Raw Data'!A113&lt;&gt;"",AVERAGE('Raw Data'!Z113,'Raw Data'!AB113,'Raw Data'!AD113,'Raw Data'!AF113,'Raw Data'!AH113),"")</f>
        <v/>
      </c>
      <c r="M126" s="17">
        <f>IF('Raw Data'!A113&lt;&gt;"",AVERAGE('Raw Data'!AA113,'Raw Data'!AC113,'Raw Data'!AE113,'Raw Data'!AG113,'Raw Data'!AI113),"")</f>
        <v/>
      </c>
      <c r="N126" s="17">
        <f>IF(L126&lt;&gt;"",L126-M126,"")</f>
        <v/>
      </c>
      <c r="O126" s="17">
        <f>IF('Raw Data'!A113&lt;&gt;"",AVERAGE('Raw Data'!AJ113,'Raw Data'!AL113,'Raw Data'!AN113,'Raw Data'!AP113,'Raw Data'!AR113),"")</f>
        <v/>
      </c>
      <c r="P126" s="17">
        <f>IF('Raw Data'!A113&lt;&gt;"",AVERAGE('Raw Data'!AK113,'Raw Data'!AM113,'Raw Data'!AO113,'Raw Data'!AQ113,'Raw Data'!AS113),"")</f>
        <v/>
      </c>
      <c r="Q126" s="17">
        <f>IF(O126&lt;&gt;"",O126-P126,"")</f>
        <v/>
      </c>
      <c r="R126" s="17">
        <f>IF('Raw Data'!A113&lt;&gt;"",AVERAGE('Raw Data'!AT113,'Raw Data'!AV113,'Raw Data'!AX113,'Raw Data'!AZ113,'Raw Data'!BB113),"")</f>
        <v/>
      </c>
      <c r="S126" s="17">
        <f>IF('Raw Data'!A113&lt;&gt;"",AVERAGE('Raw Data'!AU113,'Raw Data'!AW113,'Raw Data'!AY113,'Raw Data'!BA113,'Raw Data'!BC113),"")</f>
        <v/>
      </c>
      <c r="T126" s="17">
        <f>IF(R126&lt;&gt;"",R126-S126,"")</f>
        <v/>
      </c>
      <c r="U126" s="17">
        <f>IF('Raw Data'!A113&lt;&gt;"",AVERAGE('Raw Data'!BD113,'Raw Data'!BF113,'Raw Data'!BH113,'Raw Data'!BJ113,'Raw Data'!BL113),"")</f>
        <v/>
      </c>
      <c r="V126" s="17">
        <f>IF('Raw Data'!A113&lt;&gt;"",AVERAGE('Raw Data'!BE113,'Raw Data'!BG113,'Raw Data'!BI113,'Raw Data'!BK113,'Raw Data'!BM113),"")</f>
        <v/>
      </c>
      <c r="W126" s="17">
        <f>IF(U126&lt;&gt;"",U126-V126,"")</f>
        <v/>
      </c>
      <c r="X126" s="17">
        <f>IF(A126&lt;&gt;"",AVERAGE(F126,I126,L126,O126,R126,U126),"")</f>
        <v/>
      </c>
      <c r="Y126" s="17">
        <f>IF(A126&lt;&gt;"",AVERAGE(G126,J126,M126,P126,S126,V126),"")</f>
        <v/>
      </c>
      <c r="Z126" s="17">
        <f>IF(A126&lt;&gt;"",X126-Y126,"")</f>
        <v/>
      </c>
      <c r="AA126" s="18">
        <f>IF(A126&lt;&gt;"",ROUND(MIN(100,100*((MAX(0,K126)*0.25)+(MAX(0,Q126)*0.20)+(MAX(0,W126)*0.20)+(MAX(0,H126)*0.15)+(MAX(0,N126)*0.10)+(MAX(0,T126)*0.10))/9),1),"")</f>
        <v/>
      </c>
      <c r="AB126" s="29">
        <f>IF(A126&lt;&gt;"",MIN(1,(0.5*AA126/100)+(0.3*MAX(0,K126)/9)+(0.2*MAX(0,Q126)/9)),"")</f>
        <v/>
      </c>
    </row>
    <row r="127">
      <c r="A127" s="4">
        <f>IF('Raw Data'!A114&lt;&gt;"",'Raw Data'!A114,"")</f>
        <v/>
      </c>
      <c r="B127" s="4">
        <f>IF('Raw Data'!B114&lt;&gt;"",'Raw Data'!B114,"")</f>
        <v/>
      </c>
      <c r="C127" s="4">
        <f>IF('Raw Data'!C114&lt;&gt;"",'Raw Data'!C114,"")</f>
        <v/>
      </c>
      <c r="D127" s="4">
        <f>IF('Raw Data'!D114&lt;&gt;"",'Raw Data'!D114,"")</f>
        <v/>
      </c>
      <c r="E127" s="4">
        <f>IF('Raw Data'!E114&lt;&gt;"",'Raw Data'!E114,"")</f>
        <v/>
      </c>
      <c r="F127" s="14">
        <f>IF('Raw Data'!A114&lt;&gt;"",AVERAGE('Raw Data'!F114,'Raw Data'!H114,'Raw Data'!J114,'Raw Data'!L114,'Raw Data'!N114),"")</f>
        <v/>
      </c>
      <c r="G127" s="14">
        <f>IF('Raw Data'!A114&lt;&gt;"",AVERAGE('Raw Data'!G114,'Raw Data'!I114,'Raw Data'!K114,'Raw Data'!M114,'Raw Data'!O114),"")</f>
        <v/>
      </c>
      <c r="H127" s="14">
        <f>IF(F127&lt;&gt;"",F127-G127,"")</f>
        <v/>
      </c>
      <c r="I127" s="14">
        <f>IF('Raw Data'!A114&lt;&gt;"",AVERAGE('Raw Data'!P114,'Raw Data'!R114,'Raw Data'!T114,'Raw Data'!V114,'Raw Data'!X114),"")</f>
        <v/>
      </c>
      <c r="J127" s="14">
        <f>IF('Raw Data'!A114&lt;&gt;"",AVERAGE('Raw Data'!Q114,'Raw Data'!S114,'Raw Data'!U114,'Raw Data'!W114,'Raw Data'!Y114),"")</f>
        <v/>
      </c>
      <c r="K127" s="14">
        <f>IF(I127&lt;&gt;"",I127-J127,"")</f>
        <v/>
      </c>
      <c r="L127" s="14">
        <f>IF('Raw Data'!A114&lt;&gt;"",AVERAGE('Raw Data'!Z114,'Raw Data'!AB114,'Raw Data'!AD114,'Raw Data'!AF114,'Raw Data'!AH114),"")</f>
        <v/>
      </c>
      <c r="M127" s="14">
        <f>IF('Raw Data'!A114&lt;&gt;"",AVERAGE('Raw Data'!AA114,'Raw Data'!AC114,'Raw Data'!AE114,'Raw Data'!AG114,'Raw Data'!AI114),"")</f>
        <v/>
      </c>
      <c r="N127" s="14">
        <f>IF(L127&lt;&gt;"",L127-M127,"")</f>
        <v/>
      </c>
      <c r="O127" s="14">
        <f>IF('Raw Data'!A114&lt;&gt;"",AVERAGE('Raw Data'!AJ114,'Raw Data'!AL114,'Raw Data'!AN114,'Raw Data'!AP114,'Raw Data'!AR114),"")</f>
        <v/>
      </c>
      <c r="P127" s="14">
        <f>IF('Raw Data'!A114&lt;&gt;"",AVERAGE('Raw Data'!AK114,'Raw Data'!AM114,'Raw Data'!AO114,'Raw Data'!AQ114,'Raw Data'!AS114),"")</f>
        <v/>
      </c>
      <c r="Q127" s="14">
        <f>IF(O127&lt;&gt;"",O127-P127,"")</f>
        <v/>
      </c>
      <c r="R127" s="14">
        <f>IF('Raw Data'!A114&lt;&gt;"",AVERAGE('Raw Data'!AT114,'Raw Data'!AV114,'Raw Data'!AX114,'Raw Data'!AZ114,'Raw Data'!BB114),"")</f>
        <v/>
      </c>
      <c r="S127" s="14">
        <f>IF('Raw Data'!A114&lt;&gt;"",AVERAGE('Raw Data'!AU114,'Raw Data'!AW114,'Raw Data'!AY114,'Raw Data'!BA114,'Raw Data'!BC114),"")</f>
        <v/>
      </c>
      <c r="T127" s="14">
        <f>IF(R127&lt;&gt;"",R127-S127,"")</f>
        <v/>
      </c>
      <c r="U127" s="14">
        <f>IF('Raw Data'!A114&lt;&gt;"",AVERAGE('Raw Data'!BD114,'Raw Data'!BF114,'Raw Data'!BH114,'Raw Data'!BJ114,'Raw Data'!BL114),"")</f>
        <v/>
      </c>
      <c r="V127" s="14">
        <f>IF('Raw Data'!A114&lt;&gt;"",AVERAGE('Raw Data'!BE114,'Raw Data'!BG114,'Raw Data'!BI114,'Raw Data'!BK114,'Raw Data'!BM114),"")</f>
        <v/>
      </c>
      <c r="W127" s="14">
        <f>IF(U127&lt;&gt;"",U127-V127,"")</f>
        <v/>
      </c>
      <c r="X127" s="14">
        <f>IF(A127&lt;&gt;"",AVERAGE(F127,I127,L127,O127,R127,U127),"")</f>
        <v/>
      </c>
      <c r="Y127" s="14">
        <f>IF(A127&lt;&gt;"",AVERAGE(G127,J127,M127,P127,S127,V127),"")</f>
        <v/>
      </c>
      <c r="Z127" s="14">
        <f>IF(A127&lt;&gt;"",X127-Y127,"")</f>
        <v/>
      </c>
      <c r="AA127" s="15">
        <f>IF(A127&lt;&gt;"",ROUND(MIN(100,100*((MAX(0,K127)*0.25)+(MAX(0,Q127)*0.20)+(MAX(0,W127)*0.20)+(MAX(0,H127)*0.15)+(MAX(0,N127)*0.10)+(MAX(0,T127)*0.10))/9),1),"")</f>
        <v/>
      </c>
      <c r="AB127" s="28">
        <f>IF(A127&lt;&gt;"",MIN(1,(0.5*AA127/100)+(0.3*MAX(0,K127)/9)+(0.2*MAX(0,Q127)/9)),"")</f>
        <v/>
      </c>
    </row>
    <row r="128">
      <c r="A128" s="13">
        <f>IF('Raw Data'!A115&lt;&gt;"",'Raw Data'!A115,"")</f>
        <v/>
      </c>
      <c r="B128" s="13">
        <f>IF('Raw Data'!B115&lt;&gt;"",'Raw Data'!B115,"")</f>
        <v/>
      </c>
      <c r="C128" s="13">
        <f>IF('Raw Data'!C115&lt;&gt;"",'Raw Data'!C115,"")</f>
        <v/>
      </c>
      <c r="D128" s="13">
        <f>IF('Raw Data'!D115&lt;&gt;"",'Raw Data'!D115,"")</f>
        <v/>
      </c>
      <c r="E128" s="13">
        <f>IF('Raw Data'!E115&lt;&gt;"",'Raw Data'!E115,"")</f>
        <v/>
      </c>
      <c r="F128" s="17">
        <f>IF('Raw Data'!A115&lt;&gt;"",AVERAGE('Raw Data'!F115,'Raw Data'!H115,'Raw Data'!J115,'Raw Data'!L115,'Raw Data'!N115),"")</f>
        <v/>
      </c>
      <c r="G128" s="17">
        <f>IF('Raw Data'!A115&lt;&gt;"",AVERAGE('Raw Data'!G115,'Raw Data'!I115,'Raw Data'!K115,'Raw Data'!M115,'Raw Data'!O115),"")</f>
        <v/>
      </c>
      <c r="H128" s="17">
        <f>IF(F128&lt;&gt;"",F128-G128,"")</f>
        <v/>
      </c>
      <c r="I128" s="17">
        <f>IF('Raw Data'!A115&lt;&gt;"",AVERAGE('Raw Data'!P115,'Raw Data'!R115,'Raw Data'!T115,'Raw Data'!V115,'Raw Data'!X115),"")</f>
        <v/>
      </c>
      <c r="J128" s="17">
        <f>IF('Raw Data'!A115&lt;&gt;"",AVERAGE('Raw Data'!Q115,'Raw Data'!S115,'Raw Data'!U115,'Raw Data'!W115,'Raw Data'!Y115),"")</f>
        <v/>
      </c>
      <c r="K128" s="17">
        <f>IF(I128&lt;&gt;"",I128-J128,"")</f>
        <v/>
      </c>
      <c r="L128" s="17">
        <f>IF('Raw Data'!A115&lt;&gt;"",AVERAGE('Raw Data'!Z115,'Raw Data'!AB115,'Raw Data'!AD115,'Raw Data'!AF115,'Raw Data'!AH115),"")</f>
        <v/>
      </c>
      <c r="M128" s="17">
        <f>IF('Raw Data'!A115&lt;&gt;"",AVERAGE('Raw Data'!AA115,'Raw Data'!AC115,'Raw Data'!AE115,'Raw Data'!AG115,'Raw Data'!AI115),"")</f>
        <v/>
      </c>
      <c r="N128" s="17">
        <f>IF(L128&lt;&gt;"",L128-M128,"")</f>
        <v/>
      </c>
      <c r="O128" s="17">
        <f>IF('Raw Data'!A115&lt;&gt;"",AVERAGE('Raw Data'!AJ115,'Raw Data'!AL115,'Raw Data'!AN115,'Raw Data'!AP115,'Raw Data'!AR115),"")</f>
        <v/>
      </c>
      <c r="P128" s="17">
        <f>IF('Raw Data'!A115&lt;&gt;"",AVERAGE('Raw Data'!AK115,'Raw Data'!AM115,'Raw Data'!AO115,'Raw Data'!AQ115,'Raw Data'!AS115),"")</f>
        <v/>
      </c>
      <c r="Q128" s="17">
        <f>IF(O128&lt;&gt;"",O128-P128,"")</f>
        <v/>
      </c>
      <c r="R128" s="17">
        <f>IF('Raw Data'!A115&lt;&gt;"",AVERAGE('Raw Data'!AT115,'Raw Data'!AV115,'Raw Data'!AX115,'Raw Data'!AZ115,'Raw Data'!BB115),"")</f>
        <v/>
      </c>
      <c r="S128" s="17">
        <f>IF('Raw Data'!A115&lt;&gt;"",AVERAGE('Raw Data'!AU115,'Raw Data'!AW115,'Raw Data'!AY115,'Raw Data'!BA115,'Raw Data'!BC115),"")</f>
        <v/>
      </c>
      <c r="T128" s="17">
        <f>IF(R128&lt;&gt;"",R128-S128,"")</f>
        <v/>
      </c>
      <c r="U128" s="17">
        <f>IF('Raw Data'!A115&lt;&gt;"",AVERAGE('Raw Data'!BD115,'Raw Data'!BF115,'Raw Data'!BH115,'Raw Data'!BJ115,'Raw Data'!BL115),"")</f>
        <v/>
      </c>
      <c r="V128" s="17">
        <f>IF('Raw Data'!A115&lt;&gt;"",AVERAGE('Raw Data'!BE115,'Raw Data'!BG115,'Raw Data'!BI115,'Raw Data'!BK115,'Raw Data'!BM115),"")</f>
        <v/>
      </c>
      <c r="W128" s="17">
        <f>IF(U128&lt;&gt;"",U128-V128,"")</f>
        <v/>
      </c>
      <c r="X128" s="17">
        <f>IF(A128&lt;&gt;"",AVERAGE(F128,I128,L128,O128,R128,U128),"")</f>
        <v/>
      </c>
      <c r="Y128" s="17">
        <f>IF(A128&lt;&gt;"",AVERAGE(G128,J128,M128,P128,S128,V128),"")</f>
        <v/>
      </c>
      <c r="Z128" s="17">
        <f>IF(A128&lt;&gt;"",X128-Y128,"")</f>
        <v/>
      </c>
      <c r="AA128" s="18">
        <f>IF(A128&lt;&gt;"",ROUND(MIN(100,100*((MAX(0,K128)*0.25)+(MAX(0,Q128)*0.20)+(MAX(0,W128)*0.20)+(MAX(0,H128)*0.15)+(MAX(0,N128)*0.10)+(MAX(0,T128)*0.10))/9),1),"")</f>
        <v/>
      </c>
      <c r="AB128" s="29">
        <f>IF(A128&lt;&gt;"",MIN(1,(0.5*AA128/100)+(0.3*MAX(0,K128)/9)+(0.2*MAX(0,Q128)/9)),"")</f>
        <v/>
      </c>
    </row>
    <row r="129">
      <c r="A129" s="4">
        <f>IF('Raw Data'!A116&lt;&gt;"",'Raw Data'!A116,"")</f>
        <v/>
      </c>
      <c r="B129" s="4">
        <f>IF('Raw Data'!B116&lt;&gt;"",'Raw Data'!B116,"")</f>
        <v/>
      </c>
      <c r="C129" s="4">
        <f>IF('Raw Data'!C116&lt;&gt;"",'Raw Data'!C116,"")</f>
        <v/>
      </c>
      <c r="D129" s="4">
        <f>IF('Raw Data'!D116&lt;&gt;"",'Raw Data'!D116,"")</f>
        <v/>
      </c>
      <c r="E129" s="4">
        <f>IF('Raw Data'!E116&lt;&gt;"",'Raw Data'!E116,"")</f>
        <v/>
      </c>
      <c r="F129" s="14">
        <f>IF('Raw Data'!A116&lt;&gt;"",AVERAGE('Raw Data'!F116,'Raw Data'!H116,'Raw Data'!J116,'Raw Data'!L116,'Raw Data'!N116),"")</f>
        <v/>
      </c>
      <c r="G129" s="14">
        <f>IF('Raw Data'!A116&lt;&gt;"",AVERAGE('Raw Data'!G116,'Raw Data'!I116,'Raw Data'!K116,'Raw Data'!M116,'Raw Data'!O116),"")</f>
        <v/>
      </c>
      <c r="H129" s="14">
        <f>IF(F129&lt;&gt;"",F129-G129,"")</f>
        <v/>
      </c>
      <c r="I129" s="14">
        <f>IF('Raw Data'!A116&lt;&gt;"",AVERAGE('Raw Data'!P116,'Raw Data'!R116,'Raw Data'!T116,'Raw Data'!V116,'Raw Data'!X116),"")</f>
        <v/>
      </c>
      <c r="J129" s="14">
        <f>IF('Raw Data'!A116&lt;&gt;"",AVERAGE('Raw Data'!Q116,'Raw Data'!S116,'Raw Data'!U116,'Raw Data'!W116,'Raw Data'!Y116),"")</f>
        <v/>
      </c>
      <c r="K129" s="14">
        <f>IF(I129&lt;&gt;"",I129-J129,"")</f>
        <v/>
      </c>
      <c r="L129" s="14">
        <f>IF('Raw Data'!A116&lt;&gt;"",AVERAGE('Raw Data'!Z116,'Raw Data'!AB116,'Raw Data'!AD116,'Raw Data'!AF116,'Raw Data'!AH116),"")</f>
        <v/>
      </c>
      <c r="M129" s="14">
        <f>IF('Raw Data'!A116&lt;&gt;"",AVERAGE('Raw Data'!AA116,'Raw Data'!AC116,'Raw Data'!AE116,'Raw Data'!AG116,'Raw Data'!AI116),"")</f>
        <v/>
      </c>
      <c r="N129" s="14">
        <f>IF(L129&lt;&gt;"",L129-M129,"")</f>
        <v/>
      </c>
      <c r="O129" s="14">
        <f>IF('Raw Data'!A116&lt;&gt;"",AVERAGE('Raw Data'!AJ116,'Raw Data'!AL116,'Raw Data'!AN116,'Raw Data'!AP116,'Raw Data'!AR116),"")</f>
        <v/>
      </c>
      <c r="P129" s="14">
        <f>IF('Raw Data'!A116&lt;&gt;"",AVERAGE('Raw Data'!AK116,'Raw Data'!AM116,'Raw Data'!AO116,'Raw Data'!AQ116,'Raw Data'!AS116),"")</f>
        <v/>
      </c>
      <c r="Q129" s="14">
        <f>IF(O129&lt;&gt;"",O129-P129,"")</f>
        <v/>
      </c>
      <c r="R129" s="14">
        <f>IF('Raw Data'!A116&lt;&gt;"",AVERAGE('Raw Data'!AT116,'Raw Data'!AV116,'Raw Data'!AX116,'Raw Data'!AZ116,'Raw Data'!BB116),"")</f>
        <v/>
      </c>
      <c r="S129" s="14">
        <f>IF('Raw Data'!A116&lt;&gt;"",AVERAGE('Raw Data'!AU116,'Raw Data'!AW116,'Raw Data'!AY116,'Raw Data'!BA116,'Raw Data'!BC116),"")</f>
        <v/>
      </c>
      <c r="T129" s="14">
        <f>IF(R129&lt;&gt;"",R129-S129,"")</f>
        <v/>
      </c>
      <c r="U129" s="14">
        <f>IF('Raw Data'!A116&lt;&gt;"",AVERAGE('Raw Data'!BD116,'Raw Data'!BF116,'Raw Data'!BH116,'Raw Data'!BJ116,'Raw Data'!BL116),"")</f>
        <v/>
      </c>
      <c r="V129" s="14">
        <f>IF('Raw Data'!A116&lt;&gt;"",AVERAGE('Raw Data'!BE116,'Raw Data'!BG116,'Raw Data'!BI116,'Raw Data'!BK116,'Raw Data'!BM116),"")</f>
        <v/>
      </c>
      <c r="W129" s="14">
        <f>IF(U129&lt;&gt;"",U129-V129,"")</f>
        <v/>
      </c>
      <c r="X129" s="14">
        <f>IF(A129&lt;&gt;"",AVERAGE(F129,I129,L129,O129,R129,U129),"")</f>
        <v/>
      </c>
      <c r="Y129" s="14">
        <f>IF(A129&lt;&gt;"",AVERAGE(G129,J129,M129,P129,S129,V129),"")</f>
        <v/>
      </c>
      <c r="Z129" s="14">
        <f>IF(A129&lt;&gt;"",X129-Y129,"")</f>
        <v/>
      </c>
      <c r="AA129" s="15">
        <f>IF(A129&lt;&gt;"",ROUND(MIN(100,100*((MAX(0,K129)*0.25)+(MAX(0,Q129)*0.20)+(MAX(0,W129)*0.20)+(MAX(0,H129)*0.15)+(MAX(0,N129)*0.10)+(MAX(0,T129)*0.10))/9),1),"")</f>
        <v/>
      </c>
      <c r="AB129" s="28">
        <f>IF(A129&lt;&gt;"",MIN(1,(0.5*AA129/100)+(0.3*MAX(0,K129)/9)+(0.2*MAX(0,Q129)/9)),"")</f>
        <v/>
      </c>
    </row>
    <row r="130">
      <c r="A130" s="13">
        <f>IF('Raw Data'!A117&lt;&gt;"",'Raw Data'!A117,"")</f>
        <v/>
      </c>
      <c r="B130" s="13">
        <f>IF('Raw Data'!B117&lt;&gt;"",'Raw Data'!B117,"")</f>
        <v/>
      </c>
      <c r="C130" s="13">
        <f>IF('Raw Data'!C117&lt;&gt;"",'Raw Data'!C117,"")</f>
        <v/>
      </c>
      <c r="D130" s="13">
        <f>IF('Raw Data'!D117&lt;&gt;"",'Raw Data'!D117,"")</f>
        <v/>
      </c>
      <c r="E130" s="13">
        <f>IF('Raw Data'!E117&lt;&gt;"",'Raw Data'!E117,"")</f>
        <v/>
      </c>
      <c r="F130" s="17">
        <f>IF('Raw Data'!A117&lt;&gt;"",AVERAGE('Raw Data'!F117,'Raw Data'!H117,'Raw Data'!J117,'Raw Data'!L117,'Raw Data'!N117),"")</f>
        <v/>
      </c>
      <c r="G130" s="17">
        <f>IF('Raw Data'!A117&lt;&gt;"",AVERAGE('Raw Data'!G117,'Raw Data'!I117,'Raw Data'!K117,'Raw Data'!M117,'Raw Data'!O117),"")</f>
        <v/>
      </c>
      <c r="H130" s="17">
        <f>IF(F130&lt;&gt;"",F130-G130,"")</f>
        <v/>
      </c>
      <c r="I130" s="17">
        <f>IF('Raw Data'!A117&lt;&gt;"",AVERAGE('Raw Data'!P117,'Raw Data'!R117,'Raw Data'!T117,'Raw Data'!V117,'Raw Data'!X117),"")</f>
        <v/>
      </c>
      <c r="J130" s="17">
        <f>IF('Raw Data'!A117&lt;&gt;"",AVERAGE('Raw Data'!Q117,'Raw Data'!S117,'Raw Data'!U117,'Raw Data'!W117,'Raw Data'!Y117),"")</f>
        <v/>
      </c>
      <c r="K130" s="17">
        <f>IF(I130&lt;&gt;"",I130-J130,"")</f>
        <v/>
      </c>
      <c r="L130" s="17">
        <f>IF('Raw Data'!A117&lt;&gt;"",AVERAGE('Raw Data'!Z117,'Raw Data'!AB117,'Raw Data'!AD117,'Raw Data'!AF117,'Raw Data'!AH117),"")</f>
        <v/>
      </c>
      <c r="M130" s="17">
        <f>IF('Raw Data'!A117&lt;&gt;"",AVERAGE('Raw Data'!AA117,'Raw Data'!AC117,'Raw Data'!AE117,'Raw Data'!AG117,'Raw Data'!AI117),"")</f>
        <v/>
      </c>
      <c r="N130" s="17">
        <f>IF(L130&lt;&gt;"",L130-M130,"")</f>
        <v/>
      </c>
      <c r="O130" s="17">
        <f>IF('Raw Data'!A117&lt;&gt;"",AVERAGE('Raw Data'!AJ117,'Raw Data'!AL117,'Raw Data'!AN117,'Raw Data'!AP117,'Raw Data'!AR117),"")</f>
        <v/>
      </c>
      <c r="P130" s="17">
        <f>IF('Raw Data'!A117&lt;&gt;"",AVERAGE('Raw Data'!AK117,'Raw Data'!AM117,'Raw Data'!AO117,'Raw Data'!AQ117,'Raw Data'!AS117),"")</f>
        <v/>
      </c>
      <c r="Q130" s="17">
        <f>IF(O130&lt;&gt;"",O130-P130,"")</f>
        <v/>
      </c>
      <c r="R130" s="17">
        <f>IF('Raw Data'!A117&lt;&gt;"",AVERAGE('Raw Data'!AT117,'Raw Data'!AV117,'Raw Data'!AX117,'Raw Data'!AZ117,'Raw Data'!BB117),"")</f>
        <v/>
      </c>
      <c r="S130" s="17">
        <f>IF('Raw Data'!A117&lt;&gt;"",AVERAGE('Raw Data'!AU117,'Raw Data'!AW117,'Raw Data'!AY117,'Raw Data'!BA117,'Raw Data'!BC117),"")</f>
        <v/>
      </c>
      <c r="T130" s="17">
        <f>IF(R130&lt;&gt;"",R130-S130,"")</f>
        <v/>
      </c>
      <c r="U130" s="17">
        <f>IF('Raw Data'!A117&lt;&gt;"",AVERAGE('Raw Data'!BD117,'Raw Data'!BF117,'Raw Data'!BH117,'Raw Data'!BJ117,'Raw Data'!BL117),"")</f>
        <v/>
      </c>
      <c r="V130" s="17">
        <f>IF('Raw Data'!A117&lt;&gt;"",AVERAGE('Raw Data'!BE117,'Raw Data'!BG117,'Raw Data'!BI117,'Raw Data'!BK117,'Raw Data'!BM117),"")</f>
        <v/>
      </c>
      <c r="W130" s="17">
        <f>IF(U130&lt;&gt;"",U130-V130,"")</f>
        <v/>
      </c>
      <c r="X130" s="17">
        <f>IF(A130&lt;&gt;"",AVERAGE(F130,I130,L130,O130,R130,U130),"")</f>
        <v/>
      </c>
      <c r="Y130" s="17">
        <f>IF(A130&lt;&gt;"",AVERAGE(G130,J130,M130,P130,S130,V130),"")</f>
        <v/>
      </c>
      <c r="Z130" s="17">
        <f>IF(A130&lt;&gt;"",X130-Y130,"")</f>
        <v/>
      </c>
      <c r="AA130" s="18">
        <f>IF(A130&lt;&gt;"",ROUND(MIN(100,100*((MAX(0,K130)*0.25)+(MAX(0,Q130)*0.20)+(MAX(0,W130)*0.20)+(MAX(0,H130)*0.15)+(MAX(0,N130)*0.10)+(MAX(0,T130)*0.10))/9),1),"")</f>
        <v/>
      </c>
      <c r="AB130" s="29">
        <f>IF(A130&lt;&gt;"",MIN(1,(0.5*AA130/100)+(0.3*MAX(0,K130)/9)+(0.2*MAX(0,Q130)/9)),"")</f>
        <v/>
      </c>
    </row>
    <row r="131">
      <c r="A131" s="4">
        <f>IF('Raw Data'!A118&lt;&gt;"",'Raw Data'!A118,"")</f>
        <v/>
      </c>
      <c r="B131" s="4">
        <f>IF('Raw Data'!B118&lt;&gt;"",'Raw Data'!B118,"")</f>
        <v/>
      </c>
      <c r="C131" s="4">
        <f>IF('Raw Data'!C118&lt;&gt;"",'Raw Data'!C118,"")</f>
        <v/>
      </c>
      <c r="D131" s="4">
        <f>IF('Raw Data'!D118&lt;&gt;"",'Raw Data'!D118,"")</f>
        <v/>
      </c>
      <c r="E131" s="4">
        <f>IF('Raw Data'!E118&lt;&gt;"",'Raw Data'!E118,"")</f>
        <v/>
      </c>
      <c r="F131" s="14">
        <f>IF('Raw Data'!A118&lt;&gt;"",AVERAGE('Raw Data'!F118,'Raw Data'!H118,'Raw Data'!J118,'Raw Data'!L118,'Raw Data'!N118),"")</f>
        <v/>
      </c>
      <c r="G131" s="14">
        <f>IF('Raw Data'!A118&lt;&gt;"",AVERAGE('Raw Data'!G118,'Raw Data'!I118,'Raw Data'!K118,'Raw Data'!M118,'Raw Data'!O118),"")</f>
        <v/>
      </c>
      <c r="H131" s="14">
        <f>IF(F131&lt;&gt;"",F131-G131,"")</f>
        <v/>
      </c>
      <c r="I131" s="14">
        <f>IF('Raw Data'!A118&lt;&gt;"",AVERAGE('Raw Data'!P118,'Raw Data'!R118,'Raw Data'!T118,'Raw Data'!V118,'Raw Data'!X118),"")</f>
        <v/>
      </c>
      <c r="J131" s="14">
        <f>IF('Raw Data'!A118&lt;&gt;"",AVERAGE('Raw Data'!Q118,'Raw Data'!S118,'Raw Data'!U118,'Raw Data'!W118,'Raw Data'!Y118),"")</f>
        <v/>
      </c>
      <c r="K131" s="14">
        <f>IF(I131&lt;&gt;"",I131-J131,"")</f>
        <v/>
      </c>
      <c r="L131" s="14">
        <f>IF('Raw Data'!A118&lt;&gt;"",AVERAGE('Raw Data'!Z118,'Raw Data'!AB118,'Raw Data'!AD118,'Raw Data'!AF118,'Raw Data'!AH118),"")</f>
        <v/>
      </c>
      <c r="M131" s="14">
        <f>IF('Raw Data'!A118&lt;&gt;"",AVERAGE('Raw Data'!AA118,'Raw Data'!AC118,'Raw Data'!AE118,'Raw Data'!AG118,'Raw Data'!AI118),"")</f>
        <v/>
      </c>
      <c r="N131" s="14">
        <f>IF(L131&lt;&gt;"",L131-M131,"")</f>
        <v/>
      </c>
      <c r="O131" s="14">
        <f>IF('Raw Data'!A118&lt;&gt;"",AVERAGE('Raw Data'!AJ118,'Raw Data'!AL118,'Raw Data'!AN118,'Raw Data'!AP118,'Raw Data'!AR118),"")</f>
        <v/>
      </c>
      <c r="P131" s="14">
        <f>IF('Raw Data'!A118&lt;&gt;"",AVERAGE('Raw Data'!AK118,'Raw Data'!AM118,'Raw Data'!AO118,'Raw Data'!AQ118,'Raw Data'!AS118),"")</f>
        <v/>
      </c>
      <c r="Q131" s="14">
        <f>IF(O131&lt;&gt;"",O131-P131,"")</f>
        <v/>
      </c>
      <c r="R131" s="14">
        <f>IF('Raw Data'!A118&lt;&gt;"",AVERAGE('Raw Data'!AT118,'Raw Data'!AV118,'Raw Data'!AX118,'Raw Data'!AZ118,'Raw Data'!BB118),"")</f>
        <v/>
      </c>
      <c r="S131" s="14">
        <f>IF('Raw Data'!A118&lt;&gt;"",AVERAGE('Raw Data'!AU118,'Raw Data'!AW118,'Raw Data'!AY118,'Raw Data'!BA118,'Raw Data'!BC118),"")</f>
        <v/>
      </c>
      <c r="T131" s="14">
        <f>IF(R131&lt;&gt;"",R131-S131,"")</f>
        <v/>
      </c>
      <c r="U131" s="14">
        <f>IF('Raw Data'!A118&lt;&gt;"",AVERAGE('Raw Data'!BD118,'Raw Data'!BF118,'Raw Data'!BH118,'Raw Data'!BJ118,'Raw Data'!BL118),"")</f>
        <v/>
      </c>
      <c r="V131" s="14">
        <f>IF('Raw Data'!A118&lt;&gt;"",AVERAGE('Raw Data'!BE118,'Raw Data'!BG118,'Raw Data'!BI118,'Raw Data'!BK118,'Raw Data'!BM118),"")</f>
        <v/>
      </c>
      <c r="W131" s="14">
        <f>IF(U131&lt;&gt;"",U131-V131,"")</f>
        <v/>
      </c>
      <c r="X131" s="14">
        <f>IF(A131&lt;&gt;"",AVERAGE(F131,I131,L131,O131,R131,U131),"")</f>
        <v/>
      </c>
      <c r="Y131" s="14">
        <f>IF(A131&lt;&gt;"",AVERAGE(G131,J131,M131,P131,S131,V131),"")</f>
        <v/>
      </c>
      <c r="Z131" s="14">
        <f>IF(A131&lt;&gt;"",X131-Y131,"")</f>
        <v/>
      </c>
      <c r="AA131" s="15">
        <f>IF(A131&lt;&gt;"",ROUND(MIN(100,100*((MAX(0,K131)*0.25)+(MAX(0,Q131)*0.20)+(MAX(0,W131)*0.20)+(MAX(0,H131)*0.15)+(MAX(0,N131)*0.10)+(MAX(0,T131)*0.10))/9),1),"")</f>
        <v/>
      </c>
      <c r="AB131" s="28">
        <f>IF(A131&lt;&gt;"",MIN(1,(0.5*AA131/100)+(0.3*MAX(0,K131)/9)+(0.2*MAX(0,Q131)/9)),"")</f>
        <v/>
      </c>
    </row>
    <row r="132">
      <c r="A132" s="13">
        <f>IF('Raw Data'!A119&lt;&gt;"",'Raw Data'!A119,"")</f>
        <v/>
      </c>
      <c r="B132" s="13">
        <f>IF('Raw Data'!B119&lt;&gt;"",'Raw Data'!B119,"")</f>
        <v/>
      </c>
      <c r="C132" s="13">
        <f>IF('Raw Data'!C119&lt;&gt;"",'Raw Data'!C119,"")</f>
        <v/>
      </c>
      <c r="D132" s="13">
        <f>IF('Raw Data'!D119&lt;&gt;"",'Raw Data'!D119,"")</f>
        <v/>
      </c>
      <c r="E132" s="13">
        <f>IF('Raw Data'!E119&lt;&gt;"",'Raw Data'!E119,"")</f>
        <v/>
      </c>
      <c r="F132" s="17">
        <f>IF('Raw Data'!A119&lt;&gt;"",AVERAGE('Raw Data'!F119,'Raw Data'!H119,'Raw Data'!J119,'Raw Data'!L119,'Raw Data'!N119),"")</f>
        <v/>
      </c>
      <c r="G132" s="17">
        <f>IF('Raw Data'!A119&lt;&gt;"",AVERAGE('Raw Data'!G119,'Raw Data'!I119,'Raw Data'!K119,'Raw Data'!M119,'Raw Data'!O119),"")</f>
        <v/>
      </c>
      <c r="H132" s="17">
        <f>IF(F132&lt;&gt;"",F132-G132,"")</f>
        <v/>
      </c>
      <c r="I132" s="17">
        <f>IF('Raw Data'!A119&lt;&gt;"",AVERAGE('Raw Data'!P119,'Raw Data'!R119,'Raw Data'!T119,'Raw Data'!V119,'Raw Data'!X119),"")</f>
        <v/>
      </c>
      <c r="J132" s="17">
        <f>IF('Raw Data'!A119&lt;&gt;"",AVERAGE('Raw Data'!Q119,'Raw Data'!S119,'Raw Data'!U119,'Raw Data'!W119,'Raw Data'!Y119),"")</f>
        <v/>
      </c>
      <c r="K132" s="17">
        <f>IF(I132&lt;&gt;"",I132-J132,"")</f>
        <v/>
      </c>
      <c r="L132" s="17">
        <f>IF('Raw Data'!A119&lt;&gt;"",AVERAGE('Raw Data'!Z119,'Raw Data'!AB119,'Raw Data'!AD119,'Raw Data'!AF119,'Raw Data'!AH119),"")</f>
        <v/>
      </c>
      <c r="M132" s="17">
        <f>IF('Raw Data'!A119&lt;&gt;"",AVERAGE('Raw Data'!AA119,'Raw Data'!AC119,'Raw Data'!AE119,'Raw Data'!AG119,'Raw Data'!AI119),"")</f>
        <v/>
      </c>
      <c r="N132" s="17">
        <f>IF(L132&lt;&gt;"",L132-M132,"")</f>
        <v/>
      </c>
      <c r="O132" s="17">
        <f>IF('Raw Data'!A119&lt;&gt;"",AVERAGE('Raw Data'!AJ119,'Raw Data'!AL119,'Raw Data'!AN119,'Raw Data'!AP119,'Raw Data'!AR119),"")</f>
        <v/>
      </c>
      <c r="P132" s="17">
        <f>IF('Raw Data'!A119&lt;&gt;"",AVERAGE('Raw Data'!AK119,'Raw Data'!AM119,'Raw Data'!AO119,'Raw Data'!AQ119,'Raw Data'!AS119),"")</f>
        <v/>
      </c>
      <c r="Q132" s="17">
        <f>IF(O132&lt;&gt;"",O132-P132,"")</f>
        <v/>
      </c>
      <c r="R132" s="17">
        <f>IF('Raw Data'!A119&lt;&gt;"",AVERAGE('Raw Data'!AT119,'Raw Data'!AV119,'Raw Data'!AX119,'Raw Data'!AZ119,'Raw Data'!BB119),"")</f>
        <v/>
      </c>
      <c r="S132" s="17">
        <f>IF('Raw Data'!A119&lt;&gt;"",AVERAGE('Raw Data'!AU119,'Raw Data'!AW119,'Raw Data'!AY119,'Raw Data'!BA119,'Raw Data'!BC119),"")</f>
        <v/>
      </c>
      <c r="T132" s="17">
        <f>IF(R132&lt;&gt;"",R132-S132,"")</f>
        <v/>
      </c>
      <c r="U132" s="17">
        <f>IF('Raw Data'!A119&lt;&gt;"",AVERAGE('Raw Data'!BD119,'Raw Data'!BF119,'Raw Data'!BH119,'Raw Data'!BJ119,'Raw Data'!BL119),"")</f>
        <v/>
      </c>
      <c r="V132" s="17">
        <f>IF('Raw Data'!A119&lt;&gt;"",AVERAGE('Raw Data'!BE119,'Raw Data'!BG119,'Raw Data'!BI119,'Raw Data'!BK119,'Raw Data'!BM119),"")</f>
        <v/>
      </c>
      <c r="W132" s="17">
        <f>IF(U132&lt;&gt;"",U132-V132,"")</f>
        <v/>
      </c>
      <c r="X132" s="17">
        <f>IF(A132&lt;&gt;"",AVERAGE(F132,I132,L132,O132,R132,U132),"")</f>
        <v/>
      </c>
      <c r="Y132" s="17">
        <f>IF(A132&lt;&gt;"",AVERAGE(G132,J132,M132,P132,S132,V132),"")</f>
        <v/>
      </c>
      <c r="Z132" s="17">
        <f>IF(A132&lt;&gt;"",X132-Y132,"")</f>
        <v/>
      </c>
      <c r="AA132" s="18">
        <f>IF(A132&lt;&gt;"",ROUND(MIN(100,100*((MAX(0,K132)*0.25)+(MAX(0,Q132)*0.20)+(MAX(0,W132)*0.20)+(MAX(0,H132)*0.15)+(MAX(0,N132)*0.10)+(MAX(0,T132)*0.10))/9),1),"")</f>
        <v/>
      </c>
      <c r="AB132" s="29">
        <f>IF(A132&lt;&gt;"",MIN(1,(0.5*AA132/100)+(0.3*MAX(0,K132)/9)+(0.2*MAX(0,Q132)/9)),"")</f>
        <v/>
      </c>
    </row>
    <row r="133">
      <c r="A133" s="4">
        <f>IF('Raw Data'!A120&lt;&gt;"",'Raw Data'!A120,"")</f>
        <v/>
      </c>
      <c r="B133" s="4">
        <f>IF('Raw Data'!B120&lt;&gt;"",'Raw Data'!B120,"")</f>
        <v/>
      </c>
      <c r="C133" s="4">
        <f>IF('Raw Data'!C120&lt;&gt;"",'Raw Data'!C120,"")</f>
        <v/>
      </c>
      <c r="D133" s="4">
        <f>IF('Raw Data'!D120&lt;&gt;"",'Raw Data'!D120,"")</f>
        <v/>
      </c>
      <c r="E133" s="4">
        <f>IF('Raw Data'!E120&lt;&gt;"",'Raw Data'!E120,"")</f>
        <v/>
      </c>
      <c r="F133" s="14">
        <f>IF('Raw Data'!A120&lt;&gt;"",AVERAGE('Raw Data'!F120,'Raw Data'!H120,'Raw Data'!J120,'Raw Data'!L120,'Raw Data'!N120),"")</f>
        <v/>
      </c>
      <c r="G133" s="14">
        <f>IF('Raw Data'!A120&lt;&gt;"",AVERAGE('Raw Data'!G120,'Raw Data'!I120,'Raw Data'!K120,'Raw Data'!M120,'Raw Data'!O120),"")</f>
        <v/>
      </c>
      <c r="H133" s="14">
        <f>IF(F133&lt;&gt;"",F133-G133,"")</f>
        <v/>
      </c>
      <c r="I133" s="14">
        <f>IF('Raw Data'!A120&lt;&gt;"",AVERAGE('Raw Data'!P120,'Raw Data'!R120,'Raw Data'!T120,'Raw Data'!V120,'Raw Data'!X120),"")</f>
        <v/>
      </c>
      <c r="J133" s="14">
        <f>IF('Raw Data'!A120&lt;&gt;"",AVERAGE('Raw Data'!Q120,'Raw Data'!S120,'Raw Data'!U120,'Raw Data'!W120,'Raw Data'!Y120),"")</f>
        <v/>
      </c>
      <c r="K133" s="14">
        <f>IF(I133&lt;&gt;"",I133-J133,"")</f>
        <v/>
      </c>
      <c r="L133" s="14">
        <f>IF('Raw Data'!A120&lt;&gt;"",AVERAGE('Raw Data'!Z120,'Raw Data'!AB120,'Raw Data'!AD120,'Raw Data'!AF120,'Raw Data'!AH120),"")</f>
        <v/>
      </c>
      <c r="M133" s="14">
        <f>IF('Raw Data'!A120&lt;&gt;"",AVERAGE('Raw Data'!AA120,'Raw Data'!AC120,'Raw Data'!AE120,'Raw Data'!AG120,'Raw Data'!AI120),"")</f>
        <v/>
      </c>
      <c r="N133" s="14">
        <f>IF(L133&lt;&gt;"",L133-M133,"")</f>
        <v/>
      </c>
      <c r="O133" s="14">
        <f>IF('Raw Data'!A120&lt;&gt;"",AVERAGE('Raw Data'!AJ120,'Raw Data'!AL120,'Raw Data'!AN120,'Raw Data'!AP120,'Raw Data'!AR120),"")</f>
        <v/>
      </c>
      <c r="P133" s="14">
        <f>IF('Raw Data'!A120&lt;&gt;"",AVERAGE('Raw Data'!AK120,'Raw Data'!AM120,'Raw Data'!AO120,'Raw Data'!AQ120,'Raw Data'!AS120),"")</f>
        <v/>
      </c>
      <c r="Q133" s="14">
        <f>IF(O133&lt;&gt;"",O133-P133,"")</f>
        <v/>
      </c>
      <c r="R133" s="14">
        <f>IF('Raw Data'!A120&lt;&gt;"",AVERAGE('Raw Data'!AT120,'Raw Data'!AV120,'Raw Data'!AX120,'Raw Data'!AZ120,'Raw Data'!BB120),"")</f>
        <v/>
      </c>
      <c r="S133" s="14">
        <f>IF('Raw Data'!A120&lt;&gt;"",AVERAGE('Raw Data'!AU120,'Raw Data'!AW120,'Raw Data'!AY120,'Raw Data'!BA120,'Raw Data'!BC120),"")</f>
        <v/>
      </c>
      <c r="T133" s="14">
        <f>IF(R133&lt;&gt;"",R133-S133,"")</f>
        <v/>
      </c>
      <c r="U133" s="14">
        <f>IF('Raw Data'!A120&lt;&gt;"",AVERAGE('Raw Data'!BD120,'Raw Data'!BF120,'Raw Data'!BH120,'Raw Data'!BJ120,'Raw Data'!BL120),"")</f>
        <v/>
      </c>
      <c r="V133" s="14">
        <f>IF('Raw Data'!A120&lt;&gt;"",AVERAGE('Raw Data'!BE120,'Raw Data'!BG120,'Raw Data'!BI120,'Raw Data'!BK120,'Raw Data'!BM120),"")</f>
        <v/>
      </c>
      <c r="W133" s="14">
        <f>IF(U133&lt;&gt;"",U133-V133,"")</f>
        <v/>
      </c>
      <c r="X133" s="14">
        <f>IF(A133&lt;&gt;"",AVERAGE(F133,I133,L133,O133,R133,U133),"")</f>
        <v/>
      </c>
      <c r="Y133" s="14">
        <f>IF(A133&lt;&gt;"",AVERAGE(G133,J133,M133,P133,S133,V133),"")</f>
        <v/>
      </c>
      <c r="Z133" s="14">
        <f>IF(A133&lt;&gt;"",X133-Y133,"")</f>
        <v/>
      </c>
      <c r="AA133" s="15">
        <f>IF(A133&lt;&gt;"",ROUND(MIN(100,100*((MAX(0,K133)*0.25)+(MAX(0,Q133)*0.20)+(MAX(0,W133)*0.20)+(MAX(0,H133)*0.15)+(MAX(0,N133)*0.10)+(MAX(0,T133)*0.10))/9),1),"")</f>
        <v/>
      </c>
      <c r="AB133" s="28">
        <f>IF(A133&lt;&gt;"",MIN(1,(0.5*AA133/100)+(0.3*MAX(0,K133)/9)+(0.2*MAX(0,Q133)/9)),"")</f>
        <v/>
      </c>
    </row>
    <row r="134">
      <c r="A134" s="13">
        <f>IF('Raw Data'!A121&lt;&gt;"",'Raw Data'!A121,"")</f>
        <v/>
      </c>
      <c r="B134" s="13">
        <f>IF('Raw Data'!B121&lt;&gt;"",'Raw Data'!B121,"")</f>
        <v/>
      </c>
      <c r="C134" s="13">
        <f>IF('Raw Data'!C121&lt;&gt;"",'Raw Data'!C121,"")</f>
        <v/>
      </c>
      <c r="D134" s="13">
        <f>IF('Raw Data'!D121&lt;&gt;"",'Raw Data'!D121,"")</f>
        <v/>
      </c>
      <c r="E134" s="13">
        <f>IF('Raw Data'!E121&lt;&gt;"",'Raw Data'!E121,"")</f>
        <v/>
      </c>
      <c r="F134" s="17">
        <f>IF('Raw Data'!A121&lt;&gt;"",AVERAGE('Raw Data'!F121,'Raw Data'!H121,'Raw Data'!J121,'Raw Data'!L121,'Raw Data'!N121),"")</f>
        <v/>
      </c>
      <c r="G134" s="17">
        <f>IF('Raw Data'!A121&lt;&gt;"",AVERAGE('Raw Data'!G121,'Raw Data'!I121,'Raw Data'!K121,'Raw Data'!M121,'Raw Data'!O121),"")</f>
        <v/>
      </c>
      <c r="H134" s="17">
        <f>IF(F134&lt;&gt;"",F134-G134,"")</f>
        <v/>
      </c>
      <c r="I134" s="17">
        <f>IF('Raw Data'!A121&lt;&gt;"",AVERAGE('Raw Data'!P121,'Raw Data'!R121,'Raw Data'!T121,'Raw Data'!V121,'Raw Data'!X121),"")</f>
        <v/>
      </c>
      <c r="J134" s="17">
        <f>IF('Raw Data'!A121&lt;&gt;"",AVERAGE('Raw Data'!Q121,'Raw Data'!S121,'Raw Data'!U121,'Raw Data'!W121,'Raw Data'!Y121),"")</f>
        <v/>
      </c>
      <c r="K134" s="17">
        <f>IF(I134&lt;&gt;"",I134-J134,"")</f>
        <v/>
      </c>
      <c r="L134" s="17">
        <f>IF('Raw Data'!A121&lt;&gt;"",AVERAGE('Raw Data'!Z121,'Raw Data'!AB121,'Raw Data'!AD121,'Raw Data'!AF121,'Raw Data'!AH121),"")</f>
        <v/>
      </c>
      <c r="M134" s="17">
        <f>IF('Raw Data'!A121&lt;&gt;"",AVERAGE('Raw Data'!AA121,'Raw Data'!AC121,'Raw Data'!AE121,'Raw Data'!AG121,'Raw Data'!AI121),"")</f>
        <v/>
      </c>
      <c r="N134" s="17">
        <f>IF(L134&lt;&gt;"",L134-M134,"")</f>
        <v/>
      </c>
      <c r="O134" s="17">
        <f>IF('Raw Data'!A121&lt;&gt;"",AVERAGE('Raw Data'!AJ121,'Raw Data'!AL121,'Raw Data'!AN121,'Raw Data'!AP121,'Raw Data'!AR121),"")</f>
        <v/>
      </c>
      <c r="P134" s="17">
        <f>IF('Raw Data'!A121&lt;&gt;"",AVERAGE('Raw Data'!AK121,'Raw Data'!AM121,'Raw Data'!AO121,'Raw Data'!AQ121,'Raw Data'!AS121),"")</f>
        <v/>
      </c>
      <c r="Q134" s="17">
        <f>IF(O134&lt;&gt;"",O134-P134,"")</f>
        <v/>
      </c>
      <c r="R134" s="17">
        <f>IF('Raw Data'!A121&lt;&gt;"",AVERAGE('Raw Data'!AT121,'Raw Data'!AV121,'Raw Data'!AX121,'Raw Data'!AZ121,'Raw Data'!BB121),"")</f>
        <v/>
      </c>
      <c r="S134" s="17">
        <f>IF('Raw Data'!A121&lt;&gt;"",AVERAGE('Raw Data'!AU121,'Raw Data'!AW121,'Raw Data'!AY121,'Raw Data'!BA121,'Raw Data'!BC121),"")</f>
        <v/>
      </c>
      <c r="T134" s="17">
        <f>IF(R134&lt;&gt;"",R134-S134,"")</f>
        <v/>
      </c>
      <c r="U134" s="17">
        <f>IF('Raw Data'!A121&lt;&gt;"",AVERAGE('Raw Data'!BD121,'Raw Data'!BF121,'Raw Data'!BH121,'Raw Data'!BJ121,'Raw Data'!BL121),"")</f>
        <v/>
      </c>
      <c r="V134" s="17">
        <f>IF('Raw Data'!A121&lt;&gt;"",AVERAGE('Raw Data'!BE121,'Raw Data'!BG121,'Raw Data'!BI121,'Raw Data'!BK121,'Raw Data'!BM121),"")</f>
        <v/>
      </c>
      <c r="W134" s="17">
        <f>IF(U134&lt;&gt;"",U134-V134,"")</f>
        <v/>
      </c>
      <c r="X134" s="17">
        <f>IF(A134&lt;&gt;"",AVERAGE(F134,I134,L134,O134,R134,U134),"")</f>
        <v/>
      </c>
      <c r="Y134" s="17">
        <f>IF(A134&lt;&gt;"",AVERAGE(G134,J134,M134,P134,S134,V134),"")</f>
        <v/>
      </c>
      <c r="Z134" s="17">
        <f>IF(A134&lt;&gt;"",X134-Y134,"")</f>
        <v/>
      </c>
      <c r="AA134" s="18">
        <f>IF(A134&lt;&gt;"",ROUND(MIN(100,100*((MAX(0,K134)*0.25)+(MAX(0,Q134)*0.20)+(MAX(0,W134)*0.20)+(MAX(0,H134)*0.15)+(MAX(0,N134)*0.10)+(MAX(0,T134)*0.10))/9),1),"")</f>
        <v/>
      </c>
      <c r="AB134" s="29">
        <f>IF(A134&lt;&gt;"",MIN(1,(0.5*AA134/100)+(0.3*MAX(0,K134)/9)+(0.2*MAX(0,Q134)/9)),"")</f>
        <v/>
      </c>
    </row>
    <row r="135">
      <c r="A135" s="4">
        <f>IF('Raw Data'!A122&lt;&gt;"",'Raw Data'!A122,"")</f>
        <v/>
      </c>
      <c r="B135" s="4">
        <f>IF('Raw Data'!B122&lt;&gt;"",'Raw Data'!B122,"")</f>
        <v/>
      </c>
      <c r="C135" s="4">
        <f>IF('Raw Data'!C122&lt;&gt;"",'Raw Data'!C122,"")</f>
        <v/>
      </c>
      <c r="D135" s="4">
        <f>IF('Raw Data'!D122&lt;&gt;"",'Raw Data'!D122,"")</f>
        <v/>
      </c>
      <c r="E135" s="4">
        <f>IF('Raw Data'!E122&lt;&gt;"",'Raw Data'!E122,"")</f>
        <v/>
      </c>
      <c r="F135" s="14">
        <f>IF('Raw Data'!A122&lt;&gt;"",AVERAGE('Raw Data'!F122,'Raw Data'!H122,'Raw Data'!J122,'Raw Data'!L122,'Raw Data'!N122),"")</f>
        <v/>
      </c>
      <c r="G135" s="14">
        <f>IF('Raw Data'!A122&lt;&gt;"",AVERAGE('Raw Data'!G122,'Raw Data'!I122,'Raw Data'!K122,'Raw Data'!M122,'Raw Data'!O122),"")</f>
        <v/>
      </c>
      <c r="H135" s="14">
        <f>IF(F135&lt;&gt;"",F135-G135,"")</f>
        <v/>
      </c>
      <c r="I135" s="14">
        <f>IF('Raw Data'!A122&lt;&gt;"",AVERAGE('Raw Data'!P122,'Raw Data'!R122,'Raw Data'!T122,'Raw Data'!V122,'Raw Data'!X122),"")</f>
        <v/>
      </c>
      <c r="J135" s="14">
        <f>IF('Raw Data'!A122&lt;&gt;"",AVERAGE('Raw Data'!Q122,'Raw Data'!S122,'Raw Data'!U122,'Raw Data'!W122,'Raw Data'!Y122),"")</f>
        <v/>
      </c>
      <c r="K135" s="14">
        <f>IF(I135&lt;&gt;"",I135-J135,"")</f>
        <v/>
      </c>
      <c r="L135" s="14">
        <f>IF('Raw Data'!A122&lt;&gt;"",AVERAGE('Raw Data'!Z122,'Raw Data'!AB122,'Raw Data'!AD122,'Raw Data'!AF122,'Raw Data'!AH122),"")</f>
        <v/>
      </c>
      <c r="M135" s="14">
        <f>IF('Raw Data'!A122&lt;&gt;"",AVERAGE('Raw Data'!AA122,'Raw Data'!AC122,'Raw Data'!AE122,'Raw Data'!AG122,'Raw Data'!AI122),"")</f>
        <v/>
      </c>
      <c r="N135" s="14">
        <f>IF(L135&lt;&gt;"",L135-M135,"")</f>
        <v/>
      </c>
      <c r="O135" s="14">
        <f>IF('Raw Data'!A122&lt;&gt;"",AVERAGE('Raw Data'!AJ122,'Raw Data'!AL122,'Raw Data'!AN122,'Raw Data'!AP122,'Raw Data'!AR122),"")</f>
        <v/>
      </c>
      <c r="P135" s="14">
        <f>IF('Raw Data'!A122&lt;&gt;"",AVERAGE('Raw Data'!AK122,'Raw Data'!AM122,'Raw Data'!AO122,'Raw Data'!AQ122,'Raw Data'!AS122),"")</f>
        <v/>
      </c>
      <c r="Q135" s="14">
        <f>IF(O135&lt;&gt;"",O135-P135,"")</f>
        <v/>
      </c>
      <c r="R135" s="14">
        <f>IF('Raw Data'!A122&lt;&gt;"",AVERAGE('Raw Data'!AT122,'Raw Data'!AV122,'Raw Data'!AX122,'Raw Data'!AZ122,'Raw Data'!BB122),"")</f>
        <v/>
      </c>
      <c r="S135" s="14">
        <f>IF('Raw Data'!A122&lt;&gt;"",AVERAGE('Raw Data'!AU122,'Raw Data'!AW122,'Raw Data'!AY122,'Raw Data'!BA122,'Raw Data'!BC122),"")</f>
        <v/>
      </c>
      <c r="T135" s="14">
        <f>IF(R135&lt;&gt;"",R135-S135,"")</f>
        <v/>
      </c>
      <c r="U135" s="14">
        <f>IF('Raw Data'!A122&lt;&gt;"",AVERAGE('Raw Data'!BD122,'Raw Data'!BF122,'Raw Data'!BH122,'Raw Data'!BJ122,'Raw Data'!BL122),"")</f>
        <v/>
      </c>
      <c r="V135" s="14">
        <f>IF('Raw Data'!A122&lt;&gt;"",AVERAGE('Raw Data'!BE122,'Raw Data'!BG122,'Raw Data'!BI122,'Raw Data'!BK122,'Raw Data'!BM122),"")</f>
        <v/>
      </c>
      <c r="W135" s="14">
        <f>IF(U135&lt;&gt;"",U135-V135,"")</f>
        <v/>
      </c>
      <c r="X135" s="14">
        <f>IF(A135&lt;&gt;"",AVERAGE(F135,I135,L135,O135,R135,U135),"")</f>
        <v/>
      </c>
      <c r="Y135" s="14">
        <f>IF(A135&lt;&gt;"",AVERAGE(G135,J135,M135,P135,S135,V135),"")</f>
        <v/>
      </c>
      <c r="Z135" s="14">
        <f>IF(A135&lt;&gt;"",X135-Y135,"")</f>
        <v/>
      </c>
      <c r="AA135" s="15">
        <f>IF(A135&lt;&gt;"",ROUND(MIN(100,100*((MAX(0,K135)*0.25)+(MAX(0,Q135)*0.20)+(MAX(0,W135)*0.20)+(MAX(0,H135)*0.15)+(MAX(0,N135)*0.10)+(MAX(0,T135)*0.10))/9),1),"")</f>
        <v/>
      </c>
      <c r="AB135" s="28">
        <f>IF(A135&lt;&gt;"",MIN(1,(0.5*AA135/100)+(0.3*MAX(0,K135)/9)+(0.2*MAX(0,Q135)/9)),"")</f>
        <v/>
      </c>
    </row>
    <row r="136">
      <c r="A136" s="13">
        <f>IF('Raw Data'!A123&lt;&gt;"",'Raw Data'!A123,"")</f>
        <v/>
      </c>
      <c r="B136" s="13">
        <f>IF('Raw Data'!B123&lt;&gt;"",'Raw Data'!B123,"")</f>
        <v/>
      </c>
      <c r="C136" s="13">
        <f>IF('Raw Data'!C123&lt;&gt;"",'Raw Data'!C123,"")</f>
        <v/>
      </c>
      <c r="D136" s="13">
        <f>IF('Raw Data'!D123&lt;&gt;"",'Raw Data'!D123,"")</f>
        <v/>
      </c>
      <c r="E136" s="13">
        <f>IF('Raw Data'!E123&lt;&gt;"",'Raw Data'!E123,"")</f>
        <v/>
      </c>
      <c r="F136" s="17">
        <f>IF('Raw Data'!A123&lt;&gt;"",AVERAGE('Raw Data'!F123,'Raw Data'!H123,'Raw Data'!J123,'Raw Data'!L123,'Raw Data'!N123),"")</f>
        <v/>
      </c>
      <c r="G136" s="17">
        <f>IF('Raw Data'!A123&lt;&gt;"",AVERAGE('Raw Data'!G123,'Raw Data'!I123,'Raw Data'!K123,'Raw Data'!M123,'Raw Data'!O123),"")</f>
        <v/>
      </c>
      <c r="H136" s="17">
        <f>IF(F136&lt;&gt;"",F136-G136,"")</f>
        <v/>
      </c>
      <c r="I136" s="17">
        <f>IF('Raw Data'!A123&lt;&gt;"",AVERAGE('Raw Data'!P123,'Raw Data'!R123,'Raw Data'!T123,'Raw Data'!V123,'Raw Data'!X123),"")</f>
        <v/>
      </c>
      <c r="J136" s="17">
        <f>IF('Raw Data'!A123&lt;&gt;"",AVERAGE('Raw Data'!Q123,'Raw Data'!S123,'Raw Data'!U123,'Raw Data'!W123,'Raw Data'!Y123),"")</f>
        <v/>
      </c>
      <c r="K136" s="17">
        <f>IF(I136&lt;&gt;"",I136-J136,"")</f>
        <v/>
      </c>
      <c r="L136" s="17">
        <f>IF('Raw Data'!A123&lt;&gt;"",AVERAGE('Raw Data'!Z123,'Raw Data'!AB123,'Raw Data'!AD123,'Raw Data'!AF123,'Raw Data'!AH123),"")</f>
        <v/>
      </c>
      <c r="M136" s="17">
        <f>IF('Raw Data'!A123&lt;&gt;"",AVERAGE('Raw Data'!AA123,'Raw Data'!AC123,'Raw Data'!AE123,'Raw Data'!AG123,'Raw Data'!AI123),"")</f>
        <v/>
      </c>
      <c r="N136" s="17">
        <f>IF(L136&lt;&gt;"",L136-M136,"")</f>
        <v/>
      </c>
      <c r="O136" s="17">
        <f>IF('Raw Data'!A123&lt;&gt;"",AVERAGE('Raw Data'!AJ123,'Raw Data'!AL123,'Raw Data'!AN123,'Raw Data'!AP123,'Raw Data'!AR123),"")</f>
        <v/>
      </c>
      <c r="P136" s="17">
        <f>IF('Raw Data'!A123&lt;&gt;"",AVERAGE('Raw Data'!AK123,'Raw Data'!AM123,'Raw Data'!AO123,'Raw Data'!AQ123,'Raw Data'!AS123),"")</f>
        <v/>
      </c>
      <c r="Q136" s="17">
        <f>IF(O136&lt;&gt;"",O136-P136,"")</f>
        <v/>
      </c>
      <c r="R136" s="17">
        <f>IF('Raw Data'!A123&lt;&gt;"",AVERAGE('Raw Data'!AT123,'Raw Data'!AV123,'Raw Data'!AX123,'Raw Data'!AZ123,'Raw Data'!BB123),"")</f>
        <v/>
      </c>
      <c r="S136" s="17">
        <f>IF('Raw Data'!A123&lt;&gt;"",AVERAGE('Raw Data'!AU123,'Raw Data'!AW123,'Raw Data'!AY123,'Raw Data'!BA123,'Raw Data'!BC123),"")</f>
        <v/>
      </c>
      <c r="T136" s="17">
        <f>IF(R136&lt;&gt;"",R136-S136,"")</f>
        <v/>
      </c>
      <c r="U136" s="17">
        <f>IF('Raw Data'!A123&lt;&gt;"",AVERAGE('Raw Data'!BD123,'Raw Data'!BF123,'Raw Data'!BH123,'Raw Data'!BJ123,'Raw Data'!BL123),"")</f>
        <v/>
      </c>
      <c r="V136" s="17">
        <f>IF('Raw Data'!A123&lt;&gt;"",AVERAGE('Raw Data'!BE123,'Raw Data'!BG123,'Raw Data'!BI123,'Raw Data'!BK123,'Raw Data'!BM123),"")</f>
        <v/>
      </c>
      <c r="W136" s="17">
        <f>IF(U136&lt;&gt;"",U136-V136,"")</f>
        <v/>
      </c>
      <c r="X136" s="17">
        <f>IF(A136&lt;&gt;"",AVERAGE(F136,I136,L136,O136,R136,U136),"")</f>
        <v/>
      </c>
      <c r="Y136" s="17">
        <f>IF(A136&lt;&gt;"",AVERAGE(G136,J136,M136,P136,S136,V136),"")</f>
        <v/>
      </c>
      <c r="Z136" s="17">
        <f>IF(A136&lt;&gt;"",X136-Y136,"")</f>
        <v/>
      </c>
      <c r="AA136" s="18">
        <f>IF(A136&lt;&gt;"",ROUND(MIN(100,100*((MAX(0,K136)*0.25)+(MAX(0,Q136)*0.20)+(MAX(0,W136)*0.20)+(MAX(0,H136)*0.15)+(MAX(0,N136)*0.10)+(MAX(0,T136)*0.10))/9),1),"")</f>
        <v/>
      </c>
      <c r="AB136" s="29">
        <f>IF(A136&lt;&gt;"",MIN(1,(0.5*AA136/100)+(0.3*MAX(0,K136)/9)+(0.2*MAX(0,Q136)/9)),"")</f>
        <v/>
      </c>
    </row>
    <row r="137">
      <c r="A137" s="4">
        <f>IF('Raw Data'!A124&lt;&gt;"",'Raw Data'!A124,"")</f>
        <v/>
      </c>
      <c r="B137" s="4">
        <f>IF('Raw Data'!B124&lt;&gt;"",'Raw Data'!B124,"")</f>
        <v/>
      </c>
      <c r="C137" s="4">
        <f>IF('Raw Data'!C124&lt;&gt;"",'Raw Data'!C124,"")</f>
        <v/>
      </c>
      <c r="D137" s="4">
        <f>IF('Raw Data'!D124&lt;&gt;"",'Raw Data'!D124,"")</f>
        <v/>
      </c>
      <c r="E137" s="4">
        <f>IF('Raw Data'!E124&lt;&gt;"",'Raw Data'!E124,"")</f>
        <v/>
      </c>
      <c r="F137" s="14">
        <f>IF('Raw Data'!A124&lt;&gt;"",AVERAGE('Raw Data'!F124,'Raw Data'!H124,'Raw Data'!J124,'Raw Data'!L124,'Raw Data'!N124),"")</f>
        <v/>
      </c>
      <c r="G137" s="14">
        <f>IF('Raw Data'!A124&lt;&gt;"",AVERAGE('Raw Data'!G124,'Raw Data'!I124,'Raw Data'!K124,'Raw Data'!M124,'Raw Data'!O124),"")</f>
        <v/>
      </c>
      <c r="H137" s="14">
        <f>IF(F137&lt;&gt;"",F137-G137,"")</f>
        <v/>
      </c>
      <c r="I137" s="14">
        <f>IF('Raw Data'!A124&lt;&gt;"",AVERAGE('Raw Data'!P124,'Raw Data'!R124,'Raw Data'!T124,'Raw Data'!V124,'Raw Data'!X124),"")</f>
        <v/>
      </c>
      <c r="J137" s="14">
        <f>IF('Raw Data'!A124&lt;&gt;"",AVERAGE('Raw Data'!Q124,'Raw Data'!S124,'Raw Data'!U124,'Raw Data'!W124,'Raw Data'!Y124),"")</f>
        <v/>
      </c>
      <c r="K137" s="14">
        <f>IF(I137&lt;&gt;"",I137-J137,"")</f>
        <v/>
      </c>
      <c r="L137" s="14">
        <f>IF('Raw Data'!A124&lt;&gt;"",AVERAGE('Raw Data'!Z124,'Raw Data'!AB124,'Raw Data'!AD124,'Raw Data'!AF124,'Raw Data'!AH124),"")</f>
        <v/>
      </c>
      <c r="M137" s="14">
        <f>IF('Raw Data'!A124&lt;&gt;"",AVERAGE('Raw Data'!AA124,'Raw Data'!AC124,'Raw Data'!AE124,'Raw Data'!AG124,'Raw Data'!AI124),"")</f>
        <v/>
      </c>
      <c r="N137" s="14">
        <f>IF(L137&lt;&gt;"",L137-M137,"")</f>
        <v/>
      </c>
      <c r="O137" s="14">
        <f>IF('Raw Data'!A124&lt;&gt;"",AVERAGE('Raw Data'!AJ124,'Raw Data'!AL124,'Raw Data'!AN124,'Raw Data'!AP124,'Raw Data'!AR124),"")</f>
        <v/>
      </c>
      <c r="P137" s="14">
        <f>IF('Raw Data'!A124&lt;&gt;"",AVERAGE('Raw Data'!AK124,'Raw Data'!AM124,'Raw Data'!AO124,'Raw Data'!AQ124,'Raw Data'!AS124),"")</f>
        <v/>
      </c>
      <c r="Q137" s="14">
        <f>IF(O137&lt;&gt;"",O137-P137,"")</f>
        <v/>
      </c>
      <c r="R137" s="14">
        <f>IF('Raw Data'!A124&lt;&gt;"",AVERAGE('Raw Data'!AT124,'Raw Data'!AV124,'Raw Data'!AX124,'Raw Data'!AZ124,'Raw Data'!BB124),"")</f>
        <v/>
      </c>
      <c r="S137" s="14">
        <f>IF('Raw Data'!A124&lt;&gt;"",AVERAGE('Raw Data'!AU124,'Raw Data'!AW124,'Raw Data'!AY124,'Raw Data'!BA124,'Raw Data'!BC124),"")</f>
        <v/>
      </c>
      <c r="T137" s="14">
        <f>IF(R137&lt;&gt;"",R137-S137,"")</f>
        <v/>
      </c>
      <c r="U137" s="14">
        <f>IF('Raw Data'!A124&lt;&gt;"",AVERAGE('Raw Data'!BD124,'Raw Data'!BF124,'Raw Data'!BH124,'Raw Data'!BJ124,'Raw Data'!BL124),"")</f>
        <v/>
      </c>
      <c r="V137" s="14">
        <f>IF('Raw Data'!A124&lt;&gt;"",AVERAGE('Raw Data'!BE124,'Raw Data'!BG124,'Raw Data'!BI124,'Raw Data'!BK124,'Raw Data'!BM124),"")</f>
        <v/>
      </c>
      <c r="W137" s="14">
        <f>IF(U137&lt;&gt;"",U137-V137,"")</f>
        <v/>
      </c>
      <c r="X137" s="14">
        <f>IF(A137&lt;&gt;"",AVERAGE(F137,I137,L137,O137,R137,U137),"")</f>
        <v/>
      </c>
      <c r="Y137" s="14">
        <f>IF(A137&lt;&gt;"",AVERAGE(G137,J137,M137,P137,S137,V137),"")</f>
        <v/>
      </c>
      <c r="Z137" s="14">
        <f>IF(A137&lt;&gt;"",X137-Y137,"")</f>
        <v/>
      </c>
      <c r="AA137" s="15">
        <f>IF(A137&lt;&gt;"",ROUND(MIN(100,100*((MAX(0,K137)*0.25)+(MAX(0,Q137)*0.20)+(MAX(0,W137)*0.20)+(MAX(0,H137)*0.15)+(MAX(0,N137)*0.10)+(MAX(0,T137)*0.10))/9),1),"")</f>
        <v/>
      </c>
      <c r="AB137" s="28">
        <f>IF(A137&lt;&gt;"",MIN(1,(0.5*AA137/100)+(0.3*MAX(0,K137)/9)+(0.2*MAX(0,Q137)/9)),"")</f>
        <v/>
      </c>
    </row>
    <row r="138">
      <c r="A138" s="13">
        <f>IF('Raw Data'!A125&lt;&gt;"",'Raw Data'!A125,"")</f>
        <v/>
      </c>
      <c r="B138" s="13">
        <f>IF('Raw Data'!B125&lt;&gt;"",'Raw Data'!B125,"")</f>
        <v/>
      </c>
      <c r="C138" s="13">
        <f>IF('Raw Data'!C125&lt;&gt;"",'Raw Data'!C125,"")</f>
        <v/>
      </c>
      <c r="D138" s="13">
        <f>IF('Raw Data'!D125&lt;&gt;"",'Raw Data'!D125,"")</f>
        <v/>
      </c>
      <c r="E138" s="13">
        <f>IF('Raw Data'!E125&lt;&gt;"",'Raw Data'!E125,"")</f>
        <v/>
      </c>
      <c r="F138" s="17">
        <f>IF('Raw Data'!A125&lt;&gt;"",AVERAGE('Raw Data'!F125,'Raw Data'!H125,'Raw Data'!J125,'Raw Data'!L125,'Raw Data'!N125),"")</f>
        <v/>
      </c>
      <c r="G138" s="17">
        <f>IF('Raw Data'!A125&lt;&gt;"",AVERAGE('Raw Data'!G125,'Raw Data'!I125,'Raw Data'!K125,'Raw Data'!M125,'Raw Data'!O125),"")</f>
        <v/>
      </c>
      <c r="H138" s="17">
        <f>IF(F138&lt;&gt;"",F138-G138,"")</f>
        <v/>
      </c>
      <c r="I138" s="17">
        <f>IF('Raw Data'!A125&lt;&gt;"",AVERAGE('Raw Data'!P125,'Raw Data'!R125,'Raw Data'!T125,'Raw Data'!V125,'Raw Data'!X125),"")</f>
        <v/>
      </c>
      <c r="J138" s="17">
        <f>IF('Raw Data'!A125&lt;&gt;"",AVERAGE('Raw Data'!Q125,'Raw Data'!S125,'Raw Data'!U125,'Raw Data'!W125,'Raw Data'!Y125),"")</f>
        <v/>
      </c>
      <c r="K138" s="17">
        <f>IF(I138&lt;&gt;"",I138-J138,"")</f>
        <v/>
      </c>
      <c r="L138" s="17">
        <f>IF('Raw Data'!A125&lt;&gt;"",AVERAGE('Raw Data'!Z125,'Raw Data'!AB125,'Raw Data'!AD125,'Raw Data'!AF125,'Raw Data'!AH125),"")</f>
        <v/>
      </c>
      <c r="M138" s="17">
        <f>IF('Raw Data'!A125&lt;&gt;"",AVERAGE('Raw Data'!AA125,'Raw Data'!AC125,'Raw Data'!AE125,'Raw Data'!AG125,'Raw Data'!AI125),"")</f>
        <v/>
      </c>
      <c r="N138" s="17">
        <f>IF(L138&lt;&gt;"",L138-M138,"")</f>
        <v/>
      </c>
      <c r="O138" s="17">
        <f>IF('Raw Data'!A125&lt;&gt;"",AVERAGE('Raw Data'!AJ125,'Raw Data'!AL125,'Raw Data'!AN125,'Raw Data'!AP125,'Raw Data'!AR125),"")</f>
        <v/>
      </c>
      <c r="P138" s="17">
        <f>IF('Raw Data'!A125&lt;&gt;"",AVERAGE('Raw Data'!AK125,'Raw Data'!AM125,'Raw Data'!AO125,'Raw Data'!AQ125,'Raw Data'!AS125),"")</f>
        <v/>
      </c>
      <c r="Q138" s="17">
        <f>IF(O138&lt;&gt;"",O138-P138,"")</f>
        <v/>
      </c>
      <c r="R138" s="17">
        <f>IF('Raw Data'!A125&lt;&gt;"",AVERAGE('Raw Data'!AT125,'Raw Data'!AV125,'Raw Data'!AX125,'Raw Data'!AZ125,'Raw Data'!BB125),"")</f>
        <v/>
      </c>
      <c r="S138" s="17">
        <f>IF('Raw Data'!A125&lt;&gt;"",AVERAGE('Raw Data'!AU125,'Raw Data'!AW125,'Raw Data'!AY125,'Raw Data'!BA125,'Raw Data'!BC125),"")</f>
        <v/>
      </c>
      <c r="T138" s="17">
        <f>IF(R138&lt;&gt;"",R138-S138,"")</f>
        <v/>
      </c>
      <c r="U138" s="17">
        <f>IF('Raw Data'!A125&lt;&gt;"",AVERAGE('Raw Data'!BD125,'Raw Data'!BF125,'Raw Data'!BH125,'Raw Data'!BJ125,'Raw Data'!BL125),"")</f>
        <v/>
      </c>
      <c r="V138" s="17">
        <f>IF('Raw Data'!A125&lt;&gt;"",AVERAGE('Raw Data'!BE125,'Raw Data'!BG125,'Raw Data'!BI125,'Raw Data'!BK125,'Raw Data'!BM125),"")</f>
        <v/>
      </c>
      <c r="W138" s="17">
        <f>IF(U138&lt;&gt;"",U138-V138,"")</f>
        <v/>
      </c>
      <c r="X138" s="17">
        <f>IF(A138&lt;&gt;"",AVERAGE(F138,I138,L138,O138,R138,U138),"")</f>
        <v/>
      </c>
      <c r="Y138" s="17">
        <f>IF(A138&lt;&gt;"",AVERAGE(G138,J138,M138,P138,S138,V138),"")</f>
        <v/>
      </c>
      <c r="Z138" s="17">
        <f>IF(A138&lt;&gt;"",X138-Y138,"")</f>
        <v/>
      </c>
      <c r="AA138" s="18">
        <f>IF(A138&lt;&gt;"",ROUND(MIN(100,100*((MAX(0,K138)*0.25)+(MAX(0,Q138)*0.20)+(MAX(0,W138)*0.20)+(MAX(0,H138)*0.15)+(MAX(0,N138)*0.10)+(MAX(0,T138)*0.10))/9),1),"")</f>
        <v/>
      </c>
      <c r="AB138" s="29">
        <f>IF(A138&lt;&gt;"",MIN(1,(0.5*AA138/100)+(0.3*MAX(0,K138)/9)+(0.2*MAX(0,Q138)/9)),"")</f>
        <v/>
      </c>
    </row>
    <row r="139">
      <c r="A139" s="4">
        <f>IF('Raw Data'!A126&lt;&gt;"",'Raw Data'!A126,"")</f>
        <v/>
      </c>
      <c r="B139" s="4">
        <f>IF('Raw Data'!B126&lt;&gt;"",'Raw Data'!B126,"")</f>
        <v/>
      </c>
      <c r="C139" s="4">
        <f>IF('Raw Data'!C126&lt;&gt;"",'Raw Data'!C126,"")</f>
        <v/>
      </c>
      <c r="D139" s="4">
        <f>IF('Raw Data'!D126&lt;&gt;"",'Raw Data'!D126,"")</f>
        <v/>
      </c>
      <c r="E139" s="4">
        <f>IF('Raw Data'!E126&lt;&gt;"",'Raw Data'!E126,"")</f>
        <v/>
      </c>
      <c r="F139" s="14">
        <f>IF('Raw Data'!A126&lt;&gt;"",AVERAGE('Raw Data'!F126,'Raw Data'!H126,'Raw Data'!J126,'Raw Data'!L126,'Raw Data'!N126),"")</f>
        <v/>
      </c>
      <c r="G139" s="14">
        <f>IF('Raw Data'!A126&lt;&gt;"",AVERAGE('Raw Data'!G126,'Raw Data'!I126,'Raw Data'!K126,'Raw Data'!M126,'Raw Data'!O126),"")</f>
        <v/>
      </c>
      <c r="H139" s="14">
        <f>IF(F139&lt;&gt;"",F139-G139,"")</f>
        <v/>
      </c>
      <c r="I139" s="14">
        <f>IF('Raw Data'!A126&lt;&gt;"",AVERAGE('Raw Data'!P126,'Raw Data'!R126,'Raw Data'!T126,'Raw Data'!V126,'Raw Data'!X126),"")</f>
        <v/>
      </c>
      <c r="J139" s="14">
        <f>IF('Raw Data'!A126&lt;&gt;"",AVERAGE('Raw Data'!Q126,'Raw Data'!S126,'Raw Data'!U126,'Raw Data'!W126,'Raw Data'!Y126),"")</f>
        <v/>
      </c>
      <c r="K139" s="14">
        <f>IF(I139&lt;&gt;"",I139-J139,"")</f>
        <v/>
      </c>
      <c r="L139" s="14">
        <f>IF('Raw Data'!A126&lt;&gt;"",AVERAGE('Raw Data'!Z126,'Raw Data'!AB126,'Raw Data'!AD126,'Raw Data'!AF126,'Raw Data'!AH126),"")</f>
        <v/>
      </c>
      <c r="M139" s="14">
        <f>IF('Raw Data'!A126&lt;&gt;"",AVERAGE('Raw Data'!AA126,'Raw Data'!AC126,'Raw Data'!AE126,'Raw Data'!AG126,'Raw Data'!AI126),"")</f>
        <v/>
      </c>
      <c r="N139" s="14">
        <f>IF(L139&lt;&gt;"",L139-M139,"")</f>
        <v/>
      </c>
      <c r="O139" s="14">
        <f>IF('Raw Data'!A126&lt;&gt;"",AVERAGE('Raw Data'!AJ126,'Raw Data'!AL126,'Raw Data'!AN126,'Raw Data'!AP126,'Raw Data'!AR126),"")</f>
        <v/>
      </c>
      <c r="P139" s="14">
        <f>IF('Raw Data'!A126&lt;&gt;"",AVERAGE('Raw Data'!AK126,'Raw Data'!AM126,'Raw Data'!AO126,'Raw Data'!AQ126,'Raw Data'!AS126),"")</f>
        <v/>
      </c>
      <c r="Q139" s="14">
        <f>IF(O139&lt;&gt;"",O139-P139,"")</f>
        <v/>
      </c>
      <c r="R139" s="14">
        <f>IF('Raw Data'!A126&lt;&gt;"",AVERAGE('Raw Data'!AT126,'Raw Data'!AV126,'Raw Data'!AX126,'Raw Data'!AZ126,'Raw Data'!BB126),"")</f>
        <v/>
      </c>
      <c r="S139" s="14">
        <f>IF('Raw Data'!A126&lt;&gt;"",AVERAGE('Raw Data'!AU126,'Raw Data'!AW126,'Raw Data'!AY126,'Raw Data'!BA126,'Raw Data'!BC126),"")</f>
        <v/>
      </c>
      <c r="T139" s="14">
        <f>IF(R139&lt;&gt;"",R139-S139,"")</f>
        <v/>
      </c>
      <c r="U139" s="14">
        <f>IF('Raw Data'!A126&lt;&gt;"",AVERAGE('Raw Data'!BD126,'Raw Data'!BF126,'Raw Data'!BH126,'Raw Data'!BJ126,'Raw Data'!BL126),"")</f>
        <v/>
      </c>
      <c r="V139" s="14">
        <f>IF('Raw Data'!A126&lt;&gt;"",AVERAGE('Raw Data'!BE126,'Raw Data'!BG126,'Raw Data'!BI126,'Raw Data'!BK126,'Raw Data'!BM126),"")</f>
        <v/>
      </c>
      <c r="W139" s="14">
        <f>IF(U139&lt;&gt;"",U139-V139,"")</f>
        <v/>
      </c>
      <c r="X139" s="14">
        <f>IF(A139&lt;&gt;"",AVERAGE(F139,I139,L139,O139,R139,U139),"")</f>
        <v/>
      </c>
      <c r="Y139" s="14">
        <f>IF(A139&lt;&gt;"",AVERAGE(G139,J139,M139,P139,S139,V139),"")</f>
        <v/>
      </c>
      <c r="Z139" s="14">
        <f>IF(A139&lt;&gt;"",X139-Y139,"")</f>
        <v/>
      </c>
      <c r="AA139" s="15">
        <f>IF(A139&lt;&gt;"",ROUND(MIN(100,100*((MAX(0,K139)*0.25)+(MAX(0,Q139)*0.20)+(MAX(0,W139)*0.20)+(MAX(0,H139)*0.15)+(MAX(0,N139)*0.10)+(MAX(0,T139)*0.10))/9),1),"")</f>
        <v/>
      </c>
      <c r="AB139" s="28">
        <f>IF(A139&lt;&gt;"",MIN(1,(0.5*AA139/100)+(0.3*MAX(0,K139)/9)+(0.2*MAX(0,Q139)/9)),"")</f>
        <v/>
      </c>
    </row>
    <row r="140">
      <c r="A140" s="13">
        <f>IF('Raw Data'!A127&lt;&gt;"",'Raw Data'!A127,"")</f>
        <v/>
      </c>
      <c r="B140" s="13">
        <f>IF('Raw Data'!B127&lt;&gt;"",'Raw Data'!B127,"")</f>
        <v/>
      </c>
      <c r="C140" s="13">
        <f>IF('Raw Data'!C127&lt;&gt;"",'Raw Data'!C127,"")</f>
        <v/>
      </c>
      <c r="D140" s="13">
        <f>IF('Raw Data'!D127&lt;&gt;"",'Raw Data'!D127,"")</f>
        <v/>
      </c>
      <c r="E140" s="13">
        <f>IF('Raw Data'!E127&lt;&gt;"",'Raw Data'!E127,"")</f>
        <v/>
      </c>
      <c r="F140" s="17">
        <f>IF('Raw Data'!A127&lt;&gt;"",AVERAGE('Raw Data'!F127,'Raw Data'!H127,'Raw Data'!J127,'Raw Data'!L127,'Raw Data'!N127),"")</f>
        <v/>
      </c>
      <c r="G140" s="17">
        <f>IF('Raw Data'!A127&lt;&gt;"",AVERAGE('Raw Data'!G127,'Raw Data'!I127,'Raw Data'!K127,'Raw Data'!M127,'Raw Data'!O127),"")</f>
        <v/>
      </c>
      <c r="H140" s="17">
        <f>IF(F140&lt;&gt;"",F140-G140,"")</f>
        <v/>
      </c>
      <c r="I140" s="17">
        <f>IF('Raw Data'!A127&lt;&gt;"",AVERAGE('Raw Data'!P127,'Raw Data'!R127,'Raw Data'!T127,'Raw Data'!V127,'Raw Data'!X127),"")</f>
        <v/>
      </c>
      <c r="J140" s="17">
        <f>IF('Raw Data'!A127&lt;&gt;"",AVERAGE('Raw Data'!Q127,'Raw Data'!S127,'Raw Data'!U127,'Raw Data'!W127,'Raw Data'!Y127),"")</f>
        <v/>
      </c>
      <c r="K140" s="17">
        <f>IF(I140&lt;&gt;"",I140-J140,"")</f>
        <v/>
      </c>
      <c r="L140" s="17">
        <f>IF('Raw Data'!A127&lt;&gt;"",AVERAGE('Raw Data'!Z127,'Raw Data'!AB127,'Raw Data'!AD127,'Raw Data'!AF127,'Raw Data'!AH127),"")</f>
        <v/>
      </c>
      <c r="M140" s="17">
        <f>IF('Raw Data'!A127&lt;&gt;"",AVERAGE('Raw Data'!AA127,'Raw Data'!AC127,'Raw Data'!AE127,'Raw Data'!AG127,'Raw Data'!AI127),"")</f>
        <v/>
      </c>
      <c r="N140" s="17">
        <f>IF(L140&lt;&gt;"",L140-M140,"")</f>
        <v/>
      </c>
      <c r="O140" s="17">
        <f>IF('Raw Data'!A127&lt;&gt;"",AVERAGE('Raw Data'!AJ127,'Raw Data'!AL127,'Raw Data'!AN127,'Raw Data'!AP127,'Raw Data'!AR127),"")</f>
        <v/>
      </c>
      <c r="P140" s="17">
        <f>IF('Raw Data'!A127&lt;&gt;"",AVERAGE('Raw Data'!AK127,'Raw Data'!AM127,'Raw Data'!AO127,'Raw Data'!AQ127,'Raw Data'!AS127),"")</f>
        <v/>
      </c>
      <c r="Q140" s="17">
        <f>IF(O140&lt;&gt;"",O140-P140,"")</f>
        <v/>
      </c>
      <c r="R140" s="17">
        <f>IF('Raw Data'!A127&lt;&gt;"",AVERAGE('Raw Data'!AT127,'Raw Data'!AV127,'Raw Data'!AX127,'Raw Data'!AZ127,'Raw Data'!BB127),"")</f>
        <v/>
      </c>
      <c r="S140" s="17">
        <f>IF('Raw Data'!A127&lt;&gt;"",AVERAGE('Raw Data'!AU127,'Raw Data'!AW127,'Raw Data'!AY127,'Raw Data'!BA127,'Raw Data'!BC127),"")</f>
        <v/>
      </c>
      <c r="T140" s="17">
        <f>IF(R140&lt;&gt;"",R140-S140,"")</f>
        <v/>
      </c>
      <c r="U140" s="17">
        <f>IF('Raw Data'!A127&lt;&gt;"",AVERAGE('Raw Data'!BD127,'Raw Data'!BF127,'Raw Data'!BH127,'Raw Data'!BJ127,'Raw Data'!BL127),"")</f>
        <v/>
      </c>
      <c r="V140" s="17">
        <f>IF('Raw Data'!A127&lt;&gt;"",AVERAGE('Raw Data'!BE127,'Raw Data'!BG127,'Raw Data'!BI127,'Raw Data'!BK127,'Raw Data'!BM127),"")</f>
        <v/>
      </c>
      <c r="W140" s="17">
        <f>IF(U140&lt;&gt;"",U140-V140,"")</f>
        <v/>
      </c>
      <c r="X140" s="17">
        <f>IF(A140&lt;&gt;"",AVERAGE(F140,I140,L140,O140,R140,U140),"")</f>
        <v/>
      </c>
      <c r="Y140" s="17">
        <f>IF(A140&lt;&gt;"",AVERAGE(G140,J140,M140,P140,S140,V140),"")</f>
        <v/>
      </c>
      <c r="Z140" s="17">
        <f>IF(A140&lt;&gt;"",X140-Y140,"")</f>
        <v/>
      </c>
      <c r="AA140" s="18">
        <f>IF(A140&lt;&gt;"",ROUND(MIN(100,100*((MAX(0,K140)*0.25)+(MAX(0,Q140)*0.20)+(MAX(0,W140)*0.20)+(MAX(0,H140)*0.15)+(MAX(0,N140)*0.10)+(MAX(0,T140)*0.10))/9),1),"")</f>
        <v/>
      </c>
      <c r="AB140" s="29">
        <f>IF(A140&lt;&gt;"",MIN(1,(0.5*AA140/100)+(0.3*MAX(0,K140)/9)+(0.2*MAX(0,Q140)/9)),"")</f>
        <v/>
      </c>
    </row>
    <row r="141">
      <c r="A141" s="4">
        <f>IF('Raw Data'!A128&lt;&gt;"",'Raw Data'!A128,"")</f>
        <v/>
      </c>
      <c r="B141" s="4">
        <f>IF('Raw Data'!B128&lt;&gt;"",'Raw Data'!B128,"")</f>
        <v/>
      </c>
      <c r="C141" s="4">
        <f>IF('Raw Data'!C128&lt;&gt;"",'Raw Data'!C128,"")</f>
        <v/>
      </c>
      <c r="D141" s="4">
        <f>IF('Raw Data'!D128&lt;&gt;"",'Raw Data'!D128,"")</f>
        <v/>
      </c>
      <c r="E141" s="4">
        <f>IF('Raw Data'!E128&lt;&gt;"",'Raw Data'!E128,"")</f>
        <v/>
      </c>
      <c r="F141" s="14">
        <f>IF('Raw Data'!A128&lt;&gt;"",AVERAGE('Raw Data'!F128,'Raw Data'!H128,'Raw Data'!J128,'Raw Data'!L128,'Raw Data'!N128),"")</f>
        <v/>
      </c>
      <c r="G141" s="14">
        <f>IF('Raw Data'!A128&lt;&gt;"",AVERAGE('Raw Data'!G128,'Raw Data'!I128,'Raw Data'!K128,'Raw Data'!M128,'Raw Data'!O128),"")</f>
        <v/>
      </c>
      <c r="H141" s="14">
        <f>IF(F141&lt;&gt;"",F141-G141,"")</f>
        <v/>
      </c>
      <c r="I141" s="14">
        <f>IF('Raw Data'!A128&lt;&gt;"",AVERAGE('Raw Data'!P128,'Raw Data'!R128,'Raw Data'!T128,'Raw Data'!V128,'Raw Data'!X128),"")</f>
        <v/>
      </c>
      <c r="J141" s="14">
        <f>IF('Raw Data'!A128&lt;&gt;"",AVERAGE('Raw Data'!Q128,'Raw Data'!S128,'Raw Data'!U128,'Raw Data'!W128,'Raw Data'!Y128),"")</f>
        <v/>
      </c>
      <c r="K141" s="14">
        <f>IF(I141&lt;&gt;"",I141-J141,"")</f>
        <v/>
      </c>
      <c r="L141" s="14">
        <f>IF('Raw Data'!A128&lt;&gt;"",AVERAGE('Raw Data'!Z128,'Raw Data'!AB128,'Raw Data'!AD128,'Raw Data'!AF128,'Raw Data'!AH128),"")</f>
        <v/>
      </c>
      <c r="M141" s="14">
        <f>IF('Raw Data'!A128&lt;&gt;"",AVERAGE('Raw Data'!AA128,'Raw Data'!AC128,'Raw Data'!AE128,'Raw Data'!AG128,'Raw Data'!AI128),"")</f>
        <v/>
      </c>
      <c r="N141" s="14">
        <f>IF(L141&lt;&gt;"",L141-M141,"")</f>
        <v/>
      </c>
      <c r="O141" s="14">
        <f>IF('Raw Data'!A128&lt;&gt;"",AVERAGE('Raw Data'!AJ128,'Raw Data'!AL128,'Raw Data'!AN128,'Raw Data'!AP128,'Raw Data'!AR128),"")</f>
        <v/>
      </c>
      <c r="P141" s="14">
        <f>IF('Raw Data'!A128&lt;&gt;"",AVERAGE('Raw Data'!AK128,'Raw Data'!AM128,'Raw Data'!AO128,'Raw Data'!AQ128,'Raw Data'!AS128),"")</f>
        <v/>
      </c>
      <c r="Q141" s="14">
        <f>IF(O141&lt;&gt;"",O141-P141,"")</f>
        <v/>
      </c>
      <c r="R141" s="14">
        <f>IF('Raw Data'!A128&lt;&gt;"",AVERAGE('Raw Data'!AT128,'Raw Data'!AV128,'Raw Data'!AX128,'Raw Data'!AZ128,'Raw Data'!BB128),"")</f>
        <v/>
      </c>
      <c r="S141" s="14">
        <f>IF('Raw Data'!A128&lt;&gt;"",AVERAGE('Raw Data'!AU128,'Raw Data'!AW128,'Raw Data'!AY128,'Raw Data'!BA128,'Raw Data'!BC128),"")</f>
        <v/>
      </c>
      <c r="T141" s="14">
        <f>IF(R141&lt;&gt;"",R141-S141,"")</f>
        <v/>
      </c>
      <c r="U141" s="14">
        <f>IF('Raw Data'!A128&lt;&gt;"",AVERAGE('Raw Data'!BD128,'Raw Data'!BF128,'Raw Data'!BH128,'Raw Data'!BJ128,'Raw Data'!BL128),"")</f>
        <v/>
      </c>
      <c r="V141" s="14">
        <f>IF('Raw Data'!A128&lt;&gt;"",AVERAGE('Raw Data'!BE128,'Raw Data'!BG128,'Raw Data'!BI128,'Raw Data'!BK128,'Raw Data'!BM128),"")</f>
        <v/>
      </c>
      <c r="W141" s="14">
        <f>IF(U141&lt;&gt;"",U141-V141,"")</f>
        <v/>
      </c>
      <c r="X141" s="14">
        <f>IF(A141&lt;&gt;"",AVERAGE(F141,I141,L141,O141,R141,U141),"")</f>
        <v/>
      </c>
      <c r="Y141" s="14">
        <f>IF(A141&lt;&gt;"",AVERAGE(G141,J141,M141,P141,S141,V141),"")</f>
        <v/>
      </c>
      <c r="Z141" s="14">
        <f>IF(A141&lt;&gt;"",X141-Y141,"")</f>
        <v/>
      </c>
      <c r="AA141" s="15">
        <f>IF(A141&lt;&gt;"",ROUND(MIN(100,100*((MAX(0,K141)*0.25)+(MAX(0,Q141)*0.20)+(MAX(0,W141)*0.20)+(MAX(0,H141)*0.15)+(MAX(0,N141)*0.10)+(MAX(0,T141)*0.10))/9),1),"")</f>
        <v/>
      </c>
      <c r="AB141" s="28">
        <f>IF(A141&lt;&gt;"",MIN(1,(0.5*AA141/100)+(0.3*MAX(0,K141)/9)+(0.2*MAX(0,Q141)/9)),"")</f>
        <v/>
      </c>
    </row>
    <row r="142">
      <c r="A142" s="13">
        <f>IF('Raw Data'!A129&lt;&gt;"",'Raw Data'!A129,"")</f>
        <v/>
      </c>
      <c r="B142" s="13">
        <f>IF('Raw Data'!B129&lt;&gt;"",'Raw Data'!B129,"")</f>
        <v/>
      </c>
      <c r="C142" s="13">
        <f>IF('Raw Data'!C129&lt;&gt;"",'Raw Data'!C129,"")</f>
        <v/>
      </c>
      <c r="D142" s="13">
        <f>IF('Raw Data'!D129&lt;&gt;"",'Raw Data'!D129,"")</f>
        <v/>
      </c>
      <c r="E142" s="13">
        <f>IF('Raw Data'!E129&lt;&gt;"",'Raw Data'!E129,"")</f>
        <v/>
      </c>
      <c r="F142" s="17">
        <f>IF('Raw Data'!A129&lt;&gt;"",AVERAGE('Raw Data'!F129,'Raw Data'!H129,'Raw Data'!J129,'Raw Data'!L129,'Raw Data'!N129),"")</f>
        <v/>
      </c>
      <c r="G142" s="17">
        <f>IF('Raw Data'!A129&lt;&gt;"",AVERAGE('Raw Data'!G129,'Raw Data'!I129,'Raw Data'!K129,'Raw Data'!M129,'Raw Data'!O129),"")</f>
        <v/>
      </c>
      <c r="H142" s="17">
        <f>IF(F142&lt;&gt;"",F142-G142,"")</f>
        <v/>
      </c>
      <c r="I142" s="17">
        <f>IF('Raw Data'!A129&lt;&gt;"",AVERAGE('Raw Data'!P129,'Raw Data'!R129,'Raw Data'!T129,'Raw Data'!V129,'Raw Data'!X129),"")</f>
        <v/>
      </c>
      <c r="J142" s="17">
        <f>IF('Raw Data'!A129&lt;&gt;"",AVERAGE('Raw Data'!Q129,'Raw Data'!S129,'Raw Data'!U129,'Raw Data'!W129,'Raw Data'!Y129),"")</f>
        <v/>
      </c>
      <c r="K142" s="17">
        <f>IF(I142&lt;&gt;"",I142-J142,"")</f>
        <v/>
      </c>
      <c r="L142" s="17">
        <f>IF('Raw Data'!A129&lt;&gt;"",AVERAGE('Raw Data'!Z129,'Raw Data'!AB129,'Raw Data'!AD129,'Raw Data'!AF129,'Raw Data'!AH129),"")</f>
        <v/>
      </c>
      <c r="M142" s="17">
        <f>IF('Raw Data'!A129&lt;&gt;"",AVERAGE('Raw Data'!AA129,'Raw Data'!AC129,'Raw Data'!AE129,'Raw Data'!AG129,'Raw Data'!AI129),"")</f>
        <v/>
      </c>
      <c r="N142" s="17">
        <f>IF(L142&lt;&gt;"",L142-M142,"")</f>
        <v/>
      </c>
      <c r="O142" s="17">
        <f>IF('Raw Data'!A129&lt;&gt;"",AVERAGE('Raw Data'!AJ129,'Raw Data'!AL129,'Raw Data'!AN129,'Raw Data'!AP129,'Raw Data'!AR129),"")</f>
        <v/>
      </c>
      <c r="P142" s="17">
        <f>IF('Raw Data'!A129&lt;&gt;"",AVERAGE('Raw Data'!AK129,'Raw Data'!AM129,'Raw Data'!AO129,'Raw Data'!AQ129,'Raw Data'!AS129),"")</f>
        <v/>
      </c>
      <c r="Q142" s="17">
        <f>IF(O142&lt;&gt;"",O142-P142,"")</f>
        <v/>
      </c>
      <c r="R142" s="17">
        <f>IF('Raw Data'!A129&lt;&gt;"",AVERAGE('Raw Data'!AT129,'Raw Data'!AV129,'Raw Data'!AX129,'Raw Data'!AZ129,'Raw Data'!BB129),"")</f>
        <v/>
      </c>
      <c r="S142" s="17">
        <f>IF('Raw Data'!A129&lt;&gt;"",AVERAGE('Raw Data'!AU129,'Raw Data'!AW129,'Raw Data'!AY129,'Raw Data'!BA129,'Raw Data'!BC129),"")</f>
        <v/>
      </c>
      <c r="T142" s="17">
        <f>IF(R142&lt;&gt;"",R142-S142,"")</f>
        <v/>
      </c>
      <c r="U142" s="17">
        <f>IF('Raw Data'!A129&lt;&gt;"",AVERAGE('Raw Data'!BD129,'Raw Data'!BF129,'Raw Data'!BH129,'Raw Data'!BJ129,'Raw Data'!BL129),"")</f>
        <v/>
      </c>
      <c r="V142" s="17">
        <f>IF('Raw Data'!A129&lt;&gt;"",AVERAGE('Raw Data'!BE129,'Raw Data'!BG129,'Raw Data'!BI129,'Raw Data'!BK129,'Raw Data'!BM129),"")</f>
        <v/>
      </c>
      <c r="W142" s="17">
        <f>IF(U142&lt;&gt;"",U142-V142,"")</f>
        <v/>
      </c>
      <c r="X142" s="17">
        <f>IF(A142&lt;&gt;"",AVERAGE(F142,I142,L142,O142,R142,U142),"")</f>
        <v/>
      </c>
      <c r="Y142" s="17">
        <f>IF(A142&lt;&gt;"",AVERAGE(G142,J142,M142,P142,S142,V142),"")</f>
        <v/>
      </c>
      <c r="Z142" s="17">
        <f>IF(A142&lt;&gt;"",X142-Y142,"")</f>
        <v/>
      </c>
      <c r="AA142" s="18">
        <f>IF(A142&lt;&gt;"",ROUND(MIN(100,100*((MAX(0,K142)*0.25)+(MAX(0,Q142)*0.20)+(MAX(0,W142)*0.20)+(MAX(0,H142)*0.15)+(MAX(0,N142)*0.10)+(MAX(0,T142)*0.10))/9),1),"")</f>
        <v/>
      </c>
      <c r="AB142" s="29">
        <f>IF(A142&lt;&gt;"",MIN(1,(0.5*AA142/100)+(0.3*MAX(0,K142)/9)+(0.2*MAX(0,Q142)/9)),"")</f>
        <v/>
      </c>
    </row>
    <row r="143">
      <c r="A143" s="4">
        <f>IF('Raw Data'!A130&lt;&gt;"",'Raw Data'!A130,"")</f>
        <v/>
      </c>
      <c r="B143" s="4">
        <f>IF('Raw Data'!B130&lt;&gt;"",'Raw Data'!B130,"")</f>
        <v/>
      </c>
      <c r="C143" s="4">
        <f>IF('Raw Data'!C130&lt;&gt;"",'Raw Data'!C130,"")</f>
        <v/>
      </c>
      <c r="D143" s="4">
        <f>IF('Raw Data'!D130&lt;&gt;"",'Raw Data'!D130,"")</f>
        <v/>
      </c>
      <c r="E143" s="4">
        <f>IF('Raw Data'!E130&lt;&gt;"",'Raw Data'!E130,"")</f>
        <v/>
      </c>
      <c r="F143" s="14">
        <f>IF('Raw Data'!A130&lt;&gt;"",AVERAGE('Raw Data'!F130,'Raw Data'!H130,'Raw Data'!J130,'Raw Data'!L130,'Raw Data'!N130),"")</f>
        <v/>
      </c>
      <c r="G143" s="14">
        <f>IF('Raw Data'!A130&lt;&gt;"",AVERAGE('Raw Data'!G130,'Raw Data'!I130,'Raw Data'!K130,'Raw Data'!M130,'Raw Data'!O130),"")</f>
        <v/>
      </c>
      <c r="H143" s="14">
        <f>IF(F143&lt;&gt;"",F143-G143,"")</f>
        <v/>
      </c>
      <c r="I143" s="14">
        <f>IF('Raw Data'!A130&lt;&gt;"",AVERAGE('Raw Data'!P130,'Raw Data'!R130,'Raw Data'!T130,'Raw Data'!V130,'Raw Data'!X130),"")</f>
        <v/>
      </c>
      <c r="J143" s="14">
        <f>IF('Raw Data'!A130&lt;&gt;"",AVERAGE('Raw Data'!Q130,'Raw Data'!S130,'Raw Data'!U130,'Raw Data'!W130,'Raw Data'!Y130),"")</f>
        <v/>
      </c>
      <c r="K143" s="14">
        <f>IF(I143&lt;&gt;"",I143-J143,"")</f>
        <v/>
      </c>
      <c r="L143" s="14">
        <f>IF('Raw Data'!A130&lt;&gt;"",AVERAGE('Raw Data'!Z130,'Raw Data'!AB130,'Raw Data'!AD130,'Raw Data'!AF130,'Raw Data'!AH130),"")</f>
        <v/>
      </c>
      <c r="M143" s="14">
        <f>IF('Raw Data'!A130&lt;&gt;"",AVERAGE('Raw Data'!AA130,'Raw Data'!AC130,'Raw Data'!AE130,'Raw Data'!AG130,'Raw Data'!AI130),"")</f>
        <v/>
      </c>
      <c r="N143" s="14">
        <f>IF(L143&lt;&gt;"",L143-M143,"")</f>
        <v/>
      </c>
      <c r="O143" s="14">
        <f>IF('Raw Data'!A130&lt;&gt;"",AVERAGE('Raw Data'!AJ130,'Raw Data'!AL130,'Raw Data'!AN130,'Raw Data'!AP130,'Raw Data'!AR130),"")</f>
        <v/>
      </c>
      <c r="P143" s="14">
        <f>IF('Raw Data'!A130&lt;&gt;"",AVERAGE('Raw Data'!AK130,'Raw Data'!AM130,'Raw Data'!AO130,'Raw Data'!AQ130,'Raw Data'!AS130),"")</f>
        <v/>
      </c>
      <c r="Q143" s="14">
        <f>IF(O143&lt;&gt;"",O143-P143,"")</f>
        <v/>
      </c>
      <c r="R143" s="14">
        <f>IF('Raw Data'!A130&lt;&gt;"",AVERAGE('Raw Data'!AT130,'Raw Data'!AV130,'Raw Data'!AX130,'Raw Data'!AZ130,'Raw Data'!BB130),"")</f>
        <v/>
      </c>
      <c r="S143" s="14">
        <f>IF('Raw Data'!A130&lt;&gt;"",AVERAGE('Raw Data'!AU130,'Raw Data'!AW130,'Raw Data'!AY130,'Raw Data'!BA130,'Raw Data'!BC130),"")</f>
        <v/>
      </c>
      <c r="T143" s="14">
        <f>IF(R143&lt;&gt;"",R143-S143,"")</f>
        <v/>
      </c>
      <c r="U143" s="14">
        <f>IF('Raw Data'!A130&lt;&gt;"",AVERAGE('Raw Data'!BD130,'Raw Data'!BF130,'Raw Data'!BH130,'Raw Data'!BJ130,'Raw Data'!BL130),"")</f>
        <v/>
      </c>
      <c r="V143" s="14">
        <f>IF('Raw Data'!A130&lt;&gt;"",AVERAGE('Raw Data'!BE130,'Raw Data'!BG130,'Raw Data'!BI130,'Raw Data'!BK130,'Raw Data'!BM130),"")</f>
        <v/>
      </c>
      <c r="W143" s="14">
        <f>IF(U143&lt;&gt;"",U143-V143,"")</f>
        <v/>
      </c>
      <c r="X143" s="14">
        <f>IF(A143&lt;&gt;"",AVERAGE(F143,I143,L143,O143,R143,U143),"")</f>
        <v/>
      </c>
      <c r="Y143" s="14">
        <f>IF(A143&lt;&gt;"",AVERAGE(G143,J143,M143,P143,S143,V143),"")</f>
        <v/>
      </c>
      <c r="Z143" s="14">
        <f>IF(A143&lt;&gt;"",X143-Y143,"")</f>
        <v/>
      </c>
      <c r="AA143" s="15">
        <f>IF(A143&lt;&gt;"",ROUND(MIN(100,100*((MAX(0,K143)*0.25)+(MAX(0,Q143)*0.20)+(MAX(0,W143)*0.20)+(MAX(0,H143)*0.15)+(MAX(0,N143)*0.10)+(MAX(0,T143)*0.10))/9),1),"")</f>
        <v/>
      </c>
      <c r="AB143" s="28">
        <f>IF(A143&lt;&gt;"",MIN(1,(0.5*AA143/100)+(0.3*MAX(0,K143)/9)+(0.2*MAX(0,Q143)/9)),"")</f>
        <v/>
      </c>
    </row>
    <row r="144">
      <c r="A144" s="13">
        <f>IF('Raw Data'!A131&lt;&gt;"",'Raw Data'!A131,"")</f>
        <v/>
      </c>
      <c r="B144" s="13">
        <f>IF('Raw Data'!B131&lt;&gt;"",'Raw Data'!B131,"")</f>
        <v/>
      </c>
      <c r="C144" s="13">
        <f>IF('Raw Data'!C131&lt;&gt;"",'Raw Data'!C131,"")</f>
        <v/>
      </c>
      <c r="D144" s="13">
        <f>IF('Raw Data'!D131&lt;&gt;"",'Raw Data'!D131,"")</f>
        <v/>
      </c>
      <c r="E144" s="13">
        <f>IF('Raw Data'!E131&lt;&gt;"",'Raw Data'!E131,"")</f>
        <v/>
      </c>
      <c r="F144" s="17">
        <f>IF('Raw Data'!A131&lt;&gt;"",AVERAGE('Raw Data'!F131,'Raw Data'!H131,'Raw Data'!J131,'Raw Data'!L131,'Raw Data'!N131),"")</f>
        <v/>
      </c>
      <c r="G144" s="17">
        <f>IF('Raw Data'!A131&lt;&gt;"",AVERAGE('Raw Data'!G131,'Raw Data'!I131,'Raw Data'!K131,'Raw Data'!M131,'Raw Data'!O131),"")</f>
        <v/>
      </c>
      <c r="H144" s="17">
        <f>IF(F144&lt;&gt;"",F144-G144,"")</f>
        <v/>
      </c>
      <c r="I144" s="17">
        <f>IF('Raw Data'!A131&lt;&gt;"",AVERAGE('Raw Data'!P131,'Raw Data'!R131,'Raw Data'!T131,'Raw Data'!V131,'Raw Data'!X131),"")</f>
        <v/>
      </c>
      <c r="J144" s="17">
        <f>IF('Raw Data'!A131&lt;&gt;"",AVERAGE('Raw Data'!Q131,'Raw Data'!S131,'Raw Data'!U131,'Raw Data'!W131,'Raw Data'!Y131),"")</f>
        <v/>
      </c>
      <c r="K144" s="17">
        <f>IF(I144&lt;&gt;"",I144-J144,"")</f>
        <v/>
      </c>
      <c r="L144" s="17">
        <f>IF('Raw Data'!A131&lt;&gt;"",AVERAGE('Raw Data'!Z131,'Raw Data'!AB131,'Raw Data'!AD131,'Raw Data'!AF131,'Raw Data'!AH131),"")</f>
        <v/>
      </c>
      <c r="M144" s="17">
        <f>IF('Raw Data'!A131&lt;&gt;"",AVERAGE('Raw Data'!AA131,'Raw Data'!AC131,'Raw Data'!AE131,'Raw Data'!AG131,'Raw Data'!AI131),"")</f>
        <v/>
      </c>
      <c r="N144" s="17">
        <f>IF(L144&lt;&gt;"",L144-M144,"")</f>
        <v/>
      </c>
      <c r="O144" s="17">
        <f>IF('Raw Data'!A131&lt;&gt;"",AVERAGE('Raw Data'!AJ131,'Raw Data'!AL131,'Raw Data'!AN131,'Raw Data'!AP131,'Raw Data'!AR131),"")</f>
        <v/>
      </c>
      <c r="P144" s="17">
        <f>IF('Raw Data'!A131&lt;&gt;"",AVERAGE('Raw Data'!AK131,'Raw Data'!AM131,'Raw Data'!AO131,'Raw Data'!AQ131,'Raw Data'!AS131),"")</f>
        <v/>
      </c>
      <c r="Q144" s="17">
        <f>IF(O144&lt;&gt;"",O144-P144,"")</f>
        <v/>
      </c>
      <c r="R144" s="17">
        <f>IF('Raw Data'!A131&lt;&gt;"",AVERAGE('Raw Data'!AT131,'Raw Data'!AV131,'Raw Data'!AX131,'Raw Data'!AZ131,'Raw Data'!BB131),"")</f>
        <v/>
      </c>
      <c r="S144" s="17">
        <f>IF('Raw Data'!A131&lt;&gt;"",AVERAGE('Raw Data'!AU131,'Raw Data'!AW131,'Raw Data'!AY131,'Raw Data'!BA131,'Raw Data'!BC131),"")</f>
        <v/>
      </c>
      <c r="T144" s="17">
        <f>IF(R144&lt;&gt;"",R144-S144,"")</f>
        <v/>
      </c>
      <c r="U144" s="17">
        <f>IF('Raw Data'!A131&lt;&gt;"",AVERAGE('Raw Data'!BD131,'Raw Data'!BF131,'Raw Data'!BH131,'Raw Data'!BJ131,'Raw Data'!BL131),"")</f>
        <v/>
      </c>
      <c r="V144" s="17">
        <f>IF('Raw Data'!A131&lt;&gt;"",AVERAGE('Raw Data'!BE131,'Raw Data'!BG131,'Raw Data'!BI131,'Raw Data'!BK131,'Raw Data'!BM131),"")</f>
        <v/>
      </c>
      <c r="W144" s="17">
        <f>IF(U144&lt;&gt;"",U144-V144,"")</f>
        <v/>
      </c>
      <c r="X144" s="17">
        <f>IF(A144&lt;&gt;"",AVERAGE(F144,I144,L144,O144,R144,U144),"")</f>
        <v/>
      </c>
      <c r="Y144" s="17">
        <f>IF(A144&lt;&gt;"",AVERAGE(G144,J144,M144,P144,S144,V144),"")</f>
        <v/>
      </c>
      <c r="Z144" s="17">
        <f>IF(A144&lt;&gt;"",X144-Y144,"")</f>
        <v/>
      </c>
      <c r="AA144" s="18">
        <f>IF(A144&lt;&gt;"",ROUND(MIN(100,100*((MAX(0,K144)*0.25)+(MAX(0,Q144)*0.20)+(MAX(0,W144)*0.20)+(MAX(0,H144)*0.15)+(MAX(0,N144)*0.10)+(MAX(0,T144)*0.10))/9),1),"")</f>
        <v/>
      </c>
      <c r="AB144" s="29">
        <f>IF(A144&lt;&gt;"",MIN(1,(0.5*AA144/100)+(0.3*MAX(0,K144)/9)+(0.2*MAX(0,Q144)/9)),"")</f>
        <v/>
      </c>
    </row>
    <row r="145">
      <c r="A145" s="4">
        <f>IF('Raw Data'!A132&lt;&gt;"",'Raw Data'!A132,"")</f>
        <v/>
      </c>
      <c r="B145" s="4">
        <f>IF('Raw Data'!B132&lt;&gt;"",'Raw Data'!B132,"")</f>
        <v/>
      </c>
      <c r="C145" s="4">
        <f>IF('Raw Data'!C132&lt;&gt;"",'Raw Data'!C132,"")</f>
        <v/>
      </c>
      <c r="D145" s="4">
        <f>IF('Raw Data'!D132&lt;&gt;"",'Raw Data'!D132,"")</f>
        <v/>
      </c>
      <c r="E145" s="4">
        <f>IF('Raw Data'!E132&lt;&gt;"",'Raw Data'!E132,"")</f>
        <v/>
      </c>
      <c r="F145" s="14">
        <f>IF('Raw Data'!A132&lt;&gt;"",AVERAGE('Raw Data'!F132,'Raw Data'!H132,'Raw Data'!J132,'Raw Data'!L132,'Raw Data'!N132),"")</f>
        <v/>
      </c>
      <c r="G145" s="14">
        <f>IF('Raw Data'!A132&lt;&gt;"",AVERAGE('Raw Data'!G132,'Raw Data'!I132,'Raw Data'!K132,'Raw Data'!M132,'Raw Data'!O132),"")</f>
        <v/>
      </c>
      <c r="H145" s="14">
        <f>IF(F145&lt;&gt;"",F145-G145,"")</f>
        <v/>
      </c>
      <c r="I145" s="14">
        <f>IF('Raw Data'!A132&lt;&gt;"",AVERAGE('Raw Data'!P132,'Raw Data'!R132,'Raw Data'!T132,'Raw Data'!V132,'Raw Data'!X132),"")</f>
        <v/>
      </c>
      <c r="J145" s="14">
        <f>IF('Raw Data'!A132&lt;&gt;"",AVERAGE('Raw Data'!Q132,'Raw Data'!S132,'Raw Data'!U132,'Raw Data'!W132,'Raw Data'!Y132),"")</f>
        <v/>
      </c>
      <c r="K145" s="14">
        <f>IF(I145&lt;&gt;"",I145-J145,"")</f>
        <v/>
      </c>
      <c r="L145" s="14">
        <f>IF('Raw Data'!A132&lt;&gt;"",AVERAGE('Raw Data'!Z132,'Raw Data'!AB132,'Raw Data'!AD132,'Raw Data'!AF132,'Raw Data'!AH132),"")</f>
        <v/>
      </c>
      <c r="M145" s="14">
        <f>IF('Raw Data'!A132&lt;&gt;"",AVERAGE('Raw Data'!AA132,'Raw Data'!AC132,'Raw Data'!AE132,'Raw Data'!AG132,'Raw Data'!AI132),"")</f>
        <v/>
      </c>
      <c r="N145" s="14">
        <f>IF(L145&lt;&gt;"",L145-M145,"")</f>
        <v/>
      </c>
      <c r="O145" s="14">
        <f>IF('Raw Data'!A132&lt;&gt;"",AVERAGE('Raw Data'!AJ132,'Raw Data'!AL132,'Raw Data'!AN132,'Raw Data'!AP132,'Raw Data'!AR132),"")</f>
        <v/>
      </c>
      <c r="P145" s="14">
        <f>IF('Raw Data'!A132&lt;&gt;"",AVERAGE('Raw Data'!AK132,'Raw Data'!AM132,'Raw Data'!AO132,'Raw Data'!AQ132,'Raw Data'!AS132),"")</f>
        <v/>
      </c>
      <c r="Q145" s="14">
        <f>IF(O145&lt;&gt;"",O145-P145,"")</f>
        <v/>
      </c>
      <c r="R145" s="14">
        <f>IF('Raw Data'!A132&lt;&gt;"",AVERAGE('Raw Data'!AT132,'Raw Data'!AV132,'Raw Data'!AX132,'Raw Data'!AZ132,'Raw Data'!BB132),"")</f>
        <v/>
      </c>
      <c r="S145" s="14">
        <f>IF('Raw Data'!A132&lt;&gt;"",AVERAGE('Raw Data'!AU132,'Raw Data'!AW132,'Raw Data'!AY132,'Raw Data'!BA132,'Raw Data'!BC132),"")</f>
        <v/>
      </c>
      <c r="T145" s="14">
        <f>IF(R145&lt;&gt;"",R145-S145,"")</f>
        <v/>
      </c>
      <c r="U145" s="14">
        <f>IF('Raw Data'!A132&lt;&gt;"",AVERAGE('Raw Data'!BD132,'Raw Data'!BF132,'Raw Data'!BH132,'Raw Data'!BJ132,'Raw Data'!BL132),"")</f>
        <v/>
      </c>
      <c r="V145" s="14">
        <f>IF('Raw Data'!A132&lt;&gt;"",AVERAGE('Raw Data'!BE132,'Raw Data'!BG132,'Raw Data'!BI132,'Raw Data'!BK132,'Raw Data'!BM132),"")</f>
        <v/>
      </c>
      <c r="W145" s="14">
        <f>IF(U145&lt;&gt;"",U145-V145,"")</f>
        <v/>
      </c>
      <c r="X145" s="14">
        <f>IF(A145&lt;&gt;"",AVERAGE(F145,I145,L145,O145,R145,U145),"")</f>
        <v/>
      </c>
      <c r="Y145" s="14">
        <f>IF(A145&lt;&gt;"",AVERAGE(G145,J145,M145,P145,S145,V145),"")</f>
        <v/>
      </c>
      <c r="Z145" s="14">
        <f>IF(A145&lt;&gt;"",X145-Y145,"")</f>
        <v/>
      </c>
      <c r="AA145" s="15">
        <f>IF(A145&lt;&gt;"",ROUND(MIN(100,100*((MAX(0,K145)*0.25)+(MAX(0,Q145)*0.20)+(MAX(0,W145)*0.20)+(MAX(0,H145)*0.15)+(MAX(0,N145)*0.10)+(MAX(0,T145)*0.10))/9),1),"")</f>
        <v/>
      </c>
      <c r="AB145" s="28">
        <f>IF(A145&lt;&gt;"",MIN(1,(0.5*AA145/100)+(0.3*MAX(0,K145)/9)+(0.2*MAX(0,Q145)/9)),"")</f>
        <v/>
      </c>
    </row>
    <row r="146">
      <c r="A146" s="13">
        <f>IF('Raw Data'!A133&lt;&gt;"",'Raw Data'!A133,"")</f>
        <v/>
      </c>
      <c r="B146" s="13">
        <f>IF('Raw Data'!B133&lt;&gt;"",'Raw Data'!B133,"")</f>
        <v/>
      </c>
      <c r="C146" s="13">
        <f>IF('Raw Data'!C133&lt;&gt;"",'Raw Data'!C133,"")</f>
        <v/>
      </c>
      <c r="D146" s="13">
        <f>IF('Raw Data'!D133&lt;&gt;"",'Raw Data'!D133,"")</f>
        <v/>
      </c>
      <c r="E146" s="13">
        <f>IF('Raw Data'!E133&lt;&gt;"",'Raw Data'!E133,"")</f>
        <v/>
      </c>
      <c r="F146" s="17">
        <f>IF('Raw Data'!A133&lt;&gt;"",AVERAGE('Raw Data'!F133,'Raw Data'!H133,'Raw Data'!J133,'Raw Data'!L133,'Raw Data'!N133),"")</f>
        <v/>
      </c>
      <c r="G146" s="17">
        <f>IF('Raw Data'!A133&lt;&gt;"",AVERAGE('Raw Data'!G133,'Raw Data'!I133,'Raw Data'!K133,'Raw Data'!M133,'Raw Data'!O133),"")</f>
        <v/>
      </c>
      <c r="H146" s="17">
        <f>IF(F146&lt;&gt;"",F146-G146,"")</f>
        <v/>
      </c>
      <c r="I146" s="17">
        <f>IF('Raw Data'!A133&lt;&gt;"",AVERAGE('Raw Data'!P133,'Raw Data'!R133,'Raw Data'!T133,'Raw Data'!V133,'Raw Data'!X133),"")</f>
        <v/>
      </c>
      <c r="J146" s="17">
        <f>IF('Raw Data'!A133&lt;&gt;"",AVERAGE('Raw Data'!Q133,'Raw Data'!S133,'Raw Data'!U133,'Raw Data'!W133,'Raw Data'!Y133),"")</f>
        <v/>
      </c>
      <c r="K146" s="17">
        <f>IF(I146&lt;&gt;"",I146-J146,"")</f>
        <v/>
      </c>
      <c r="L146" s="17">
        <f>IF('Raw Data'!A133&lt;&gt;"",AVERAGE('Raw Data'!Z133,'Raw Data'!AB133,'Raw Data'!AD133,'Raw Data'!AF133,'Raw Data'!AH133),"")</f>
        <v/>
      </c>
      <c r="M146" s="17">
        <f>IF('Raw Data'!A133&lt;&gt;"",AVERAGE('Raw Data'!AA133,'Raw Data'!AC133,'Raw Data'!AE133,'Raw Data'!AG133,'Raw Data'!AI133),"")</f>
        <v/>
      </c>
      <c r="N146" s="17">
        <f>IF(L146&lt;&gt;"",L146-M146,"")</f>
        <v/>
      </c>
      <c r="O146" s="17">
        <f>IF('Raw Data'!A133&lt;&gt;"",AVERAGE('Raw Data'!AJ133,'Raw Data'!AL133,'Raw Data'!AN133,'Raw Data'!AP133,'Raw Data'!AR133),"")</f>
        <v/>
      </c>
      <c r="P146" s="17">
        <f>IF('Raw Data'!A133&lt;&gt;"",AVERAGE('Raw Data'!AK133,'Raw Data'!AM133,'Raw Data'!AO133,'Raw Data'!AQ133,'Raw Data'!AS133),"")</f>
        <v/>
      </c>
      <c r="Q146" s="17">
        <f>IF(O146&lt;&gt;"",O146-P146,"")</f>
        <v/>
      </c>
      <c r="R146" s="17">
        <f>IF('Raw Data'!A133&lt;&gt;"",AVERAGE('Raw Data'!AT133,'Raw Data'!AV133,'Raw Data'!AX133,'Raw Data'!AZ133,'Raw Data'!BB133),"")</f>
        <v/>
      </c>
      <c r="S146" s="17">
        <f>IF('Raw Data'!A133&lt;&gt;"",AVERAGE('Raw Data'!AU133,'Raw Data'!AW133,'Raw Data'!AY133,'Raw Data'!BA133,'Raw Data'!BC133),"")</f>
        <v/>
      </c>
      <c r="T146" s="17">
        <f>IF(R146&lt;&gt;"",R146-S146,"")</f>
        <v/>
      </c>
      <c r="U146" s="17">
        <f>IF('Raw Data'!A133&lt;&gt;"",AVERAGE('Raw Data'!BD133,'Raw Data'!BF133,'Raw Data'!BH133,'Raw Data'!BJ133,'Raw Data'!BL133),"")</f>
        <v/>
      </c>
      <c r="V146" s="17">
        <f>IF('Raw Data'!A133&lt;&gt;"",AVERAGE('Raw Data'!BE133,'Raw Data'!BG133,'Raw Data'!BI133,'Raw Data'!BK133,'Raw Data'!BM133),"")</f>
        <v/>
      </c>
      <c r="W146" s="17">
        <f>IF(U146&lt;&gt;"",U146-V146,"")</f>
        <v/>
      </c>
      <c r="X146" s="17">
        <f>IF(A146&lt;&gt;"",AVERAGE(F146,I146,L146,O146,R146,U146),"")</f>
        <v/>
      </c>
      <c r="Y146" s="17">
        <f>IF(A146&lt;&gt;"",AVERAGE(G146,J146,M146,P146,S146,V146),"")</f>
        <v/>
      </c>
      <c r="Z146" s="17">
        <f>IF(A146&lt;&gt;"",X146-Y146,"")</f>
        <v/>
      </c>
      <c r="AA146" s="18">
        <f>IF(A146&lt;&gt;"",ROUND(MIN(100,100*((MAX(0,K146)*0.25)+(MAX(0,Q146)*0.20)+(MAX(0,W146)*0.20)+(MAX(0,H146)*0.15)+(MAX(0,N146)*0.10)+(MAX(0,T146)*0.10))/9),1),"")</f>
        <v/>
      </c>
      <c r="AB146" s="29">
        <f>IF(A146&lt;&gt;"",MIN(1,(0.5*AA146/100)+(0.3*MAX(0,K146)/9)+(0.2*MAX(0,Q146)/9)),"")</f>
        <v/>
      </c>
    </row>
    <row r="147">
      <c r="A147" s="4">
        <f>IF('Raw Data'!A134&lt;&gt;"",'Raw Data'!A134,"")</f>
        <v/>
      </c>
      <c r="B147" s="4">
        <f>IF('Raw Data'!B134&lt;&gt;"",'Raw Data'!B134,"")</f>
        <v/>
      </c>
      <c r="C147" s="4">
        <f>IF('Raw Data'!C134&lt;&gt;"",'Raw Data'!C134,"")</f>
        <v/>
      </c>
      <c r="D147" s="4">
        <f>IF('Raw Data'!D134&lt;&gt;"",'Raw Data'!D134,"")</f>
        <v/>
      </c>
      <c r="E147" s="4">
        <f>IF('Raw Data'!E134&lt;&gt;"",'Raw Data'!E134,"")</f>
        <v/>
      </c>
      <c r="F147" s="14">
        <f>IF('Raw Data'!A134&lt;&gt;"",AVERAGE('Raw Data'!F134,'Raw Data'!H134,'Raw Data'!J134,'Raw Data'!L134,'Raw Data'!N134),"")</f>
        <v/>
      </c>
      <c r="G147" s="14">
        <f>IF('Raw Data'!A134&lt;&gt;"",AVERAGE('Raw Data'!G134,'Raw Data'!I134,'Raw Data'!K134,'Raw Data'!M134,'Raw Data'!O134),"")</f>
        <v/>
      </c>
      <c r="H147" s="14">
        <f>IF(F147&lt;&gt;"",F147-G147,"")</f>
        <v/>
      </c>
      <c r="I147" s="14">
        <f>IF('Raw Data'!A134&lt;&gt;"",AVERAGE('Raw Data'!P134,'Raw Data'!R134,'Raw Data'!T134,'Raw Data'!V134,'Raw Data'!X134),"")</f>
        <v/>
      </c>
      <c r="J147" s="14">
        <f>IF('Raw Data'!A134&lt;&gt;"",AVERAGE('Raw Data'!Q134,'Raw Data'!S134,'Raw Data'!U134,'Raw Data'!W134,'Raw Data'!Y134),"")</f>
        <v/>
      </c>
      <c r="K147" s="14">
        <f>IF(I147&lt;&gt;"",I147-J147,"")</f>
        <v/>
      </c>
      <c r="L147" s="14">
        <f>IF('Raw Data'!A134&lt;&gt;"",AVERAGE('Raw Data'!Z134,'Raw Data'!AB134,'Raw Data'!AD134,'Raw Data'!AF134,'Raw Data'!AH134),"")</f>
        <v/>
      </c>
      <c r="M147" s="14">
        <f>IF('Raw Data'!A134&lt;&gt;"",AVERAGE('Raw Data'!AA134,'Raw Data'!AC134,'Raw Data'!AE134,'Raw Data'!AG134,'Raw Data'!AI134),"")</f>
        <v/>
      </c>
      <c r="N147" s="14">
        <f>IF(L147&lt;&gt;"",L147-M147,"")</f>
        <v/>
      </c>
      <c r="O147" s="14">
        <f>IF('Raw Data'!A134&lt;&gt;"",AVERAGE('Raw Data'!AJ134,'Raw Data'!AL134,'Raw Data'!AN134,'Raw Data'!AP134,'Raw Data'!AR134),"")</f>
        <v/>
      </c>
      <c r="P147" s="14">
        <f>IF('Raw Data'!A134&lt;&gt;"",AVERAGE('Raw Data'!AK134,'Raw Data'!AM134,'Raw Data'!AO134,'Raw Data'!AQ134,'Raw Data'!AS134),"")</f>
        <v/>
      </c>
      <c r="Q147" s="14">
        <f>IF(O147&lt;&gt;"",O147-P147,"")</f>
        <v/>
      </c>
      <c r="R147" s="14">
        <f>IF('Raw Data'!A134&lt;&gt;"",AVERAGE('Raw Data'!AT134,'Raw Data'!AV134,'Raw Data'!AX134,'Raw Data'!AZ134,'Raw Data'!BB134),"")</f>
        <v/>
      </c>
      <c r="S147" s="14">
        <f>IF('Raw Data'!A134&lt;&gt;"",AVERAGE('Raw Data'!AU134,'Raw Data'!AW134,'Raw Data'!AY134,'Raw Data'!BA134,'Raw Data'!BC134),"")</f>
        <v/>
      </c>
      <c r="T147" s="14">
        <f>IF(R147&lt;&gt;"",R147-S147,"")</f>
        <v/>
      </c>
      <c r="U147" s="14">
        <f>IF('Raw Data'!A134&lt;&gt;"",AVERAGE('Raw Data'!BD134,'Raw Data'!BF134,'Raw Data'!BH134,'Raw Data'!BJ134,'Raw Data'!BL134),"")</f>
        <v/>
      </c>
      <c r="V147" s="14">
        <f>IF('Raw Data'!A134&lt;&gt;"",AVERAGE('Raw Data'!BE134,'Raw Data'!BG134,'Raw Data'!BI134,'Raw Data'!BK134,'Raw Data'!BM134),"")</f>
        <v/>
      </c>
      <c r="W147" s="14">
        <f>IF(U147&lt;&gt;"",U147-V147,"")</f>
        <v/>
      </c>
      <c r="X147" s="14">
        <f>IF(A147&lt;&gt;"",AVERAGE(F147,I147,L147,O147,R147,U147),"")</f>
        <v/>
      </c>
      <c r="Y147" s="14">
        <f>IF(A147&lt;&gt;"",AVERAGE(G147,J147,M147,P147,S147,V147),"")</f>
        <v/>
      </c>
      <c r="Z147" s="14">
        <f>IF(A147&lt;&gt;"",X147-Y147,"")</f>
        <v/>
      </c>
      <c r="AA147" s="15">
        <f>IF(A147&lt;&gt;"",ROUND(MIN(100,100*((MAX(0,K147)*0.25)+(MAX(0,Q147)*0.20)+(MAX(0,W147)*0.20)+(MAX(0,H147)*0.15)+(MAX(0,N147)*0.10)+(MAX(0,T147)*0.10))/9),1),"")</f>
        <v/>
      </c>
      <c r="AB147" s="28">
        <f>IF(A147&lt;&gt;"",MIN(1,(0.5*AA147/100)+(0.3*MAX(0,K147)/9)+(0.2*MAX(0,Q147)/9)),"")</f>
        <v/>
      </c>
    </row>
    <row r="148">
      <c r="A148" s="13">
        <f>IF('Raw Data'!A135&lt;&gt;"",'Raw Data'!A135,"")</f>
        <v/>
      </c>
      <c r="B148" s="13">
        <f>IF('Raw Data'!B135&lt;&gt;"",'Raw Data'!B135,"")</f>
        <v/>
      </c>
      <c r="C148" s="13">
        <f>IF('Raw Data'!C135&lt;&gt;"",'Raw Data'!C135,"")</f>
        <v/>
      </c>
      <c r="D148" s="13">
        <f>IF('Raw Data'!D135&lt;&gt;"",'Raw Data'!D135,"")</f>
        <v/>
      </c>
      <c r="E148" s="13">
        <f>IF('Raw Data'!E135&lt;&gt;"",'Raw Data'!E135,"")</f>
        <v/>
      </c>
      <c r="F148" s="17">
        <f>IF('Raw Data'!A135&lt;&gt;"",AVERAGE('Raw Data'!F135,'Raw Data'!H135,'Raw Data'!J135,'Raw Data'!L135,'Raw Data'!N135),"")</f>
        <v/>
      </c>
      <c r="G148" s="17">
        <f>IF('Raw Data'!A135&lt;&gt;"",AVERAGE('Raw Data'!G135,'Raw Data'!I135,'Raw Data'!K135,'Raw Data'!M135,'Raw Data'!O135),"")</f>
        <v/>
      </c>
      <c r="H148" s="17">
        <f>IF(F148&lt;&gt;"",F148-G148,"")</f>
        <v/>
      </c>
      <c r="I148" s="17">
        <f>IF('Raw Data'!A135&lt;&gt;"",AVERAGE('Raw Data'!P135,'Raw Data'!R135,'Raw Data'!T135,'Raw Data'!V135,'Raw Data'!X135),"")</f>
        <v/>
      </c>
      <c r="J148" s="17">
        <f>IF('Raw Data'!A135&lt;&gt;"",AVERAGE('Raw Data'!Q135,'Raw Data'!S135,'Raw Data'!U135,'Raw Data'!W135,'Raw Data'!Y135),"")</f>
        <v/>
      </c>
      <c r="K148" s="17">
        <f>IF(I148&lt;&gt;"",I148-J148,"")</f>
        <v/>
      </c>
      <c r="L148" s="17">
        <f>IF('Raw Data'!A135&lt;&gt;"",AVERAGE('Raw Data'!Z135,'Raw Data'!AB135,'Raw Data'!AD135,'Raw Data'!AF135,'Raw Data'!AH135),"")</f>
        <v/>
      </c>
      <c r="M148" s="17">
        <f>IF('Raw Data'!A135&lt;&gt;"",AVERAGE('Raw Data'!AA135,'Raw Data'!AC135,'Raw Data'!AE135,'Raw Data'!AG135,'Raw Data'!AI135),"")</f>
        <v/>
      </c>
      <c r="N148" s="17">
        <f>IF(L148&lt;&gt;"",L148-M148,"")</f>
        <v/>
      </c>
      <c r="O148" s="17">
        <f>IF('Raw Data'!A135&lt;&gt;"",AVERAGE('Raw Data'!AJ135,'Raw Data'!AL135,'Raw Data'!AN135,'Raw Data'!AP135,'Raw Data'!AR135),"")</f>
        <v/>
      </c>
      <c r="P148" s="17">
        <f>IF('Raw Data'!A135&lt;&gt;"",AVERAGE('Raw Data'!AK135,'Raw Data'!AM135,'Raw Data'!AO135,'Raw Data'!AQ135,'Raw Data'!AS135),"")</f>
        <v/>
      </c>
      <c r="Q148" s="17">
        <f>IF(O148&lt;&gt;"",O148-P148,"")</f>
        <v/>
      </c>
      <c r="R148" s="17">
        <f>IF('Raw Data'!A135&lt;&gt;"",AVERAGE('Raw Data'!AT135,'Raw Data'!AV135,'Raw Data'!AX135,'Raw Data'!AZ135,'Raw Data'!BB135),"")</f>
        <v/>
      </c>
      <c r="S148" s="17">
        <f>IF('Raw Data'!A135&lt;&gt;"",AVERAGE('Raw Data'!AU135,'Raw Data'!AW135,'Raw Data'!AY135,'Raw Data'!BA135,'Raw Data'!BC135),"")</f>
        <v/>
      </c>
      <c r="T148" s="17">
        <f>IF(R148&lt;&gt;"",R148-S148,"")</f>
        <v/>
      </c>
      <c r="U148" s="17">
        <f>IF('Raw Data'!A135&lt;&gt;"",AVERAGE('Raw Data'!BD135,'Raw Data'!BF135,'Raw Data'!BH135,'Raw Data'!BJ135,'Raw Data'!BL135),"")</f>
        <v/>
      </c>
      <c r="V148" s="17">
        <f>IF('Raw Data'!A135&lt;&gt;"",AVERAGE('Raw Data'!BE135,'Raw Data'!BG135,'Raw Data'!BI135,'Raw Data'!BK135,'Raw Data'!BM135),"")</f>
        <v/>
      </c>
      <c r="W148" s="17">
        <f>IF(U148&lt;&gt;"",U148-V148,"")</f>
        <v/>
      </c>
      <c r="X148" s="17">
        <f>IF(A148&lt;&gt;"",AVERAGE(F148,I148,L148,O148,R148,U148),"")</f>
        <v/>
      </c>
      <c r="Y148" s="17">
        <f>IF(A148&lt;&gt;"",AVERAGE(G148,J148,M148,P148,S148,V148),"")</f>
        <v/>
      </c>
      <c r="Z148" s="17">
        <f>IF(A148&lt;&gt;"",X148-Y148,"")</f>
        <v/>
      </c>
      <c r="AA148" s="18">
        <f>IF(A148&lt;&gt;"",ROUND(MIN(100,100*((MAX(0,K148)*0.25)+(MAX(0,Q148)*0.20)+(MAX(0,W148)*0.20)+(MAX(0,H148)*0.15)+(MAX(0,N148)*0.10)+(MAX(0,T148)*0.10))/9),1),"")</f>
        <v/>
      </c>
      <c r="AB148" s="29">
        <f>IF(A148&lt;&gt;"",MIN(1,(0.5*AA148/100)+(0.3*MAX(0,K148)/9)+(0.2*MAX(0,Q148)/9)),"")</f>
        <v/>
      </c>
    </row>
    <row r="149">
      <c r="A149" s="4">
        <f>IF('Raw Data'!A136&lt;&gt;"",'Raw Data'!A136,"")</f>
        <v/>
      </c>
      <c r="B149" s="4">
        <f>IF('Raw Data'!B136&lt;&gt;"",'Raw Data'!B136,"")</f>
        <v/>
      </c>
      <c r="C149" s="4">
        <f>IF('Raw Data'!C136&lt;&gt;"",'Raw Data'!C136,"")</f>
        <v/>
      </c>
      <c r="D149" s="4">
        <f>IF('Raw Data'!D136&lt;&gt;"",'Raw Data'!D136,"")</f>
        <v/>
      </c>
      <c r="E149" s="4">
        <f>IF('Raw Data'!E136&lt;&gt;"",'Raw Data'!E136,"")</f>
        <v/>
      </c>
      <c r="F149" s="14">
        <f>IF('Raw Data'!A136&lt;&gt;"",AVERAGE('Raw Data'!F136,'Raw Data'!H136,'Raw Data'!J136,'Raw Data'!L136,'Raw Data'!N136),"")</f>
        <v/>
      </c>
      <c r="G149" s="14">
        <f>IF('Raw Data'!A136&lt;&gt;"",AVERAGE('Raw Data'!G136,'Raw Data'!I136,'Raw Data'!K136,'Raw Data'!M136,'Raw Data'!O136),"")</f>
        <v/>
      </c>
      <c r="H149" s="14">
        <f>IF(F149&lt;&gt;"",F149-G149,"")</f>
        <v/>
      </c>
      <c r="I149" s="14">
        <f>IF('Raw Data'!A136&lt;&gt;"",AVERAGE('Raw Data'!P136,'Raw Data'!R136,'Raw Data'!T136,'Raw Data'!V136,'Raw Data'!X136),"")</f>
        <v/>
      </c>
      <c r="J149" s="14">
        <f>IF('Raw Data'!A136&lt;&gt;"",AVERAGE('Raw Data'!Q136,'Raw Data'!S136,'Raw Data'!U136,'Raw Data'!W136,'Raw Data'!Y136),"")</f>
        <v/>
      </c>
      <c r="K149" s="14">
        <f>IF(I149&lt;&gt;"",I149-J149,"")</f>
        <v/>
      </c>
      <c r="L149" s="14">
        <f>IF('Raw Data'!A136&lt;&gt;"",AVERAGE('Raw Data'!Z136,'Raw Data'!AB136,'Raw Data'!AD136,'Raw Data'!AF136,'Raw Data'!AH136),"")</f>
        <v/>
      </c>
      <c r="M149" s="14">
        <f>IF('Raw Data'!A136&lt;&gt;"",AVERAGE('Raw Data'!AA136,'Raw Data'!AC136,'Raw Data'!AE136,'Raw Data'!AG136,'Raw Data'!AI136),"")</f>
        <v/>
      </c>
      <c r="N149" s="14">
        <f>IF(L149&lt;&gt;"",L149-M149,"")</f>
        <v/>
      </c>
      <c r="O149" s="14">
        <f>IF('Raw Data'!A136&lt;&gt;"",AVERAGE('Raw Data'!AJ136,'Raw Data'!AL136,'Raw Data'!AN136,'Raw Data'!AP136,'Raw Data'!AR136),"")</f>
        <v/>
      </c>
      <c r="P149" s="14">
        <f>IF('Raw Data'!A136&lt;&gt;"",AVERAGE('Raw Data'!AK136,'Raw Data'!AM136,'Raw Data'!AO136,'Raw Data'!AQ136,'Raw Data'!AS136),"")</f>
        <v/>
      </c>
      <c r="Q149" s="14">
        <f>IF(O149&lt;&gt;"",O149-P149,"")</f>
        <v/>
      </c>
      <c r="R149" s="14">
        <f>IF('Raw Data'!A136&lt;&gt;"",AVERAGE('Raw Data'!AT136,'Raw Data'!AV136,'Raw Data'!AX136,'Raw Data'!AZ136,'Raw Data'!BB136),"")</f>
        <v/>
      </c>
      <c r="S149" s="14">
        <f>IF('Raw Data'!A136&lt;&gt;"",AVERAGE('Raw Data'!AU136,'Raw Data'!AW136,'Raw Data'!AY136,'Raw Data'!BA136,'Raw Data'!BC136),"")</f>
        <v/>
      </c>
      <c r="T149" s="14">
        <f>IF(R149&lt;&gt;"",R149-S149,"")</f>
        <v/>
      </c>
      <c r="U149" s="14">
        <f>IF('Raw Data'!A136&lt;&gt;"",AVERAGE('Raw Data'!BD136,'Raw Data'!BF136,'Raw Data'!BH136,'Raw Data'!BJ136,'Raw Data'!BL136),"")</f>
        <v/>
      </c>
      <c r="V149" s="14">
        <f>IF('Raw Data'!A136&lt;&gt;"",AVERAGE('Raw Data'!BE136,'Raw Data'!BG136,'Raw Data'!BI136,'Raw Data'!BK136,'Raw Data'!BM136),"")</f>
        <v/>
      </c>
      <c r="W149" s="14">
        <f>IF(U149&lt;&gt;"",U149-V149,"")</f>
        <v/>
      </c>
      <c r="X149" s="14">
        <f>IF(A149&lt;&gt;"",AVERAGE(F149,I149,L149,O149,R149,U149),"")</f>
        <v/>
      </c>
      <c r="Y149" s="14">
        <f>IF(A149&lt;&gt;"",AVERAGE(G149,J149,M149,P149,S149,V149),"")</f>
        <v/>
      </c>
      <c r="Z149" s="14">
        <f>IF(A149&lt;&gt;"",X149-Y149,"")</f>
        <v/>
      </c>
      <c r="AA149" s="15">
        <f>IF(A149&lt;&gt;"",ROUND(MIN(100,100*((MAX(0,K149)*0.25)+(MAX(0,Q149)*0.20)+(MAX(0,W149)*0.20)+(MAX(0,H149)*0.15)+(MAX(0,N149)*0.10)+(MAX(0,T149)*0.10))/9),1),"")</f>
        <v/>
      </c>
      <c r="AB149" s="28">
        <f>IF(A149&lt;&gt;"",MIN(1,(0.5*AA149/100)+(0.3*MAX(0,K149)/9)+(0.2*MAX(0,Q149)/9)),"")</f>
        <v/>
      </c>
    </row>
    <row r="150">
      <c r="A150" s="13">
        <f>IF('Raw Data'!A137&lt;&gt;"",'Raw Data'!A137,"")</f>
        <v/>
      </c>
      <c r="B150" s="13">
        <f>IF('Raw Data'!B137&lt;&gt;"",'Raw Data'!B137,"")</f>
        <v/>
      </c>
      <c r="C150" s="13">
        <f>IF('Raw Data'!C137&lt;&gt;"",'Raw Data'!C137,"")</f>
        <v/>
      </c>
      <c r="D150" s="13">
        <f>IF('Raw Data'!D137&lt;&gt;"",'Raw Data'!D137,"")</f>
        <v/>
      </c>
      <c r="E150" s="13">
        <f>IF('Raw Data'!E137&lt;&gt;"",'Raw Data'!E137,"")</f>
        <v/>
      </c>
      <c r="F150" s="17">
        <f>IF('Raw Data'!A137&lt;&gt;"",AVERAGE('Raw Data'!F137,'Raw Data'!H137,'Raw Data'!J137,'Raw Data'!L137,'Raw Data'!N137),"")</f>
        <v/>
      </c>
      <c r="G150" s="17">
        <f>IF('Raw Data'!A137&lt;&gt;"",AVERAGE('Raw Data'!G137,'Raw Data'!I137,'Raw Data'!K137,'Raw Data'!M137,'Raw Data'!O137),"")</f>
        <v/>
      </c>
      <c r="H150" s="17">
        <f>IF(F150&lt;&gt;"",F150-G150,"")</f>
        <v/>
      </c>
      <c r="I150" s="17">
        <f>IF('Raw Data'!A137&lt;&gt;"",AVERAGE('Raw Data'!P137,'Raw Data'!R137,'Raw Data'!T137,'Raw Data'!V137,'Raw Data'!X137),"")</f>
        <v/>
      </c>
      <c r="J150" s="17">
        <f>IF('Raw Data'!A137&lt;&gt;"",AVERAGE('Raw Data'!Q137,'Raw Data'!S137,'Raw Data'!U137,'Raw Data'!W137,'Raw Data'!Y137),"")</f>
        <v/>
      </c>
      <c r="K150" s="17">
        <f>IF(I150&lt;&gt;"",I150-J150,"")</f>
        <v/>
      </c>
      <c r="L150" s="17">
        <f>IF('Raw Data'!A137&lt;&gt;"",AVERAGE('Raw Data'!Z137,'Raw Data'!AB137,'Raw Data'!AD137,'Raw Data'!AF137,'Raw Data'!AH137),"")</f>
        <v/>
      </c>
      <c r="M150" s="17">
        <f>IF('Raw Data'!A137&lt;&gt;"",AVERAGE('Raw Data'!AA137,'Raw Data'!AC137,'Raw Data'!AE137,'Raw Data'!AG137,'Raw Data'!AI137),"")</f>
        <v/>
      </c>
      <c r="N150" s="17">
        <f>IF(L150&lt;&gt;"",L150-M150,"")</f>
        <v/>
      </c>
      <c r="O150" s="17">
        <f>IF('Raw Data'!A137&lt;&gt;"",AVERAGE('Raw Data'!AJ137,'Raw Data'!AL137,'Raw Data'!AN137,'Raw Data'!AP137,'Raw Data'!AR137),"")</f>
        <v/>
      </c>
      <c r="P150" s="17">
        <f>IF('Raw Data'!A137&lt;&gt;"",AVERAGE('Raw Data'!AK137,'Raw Data'!AM137,'Raw Data'!AO137,'Raw Data'!AQ137,'Raw Data'!AS137),"")</f>
        <v/>
      </c>
      <c r="Q150" s="17">
        <f>IF(O150&lt;&gt;"",O150-P150,"")</f>
        <v/>
      </c>
      <c r="R150" s="17">
        <f>IF('Raw Data'!A137&lt;&gt;"",AVERAGE('Raw Data'!AT137,'Raw Data'!AV137,'Raw Data'!AX137,'Raw Data'!AZ137,'Raw Data'!BB137),"")</f>
        <v/>
      </c>
      <c r="S150" s="17">
        <f>IF('Raw Data'!A137&lt;&gt;"",AVERAGE('Raw Data'!AU137,'Raw Data'!AW137,'Raw Data'!AY137,'Raw Data'!BA137,'Raw Data'!BC137),"")</f>
        <v/>
      </c>
      <c r="T150" s="17">
        <f>IF(R150&lt;&gt;"",R150-S150,"")</f>
        <v/>
      </c>
      <c r="U150" s="17">
        <f>IF('Raw Data'!A137&lt;&gt;"",AVERAGE('Raw Data'!BD137,'Raw Data'!BF137,'Raw Data'!BH137,'Raw Data'!BJ137,'Raw Data'!BL137),"")</f>
        <v/>
      </c>
      <c r="V150" s="17">
        <f>IF('Raw Data'!A137&lt;&gt;"",AVERAGE('Raw Data'!BE137,'Raw Data'!BG137,'Raw Data'!BI137,'Raw Data'!BK137,'Raw Data'!BM137),"")</f>
        <v/>
      </c>
      <c r="W150" s="17">
        <f>IF(U150&lt;&gt;"",U150-V150,"")</f>
        <v/>
      </c>
      <c r="X150" s="17">
        <f>IF(A150&lt;&gt;"",AVERAGE(F150,I150,L150,O150,R150,U150),"")</f>
        <v/>
      </c>
      <c r="Y150" s="17">
        <f>IF(A150&lt;&gt;"",AVERAGE(G150,J150,M150,P150,S150,V150),"")</f>
        <v/>
      </c>
      <c r="Z150" s="17">
        <f>IF(A150&lt;&gt;"",X150-Y150,"")</f>
        <v/>
      </c>
      <c r="AA150" s="18">
        <f>IF(A150&lt;&gt;"",ROUND(MIN(100,100*((MAX(0,K150)*0.25)+(MAX(0,Q150)*0.20)+(MAX(0,W150)*0.20)+(MAX(0,H150)*0.15)+(MAX(0,N150)*0.10)+(MAX(0,T150)*0.10))/9),1),"")</f>
        <v/>
      </c>
      <c r="AB150" s="29">
        <f>IF(A150&lt;&gt;"",MIN(1,(0.5*AA150/100)+(0.3*MAX(0,K150)/9)+(0.2*MAX(0,Q150)/9)),"")</f>
        <v/>
      </c>
    </row>
    <row r="151">
      <c r="A151" s="4">
        <f>IF('Raw Data'!A138&lt;&gt;"",'Raw Data'!A138,"")</f>
        <v/>
      </c>
      <c r="B151" s="4">
        <f>IF('Raw Data'!B138&lt;&gt;"",'Raw Data'!B138,"")</f>
        <v/>
      </c>
      <c r="C151" s="4">
        <f>IF('Raw Data'!C138&lt;&gt;"",'Raw Data'!C138,"")</f>
        <v/>
      </c>
      <c r="D151" s="4">
        <f>IF('Raw Data'!D138&lt;&gt;"",'Raw Data'!D138,"")</f>
        <v/>
      </c>
      <c r="E151" s="4">
        <f>IF('Raw Data'!E138&lt;&gt;"",'Raw Data'!E138,"")</f>
        <v/>
      </c>
      <c r="F151" s="14">
        <f>IF('Raw Data'!A138&lt;&gt;"",AVERAGE('Raw Data'!F138,'Raw Data'!H138,'Raw Data'!J138,'Raw Data'!L138,'Raw Data'!N138),"")</f>
        <v/>
      </c>
      <c r="G151" s="14">
        <f>IF('Raw Data'!A138&lt;&gt;"",AVERAGE('Raw Data'!G138,'Raw Data'!I138,'Raw Data'!K138,'Raw Data'!M138,'Raw Data'!O138),"")</f>
        <v/>
      </c>
      <c r="H151" s="14">
        <f>IF(F151&lt;&gt;"",F151-G151,"")</f>
        <v/>
      </c>
      <c r="I151" s="14">
        <f>IF('Raw Data'!A138&lt;&gt;"",AVERAGE('Raw Data'!P138,'Raw Data'!R138,'Raw Data'!T138,'Raw Data'!V138,'Raw Data'!X138),"")</f>
        <v/>
      </c>
      <c r="J151" s="14">
        <f>IF('Raw Data'!A138&lt;&gt;"",AVERAGE('Raw Data'!Q138,'Raw Data'!S138,'Raw Data'!U138,'Raw Data'!W138,'Raw Data'!Y138),"")</f>
        <v/>
      </c>
      <c r="K151" s="14">
        <f>IF(I151&lt;&gt;"",I151-J151,"")</f>
        <v/>
      </c>
      <c r="L151" s="14">
        <f>IF('Raw Data'!A138&lt;&gt;"",AVERAGE('Raw Data'!Z138,'Raw Data'!AB138,'Raw Data'!AD138,'Raw Data'!AF138,'Raw Data'!AH138),"")</f>
        <v/>
      </c>
      <c r="M151" s="14">
        <f>IF('Raw Data'!A138&lt;&gt;"",AVERAGE('Raw Data'!AA138,'Raw Data'!AC138,'Raw Data'!AE138,'Raw Data'!AG138,'Raw Data'!AI138),"")</f>
        <v/>
      </c>
      <c r="N151" s="14">
        <f>IF(L151&lt;&gt;"",L151-M151,"")</f>
        <v/>
      </c>
      <c r="O151" s="14">
        <f>IF('Raw Data'!A138&lt;&gt;"",AVERAGE('Raw Data'!AJ138,'Raw Data'!AL138,'Raw Data'!AN138,'Raw Data'!AP138,'Raw Data'!AR138),"")</f>
        <v/>
      </c>
      <c r="P151" s="14">
        <f>IF('Raw Data'!A138&lt;&gt;"",AVERAGE('Raw Data'!AK138,'Raw Data'!AM138,'Raw Data'!AO138,'Raw Data'!AQ138,'Raw Data'!AS138),"")</f>
        <v/>
      </c>
      <c r="Q151" s="14">
        <f>IF(O151&lt;&gt;"",O151-P151,"")</f>
        <v/>
      </c>
      <c r="R151" s="14">
        <f>IF('Raw Data'!A138&lt;&gt;"",AVERAGE('Raw Data'!AT138,'Raw Data'!AV138,'Raw Data'!AX138,'Raw Data'!AZ138,'Raw Data'!BB138),"")</f>
        <v/>
      </c>
      <c r="S151" s="14">
        <f>IF('Raw Data'!A138&lt;&gt;"",AVERAGE('Raw Data'!AU138,'Raw Data'!AW138,'Raw Data'!AY138,'Raw Data'!BA138,'Raw Data'!BC138),"")</f>
        <v/>
      </c>
      <c r="T151" s="14">
        <f>IF(R151&lt;&gt;"",R151-S151,"")</f>
        <v/>
      </c>
      <c r="U151" s="14">
        <f>IF('Raw Data'!A138&lt;&gt;"",AVERAGE('Raw Data'!BD138,'Raw Data'!BF138,'Raw Data'!BH138,'Raw Data'!BJ138,'Raw Data'!BL138),"")</f>
        <v/>
      </c>
      <c r="V151" s="14">
        <f>IF('Raw Data'!A138&lt;&gt;"",AVERAGE('Raw Data'!BE138,'Raw Data'!BG138,'Raw Data'!BI138,'Raw Data'!BK138,'Raw Data'!BM138),"")</f>
        <v/>
      </c>
      <c r="W151" s="14">
        <f>IF(U151&lt;&gt;"",U151-V151,"")</f>
        <v/>
      </c>
      <c r="X151" s="14">
        <f>IF(A151&lt;&gt;"",AVERAGE(F151,I151,L151,O151,R151,U151),"")</f>
        <v/>
      </c>
      <c r="Y151" s="14">
        <f>IF(A151&lt;&gt;"",AVERAGE(G151,J151,M151,P151,S151,V151),"")</f>
        <v/>
      </c>
      <c r="Z151" s="14">
        <f>IF(A151&lt;&gt;"",X151-Y151,"")</f>
        <v/>
      </c>
      <c r="AA151" s="15">
        <f>IF(A151&lt;&gt;"",ROUND(MIN(100,100*((MAX(0,K151)*0.25)+(MAX(0,Q151)*0.20)+(MAX(0,W151)*0.20)+(MAX(0,H151)*0.15)+(MAX(0,N151)*0.10)+(MAX(0,T151)*0.10))/9),1),"")</f>
        <v/>
      </c>
      <c r="AB151" s="28">
        <f>IF(A151&lt;&gt;"",MIN(1,(0.5*AA151/100)+(0.3*MAX(0,K151)/9)+(0.2*MAX(0,Q151)/9)),"")</f>
        <v/>
      </c>
    </row>
    <row r="152">
      <c r="A152" s="13">
        <f>IF('Raw Data'!A139&lt;&gt;"",'Raw Data'!A139,"")</f>
        <v/>
      </c>
      <c r="B152" s="13">
        <f>IF('Raw Data'!B139&lt;&gt;"",'Raw Data'!B139,"")</f>
        <v/>
      </c>
      <c r="C152" s="13">
        <f>IF('Raw Data'!C139&lt;&gt;"",'Raw Data'!C139,"")</f>
        <v/>
      </c>
      <c r="D152" s="13">
        <f>IF('Raw Data'!D139&lt;&gt;"",'Raw Data'!D139,"")</f>
        <v/>
      </c>
      <c r="E152" s="13">
        <f>IF('Raw Data'!E139&lt;&gt;"",'Raw Data'!E139,"")</f>
        <v/>
      </c>
      <c r="F152" s="17">
        <f>IF('Raw Data'!A139&lt;&gt;"",AVERAGE('Raw Data'!F139,'Raw Data'!H139,'Raw Data'!J139,'Raw Data'!L139,'Raw Data'!N139),"")</f>
        <v/>
      </c>
      <c r="G152" s="17">
        <f>IF('Raw Data'!A139&lt;&gt;"",AVERAGE('Raw Data'!G139,'Raw Data'!I139,'Raw Data'!K139,'Raw Data'!M139,'Raw Data'!O139),"")</f>
        <v/>
      </c>
      <c r="H152" s="17">
        <f>IF(F152&lt;&gt;"",F152-G152,"")</f>
        <v/>
      </c>
      <c r="I152" s="17">
        <f>IF('Raw Data'!A139&lt;&gt;"",AVERAGE('Raw Data'!P139,'Raw Data'!R139,'Raw Data'!T139,'Raw Data'!V139,'Raw Data'!X139),"")</f>
        <v/>
      </c>
      <c r="J152" s="17">
        <f>IF('Raw Data'!A139&lt;&gt;"",AVERAGE('Raw Data'!Q139,'Raw Data'!S139,'Raw Data'!U139,'Raw Data'!W139,'Raw Data'!Y139),"")</f>
        <v/>
      </c>
      <c r="K152" s="17">
        <f>IF(I152&lt;&gt;"",I152-J152,"")</f>
        <v/>
      </c>
      <c r="L152" s="17">
        <f>IF('Raw Data'!A139&lt;&gt;"",AVERAGE('Raw Data'!Z139,'Raw Data'!AB139,'Raw Data'!AD139,'Raw Data'!AF139,'Raw Data'!AH139),"")</f>
        <v/>
      </c>
      <c r="M152" s="17">
        <f>IF('Raw Data'!A139&lt;&gt;"",AVERAGE('Raw Data'!AA139,'Raw Data'!AC139,'Raw Data'!AE139,'Raw Data'!AG139,'Raw Data'!AI139),"")</f>
        <v/>
      </c>
      <c r="N152" s="17">
        <f>IF(L152&lt;&gt;"",L152-M152,"")</f>
        <v/>
      </c>
      <c r="O152" s="17">
        <f>IF('Raw Data'!A139&lt;&gt;"",AVERAGE('Raw Data'!AJ139,'Raw Data'!AL139,'Raw Data'!AN139,'Raw Data'!AP139,'Raw Data'!AR139),"")</f>
        <v/>
      </c>
      <c r="P152" s="17">
        <f>IF('Raw Data'!A139&lt;&gt;"",AVERAGE('Raw Data'!AK139,'Raw Data'!AM139,'Raw Data'!AO139,'Raw Data'!AQ139,'Raw Data'!AS139),"")</f>
        <v/>
      </c>
      <c r="Q152" s="17">
        <f>IF(O152&lt;&gt;"",O152-P152,"")</f>
        <v/>
      </c>
      <c r="R152" s="17">
        <f>IF('Raw Data'!A139&lt;&gt;"",AVERAGE('Raw Data'!AT139,'Raw Data'!AV139,'Raw Data'!AX139,'Raw Data'!AZ139,'Raw Data'!BB139),"")</f>
        <v/>
      </c>
      <c r="S152" s="17">
        <f>IF('Raw Data'!A139&lt;&gt;"",AVERAGE('Raw Data'!AU139,'Raw Data'!AW139,'Raw Data'!AY139,'Raw Data'!BA139,'Raw Data'!BC139),"")</f>
        <v/>
      </c>
      <c r="T152" s="17">
        <f>IF(R152&lt;&gt;"",R152-S152,"")</f>
        <v/>
      </c>
      <c r="U152" s="17">
        <f>IF('Raw Data'!A139&lt;&gt;"",AVERAGE('Raw Data'!BD139,'Raw Data'!BF139,'Raw Data'!BH139,'Raw Data'!BJ139,'Raw Data'!BL139),"")</f>
        <v/>
      </c>
      <c r="V152" s="17">
        <f>IF('Raw Data'!A139&lt;&gt;"",AVERAGE('Raw Data'!BE139,'Raw Data'!BG139,'Raw Data'!BI139,'Raw Data'!BK139,'Raw Data'!BM139),"")</f>
        <v/>
      </c>
      <c r="W152" s="17">
        <f>IF(U152&lt;&gt;"",U152-V152,"")</f>
        <v/>
      </c>
      <c r="X152" s="17">
        <f>IF(A152&lt;&gt;"",AVERAGE(F152,I152,L152,O152,R152,U152),"")</f>
        <v/>
      </c>
      <c r="Y152" s="17">
        <f>IF(A152&lt;&gt;"",AVERAGE(G152,J152,M152,P152,S152,V152),"")</f>
        <v/>
      </c>
      <c r="Z152" s="17">
        <f>IF(A152&lt;&gt;"",X152-Y152,"")</f>
        <v/>
      </c>
      <c r="AA152" s="18">
        <f>IF(A152&lt;&gt;"",ROUND(MIN(100,100*((MAX(0,K152)*0.25)+(MAX(0,Q152)*0.20)+(MAX(0,W152)*0.20)+(MAX(0,H152)*0.15)+(MAX(0,N152)*0.10)+(MAX(0,T152)*0.10))/9),1),"")</f>
        <v/>
      </c>
      <c r="AB152" s="29">
        <f>IF(A152&lt;&gt;"",MIN(1,(0.5*AA152/100)+(0.3*MAX(0,K152)/9)+(0.2*MAX(0,Q152)/9)),"")</f>
        <v/>
      </c>
    </row>
    <row r="153">
      <c r="A153" s="4">
        <f>IF('Raw Data'!A140&lt;&gt;"",'Raw Data'!A140,"")</f>
        <v/>
      </c>
      <c r="B153" s="4">
        <f>IF('Raw Data'!B140&lt;&gt;"",'Raw Data'!B140,"")</f>
        <v/>
      </c>
      <c r="C153" s="4">
        <f>IF('Raw Data'!C140&lt;&gt;"",'Raw Data'!C140,"")</f>
        <v/>
      </c>
      <c r="D153" s="4">
        <f>IF('Raw Data'!D140&lt;&gt;"",'Raw Data'!D140,"")</f>
        <v/>
      </c>
      <c r="E153" s="4">
        <f>IF('Raw Data'!E140&lt;&gt;"",'Raw Data'!E140,"")</f>
        <v/>
      </c>
      <c r="F153" s="14">
        <f>IF('Raw Data'!A140&lt;&gt;"",AVERAGE('Raw Data'!F140,'Raw Data'!H140,'Raw Data'!J140,'Raw Data'!L140,'Raw Data'!N140),"")</f>
        <v/>
      </c>
      <c r="G153" s="14">
        <f>IF('Raw Data'!A140&lt;&gt;"",AVERAGE('Raw Data'!G140,'Raw Data'!I140,'Raw Data'!K140,'Raw Data'!M140,'Raw Data'!O140),"")</f>
        <v/>
      </c>
      <c r="H153" s="14">
        <f>IF(F153&lt;&gt;"",F153-G153,"")</f>
        <v/>
      </c>
      <c r="I153" s="14">
        <f>IF('Raw Data'!A140&lt;&gt;"",AVERAGE('Raw Data'!P140,'Raw Data'!R140,'Raw Data'!T140,'Raw Data'!V140,'Raw Data'!X140),"")</f>
        <v/>
      </c>
      <c r="J153" s="14">
        <f>IF('Raw Data'!A140&lt;&gt;"",AVERAGE('Raw Data'!Q140,'Raw Data'!S140,'Raw Data'!U140,'Raw Data'!W140,'Raw Data'!Y140),"")</f>
        <v/>
      </c>
      <c r="K153" s="14">
        <f>IF(I153&lt;&gt;"",I153-J153,"")</f>
        <v/>
      </c>
      <c r="L153" s="14">
        <f>IF('Raw Data'!A140&lt;&gt;"",AVERAGE('Raw Data'!Z140,'Raw Data'!AB140,'Raw Data'!AD140,'Raw Data'!AF140,'Raw Data'!AH140),"")</f>
        <v/>
      </c>
      <c r="M153" s="14">
        <f>IF('Raw Data'!A140&lt;&gt;"",AVERAGE('Raw Data'!AA140,'Raw Data'!AC140,'Raw Data'!AE140,'Raw Data'!AG140,'Raw Data'!AI140),"")</f>
        <v/>
      </c>
      <c r="N153" s="14">
        <f>IF(L153&lt;&gt;"",L153-M153,"")</f>
        <v/>
      </c>
      <c r="O153" s="14">
        <f>IF('Raw Data'!A140&lt;&gt;"",AVERAGE('Raw Data'!AJ140,'Raw Data'!AL140,'Raw Data'!AN140,'Raw Data'!AP140,'Raw Data'!AR140),"")</f>
        <v/>
      </c>
      <c r="P153" s="14">
        <f>IF('Raw Data'!A140&lt;&gt;"",AVERAGE('Raw Data'!AK140,'Raw Data'!AM140,'Raw Data'!AO140,'Raw Data'!AQ140,'Raw Data'!AS140),"")</f>
        <v/>
      </c>
      <c r="Q153" s="14">
        <f>IF(O153&lt;&gt;"",O153-P153,"")</f>
        <v/>
      </c>
      <c r="R153" s="14">
        <f>IF('Raw Data'!A140&lt;&gt;"",AVERAGE('Raw Data'!AT140,'Raw Data'!AV140,'Raw Data'!AX140,'Raw Data'!AZ140,'Raw Data'!BB140),"")</f>
        <v/>
      </c>
      <c r="S153" s="14">
        <f>IF('Raw Data'!A140&lt;&gt;"",AVERAGE('Raw Data'!AU140,'Raw Data'!AW140,'Raw Data'!AY140,'Raw Data'!BA140,'Raw Data'!BC140),"")</f>
        <v/>
      </c>
      <c r="T153" s="14">
        <f>IF(R153&lt;&gt;"",R153-S153,"")</f>
        <v/>
      </c>
      <c r="U153" s="14">
        <f>IF('Raw Data'!A140&lt;&gt;"",AVERAGE('Raw Data'!BD140,'Raw Data'!BF140,'Raw Data'!BH140,'Raw Data'!BJ140,'Raw Data'!BL140),"")</f>
        <v/>
      </c>
      <c r="V153" s="14">
        <f>IF('Raw Data'!A140&lt;&gt;"",AVERAGE('Raw Data'!BE140,'Raw Data'!BG140,'Raw Data'!BI140,'Raw Data'!BK140,'Raw Data'!BM140),"")</f>
        <v/>
      </c>
      <c r="W153" s="14">
        <f>IF(U153&lt;&gt;"",U153-V153,"")</f>
        <v/>
      </c>
      <c r="X153" s="14">
        <f>IF(A153&lt;&gt;"",AVERAGE(F153,I153,L153,O153,R153,U153),"")</f>
        <v/>
      </c>
      <c r="Y153" s="14">
        <f>IF(A153&lt;&gt;"",AVERAGE(G153,J153,M153,P153,S153,V153),"")</f>
        <v/>
      </c>
      <c r="Z153" s="14">
        <f>IF(A153&lt;&gt;"",X153-Y153,"")</f>
        <v/>
      </c>
      <c r="AA153" s="15">
        <f>IF(A153&lt;&gt;"",ROUND(MIN(100,100*((MAX(0,K153)*0.25)+(MAX(0,Q153)*0.20)+(MAX(0,W153)*0.20)+(MAX(0,H153)*0.15)+(MAX(0,N153)*0.10)+(MAX(0,T153)*0.10))/9),1),"")</f>
        <v/>
      </c>
      <c r="AB153" s="28">
        <f>IF(A153&lt;&gt;"",MIN(1,(0.5*AA153/100)+(0.3*MAX(0,K153)/9)+(0.2*MAX(0,Q153)/9)),"")</f>
        <v/>
      </c>
    </row>
    <row r="154">
      <c r="A154" s="13">
        <f>IF('Raw Data'!A141&lt;&gt;"",'Raw Data'!A141,"")</f>
        <v/>
      </c>
      <c r="B154" s="13">
        <f>IF('Raw Data'!B141&lt;&gt;"",'Raw Data'!B141,"")</f>
        <v/>
      </c>
      <c r="C154" s="13">
        <f>IF('Raw Data'!C141&lt;&gt;"",'Raw Data'!C141,"")</f>
        <v/>
      </c>
      <c r="D154" s="13">
        <f>IF('Raw Data'!D141&lt;&gt;"",'Raw Data'!D141,"")</f>
        <v/>
      </c>
      <c r="E154" s="13">
        <f>IF('Raw Data'!E141&lt;&gt;"",'Raw Data'!E141,"")</f>
        <v/>
      </c>
      <c r="F154" s="17">
        <f>IF('Raw Data'!A141&lt;&gt;"",AVERAGE('Raw Data'!F141,'Raw Data'!H141,'Raw Data'!J141,'Raw Data'!L141,'Raw Data'!N141),"")</f>
        <v/>
      </c>
      <c r="G154" s="17">
        <f>IF('Raw Data'!A141&lt;&gt;"",AVERAGE('Raw Data'!G141,'Raw Data'!I141,'Raw Data'!K141,'Raw Data'!M141,'Raw Data'!O141),"")</f>
        <v/>
      </c>
      <c r="H154" s="17">
        <f>IF(F154&lt;&gt;"",F154-G154,"")</f>
        <v/>
      </c>
      <c r="I154" s="17">
        <f>IF('Raw Data'!A141&lt;&gt;"",AVERAGE('Raw Data'!P141,'Raw Data'!R141,'Raw Data'!T141,'Raw Data'!V141,'Raw Data'!X141),"")</f>
        <v/>
      </c>
      <c r="J154" s="17">
        <f>IF('Raw Data'!A141&lt;&gt;"",AVERAGE('Raw Data'!Q141,'Raw Data'!S141,'Raw Data'!U141,'Raw Data'!W141,'Raw Data'!Y141),"")</f>
        <v/>
      </c>
      <c r="K154" s="17">
        <f>IF(I154&lt;&gt;"",I154-J154,"")</f>
        <v/>
      </c>
      <c r="L154" s="17">
        <f>IF('Raw Data'!A141&lt;&gt;"",AVERAGE('Raw Data'!Z141,'Raw Data'!AB141,'Raw Data'!AD141,'Raw Data'!AF141,'Raw Data'!AH141),"")</f>
        <v/>
      </c>
      <c r="M154" s="17">
        <f>IF('Raw Data'!A141&lt;&gt;"",AVERAGE('Raw Data'!AA141,'Raw Data'!AC141,'Raw Data'!AE141,'Raw Data'!AG141,'Raw Data'!AI141),"")</f>
        <v/>
      </c>
      <c r="N154" s="17">
        <f>IF(L154&lt;&gt;"",L154-M154,"")</f>
        <v/>
      </c>
      <c r="O154" s="17">
        <f>IF('Raw Data'!A141&lt;&gt;"",AVERAGE('Raw Data'!AJ141,'Raw Data'!AL141,'Raw Data'!AN141,'Raw Data'!AP141,'Raw Data'!AR141),"")</f>
        <v/>
      </c>
      <c r="P154" s="17">
        <f>IF('Raw Data'!A141&lt;&gt;"",AVERAGE('Raw Data'!AK141,'Raw Data'!AM141,'Raw Data'!AO141,'Raw Data'!AQ141,'Raw Data'!AS141),"")</f>
        <v/>
      </c>
      <c r="Q154" s="17">
        <f>IF(O154&lt;&gt;"",O154-P154,"")</f>
        <v/>
      </c>
      <c r="R154" s="17">
        <f>IF('Raw Data'!A141&lt;&gt;"",AVERAGE('Raw Data'!AT141,'Raw Data'!AV141,'Raw Data'!AX141,'Raw Data'!AZ141,'Raw Data'!BB141),"")</f>
        <v/>
      </c>
      <c r="S154" s="17">
        <f>IF('Raw Data'!A141&lt;&gt;"",AVERAGE('Raw Data'!AU141,'Raw Data'!AW141,'Raw Data'!AY141,'Raw Data'!BA141,'Raw Data'!BC141),"")</f>
        <v/>
      </c>
      <c r="T154" s="17">
        <f>IF(R154&lt;&gt;"",R154-S154,"")</f>
        <v/>
      </c>
      <c r="U154" s="17">
        <f>IF('Raw Data'!A141&lt;&gt;"",AVERAGE('Raw Data'!BD141,'Raw Data'!BF141,'Raw Data'!BH141,'Raw Data'!BJ141,'Raw Data'!BL141),"")</f>
        <v/>
      </c>
      <c r="V154" s="17">
        <f>IF('Raw Data'!A141&lt;&gt;"",AVERAGE('Raw Data'!BE141,'Raw Data'!BG141,'Raw Data'!BI141,'Raw Data'!BK141,'Raw Data'!BM141),"")</f>
        <v/>
      </c>
      <c r="W154" s="17">
        <f>IF(U154&lt;&gt;"",U154-V154,"")</f>
        <v/>
      </c>
      <c r="X154" s="17">
        <f>IF(A154&lt;&gt;"",AVERAGE(F154,I154,L154,O154,R154,U154),"")</f>
        <v/>
      </c>
      <c r="Y154" s="17">
        <f>IF(A154&lt;&gt;"",AVERAGE(G154,J154,M154,P154,S154,V154),"")</f>
        <v/>
      </c>
      <c r="Z154" s="17">
        <f>IF(A154&lt;&gt;"",X154-Y154,"")</f>
        <v/>
      </c>
      <c r="AA154" s="18">
        <f>IF(A154&lt;&gt;"",ROUND(MIN(100,100*((MAX(0,K154)*0.25)+(MAX(0,Q154)*0.20)+(MAX(0,W154)*0.20)+(MAX(0,H154)*0.15)+(MAX(0,N154)*0.10)+(MAX(0,T154)*0.10))/9),1),"")</f>
        <v/>
      </c>
      <c r="AB154" s="29">
        <f>IF(A154&lt;&gt;"",MIN(1,(0.5*AA154/100)+(0.3*MAX(0,K154)/9)+(0.2*MAX(0,Q154)/9)),"")</f>
        <v/>
      </c>
    </row>
    <row r="155">
      <c r="A155" s="4">
        <f>IF('Raw Data'!A142&lt;&gt;"",'Raw Data'!A142,"")</f>
        <v/>
      </c>
      <c r="B155" s="4">
        <f>IF('Raw Data'!B142&lt;&gt;"",'Raw Data'!B142,"")</f>
        <v/>
      </c>
      <c r="C155" s="4">
        <f>IF('Raw Data'!C142&lt;&gt;"",'Raw Data'!C142,"")</f>
        <v/>
      </c>
      <c r="D155" s="4">
        <f>IF('Raw Data'!D142&lt;&gt;"",'Raw Data'!D142,"")</f>
        <v/>
      </c>
      <c r="E155" s="4">
        <f>IF('Raw Data'!E142&lt;&gt;"",'Raw Data'!E142,"")</f>
        <v/>
      </c>
      <c r="F155" s="14">
        <f>IF('Raw Data'!A142&lt;&gt;"",AVERAGE('Raw Data'!F142,'Raw Data'!H142,'Raw Data'!J142,'Raw Data'!L142,'Raw Data'!N142),"")</f>
        <v/>
      </c>
      <c r="G155" s="14">
        <f>IF('Raw Data'!A142&lt;&gt;"",AVERAGE('Raw Data'!G142,'Raw Data'!I142,'Raw Data'!K142,'Raw Data'!M142,'Raw Data'!O142),"")</f>
        <v/>
      </c>
      <c r="H155" s="14">
        <f>IF(F155&lt;&gt;"",F155-G155,"")</f>
        <v/>
      </c>
      <c r="I155" s="14">
        <f>IF('Raw Data'!A142&lt;&gt;"",AVERAGE('Raw Data'!P142,'Raw Data'!R142,'Raw Data'!T142,'Raw Data'!V142,'Raw Data'!X142),"")</f>
        <v/>
      </c>
      <c r="J155" s="14">
        <f>IF('Raw Data'!A142&lt;&gt;"",AVERAGE('Raw Data'!Q142,'Raw Data'!S142,'Raw Data'!U142,'Raw Data'!W142,'Raw Data'!Y142),"")</f>
        <v/>
      </c>
      <c r="K155" s="14">
        <f>IF(I155&lt;&gt;"",I155-J155,"")</f>
        <v/>
      </c>
      <c r="L155" s="14">
        <f>IF('Raw Data'!A142&lt;&gt;"",AVERAGE('Raw Data'!Z142,'Raw Data'!AB142,'Raw Data'!AD142,'Raw Data'!AF142,'Raw Data'!AH142),"")</f>
        <v/>
      </c>
      <c r="M155" s="14">
        <f>IF('Raw Data'!A142&lt;&gt;"",AVERAGE('Raw Data'!AA142,'Raw Data'!AC142,'Raw Data'!AE142,'Raw Data'!AG142,'Raw Data'!AI142),"")</f>
        <v/>
      </c>
      <c r="N155" s="14">
        <f>IF(L155&lt;&gt;"",L155-M155,"")</f>
        <v/>
      </c>
      <c r="O155" s="14">
        <f>IF('Raw Data'!A142&lt;&gt;"",AVERAGE('Raw Data'!AJ142,'Raw Data'!AL142,'Raw Data'!AN142,'Raw Data'!AP142,'Raw Data'!AR142),"")</f>
        <v/>
      </c>
      <c r="P155" s="14">
        <f>IF('Raw Data'!A142&lt;&gt;"",AVERAGE('Raw Data'!AK142,'Raw Data'!AM142,'Raw Data'!AO142,'Raw Data'!AQ142,'Raw Data'!AS142),"")</f>
        <v/>
      </c>
      <c r="Q155" s="14">
        <f>IF(O155&lt;&gt;"",O155-P155,"")</f>
        <v/>
      </c>
      <c r="R155" s="14">
        <f>IF('Raw Data'!A142&lt;&gt;"",AVERAGE('Raw Data'!AT142,'Raw Data'!AV142,'Raw Data'!AX142,'Raw Data'!AZ142,'Raw Data'!BB142),"")</f>
        <v/>
      </c>
      <c r="S155" s="14">
        <f>IF('Raw Data'!A142&lt;&gt;"",AVERAGE('Raw Data'!AU142,'Raw Data'!AW142,'Raw Data'!AY142,'Raw Data'!BA142,'Raw Data'!BC142),"")</f>
        <v/>
      </c>
      <c r="T155" s="14">
        <f>IF(R155&lt;&gt;"",R155-S155,"")</f>
        <v/>
      </c>
      <c r="U155" s="14">
        <f>IF('Raw Data'!A142&lt;&gt;"",AVERAGE('Raw Data'!BD142,'Raw Data'!BF142,'Raw Data'!BH142,'Raw Data'!BJ142,'Raw Data'!BL142),"")</f>
        <v/>
      </c>
      <c r="V155" s="14">
        <f>IF('Raw Data'!A142&lt;&gt;"",AVERAGE('Raw Data'!BE142,'Raw Data'!BG142,'Raw Data'!BI142,'Raw Data'!BK142,'Raw Data'!BM142),"")</f>
        <v/>
      </c>
      <c r="W155" s="14">
        <f>IF(U155&lt;&gt;"",U155-V155,"")</f>
        <v/>
      </c>
      <c r="X155" s="14">
        <f>IF(A155&lt;&gt;"",AVERAGE(F155,I155,L155,O155,R155,U155),"")</f>
        <v/>
      </c>
      <c r="Y155" s="14">
        <f>IF(A155&lt;&gt;"",AVERAGE(G155,J155,M155,P155,S155,V155),"")</f>
        <v/>
      </c>
      <c r="Z155" s="14">
        <f>IF(A155&lt;&gt;"",X155-Y155,"")</f>
        <v/>
      </c>
      <c r="AA155" s="15">
        <f>IF(A155&lt;&gt;"",ROUND(MIN(100,100*((MAX(0,K155)*0.25)+(MAX(0,Q155)*0.20)+(MAX(0,W155)*0.20)+(MAX(0,H155)*0.15)+(MAX(0,N155)*0.10)+(MAX(0,T155)*0.10))/9),1),"")</f>
        <v/>
      </c>
      <c r="AB155" s="28">
        <f>IF(A155&lt;&gt;"",MIN(1,(0.5*AA155/100)+(0.3*MAX(0,K155)/9)+(0.2*MAX(0,Q155)/9)),"")</f>
        <v/>
      </c>
    </row>
    <row r="156">
      <c r="A156" s="13">
        <f>IF('Raw Data'!A143&lt;&gt;"",'Raw Data'!A143,"")</f>
        <v/>
      </c>
      <c r="B156" s="13">
        <f>IF('Raw Data'!B143&lt;&gt;"",'Raw Data'!B143,"")</f>
        <v/>
      </c>
      <c r="C156" s="13">
        <f>IF('Raw Data'!C143&lt;&gt;"",'Raw Data'!C143,"")</f>
        <v/>
      </c>
      <c r="D156" s="13">
        <f>IF('Raw Data'!D143&lt;&gt;"",'Raw Data'!D143,"")</f>
        <v/>
      </c>
      <c r="E156" s="13">
        <f>IF('Raw Data'!E143&lt;&gt;"",'Raw Data'!E143,"")</f>
        <v/>
      </c>
      <c r="F156" s="17">
        <f>IF('Raw Data'!A143&lt;&gt;"",AVERAGE('Raw Data'!F143,'Raw Data'!H143,'Raw Data'!J143,'Raw Data'!L143,'Raw Data'!N143),"")</f>
        <v/>
      </c>
      <c r="G156" s="17">
        <f>IF('Raw Data'!A143&lt;&gt;"",AVERAGE('Raw Data'!G143,'Raw Data'!I143,'Raw Data'!K143,'Raw Data'!M143,'Raw Data'!O143),"")</f>
        <v/>
      </c>
      <c r="H156" s="17">
        <f>IF(F156&lt;&gt;"",F156-G156,"")</f>
        <v/>
      </c>
      <c r="I156" s="17">
        <f>IF('Raw Data'!A143&lt;&gt;"",AVERAGE('Raw Data'!P143,'Raw Data'!R143,'Raw Data'!T143,'Raw Data'!V143,'Raw Data'!X143),"")</f>
        <v/>
      </c>
      <c r="J156" s="17">
        <f>IF('Raw Data'!A143&lt;&gt;"",AVERAGE('Raw Data'!Q143,'Raw Data'!S143,'Raw Data'!U143,'Raw Data'!W143,'Raw Data'!Y143),"")</f>
        <v/>
      </c>
      <c r="K156" s="17">
        <f>IF(I156&lt;&gt;"",I156-J156,"")</f>
        <v/>
      </c>
      <c r="L156" s="17">
        <f>IF('Raw Data'!A143&lt;&gt;"",AVERAGE('Raw Data'!Z143,'Raw Data'!AB143,'Raw Data'!AD143,'Raw Data'!AF143,'Raw Data'!AH143),"")</f>
        <v/>
      </c>
      <c r="M156" s="17">
        <f>IF('Raw Data'!A143&lt;&gt;"",AVERAGE('Raw Data'!AA143,'Raw Data'!AC143,'Raw Data'!AE143,'Raw Data'!AG143,'Raw Data'!AI143),"")</f>
        <v/>
      </c>
      <c r="N156" s="17">
        <f>IF(L156&lt;&gt;"",L156-M156,"")</f>
        <v/>
      </c>
      <c r="O156" s="17">
        <f>IF('Raw Data'!A143&lt;&gt;"",AVERAGE('Raw Data'!AJ143,'Raw Data'!AL143,'Raw Data'!AN143,'Raw Data'!AP143,'Raw Data'!AR143),"")</f>
        <v/>
      </c>
      <c r="P156" s="17">
        <f>IF('Raw Data'!A143&lt;&gt;"",AVERAGE('Raw Data'!AK143,'Raw Data'!AM143,'Raw Data'!AO143,'Raw Data'!AQ143,'Raw Data'!AS143),"")</f>
        <v/>
      </c>
      <c r="Q156" s="17">
        <f>IF(O156&lt;&gt;"",O156-P156,"")</f>
        <v/>
      </c>
      <c r="R156" s="17">
        <f>IF('Raw Data'!A143&lt;&gt;"",AVERAGE('Raw Data'!AT143,'Raw Data'!AV143,'Raw Data'!AX143,'Raw Data'!AZ143,'Raw Data'!BB143),"")</f>
        <v/>
      </c>
      <c r="S156" s="17">
        <f>IF('Raw Data'!A143&lt;&gt;"",AVERAGE('Raw Data'!AU143,'Raw Data'!AW143,'Raw Data'!AY143,'Raw Data'!BA143,'Raw Data'!BC143),"")</f>
        <v/>
      </c>
      <c r="T156" s="17">
        <f>IF(R156&lt;&gt;"",R156-S156,"")</f>
        <v/>
      </c>
      <c r="U156" s="17">
        <f>IF('Raw Data'!A143&lt;&gt;"",AVERAGE('Raw Data'!BD143,'Raw Data'!BF143,'Raw Data'!BH143,'Raw Data'!BJ143,'Raw Data'!BL143),"")</f>
        <v/>
      </c>
      <c r="V156" s="17">
        <f>IF('Raw Data'!A143&lt;&gt;"",AVERAGE('Raw Data'!BE143,'Raw Data'!BG143,'Raw Data'!BI143,'Raw Data'!BK143,'Raw Data'!BM143),"")</f>
        <v/>
      </c>
      <c r="W156" s="17">
        <f>IF(U156&lt;&gt;"",U156-V156,"")</f>
        <v/>
      </c>
      <c r="X156" s="17">
        <f>IF(A156&lt;&gt;"",AVERAGE(F156,I156,L156,O156,R156,U156),"")</f>
        <v/>
      </c>
      <c r="Y156" s="17">
        <f>IF(A156&lt;&gt;"",AVERAGE(G156,J156,M156,P156,S156,V156),"")</f>
        <v/>
      </c>
      <c r="Z156" s="17">
        <f>IF(A156&lt;&gt;"",X156-Y156,"")</f>
        <v/>
      </c>
      <c r="AA156" s="18">
        <f>IF(A156&lt;&gt;"",ROUND(MIN(100,100*((MAX(0,K156)*0.25)+(MAX(0,Q156)*0.20)+(MAX(0,W156)*0.20)+(MAX(0,H156)*0.15)+(MAX(0,N156)*0.10)+(MAX(0,T156)*0.10))/9),1),"")</f>
        <v/>
      </c>
      <c r="AB156" s="29">
        <f>IF(A156&lt;&gt;"",MIN(1,(0.5*AA156/100)+(0.3*MAX(0,K156)/9)+(0.2*MAX(0,Q156)/9)),"")</f>
        <v/>
      </c>
    </row>
    <row r="157">
      <c r="A157" s="4">
        <f>IF('Raw Data'!A144&lt;&gt;"",'Raw Data'!A144,"")</f>
        <v/>
      </c>
      <c r="B157" s="4">
        <f>IF('Raw Data'!B144&lt;&gt;"",'Raw Data'!B144,"")</f>
        <v/>
      </c>
      <c r="C157" s="4">
        <f>IF('Raw Data'!C144&lt;&gt;"",'Raw Data'!C144,"")</f>
        <v/>
      </c>
      <c r="D157" s="4">
        <f>IF('Raw Data'!D144&lt;&gt;"",'Raw Data'!D144,"")</f>
        <v/>
      </c>
      <c r="E157" s="4">
        <f>IF('Raw Data'!E144&lt;&gt;"",'Raw Data'!E144,"")</f>
        <v/>
      </c>
      <c r="F157" s="14">
        <f>IF('Raw Data'!A144&lt;&gt;"",AVERAGE('Raw Data'!F144,'Raw Data'!H144,'Raw Data'!J144,'Raw Data'!L144,'Raw Data'!N144),"")</f>
        <v/>
      </c>
      <c r="G157" s="14">
        <f>IF('Raw Data'!A144&lt;&gt;"",AVERAGE('Raw Data'!G144,'Raw Data'!I144,'Raw Data'!K144,'Raw Data'!M144,'Raw Data'!O144),"")</f>
        <v/>
      </c>
      <c r="H157" s="14">
        <f>IF(F157&lt;&gt;"",F157-G157,"")</f>
        <v/>
      </c>
      <c r="I157" s="14">
        <f>IF('Raw Data'!A144&lt;&gt;"",AVERAGE('Raw Data'!P144,'Raw Data'!R144,'Raw Data'!T144,'Raw Data'!V144,'Raw Data'!X144),"")</f>
        <v/>
      </c>
      <c r="J157" s="14">
        <f>IF('Raw Data'!A144&lt;&gt;"",AVERAGE('Raw Data'!Q144,'Raw Data'!S144,'Raw Data'!U144,'Raw Data'!W144,'Raw Data'!Y144),"")</f>
        <v/>
      </c>
      <c r="K157" s="14">
        <f>IF(I157&lt;&gt;"",I157-J157,"")</f>
        <v/>
      </c>
      <c r="L157" s="14">
        <f>IF('Raw Data'!A144&lt;&gt;"",AVERAGE('Raw Data'!Z144,'Raw Data'!AB144,'Raw Data'!AD144,'Raw Data'!AF144,'Raw Data'!AH144),"")</f>
        <v/>
      </c>
      <c r="M157" s="14">
        <f>IF('Raw Data'!A144&lt;&gt;"",AVERAGE('Raw Data'!AA144,'Raw Data'!AC144,'Raw Data'!AE144,'Raw Data'!AG144,'Raw Data'!AI144),"")</f>
        <v/>
      </c>
      <c r="N157" s="14">
        <f>IF(L157&lt;&gt;"",L157-M157,"")</f>
        <v/>
      </c>
      <c r="O157" s="14">
        <f>IF('Raw Data'!A144&lt;&gt;"",AVERAGE('Raw Data'!AJ144,'Raw Data'!AL144,'Raw Data'!AN144,'Raw Data'!AP144,'Raw Data'!AR144),"")</f>
        <v/>
      </c>
      <c r="P157" s="14">
        <f>IF('Raw Data'!A144&lt;&gt;"",AVERAGE('Raw Data'!AK144,'Raw Data'!AM144,'Raw Data'!AO144,'Raw Data'!AQ144,'Raw Data'!AS144),"")</f>
        <v/>
      </c>
      <c r="Q157" s="14">
        <f>IF(O157&lt;&gt;"",O157-P157,"")</f>
        <v/>
      </c>
      <c r="R157" s="14">
        <f>IF('Raw Data'!A144&lt;&gt;"",AVERAGE('Raw Data'!AT144,'Raw Data'!AV144,'Raw Data'!AX144,'Raw Data'!AZ144,'Raw Data'!BB144),"")</f>
        <v/>
      </c>
      <c r="S157" s="14">
        <f>IF('Raw Data'!A144&lt;&gt;"",AVERAGE('Raw Data'!AU144,'Raw Data'!AW144,'Raw Data'!AY144,'Raw Data'!BA144,'Raw Data'!BC144),"")</f>
        <v/>
      </c>
      <c r="T157" s="14">
        <f>IF(R157&lt;&gt;"",R157-S157,"")</f>
        <v/>
      </c>
      <c r="U157" s="14">
        <f>IF('Raw Data'!A144&lt;&gt;"",AVERAGE('Raw Data'!BD144,'Raw Data'!BF144,'Raw Data'!BH144,'Raw Data'!BJ144,'Raw Data'!BL144),"")</f>
        <v/>
      </c>
      <c r="V157" s="14">
        <f>IF('Raw Data'!A144&lt;&gt;"",AVERAGE('Raw Data'!BE144,'Raw Data'!BG144,'Raw Data'!BI144,'Raw Data'!BK144,'Raw Data'!BM144),"")</f>
        <v/>
      </c>
      <c r="W157" s="14">
        <f>IF(U157&lt;&gt;"",U157-V157,"")</f>
        <v/>
      </c>
      <c r="X157" s="14">
        <f>IF(A157&lt;&gt;"",AVERAGE(F157,I157,L157,O157,R157,U157),"")</f>
        <v/>
      </c>
      <c r="Y157" s="14">
        <f>IF(A157&lt;&gt;"",AVERAGE(G157,J157,M157,P157,S157,V157),"")</f>
        <v/>
      </c>
      <c r="Z157" s="14">
        <f>IF(A157&lt;&gt;"",X157-Y157,"")</f>
        <v/>
      </c>
      <c r="AA157" s="15">
        <f>IF(A157&lt;&gt;"",ROUND(MIN(100,100*((MAX(0,K157)*0.25)+(MAX(0,Q157)*0.20)+(MAX(0,W157)*0.20)+(MAX(0,H157)*0.15)+(MAX(0,N157)*0.10)+(MAX(0,T157)*0.10))/9),1),"")</f>
        <v/>
      </c>
      <c r="AB157" s="28">
        <f>IF(A157&lt;&gt;"",MIN(1,(0.5*AA157/100)+(0.3*MAX(0,K157)/9)+(0.2*MAX(0,Q157)/9)),"")</f>
        <v/>
      </c>
    </row>
    <row r="158">
      <c r="A158" s="13">
        <f>IF('Raw Data'!A145&lt;&gt;"",'Raw Data'!A145,"")</f>
        <v/>
      </c>
      <c r="B158" s="13">
        <f>IF('Raw Data'!B145&lt;&gt;"",'Raw Data'!B145,"")</f>
        <v/>
      </c>
      <c r="C158" s="13">
        <f>IF('Raw Data'!C145&lt;&gt;"",'Raw Data'!C145,"")</f>
        <v/>
      </c>
      <c r="D158" s="13">
        <f>IF('Raw Data'!D145&lt;&gt;"",'Raw Data'!D145,"")</f>
        <v/>
      </c>
      <c r="E158" s="13">
        <f>IF('Raw Data'!E145&lt;&gt;"",'Raw Data'!E145,"")</f>
        <v/>
      </c>
      <c r="F158" s="17">
        <f>IF('Raw Data'!A145&lt;&gt;"",AVERAGE('Raw Data'!F145,'Raw Data'!H145,'Raw Data'!J145,'Raw Data'!L145,'Raw Data'!N145),"")</f>
        <v/>
      </c>
      <c r="G158" s="17">
        <f>IF('Raw Data'!A145&lt;&gt;"",AVERAGE('Raw Data'!G145,'Raw Data'!I145,'Raw Data'!K145,'Raw Data'!M145,'Raw Data'!O145),"")</f>
        <v/>
      </c>
      <c r="H158" s="17">
        <f>IF(F158&lt;&gt;"",F158-G158,"")</f>
        <v/>
      </c>
      <c r="I158" s="17">
        <f>IF('Raw Data'!A145&lt;&gt;"",AVERAGE('Raw Data'!P145,'Raw Data'!R145,'Raw Data'!T145,'Raw Data'!V145,'Raw Data'!X145),"")</f>
        <v/>
      </c>
      <c r="J158" s="17">
        <f>IF('Raw Data'!A145&lt;&gt;"",AVERAGE('Raw Data'!Q145,'Raw Data'!S145,'Raw Data'!U145,'Raw Data'!W145,'Raw Data'!Y145),"")</f>
        <v/>
      </c>
      <c r="K158" s="17">
        <f>IF(I158&lt;&gt;"",I158-J158,"")</f>
        <v/>
      </c>
      <c r="L158" s="17">
        <f>IF('Raw Data'!A145&lt;&gt;"",AVERAGE('Raw Data'!Z145,'Raw Data'!AB145,'Raw Data'!AD145,'Raw Data'!AF145,'Raw Data'!AH145),"")</f>
        <v/>
      </c>
      <c r="M158" s="17">
        <f>IF('Raw Data'!A145&lt;&gt;"",AVERAGE('Raw Data'!AA145,'Raw Data'!AC145,'Raw Data'!AE145,'Raw Data'!AG145,'Raw Data'!AI145),"")</f>
        <v/>
      </c>
      <c r="N158" s="17">
        <f>IF(L158&lt;&gt;"",L158-M158,"")</f>
        <v/>
      </c>
      <c r="O158" s="17">
        <f>IF('Raw Data'!A145&lt;&gt;"",AVERAGE('Raw Data'!AJ145,'Raw Data'!AL145,'Raw Data'!AN145,'Raw Data'!AP145,'Raw Data'!AR145),"")</f>
        <v/>
      </c>
      <c r="P158" s="17">
        <f>IF('Raw Data'!A145&lt;&gt;"",AVERAGE('Raw Data'!AK145,'Raw Data'!AM145,'Raw Data'!AO145,'Raw Data'!AQ145,'Raw Data'!AS145),"")</f>
        <v/>
      </c>
      <c r="Q158" s="17">
        <f>IF(O158&lt;&gt;"",O158-P158,"")</f>
        <v/>
      </c>
      <c r="R158" s="17">
        <f>IF('Raw Data'!A145&lt;&gt;"",AVERAGE('Raw Data'!AT145,'Raw Data'!AV145,'Raw Data'!AX145,'Raw Data'!AZ145,'Raw Data'!BB145),"")</f>
        <v/>
      </c>
      <c r="S158" s="17">
        <f>IF('Raw Data'!A145&lt;&gt;"",AVERAGE('Raw Data'!AU145,'Raw Data'!AW145,'Raw Data'!AY145,'Raw Data'!BA145,'Raw Data'!BC145),"")</f>
        <v/>
      </c>
      <c r="T158" s="17">
        <f>IF(R158&lt;&gt;"",R158-S158,"")</f>
        <v/>
      </c>
      <c r="U158" s="17">
        <f>IF('Raw Data'!A145&lt;&gt;"",AVERAGE('Raw Data'!BD145,'Raw Data'!BF145,'Raw Data'!BH145,'Raw Data'!BJ145,'Raw Data'!BL145),"")</f>
        <v/>
      </c>
      <c r="V158" s="17">
        <f>IF('Raw Data'!A145&lt;&gt;"",AVERAGE('Raw Data'!BE145,'Raw Data'!BG145,'Raw Data'!BI145,'Raw Data'!BK145,'Raw Data'!BM145),"")</f>
        <v/>
      </c>
      <c r="W158" s="17">
        <f>IF(U158&lt;&gt;"",U158-V158,"")</f>
        <v/>
      </c>
      <c r="X158" s="17">
        <f>IF(A158&lt;&gt;"",AVERAGE(F158,I158,L158,O158,R158,U158),"")</f>
        <v/>
      </c>
      <c r="Y158" s="17">
        <f>IF(A158&lt;&gt;"",AVERAGE(G158,J158,M158,P158,S158,V158),"")</f>
        <v/>
      </c>
      <c r="Z158" s="17">
        <f>IF(A158&lt;&gt;"",X158-Y158,"")</f>
        <v/>
      </c>
      <c r="AA158" s="18">
        <f>IF(A158&lt;&gt;"",ROUND(MIN(100,100*((MAX(0,K158)*0.25)+(MAX(0,Q158)*0.20)+(MAX(0,W158)*0.20)+(MAX(0,H158)*0.15)+(MAX(0,N158)*0.10)+(MAX(0,T158)*0.10))/9),1),"")</f>
        <v/>
      </c>
      <c r="AB158" s="29">
        <f>IF(A158&lt;&gt;"",MIN(1,(0.5*AA158/100)+(0.3*MAX(0,K158)/9)+(0.2*MAX(0,Q158)/9)),"")</f>
        <v/>
      </c>
    </row>
    <row r="159">
      <c r="A159" s="4">
        <f>IF('Raw Data'!A146&lt;&gt;"",'Raw Data'!A146,"")</f>
        <v/>
      </c>
      <c r="B159" s="4">
        <f>IF('Raw Data'!B146&lt;&gt;"",'Raw Data'!B146,"")</f>
        <v/>
      </c>
      <c r="C159" s="4">
        <f>IF('Raw Data'!C146&lt;&gt;"",'Raw Data'!C146,"")</f>
        <v/>
      </c>
      <c r="D159" s="4">
        <f>IF('Raw Data'!D146&lt;&gt;"",'Raw Data'!D146,"")</f>
        <v/>
      </c>
      <c r="E159" s="4">
        <f>IF('Raw Data'!E146&lt;&gt;"",'Raw Data'!E146,"")</f>
        <v/>
      </c>
      <c r="F159" s="14">
        <f>IF('Raw Data'!A146&lt;&gt;"",AVERAGE('Raw Data'!F146,'Raw Data'!H146,'Raw Data'!J146,'Raw Data'!L146,'Raw Data'!N146),"")</f>
        <v/>
      </c>
      <c r="G159" s="14">
        <f>IF('Raw Data'!A146&lt;&gt;"",AVERAGE('Raw Data'!G146,'Raw Data'!I146,'Raw Data'!K146,'Raw Data'!M146,'Raw Data'!O146),"")</f>
        <v/>
      </c>
      <c r="H159" s="14">
        <f>IF(F159&lt;&gt;"",F159-G159,"")</f>
        <v/>
      </c>
      <c r="I159" s="14">
        <f>IF('Raw Data'!A146&lt;&gt;"",AVERAGE('Raw Data'!P146,'Raw Data'!R146,'Raw Data'!T146,'Raw Data'!V146,'Raw Data'!X146),"")</f>
        <v/>
      </c>
      <c r="J159" s="14">
        <f>IF('Raw Data'!A146&lt;&gt;"",AVERAGE('Raw Data'!Q146,'Raw Data'!S146,'Raw Data'!U146,'Raw Data'!W146,'Raw Data'!Y146),"")</f>
        <v/>
      </c>
      <c r="K159" s="14">
        <f>IF(I159&lt;&gt;"",I159-J159,"")</f>
        <v/>
      </c>
      <c r="L159" s="14">
        <f>IF('Raw Data'!A146&lt;&gt;"",AVERAGE('Raw Data'!Z146,'Raw Data'!AB146,'Raw Data'!AD146,'Raw Data'!AF146,'Raw Data'!AH146),"")</f>
        <v/>
      </c>
      <c r="M159" s="14">
        <f>IF('Raw Data'!A146&lt;&gt;"",AVERAGE('Raw Data'!AA146,'Raw Data'!AC146,'Raw Data'!AE146,'Raw Data'!AG146,'Raw Data'!AI146),"")</f>
        <v/>
      </c>
      <c r="N159" s="14">
        <f>IF(L159&lt;&gt;"",L159-M159,"")</f>
        <v/>
      </c>
      <c r="O159" s="14">
        <f>IF('Raw Data'!A146&lt;&gt;"",AVERAGE('Raw Data'!AJ146,'Raw Data'!AL146,'Raw Data'!AN146,'Raw Data'!AP146,'Raw Data'!AR146),"")</f>
        <v/>
      </c>
      <c r="P159" s="14">
        <f>IF('Raw Data'!A146&lt;&gt;"",AVERAGE('Raw Data'!AK146,'Raw Data'!AM146,'Raw Data'!AO146,'Raw Data'!AQ146,'Raw Data'!AS146),"")</f>
        <v/>
      </c>
      <c r="Q159" s="14">
        <f>IF(O159&lt;&gt;"",O159-P159,"")</f>
        <v/>
      </c>
      <c r="R159" s="14">
        <f>IF('Raw Data'!A146&lt;&gt;"",AVERAGE('Raw Data'!AT146,'Raw Data'!AV146,'Raw Data'!AX146,'Raw Data'!AZ146,'Raw Data'!BB146),"")</f>
        <v/>
      </c>
      <c r="S159" s="14">
        <f>IF('Raw Data'!A146&lt;&gt;"",AVERAGE('Raw Data'!AU146,'Raw Data'!AW146,'Raw Data'!AY146,'Raw Data'!BA146,'Raw Data'!BC146),"")</f>
        <v/>
      </c>
      <c r="T159" s="14">
        <f>IF(R159&lt;&gt;"",R159-S159,"")</f>
        <v/>
      </c>
      <c r="U159" s="14">
        <f>IF('Raw Data'!A146&lt;&gt;"",AVERAGE('Raw Data'!BD146,'Raw Data'!BF146,'Raw Data'!BH146,'Raw Data'!BJ146,'Raw Data'!BL146),"")</f>
        <v/>
      </c>
      <c r="V159" s="14">
        <f>IF('Raw Data'!A146&lt;&gt;"",AVERAGE('Raw Data'!BE146,'Raw Data'!BG146,'Raw Data'!BI146,'Raw Data'!BK146,'Raw Data'!BM146),"")</f>
        <v/>
      </c>
      <c r="W159" s="14">
        <f>IF(U159&lt;&gt;"",U159-V159,"")</f>
        <v/>
      </c>
      <c r="X159" s="14">
        <f>IF(A159&lt;&gt;"",AVERAGE(F159,I159,L159,O159,R159,U159),"")</f>
        <v/>
      </c>
      <c r="Y159" s="14">
        <f>IF(A159&lt;&gt;"",AVERAGE(G159,J159,M159,P159,S159,V159),"")</f>
        <v/>
      </c>
      <c r="Z159" s="14">
        <f>IF(A159&lt;&gt;"",X159-Y159,"")</f>
        <v/>
      </c>
      <c r="AA159" s="15">
        <f>IF(A159&lt;&gt;"",ROUND(MIN(100,100*((MAX(0,K159)*0.25)+(MAX(0,Q159)*0.20)+(MAX(0,W159)*0.20)+(MAX(0,H159)*0.15)+(MAX(0,N159)*0.10)+(MAX(0,T159)*0.10))/9),1),"")</f>
        <v/>
      </c>
      <c r="AB159" s="28">
        <f>IF(A159&lt;&gt;"",MIN(1,(0.5*AA159/100)+(0.3*MAX(0,K159)/9)+(0.2*MAX(0,Q159)/9)),"")</f>
        <v/>
      </c>
    </row>
    <row r="160">
      <c r="A160" s="13">
        <f>IF('Raw Data'!A147&lt;&gt;"",'Raw Data'!A147,"")</f>
        <v/>
      </c>
      <c r="B160" s="13">
        <f>IF('Raw Data'!B147&lt;&gt;"",'Raw Data'!B147,"")</f>
        <v/>
      </c>
      <c r="C160" s="13">
        <f>IF('Raw Data'!C147&lt;&gt;"",'Raw Data'!C147,"")</f>
        <v/>
      </c>
      <c r="D160" s="13">
        <f>IF('Raw Data'!D147&lt;&gt;"",'Raw Data'!D147,"")</f>
        <v/>
      </c>
      <c r="E160" s="13">
        <f>IF('Raw Data'!E147&lt;&gt;"",'Raw Data'!E147,"")</f>
        <v/>
      </c>
      <c r="F160" s="17">
        <f>IF('Raw Data'!A147&lt;&gt;"",AVERAGE('Raw Data'!F147,'Raw Data'!H147,'Raw Data'!J147,'Raw Data'!L147,'Raw Data'!N147),"")</f>
        <v/>
      </c>
      <c r="G160" s="17">
        <f>IF('Raw Data'!A147&lt;&gt;"",AVERAGE('Raw Data'!G147,'Raw Data'!I147,'Raw Data'!K147,'Raw Data'!M147,'Raw Data'!O147),"")</f>
        <v/>
      </c>
      <c r="H160" s="17">
        <f>IF(F160&lt;&gt;"",F160-G160,"")</f>
        <v/>
      </c>
      <c r="I160" s="17">
        <f>IF('Raw Data'!A147&lt;&gt;"",AVERAGE('Raw Data'!P147,'Raw Data'!R147,'Raw Data'!T147,'Raw Data'!V147,'Raw Data'!X147),"")</f>
        <v/>
      </c>
      <c r="J160" s="17">
        <f>IF('Raw Data'!A147&lt;&gt;"",AVERAGE('Raw Data'!Q147,'Raw Data'!S147,'Raw Data'!U147,'Raw Data'!W147,'Raw Data'!Y147),"")</f>
        <v/>
      </c>
      <c r="K160" s="17">
        <f>IF(I160&lt;&gt;"",I160-J160,"")</f>
        <v/>
      </c>
      <c r="L160" s="17">
        <f>IF('Raw Data'!A147&lt;&gt;"",AVERAGE('Raw Data'!Z147,'Raw Data'!AB147,'Raw Data'!AD147,'Raw Data'!AF147,'Raw Data'!AH147),"")</f>
        <v/>
      </c>
      <c r="M160" s="17">
        <f>IF('Raw Data'!A147&lt;&gt;"",AVERAGE('Raw Data'!AA147,'Raw Data'!AC147,'Raw Data'!AE147,'Raw Data'!AG147,'Raw Data'!AI147),"")</f>
        <v/>
      </c>
      <c r="N160" s="17">
        <f>IF(L160&lt;&gt;"",L160-M160,"")</f>
        <v/>
      </c>
      <c r="O160" s="17">
        <f>IF('Raw Data'!A147&lt;&gt;"",AVERAGE('Raw Data'!AJ147,'Raw Data'!AL147,'Raw Data'!AN147,'Raw Data'!AP147,'Raw Data'!AR147),"")</f>
        <v/>
      </c>
      <c r="P160" s="17">
        <f>IF('Raw Data'!A147&lt;&gt;"",AVERAGE('Raw Data'!AK147,'Raw Data'!AM147,'Raw Data'!AO147,'Raw Data'!AQ147,'Raw Data'!AS147),"")</f>
        <v/>
      </c>
      <c r="Q160" s="17">
        <f>IF(O160&lt;&gt;"",O160-P160,"")</f>
        <v/>
      </c>
      <c r="R160" s="17">
        <f>IF('Raw Data'!A147&lt;&gt;"",AVERAGE('Raw Data'!AT147,'Raw Data'!AV147,'Raw Data'!AX147,'Raw Data'!AZ147,'Raw Data'!BB147),"")</f>
        <v/>
      </c>
      <c r="S160" s="17">
        <f>IF('Raw Data'!A147&lt;&gt;"",AVERAGE('Raw Data'!AU147,'Raw Data'!AW147,'Raw Data'!AY147,'Raw Data'!BA147,'Raw Data'!BC147),"")</f>
        <v/>
      </c>
      <c r="T160" s="17">
        <f>IF(R160&lt;&gt;"",R160-S160,"")</f>
        <v/>
      </c>
      <c r="U160" s="17">
        <f>IF('Raw Data'!A147&lt;&gt;"",AVERAGE('Raw Data'!BD147,'Raw Data'!BF147,'Raw Data'!BH147,'Raw Data'!BJ147,'Raw Data'!BL147),"")</f>
        <v/>
      </c>
      <c r="V160" s="17">
        <f>IF('Raw Data'!A147&lt;&gt;"",AVERAGE('Raw Data'!BE147,'Raw Data'!BG147,'Raw Data'!BI147,'Raw Data'!BK147,'Raw Data'!BM147),"")</f>
        <v/>
      </c>
      <c r="W160" s="17">
        <f>IF(U160&lt;&gt;"",U160-V160,"")</f>
        <v/>
      </c>
      <c r="X160" s="17">
        <f>IF(A160&lt;&gt;"",AVERAGE(F160,I160,L160,O160,R160,U160),"")</f>
        <v/>
      </c>
      <c r="Y160" s="17">
        <f>IF(A160&lt;&gt;"",AVERAGE(G160,J160,M160,P160,S160,V160),"")</f>
        <v/>
      </c>
      <c r="Z160" s="17">
        <f>IF(A160&lt;&gt;"",X160-Y160,"")</f>
        <v/>
      </c>
      <c r="AA160" s="18">
        <f>IF(A160&lt;&gt;"",ROUND(MIN(100,100*((MAX(0,K160)*0.25)+(MAX(0,Q160)*0.20)+(MAX(0,W160)*0.20)+(MAX(0,H160)*0.15)+(MAX(0,N160)*0.10)+(MAX(0,T160)*0.10))/9),1),"")</f>
        <v/>
      </c>
      <c r="AB160" s="29">
        <f>IF(A160&lt;&gt;"",MIN(1,(0.5*AA160/100)+(0.3*MAX(0,K160)/9)+(0.2*MAX(0,Q160)/9)),"")</f>
        <v/>
      </c>
    </row>
    <row r="161">
      <c r="A161" s="4">
        <f>IF('Raw Data'!A148&lt;&gt;"",'Raw Data'!A148,"")</f>
        <v/>
      </c>
      <c r="B161" s="4">
        <f>IF('Raw Data'!B148&lt;&gt;"",'Raw Data'!B148,"")</f>
        <v/>
      </c>
      <c r="C161" s="4">
        <f>IF('Raw Data'!C148&lt;&gt;"",'Raw Data'!C148,"")</f>
        <v/>
      </c>
      <c r="D161" s="4">
        <f>IF('Raw Data'!D148&lt;&gt;"",'Raw Data'!D148,"")</f>
        <v/>
      </c>
      <c r="E161" s="4">
        <f>IF('Raw Data'!E148&lt;&gt;"",'Raw Data'!E148,"")</f>
        <v/>
      </c>
      <c r="F161" s="14">
        <f>IF('Raw Data'!A148&lt;&gt;"",AVERAGE('Raw Data'!F148,'Raw Data'!H148,'Raw Data'!J148,'Raw Data'!L148,'Raw Data'!N148),"")</f>
        <v/>
      </c>
      <c r="G161" s="14">
        <f>IF('Raw Data'!A148&lt;&gt;"",AVERAGE('Raw Data'!G148,'Raw Data'!I148,'Raw Data'!K148,'Raw Data'!M148,'Raw Data'!O148),"")</f>
        <v/>
      </c>
      <c r="H161" s="14">
        <f>IF(F161&lt;&gt;"",F161-G161,"")</f>
        <v/>
      </c>
      <c r="I161" s="14">
        <f>IF('Raw Data'!A148&lt;&gt;"",AVERAGE('Raw Data'!P148,'Raw Data'!R148,'Raw Data'!T148,'Raw Data'!V148,'Raw Data'!X148),"")</f>
        <v/>
      </c>
      <c r="J161" s="14">
        <f>IF('Raw Data'!A148&lt;&gt;"",AVERAGE('Raw Data'!Q148,'Raw Data'!S148,'Raw Data'!U148,'Raw Data'!W148,'Raw Data'!Y148),"")</f>
        <v/>
      </c>
      <c r="K161" s="14">
        <f>IF(I161&lt;&gt;"",I161-J161,"")</f>
        <v/>
      </c>
      <c r="L161" s="14">
        <f>IF('Raw Data'!A148&lt;&gt;"",AVERAGE('Raw Data'!Z148,'Raw Data'!AB148,'Raw Data'!AD148,'Raw Data'!AF148,'Raw Data'!AH148),"")</f>
        <v/>
      </c>
      <c r="M161" s="14">
        <f>IF('Raw Data'!A148&lt;&gt;"",AVERAGE('Raw Data'!AA148,'Raw Data'!AC148,'Raw Data'!AE148,'Raw Data'!AG148,'Raw Data'!AI148),"")</f>
        <v/>
      </c>
      <c r="N161" s="14">
        <f>IF(L161&lt;&gt;"",L161-M161,"")</f>
        <v/>
      </c>
      <c r="O161" s="14">
        <f>IF('Raw Data'!A148&lt;&gt;"",AVERAGE('Raw Data'!AJ148,'Raw Data'!AL148,'Raw Data'!AN148,'Raw Data'!AP148,'Raw Data'!AR148),"")</f>
        <v/>
      </c>
      <c r="P161" s="14">
        <f>IF('Raw Data'!A148&lt;&gt;"",AVERAGE('Raw Data'!AK148,'Raw Data'!AM148,'Raw Data'!AO148,'Raw Data'!AQ148,'Raw Data'!AS148),"")</f>
        <v/>
      </c>
      <c r="Q161" s="14">
        <f>IF(O161&lt;&gt;"",O161-P161,"")</f>
        <v/>
      </c>
      <c r="R161" s="14">
        <f>IF('Raw Data'!A148&lt;&gt;"",AVERAGE('Raw Data'!AT148,'Raw Data'!AV148,'Raw Data'!AX148,'Raw Data'!AZ148,'Raw Data'!BB148),"")</f>
        <v/>
      </c>
      <c r="S161" s="14">
        <f>IF('Raw Data'!A148&lt;&gt;"",AVERAGE('Raw Data'!AU148,'Raw Data'!AW148,'Raw Data'!AY148,'Raw Data'!BA148,'Raw Data'!BC148),"")</f>
        <v/>
      </c>
      <c r="T161" s="14">
        <f>IF(R161&lt;&gt;"",R161-S161,"")</f>
        <v/>
      </c>
      <c r="U161" s="14">
        <f>IF('Raw Data'!A148&lt;&gt;"",AVERAGE('Raw Data'!BD148,'Raw Data'!BF148,'Raw Data'!BH148,'Raw Data'!BJ148,'Raw Data'!BL148),"")</f>
        <v/>
      </c>
      <c r="V161" s="14">
        <f>IF('Raw Data'!A148&lt;&gt;"",AVERAGE('Raw Data'!BE148,'Raw Data'!BG148,'Raw Data'!BI148,'Raw Data'!BK148,'Raw Data'!BM148),"")</f>
        <v/>
      </c>
      <c r="W161" s="14">
        <f>IF(U161&lt;&gt;"",U161-V161,"")</f>
        <v/>
      </c>
      <c r="X161" s="14">
        <f>IF(A161&lt;&gt;"",AVERAGE(F161,I161,L161,O161,R161,U161),"")</f>
        <v/>
      </c>
      <c r="Y161" s="14">
        <f>IF(A161&lt;&gt;"",AVERAGE(G161,J161,M161,P161,S161,V161),"")</f>
        <v/>
      </c>
      <c r="Z161" s="14">
        <f>IF(A161&lt;&gt;"",X161-Y161,"")</f>
        <v/>
      </c>
      <c r="AA161" s="15">
        <f>IF(A161&lt;&gt;"",ROUND(MIN(100,100*((MAX(0,K161)*0.25)+(MAX(0,Q161)*0.20)+(MAX(0,W161)*0.20)+(MAX(0,H161)*0.15)+(MAX(0,N161)*0.10)+(MAX(0,T161)*0.10))/9),1),"")</f>
        <v/>
      </c>
      <c r="AB161" s="28">
        <f>IF(A161&lt;&gt;"",MIN(1,(0.5*AA161/100)+(0.3*MAX(0,K161)/9)+(0.2*MAX(0,Q161)/9)),"")</f>
        <v/>
      </c>
    </row>
    <row r="162">
      <c r="A162" s="13">
        <f>IF('Raw Data'!A149&lt;&gt;"",'Raw Data'!A149,"")</f>
        <v/>
      </c>
      <c r="B162" s="13">
        <f>IF('Raw Data'!B149&lt;&gt;"",'Raw Data'!B149,"")</f>
        <v/>
      </c>
      <c r="C162" s="13">
        <f>IF('Raw Data'!C149&lt;&gt;"",'Raw Data'!C149,"")</f>
        <v/>
      </c>
      <c r="D162" s="13">
        <f>IF('Raw Data'!D149&lt;&gt;"",'Raw Data'!D149,"")</f>
        <v/>
      </c>
      <c r="E162" s="13">
        <f>IF('Raw Data'!E149&lt;&gt;"",'Raw Data'!E149,"")</f>
        <v/>
      </c>
      <c r="F162" s="17">
        <f>IF('Raw Data'!A149&lt;&gt;"",AVERAGE('Raw Data'!F149,'Raw Data'!H149,'Raw Data'!J149,'Raw Data'!L149,'Raw Data'!N149),"")</f>
        <v/>
      </c>
      <c r="G162" s="17">
        <f>IF('Raw Data'!A149&lt;&gt;"",AVERAGE('Raw Data'!G149,'Raw Data'!I149,'Raw Data'!K149,'Raw Data'!M149,'Raw Data'!O149),"")</f>
        <v/>
      </c>
      <c r="H162" s="17">
        <f>IF(F162&lt;&gt;"",F162-G162,"")</f>
        <v/>
      </c>
      <c r="I162" s="17">
        <f>IF('Raw Data'!A149&lt;&gt;"",AVERAGE('Raw Data'!P149,'Raw Data'!R149,'Raw Data'!T149,'Raw Data'!V149,'Raw Data'!X149),"")</f>
        <v/>
      </c>
      <c r="J162" s="17">
        <f>IF('Raw Data'!A149&lt;&gt;"",AVERAGE('Raw Data'!Q149,'Raw Data'!S149,'Raw Data'!U149,'Raw Data'!W149,'Raw Data'!Y149),"")</f>
        <v/>
      </c>
      <c r="K162" s="17">
        <f>IF(I162&lt;&gt;"",I162-J162,"")</f>
        <v/>
      </c>
      <c r="L162" s="17">
        <f>IF('Raw Data'!A149&lt;&gt;"",AVERAGE('Raw Data'!Z149,'Raw Data'!AB149,'Raw Data'!AD149,'Raw Data'!AF149,'Raw Data'!AH149),"")</f>
        <v/>
      </c>
      <c r="M162" s="17">
        <f>IF('Raw Data'!A149&lt;&gt;"",AVERAGE('Raw Data'!AA149,'Raw Data'!AC149,'Raw Data'!AE149,'Raw Data'!AG149,'Raw Data'!AI149),"")</f>
        <v/>
      </c>
      <c r="N162" s="17">
        <f>IF(L162&lt;&gt;"",L162-M162,"")</f>
        <v/>
      </c>
      <c r="O162" s="17">
        <f>IF('Raw Data'!A149&lt;&gt;"",AVERAGE('Raw Data'!AJ149,'Raw Data'!AL149,'Raw Data'!AN149,'Raw Data'!AP149,'Raw Data'!AR149),"")</f>
        <v/>
      </c>
      <c r="P162" s="17">
        <f>IF('Raw Data'!A149&lt;&gt;"",AVERAGE('Raw Data'!AK149,'Raw Data'!AM149,'Raw Data'!AO149,'Raw Data'!AQ149,'Raw Data'!AS149),"")</f>
        <v/>
      </c>
      <c r="Q162" s="17">
        <f>IF(O162&lt;&gt;"",O162-P162,"")</f>
        <v/>
      </c>
      <c r="R162" s="17">
        <f>IF('Raw Data'!A149&lt;&gt;"",AVERAGE('Raw Data'!AT149,'Raw Data'!AV149,'Raw Data'!AX149,'Raw Data'!AZ149,'Raw Data'!BB149),"")</f>
        <v/>
      </c>
      <c r="S162" s="17">
        <f>IF('Raw Data'!A149&lt;&gt;"",AVERAGE('Raw Data'!AU149,'Raw Data'!AW149,'Raw Data'!AY149,'Raw Data'!BA149,'Raw Data'!BC149),"")</f>
        <v/>
      </c>
      <c r="T162" s="17">
        <f>IF(R162&lt;&gt;"",R162-S162,"")</f>
        <v/>
      </c>
      <c r="U162" s="17">
        <f>IF('Raw Data'!A149&lt;&gt;"",AVERAGE('Raw Data'!BD149,'Raw Data'!BF149,'Raw Data'!BH149,'Raw Data'!BJ149,'Raw Data'!BL149),"")</f>
        <v/>
      </c>
      <c r="V162" s="17">
        <f>IF('Raw Data'!A149&lt;&gt;"",AVERAGE('Raw Data'!BE149,'Raw Data'!BG149,'Raw Data'!BI149,'Raw Data'!BK149,'Raw Data'!BM149),"")</f>
        <v/>
      </c>
      <c r="W162" s="17">
        <f>IF(U162&lt;&gt;"",U162-V162,"")</f>
        <v/>
      </c>
      <c r="X162" s="17">
        <f>IF(A162&lt;&gt;"",AVERAGE(F162,I162,L162,O162,R162,U162),"")</f>
        <v/>
      </c>
      <c r="Y162" s="17">
        <f>IF(A162&lt;&gt;"",AVERAGE(G162,J162,M162,P162,S162,V162),"")</f>
        <v/>
      </c>
      <c r="Z162" s="17">
        <f>IF(A162&lt;&gt;"",X162-Y162,"")</f>
        <v/>
      </c>
      <c r="AA162" s="18">
        <f>IF(A162&lt;&gt;"",ROUND(MIN(100,100*((MAX(0,K162)*0.25)+(MAX(0,Q162)*0.20)+(MAX(0,W162)*0.20)+(MAX(0,H162)*0.15)+(MAX(0,N162)*0.10)+(MAX(0,T162)*0.10))/9),1),"")</f>
        <v/>
      </c>
      <c r="AB162" s="29">
        <f>IF(A162&lt;&gt;"",MIN(1,(0.5*AA162/100)+(0.3*MAX(0,K162)/9)+(0.2*MAX(0,Q162)/9)),"")</f>
        <v/>
      </c>
    </row>
    <row r="163">
      <c r="A163" s="4">
        <f>IF('Raw Data'!A150&lt;&gt;"",'Raw Data'!A150,"")</f>
        <v/>
      </c>
      <c r="B163" s="4">
        <f>IF('Raw Data'!B150&lt;&gt;"",'Raw Data'!B150,"")</f>
        <v/>
      </c>
      <c r="C163" s="4">
        <f>IF('Raw Data'!C150&lt;&gt;"",'Raw Data'!C150,"")</f>
        <v/>
      </c>
      <c r="D163" s="4">
        <f>IF('Raw Data'!D150&lt;&gt;"",'Raw Data'!D150,"")</f>
        <v/>
      </c>
      <c r="E163" s="4">
        <f>IF('Raw Data'!E150&lt;&gt;"",'Raw Data'!E150,"")</f>
        <v/>
      </c>
      <c r="F163" s="14">
        <f>IF('Raw Data'!A150&lt;&gt;"",AVERAGE('Raw Data'!F150,'Raw Data'!H150,'Raw Data'!J150,'Raw Data'!L150,'Raw Data'!N150),"")</f>
        <v/>
      </c>
      <c r="G163" s="14">
        <f>IF('Raw Data'!A150&lt;&gt;"",AVERAGE('Raw Data'!G150,'Raw Data'!I150,'Raw Data'!K150,'Raw Data'!M150,'Raw Data'!O150),"")</f>
        <v/>
      </c>
      <c r="H163" s="14">
        <f>IF(F163&lt;&gt;"",F163-G163,"")</f>
        <v/>
      </c>
      <c r="I163" s="14">
        <f>IF('Raw Data'!A150&lt;&gt;"",AVERAGE('Raw Data'!P150,'Raw Data'!R150,'Raw Data'!T150,'Raw Data'!V150,'Raw Data'!X150),"")</f>
        <v/>
      </c>
      <c r="J163" s="14">
        <f>IF('Raw Data'!A150&lt;&gt;"",AVERAGE('Raw Data'!Q150,'Raw Data'!S150,'Raw Data'!U150,'Raw Data'!W150,'Raw Data'!Y150),"")</f>
        <v/>
      </c>
      <c r="K163" s="14">
        <f>IF(I163&lt;&gt;"",I163-J163,"")</f>
        <v/>
      </c>
      <c r="L163" s="14">
        <f>IF('Raw Data'!A150&lt;&gt;"",AVERAGE('Raw Data'!Z150,'Raw Data'!AB150,'Raw Data'!AD150,'Raw Data'!AF150,'Raw Data'!AH150),"")</f>
        <v/>
      </c>
      <c r="M163" s="14">
        <f>IF('Raw Data'!A150&lt;&gt;"",AVERAGE('Raw Data'!AA150,'Raw Data'!AC150,'Raw Data'!AE150,'Raw Data'!AG150,'Raw Data'!AI150),"")</f>
        <v/>
      </c>
      <c r="N163" s="14">
        <f>IF(L163&lt;&gt;"",L163-M163,"")</f>
        <v/>
      </c>
      <c r="O163" s="14">
        <f>IF('Raw Data'!A150&lt;&gt;"",AVERAGE('Raw Data'!AJ150,'Raw Data'!AL150,'Raw Data'!AN150,'Raw Data'!AP150,'Raw Data'!AR150),"")</f>
        <v/>
      </c>
      <c r="P163" s="14">
        <f>IF('Raw Data'!A150&lt;&gt;"",AVERAGE('Raw Data'!AK150,'Raw Data'!AM150,'Raw Data'!AO150,'Raw Data'!AQ150,'Raw Data'!AS150),"")</f>
        <v/>
      </c>
      <c r="Q163" s="14">
        <f>IF(O163&lt;&gt;"",O163-P163,"")</f>
        <v/>
      </c>
      <c r="R163" s="14">
        <f>IF('Raw Data'!A150&lt;&gt;"",AVERAGE('Raw Data'!AT150,'Raw Data'!AV150,'Raw Data'!AX150,'Raw Data'!AZ150,'Raw Data'!BB150),"")</f>
        <v/>
      </c>
      <c r="S163" s="14">
        <f>IF('Raw Data'!A150&lt;&gt;"",AVERAGE('Raw Data'!AU150,'Raw Data'!AW150,'Raw Data'!AY150,'Raw Data'!BA150,'Raw Data'!BC150),"")</f>
        <v/>
      </c>
      <c r="T163" s="14">
        <f>IF(R163&lt;&gt;"",R163-S163,"")</f>
        <v/>
      </c>
      <c r="U163" s="14">
        <f>IF('Raw Data'!A150&lt;&gt;"",AVERAGE('Raw Data'!BD150,'Raw Data'!BF150,'Raw Data'!BH150,'Raw Data'!BJ150,'Raw Data'!BL150),"")</f>
        <v/>
      </c>
      <c r="V163" s="14">
        <f>IF('Raw Data'!A150&lt;&gt;"",AVERAGE('Raw Data'!BE150,'Raw Data'!BG150,'Raw Data'!BI150,'Raw Data'!BK150,'Raw Data'!BM150),"")</f>
        <v/>
      </c>
      <c r="W163" s="14">
        <f>IF(U163&lt;&gt;"",U163-V163,"")</f>
        <v/>
      </c>
      <c r="X163" s="14">
        <f>IF(A163&lt;&gt;"",AVERAGE(F163,I163,L163,O163,R163,U163),"")</f>
        <v/>
      </c>
      <c r="Y163" s="14">
        <f>IF(A163&lt;&gt;"",AVERAGE(G163,J163,M163,P163,S163,V163),"")</f>
        <v/>
      </c>
      <c r="Z163" s="14">
        <f>IF(A163&lt;&gt;"",X163-Y163,"")</f>
        <v/>
      </c>
      <c r="AA163" s="15">
        <f>IF(A163&lt;&gt;"",ROUND(MIN(100,100*((MAX(0,K163)*0.25)+(MAX(0,Q163)*0.20)+(MAX(0,W163)*0.20)+(MAX(0,H163)*0.15)+(MAX(0,N163)*0.10)+(MAX(0,T163)*0.10))/9),1),"")</f>
        <v/>
      </c>
      <c r="AB163" s="28">
        <f>IF(A163&lt;&gt;"",MIN(1,(0.5*AA163/100)+(0.3*MAX(0,K163)/9)+(0.2*MAX(0,Q163)/9)),"")</f>
        <v/>
      </c>
    </row>
    <row r="164">
      <c r="A164" s="13">
        <f>IF('Raw Data'!A151&lt;&gt;"",'Raw Data'!A151,"")</f>
        <v/>
      </c>
      <c r="B164" s="13">
        <f>IF('Raw Data'!B151&lt;&gt;"",'Raw Data'!B151,"")</f>
        <v/>
      </c>
      <c r="C164" s="13">
        <f>IF('Raw Data'!C151&lt;&gt;"",'Raw Data'!C151,"")</f>
        <v/>
      </c>
      <c r="D164" s="13">
        <f>IF('Raw Data'!D151&lt;&gt;"",'Raw Data'!D151,"")</f>
        <v/>
      </c>
      <c r="E164" s="13">
        <f>IF('Raw Data'!E151&lt;&gt;"",'Raw Data'!E151,"")</f>
        <v/>
      </c>
      <c r="F164" s="17">
        <f>IF('Raw Data'!A151&lt;&gt;"",AVERAGE('Raw Data'!F151,'Raw Data'!H151,'Raw Data'!J151,'Raw Data'!L151,'Raw Data'!N151),"")</f>
        <v/>
      </c>
      <c r="G164" s="17">
        <f>IF('Raw Data'!A151&lt;&gt;"",AVERAGE('Raw Data'!G151,'Raw Data'!I151,'Raw Data'!K151,'Raw Data'!M151,'Raw Data'!O151),"")</f>
        <v/>
      </c>
      <c r="H164" s="17">
        <f>IF(F164&lt;&gt;"",F164-G164,"")</f>
        <v/>
      </c>
      <c r="I164" s="17">
        <f>IF('Raw Data'!A151&lt;&gt;"",AVERAGE('Raw Data'!P151,'Raw Data'!R151,'Raw Data'!T151,'Raw Data'!V151,'Raw Data'!X151),"")</f>
        <v/>
      </c>
      <c r="J164" s="17">
        <f>IF('Raw Data'!A151&lt;&gt;"",AVERAGE('Raw Data'!Q151,'Raw Data'!S151,'Raw Data'!U151,'Raw Data'!W151,'Raw Data'!Y151),"")</f>
        <v/>
      </c>
      <c r="K164" s="17">
        <f>IF(I164&lt;&gt;"",I164-J164,"")</f>
        <v/>
      </c>
      <c r="L164" s="17">
        <f>IF('Raw Data'!A151&lt;&gt;"",AVERAGE('Raw Data'!Z151,'Raw Data'!AB151,'Raw Data'!AD151,'Raw Data'!AF151,'Raw Data'!AH151),"")</f>
        <v/>
      </c>
      <c r="M164" s="17">
        <f>IF('Raw Data'!A151&lt;&gt;"",AVERAGE('Raw Data'!AA151,'Raw Data'!AC151,'Raw Data'!AE151,'Raw Data'!AG151,'Raw Data'!AI151),"")</f>
        <v/>
      </c>
      <c r="N164" s="17">
        <f>IF(L164&lt;&gt;"",L164-M164,"")</f>
        <v/>
      </c>
      <c r="O164" s="17">
        <f>IF('Raw Data'!A151&lt;&gt;"",AVERAGE('Raw Data'!AJ151,'Raw Data'!AL151,'Raw Data'!AN151,'Raw Data'!AP151,'Raw Data'!AR151),"")</f>
        <v/>
      </c>
      <c r="P164" s="17">
        <f>IF('Raw Data'!A151&lt;&gt;"",AVERAGE('Raw Data'!AK151,'Raw Data'!AM151,'Raw Data'!AO151,'Raw Data'!AQ151,'Raw Data'!AS151),"")</f>
        <v/>
      </c>
      <c r="Q164" s="17">
        <f>IF(O164&lt;&gt;"",O164-P164,"")</f>
        <v/>
      </c>
      <c r="R164" s="17">
        <f>IF('Raw Data'!A151&lt;&gt;"",AVERAGE('Raw Data'!AT151,'Raw Data'!AV151,'Raw Data'!AX151,'Raw Data'!AZ151,'Raw Data'!BB151),"")</f>
        <v/>
      </c>
      <c r="S164" s="17">
        <f>IF('Raw Data'!A151&lt;&gt;"",AVERAGE('Raw Data'!AU151,'Raw Data'!AW151,'Raw Data'!AY151,'Raw Data'!BA151,'Raw Data'!BC151),"")</f>
        <v/>
      </c>
      <c r="T164" s="17">
        <f>IF(R164&lt;&gt;"",R164-S164,"")</f>
        <v/>
      </c>
      <c r="U164" s="17">
        <f>IF('Raw Data'!A151&lt;&gt;"",AVERAGE('Raw Data'!BD151,'Raw Data'!BF151,'Raw Data'!BH151,'Raw Data'!BJ151,'Raw Data'!BL151),"")</f>
        <v/>
      </c>
      <c r="V164" s="17">
        <f>IF('Raw Data'!A151&lt;&gt;"",AVERAGE('Raw Data'!BE151,'Raw Data'!BG151,'Raw Data'!BI151,'Raw Data'!BK151,'Raw Data'!BM151),"")</f>
        <v/>
      </c>
      <c r="W164" s="17">
        <f>IF(U164&lt;&gt;"",U164-V164,"")</f>
        <v/>
      </c>
      <c r="X164" s="17">
        <f>IF(A164&lt;&gt;"",AVERAGE(F164,I164,L164,O164,R164,U164),"")</f>
        <v/>
      </c>
      <c r="Y164" s="17">
        <f>IF(A164&lt;&gt;"",AVERAGE(G164,J164,M164,P164,S164,V164),"")</f>
        <v/>
      </c>
      <c r="Z164" s="17">
        <f>IF(A164&lt;&gt;"",X164-Y164,"")</f>
        <v/>
      </c>
      <c r="AA164" s="18">
        <f>IF(A164&lt;&gt;"",ROUND(MIN(100,100*((MAX(0,K164)*0.25)+(MAX(0,Q164)*0.20)+(MAX(0,W164)*0.20)+(MAX(0,H164)*0.15)+(MAX(0,N164)*0.10)+(MAX(0,T164)*0.10))/9),1),"")</f>
        <v/>
      </c>
      <c r="AB164" s="29">
        <f>IF(A164&lt;&gt;"",MIN(1,(0.5*AA164/100)+(0.3*MAX(0,K164)/9)+(0.2*MAX(0,Q164)/9)),"")</f>
        <v/>
      </c>
    </row>
    <row r="165">
      <c r="A165" s="4">
        <f>IF('Raw Data'!A152&lt;&gt;"",'Raw Data'!A152,"")</f>
        <v/>
      </c>
      <c r="B165" s="4">
        <f>IF('Raw Data'!B152&lt;&gt;"",'Raw Data'!B152,"")</f>
        <v/>
      </c>
      <c r="C165" s="4">
        <f>IF('Raw Data'!C152&lt;&gt;"",'Raw Data'!C152,"")</f>
        <v/>
      </c>
      <c r="D165" s="4">
        <f>IF('Raw Data'!D152&lt;&gt;"",'Raw Data'!D152,"")</f>
        <v/>
      </c>
      <c r="E165" s="4">
        <f>IF('Raw Data'!E152&lt;&gt;"",'Raw Data'!E152,"")</f>
        <v/>
      </c>
      <c r="F165" s="14">
        <f>IF('Raw Data'!A152&lt;&gt;"",AVERAGE('Raw Data'!F152,'Raw Data'!H152,'Raw Data'!J152,'Raw Data'!L152,'Raw Data'!N152),"")</f>
        <v/>
      </c>
      <c r="G165" s="14">
        <f>IF('Raw Data'!A152&lt;&gt;"",AVERAGE('Raw Data'!G152,'Raw Data'!I152,'Raw Data'!K152,'Raw Data'!M152,'Raw Data'!O152),"")</f>
        <v/>
      </c>
      <c r="H165" s="14">
        <f>IF(F165&lt;&gt;"",F165-G165,"")</f>
        <v/>
      </c>
      <c r="I165" s="14">
        <f>IF('Raw Data'!A152&lt;&gt;"",AVERAGE('Raw Data'!P152,'Raw Data'!R152,'Raw Data'!T152,'Raw Data'!V152,'Raw Data'!X152),"")</f>
        <v/>
      </c>
      <c r="J165" s="14">
        <f>IF('Raw Data'!A152&lt;&gt;"",AVERAGE('Raw Data'!Q152,'Raw Data'!S152,'Raw Data'!U152,'Raw Data'!W152,'Raw Data'!Y152),"")</f>
        <v/>
      </c>
      <c r="K165" s="14">
        <f>IF(I165&lt;&gt;"",I165-J165,"")</f>
        <v/>
      </c>
      <c r="L165" s="14">
        <f>IF('Raw Data'!A152&lt;&gt;"",AVERAGE('Raw Data'!Z152,'Raw Data'!AB152,'Raw Data'!AD152,'Raw Data'!AF152,'Raw Data'!AH152),"")</f>
        <v/>
      </c>
      <c r="M165" s="14">
        <f>IF('Raw Data'!A152&lt;&gt;"",AVERAGE('Raw Data'!AA152,'Raw Data'!AC152,'Raw Data'!AE152,'Raw Data'!AG152,'Raw Data'!AI152),"")</f>
        <v/>
      </c>
      <c r="N165" s="14">
        <f>IF(L165&lt;&gt;"",L165-M165,"")</f>
        <v/>
      </c>
      <c r="O165" s="14">
        <f>IF('Raw Data'!A152&lt;&gt;"",AVERAGE('Raw Data'!AJ152,'Raw Data'!AL152,'Raw Data'!AN152,'Raw Data'!AP152,'Raw Data'!AR152),"")</f>
        <v/>
      </c>
      <c r="P165" s="14">
        <f>IF('Raw Data'!A152&lt;&gt;"",AVERAGE('Raw Data'!AK152,'Raw Data'!AM152,'Raw Data'!AO152,'Raw Data'!AQ152,'Raw Data'!AS152),"")</f>
        <v/>
      </c>
      <c r="Q165" s="14">
        <f>IF(O165&lt;&gt;"",O165-P165,"")</f>
        <v/>
      </c>
      <c r="R165" s="14">
        <f>IF('Raw Data'!A152&lt;&gt;"",AVERAGE('Raw Data'!AT152,'Raw Data'!AV152,'Raw Data'!AX152,'Raw Data'!AZ152,'Raw Data'!BB152),"")</f>
        <v/>
      </c>
      <c r="S165" s="14">
        <f>IF('Raw Data'!A152&lt;&gt;"",AVERAGE('Raw Data'!AU152,'Raw Data'!AW152,'Raw Data'!AY152,'Raw Data'!BA152,'Raw Data'!BC152),"")</f>
        <v/>
      </c>
      <c r="T165" s="14">
        <f>IF(R165&lt;&gt;"",R165-S165,"")</f>
        <v/>
      </c>
      <c r="U165" s="14">
        <f>IF('Raw Data'!A152&lt;&gt;"",AVERAGE('Raw Data'!BD152,'Raw Data'!BF152,'Raw Data'!BH152,'Raw Data'!BJ152,'Raw Data'!BL152),"")</f>
        <v/>
      </c>
      <c r="V165" s="14">
        <f>IF('Raw Data'!A152&lt;&gt;"",AVERAGE('Raw Data'!BE152,'Raw Data'!BG152,'Raw Data'!BI152,'Raw Data'!BK152,'Raw Data'!BM152),"")</f>
        <v/>
      </c>
      <c r="W165" s="14">
        <f>IF(U165&lt;&gt;"",U165-V165,"")</f>
        <v/>
      </c>
      <c r="X165" s="14">
        <f>IF(A165&lt;&gt;"",AVERAGE(F165,I165,L165,O165,R165,U165),"")</f>
        <v/>
      </c>
      <c r="Y165" s="14">
        <f>IF(A165&lt;&gt;"",AVERAGE(G165,J165,M165,P165,S165,V165),"")</f>
        <v/>
      </c>
      <c r="Z165" s="14">
        <f>IF(A165&lt;&gt;"",X165-Y165,"")</f>
        <v/>
      </c>
      <c r="AA165" s="15">
        <f>IF(A165&lt;&gt;"",ROUND(MIN(100,100*((MAX(0,K165)*0.25)+(MAX(0,Q165)*0.20)+(MAX(0,W165)*0.20)+(MAX(0,H165)*0.15)+(MAX(0,N165)*0.10)+(MAX(0,T165)*0.10))/9),1),"")</f>
        <v/>
      </c>
      <c r="AB165" s="28">
        <f>IF(A165&lt;&gt;"",MIN(1,(0.5*AA165/100)+(0.3*MAX(0,K165)/9)+(0.2*MAX(0,Q165)/9)),"")</f>
        <v/>
      </c>
    </row>
    <row r="166">
      <c r="A166" s="13">
        <f>IF('Raw Data'!A153&lt;&gt;"",'Raw Data'!A153,"")</f>
        <v/>
      </c>
      <c r="B166" s="13">
        <f>IF('Raw Data'!B153&lt;&gt;"",'Raw Data'!B153,"")</f>
        <v/>
      </c>
      <c r="C166" s="13">
        <f>IF('Raw Data'!C153&lt;&gt;"",'Raw Data'!C153,"")</f>
        <v/>
      </c>
      <c r="D166" s="13">
        <f>IF('Raw Data'!D153&lt;&gt;"",'Raw Data'!D153,"")</f>
        <v/>
      </c>
      <c r="E166" s="13">
        <f>IF('Raw Data'!E153&lt;&gt;"",'Raw Data'!E153,"")</f>
        <v/>
      </c>
      <c r="F166" s="17">
        <f>IF('Raw Data'!A153&lt;&gt;"",AVERAGE('Raw Data'!F153,'Raw Data'!H153,'Raw Data'!J153,'Raw Data'!L153,'Raw Data'!N153),"")</f>
        <v/>
      </c>
      <c r="G166" s="17">
        <f>IF('Raw Data'!A153&lt;&gt;"",AVERAGE('Raw Data'!G153,'Raw Data'!I153,'Raw Data'!K153,'Raw Data'!M153,'Raw Data'!O153),"")</f>
        <v/>
      </c>
      <c r="H166" s="17">
        <f>IF(F166&lt;&gt;"",F166-G166,"")</f>
        <v/>
      </c>
      <c r="I166" s="17">
        <f>IF('Raw Data'!A153&lt;&gt;"",AVERAGE('Raw Data'!P153,'Raw Data'!R153,'Raw Data'!T153,'Raw Data'!V153,'Raw Data'!X153),"")</f>
        <v/>
      </c>
      <c r="J166" s="17">
        <f>IF('Raw Data'!A153&lt;&gt;"",AVERAGE('Raw Data'!Q153,'Raw Data'!S153,'Raw Data'!U153,'Raw Data'!W153,'Raw Data'!Y153),"")</f>
        <v/>
      </c>
      <c r="K166" s="17">
        <f>IF(I166&lt;&gt;"",I166-J166,"")</f>
        <v/>
      </c>
      <c r="L166" s="17">
        <f>IF('Raw Data'!A153&lt;&gt;"",AVERAGE('Raw Data'!Z153,'Raw Data'!AB153,'Raw Data'!AD153,'Raw Data'!AF153,'Raw Data'!AH153),"")</f>
        <v/>
      </c>
      <c r="M166" s="17">
        <f>IF('Raw Data'!A153&lt;&gt;"",AVERAGE('Raw Data'!AA153,'Raw Data'!AC153,'Raw Data'!AE153,'Raw Data'!AG153,'Raw Data'!AI153),"")</f>
        <v/>
      </c>
      <c r="N166" s="17">
        <f>IF(L166&lt;&gt;"",L166-M166,"")</f>
        <v/>
      </c>
      <c r="O166" s="17">
        <f>IF('Raw Data'!A153&lt;&gt;"",AVERAGE('Raw Data'!AJ153,'Raw Data'!AL153,'Raw Data'!AN153,'Raw Data'!AP153,'Raw Data'!AR153),"")</f>
        <v/>
      </c>
      <c r="P166" s="17">
        <f>IF('Raw Data'!A153&lt;&gt;"",AVERAGE('Raw Data'!AK153,'Raw Data'!AM153,'Raw Data'!AO153,'Raw Data'!AQ153,'Raw Data'!AS153),"")</f>
        <v/>
      </c>
      <c r="Q166" s="17">
        <f>IF(O166&lt;&gt;"",O166-P166,"")</f>
        <v/>
      </c>
      <c r="R166" s="17">
        <f>IF('Raw Data'!A153&lt;&gt;"",AVERAGE('Raw Data'!AT153,'Raw Data'!AV153,'Raw Data'!AX153,'Raw Data'!AZ153,'Raw Data'!BB153),"")</f>
        <v/>
      </c>
      <c r="S166" s="17">
        <f>IF('Raw Data'!A153&lt;&gt;"",AVERAGE('Raw Data'!AU153,'Raw Data'!AW153,'Raw Data'!AY153,'Raw Data'!BA153,'Raw Data'!BC153),"")</f>
        <v/>
      </c>
      <c r="T166" s="17">
        <f>IF(R166&lt;&gt;"",R166-S166,"")</f>
        <v/>
      </c>
      <c r="U166" s="17">
        <f>IF('Raw Data'!A153&lt;&gt;"",AVERAGE('Raw Data'!BD153,'Raw Data'!BF153,'Raw Data'!BH153,'Raw Data'!BJ153,'Raw Data'!BL153),"")</f>
        <v/>
      </c>
      <c r="V166" s="17">
        <f>IF('Raw Data'!A153&lt;&gt;"",AVERAGE('Raw Data'!BE153,'Raw Data'!BG153,'Raw Data'!BI153,'Raw Data'!BK153,'Raw Data'!BM153),"")</f>
        <v/>
      </c>
      <c r="W166" s="17">
        <f>IF(U166&lt;&gt;"",U166-V166,"")</f>
        <v/>
      </c>
      <c r="X166" s="17">
        <f>IF(A166&lt;&gt;"",AVERAGE(F166,I166,L166,O166,R166,U166),"")</f>
        <v/>
      </c>
      <c r="Y166" s="17">
        <f>IF(A166&lt;&gt;"",AVERAGE(G166,J166,M166,P166,S166,V166),"")</f>
        <v/>
      </c>
      <c r="Z166" s="17">
        <f>IF(A166&lt;&gt;"",X166-Y166,"")</f>
        <v/>
      </c>
      <c r="AA166" s="18">
        <f>IF(A166&lt;&gt;"",ROUND(MIN(100,100*((MAX(0,K166)*0.25)+(MAX(0,Q166)*0.20)+(MAX(0,W166)*0.20)+(MAX(0,H166)*0.15)+(MAX(0,N166)*0.10)+(MAX(0,T166)*0.10))/9),1),"")</f>
        <v/>
      </c>
      <c r="AB166" s="29">
        <f>IF(A166&lt;&gt;"",MIN(1,(0.5*AA166/100)+(0.3*MAX(0,K166)/9)+(0.2*MAX(0,Q166)/9)),"")</f>
        <v/>
      </c>
    </row>
    <row r="167">
      <c r="A167" s="4">
        <f>IF('Raw Data'!A154&lt;&gt;"",'Raw Data'!A154,"")</f>
        <v/>
      </c>
      <c r="B167" s="4">
        <f>IF('Raw Data'!B154&lt;&gt;"",'Raw Data'!B154,"")</f>
        <v/>
      </c>
      <c r="C167" s="4">
        <f>IF('Raw Data'!C154&lt;&gt;"",'Raw Data'!C154,"")</f>
        <v/>
      </c>
      <c r="D167" s="4">
        <f>IF('Raw Data'!D154&lt;&gt;"",'Raw Data'!D154,"")</f>
        <v/>
      </c>
      <c r="E167" s="4">
        <f>IF('Raw Data'!E154&lt;&gt;"",'Raw Data'!E154,"")</f>
        <v/>
      </c>
      <c r="F167" s="14">
        <f>IF('Raw Data'!A154&lt;&gt;"",AVERAGE('Raw Data'!F154,'Raw Data'!H154,'Raw Data'!J154,'Raw Data'!L154,'Raw Data'!N154),"")</f>
        <v/>
      </c>
      <c r="G167" s="14">
        <f>IF('Raw Data'!A154&lt;&gt;"",AVERAGE('Raw Data'!G154,'Raw Data'!I154,'Raw Data'!K154,'Raw Data'!M154,'Raw Data'!O154),"")</f>
        <v/>
      </c>
      <c r="H167" s="14">
        <f>IF(F167&lt;&gt;"",F167-G167,"")</f>
        <v/>
      </c>
      <c r="I167" s="14">
        <f>IF('Raw Data'!A154&lt;&gt;"",AVERAGE('Raw Data'!P154,'Raw Data'!R154,'Raw Data'!T154,'Raw Data'!V154,'Raw Data'!X154),"")</f>
        <v/>
      </c>
      <c r="J167" s="14">
        <f>IF('Raw Data'!A154&lt;&gt;"",AVERAGE('Raw Data'!Q154,'Raw Data'!S154,'Raw Data'!U154,'Raw Data'!W154,'Raw Data'!Y154),"")</f>
        <v/>
      </c>
      <c r="K167" s="14">
        <f>IF(I167&lt;&gt;"",I167-J167,"")</f>
        <v/>
      </c>
      <c r="L167" s="14">
        <f>IF('Raw Data'!A154&lt;&gt;"",AVERAGE('Raw Data'!Z154,'Raw Data'!AB154,'Raw Data'!AD154,'Raw Data'!AF154,'Raw Data'!AH154),"")</f>
        <v/>
      </c>
      <c r="M167" s="14">
        <f>IF('Raw Data'!A154&lt;&gt;"",AVERAGE('Raw Data'!AA154,'Raw Data'!AC154,'Raw Data'!AE154,'Raw Data'!AG154,'Raw Data'!AI154),"")</f>
        <v/>
      </c>
      <c r="N167" s="14">
        <f>IF(L167&lt;&gt;"",L167-M167,"")</f>
        <v/>
      </c>
      <c r="O167" s="14">
        <f>IF('Raw Data'!A154&lt;&gt;"",AVERAGE('Raw Data'!AJ154,'Raw Data'!AL154,'Raw Data'!AN154,'Raw Data'!AP154,'Raw Data'!AR154),"")</f>
        <v/>
      </c>
      <c r="P167" s="14">
        <f>IF('Raw Data'!A154&lt;&gt;"",AVERAGE('Raw Data'!AK154,'Raw Data'!AM154,'Raw Data'!AO154,'Raw Data'!AQ154,'Raw Data'!AS154),"")</f>
        <v/>
      </c>
      <c r="Q167" s="14">
        <f>IF(O167&lt;&gt;"",O167-P167,"")</f>
        <v/>
      </c>
      <c r="R167" s="14">
        <f>IF('Raw Data'!A154&lt;&gt;"",AVERAGE('Raw Data'!AT154,'Raw Data'!AV154,'Raw Data'!AX154,'Raw Data'!AZ154,'Raw Data'!BB154),"")</f>
        <v/>
      </c>
      <c r="S167" s="14">
        <f>IF('Raw Data'!A154&lt;&gt;"",AVERAGE('Raw Data'!AU154,'Raw Data'!AW154,'Raw Data'!AY154,'Raw Data'!BA154,'Raw Data'!BC154),"")</f>
        <v/>
      </c>
      <c r="T167" s="14">
        <f>IF(R167&lt;&gt;"",R167-S167,"")</f>
        <v/>
      </c>
      <c r="U167" s="14">
        <f>IF('Raw Data'!A154&lt;&gt;"",AVERAGE('Raw Data'!BD154,'Raw Data'!BF154,'Raw Data'!BH154,'Raw Data'!BJ154,'Raw Data'!BL154),"")</f>
        <v/>
      </c>
      <c r="V167" s="14">
        <f>IF('Raw Data'!A154&lt;&gt;"",AVERAGE('Raw Data'!BE154,'Raw Data'!BG154,'Raw Data'!BI154,'Raw Data'!BK154,'Raw Data'!BM154),"")</f>
        <v/>
      </c>
      <c r="W167" s="14">
        <f>IF(U167&lt;&gt;"",U167-V167,"")</f>
        <v/>
      </c>
      <c r="X167" s="14">
        <f>IF(A167&lt;&gt;"",AVERAGE(F167,I167,L167,O167,R167,U167),"")</f>
        <v/>
      </c>
      <c r="Y167" s="14">
        <f>IF(A167&lt;&gt;"",AVERAGE(G167,J167,M167,P167,S167,V167),"")</f>
        <v/>
      </c>
      <c r="Z167" s="14">
        <f>IF(A167&lt;&gt;"",X167-Y167,"")</f>
        <v/>
      </c>
      <c r="AA167" s="15">
        <f>IF(A167&lt;&gt;"",ROUND(MIN(100,100*((MAX(0,K167)*0.25)+(MAX(0,Q167)*0.20)+(MAX(0,W167)*0.20)+(MAX(0,H167)*0.15)+(MAX(0,N167)*0.10)+(MAX(0,T167)*0.10))/9),1),"")</f>
        <v/>
      </c>
      <c r="AB167" s="28">
        <f>IF(A167&lt;&gt;"",MIN(1,(0.5*AA167/100)+(0.3*MAX(0,K167)/9)+(0.2*MAX(0,Q167)/9)),"")</f>
        <v/>
      </c>
    </row>
    <row r="168">
      <c r="A168" s="13">
        <f>IF('Raw Data'!A155&lt;&gt;"",'Raw Data'!A155,"")</f>
        <v/>
      </c>
      <c r="B168" s="13">
        <f>IF('Raw Data'!B155&lt;&gt;"",'Raw Data'!B155,"")</f>
        <v/>
      </c>
      <c r="C168" s="13">
        <f>IF('Raw Data'!C155&lt;&gt;"",'Raw Data'!C155,"")</f>
        <v/>
      </c>
      <c r="D168" s="13">
        <f>IF('Raw Data'!D155&lt;&gt;"",'Raw Data'!D155,"")</f>
        <v/>
      </c>
      <c r="E168" s="13">
        <f>IF('Raw Data'!E155&lt;&gt;"",'Raw Data'!E155,"")</f>
        <v/>
      </c>
      <c r="F168" s="17">
        <f>IF('Raw Data'!A155&lt;&gt;"",AVERAGE('Raw Data'!F155,'Raw Data'!H155,'Raw Data'!J155,'Raw Data'!L155,'Raw Data'!N155),"")</f>
        <v/>
      </c>
      <c r="G168" s="17">
        <f>IF('Raw Data'!A155&lt;&gt;"",AVERAGE('Raw Data'!G155,'Raw Data'!I155,'Raw Data'!K155,'Raw Data'!M155,'Raw Data'!O155),"")</f>
        <v/>
      </c>
      <c r="H168" s="17">
        <f>IF(F168&lt;&gt;"",F168-G168,"")</f>
        <v/>
      </c>
      <c r="I168" s="17">
        <f>IF('Raw Data'!A155&lt;&gt;"",AVERAGE('Raw Data'!P155,'Raw Data'!R155,'Raw Data'!T155,'Raw Data'!V155,'Raw Data'!X155),"")</f>
        <v/>
      </c>
      <c r="J168" s="17">
        <f>IF('Raw Data'!A155&lt;&gt;"",AVERAGE('Raw Data'!Q155,'Raw Data'!S155,'Raw Data'!U155,'Raw Data'!W155,'Raw Data'!Y155),"")</f>
        <v/>
      </c>
      <c r="K168" s="17">
        <f>IF(I168&lt;&gt;"",I168-J168,"")</f>
        <v/>
      </c>
      <c r="L168" s="17">
        <f>IF('Raw Data'!A155&lt;&gt;"",AVERAGE('Raw Data'!Z155,'Raw Data'!AB155,'Raw Data'!AD155,'Raw Data'!AF155,'Raw Data'!AH155),"")</f>
        <v/>
      </c>
      <c r="M168" s="17">
        <f>IF('Raw Data'!A155&lt;&gt;"",AVERAGE('Raw Data'!AA155,'Raw Data'!AC155,'Raw Data'!AE155,'Raw Data'!AG155,'Raw Data'!AI155),"")</f>
        <v/>
      </c>
      <c r="N168" s="17">
        <f>IF(L168&lt;&gt;"",L168-M168,"")</f>
        <v/>
      </c>
      <c r="O168" s="17">
        <f>IF('Raw Data'!A155&lt;&gt;"",AVERAGE('Raw Data'!AJ155,'Raw Data'!AL155,'Raw Data'!AN155,'Raw Data'!AP155,'Raw Data'!AR155),"")</f>
        <v/>
      </c>
      <c r="P168" s="17">
        <f>IF('Raw Data'!A155&lt;&gt;"",AVERAGE('Raw Data'!AK155,'Raw Data'!AM155,'Raw Data'!AO155,'Raw Data'!AQ155,'Raw Data'!AS155),"")</f>
        <v/>
      </c>
      <c r="Q168" s="17">
        <f>IF(O168&lt;&gt;"",O168-P168,"")</f>
        <v/>
      </c>
      <c r="R168" s="17">
        <f>IF('Raw Data'!A155&lt;&gt;"",AVERAGE('Raw Data'!AT155,'Raw Data'!AV155,'Raw Data'!AX155,'Raw Data'!AZ155,'Raw Data'!BB155),"")</f>
        <v/>
      </c>
      <c r="S168" s="17">
        <f>IF('Raw Data'!A155&lt;&gt;"",AVERAGE('Raw Data'!AU155,'Raw Data'!AW155,'Raw Data'!AY155,'Raw Data'!BA155,'Raw Data'!BC155),"")</f>
        <v/>
      </c>
      <c r="T168" s="17">
        <f>IF(R168&lt;&gt;"",R168-S168,"")</f>
        <v/>
      </c>
      <c r="U168" s="17">
        <f>IF('Raw Data'!A155&lt;&gt;"",AVERAGE('Raw Data'!BD155,'Raw Data'!BF155,'Raw Data'!BH155,'Raw Data'!BJ155,'Raw Data'!BL155),"")</f>
        <v/>
      </c>
      <c r="V168" s="17">
        <f>IF('Raw Data'!A155&lt;&gt;"",AVERAGE('Raw Data'!BE155,'Raw Data'!BG155,'Raw Data'!BI155,'Raw Data'!BK155,'Raw Data'!BM155),"")</f>
        <v/>
      </c>
      <c r="W168" s="17">
        <f>IF(U168&lt;&gt;"",U168-V168,"")</f>
        <v/>
      </c>
      <c r="X168" s="17">
        <f>IF(A168&lt;&gt;"",AVERAGE(F168,I168,L168,O168,R168,U168),"")</f>
        <v/>
      </c>
      <c r="Y168" s="17">
        <f>IF(A168&lt;&gt;"",AVERAGE(G168,J168,M168,P168,S168,V168),"")</f>
        <v/>
      </c>
      <c r="Z168" s="17">
        <f>IF(A168&lt;&gt;"",X168-Y168,"")</f>
        <v/>
      </c>
      <c r="AA168" s="18">
        <f>IF(A168&lt;&gt;"",ROUND(MIN(100,100*((MAX(0,K168)*0.25)+(MAX(0,Q168)*0.20)+(MAX(0,W168)*0.20)+(MAX(0,H168)*0.15)+(MAX(0,N168)*0.10)+(MAX(0,T168)*0.10))/9),1),"")</f>
        <v/>
      </c>
      <c r="AB168" s="29">
        <f>IF(A168&lt;&gt;"",MIN(1,(0.5*AA168/100)+(0.3*MAX(0,K168)/9)+(0.2*MAX(0,Q168)/9)),"")</f>
        <v/>
      </c>
    </row>
    <row r="169">
      <c r="A169" s="4">
        <f>IF('Raw Data'!A156&lt;&gt;"",'Raw Data'!A156,"")</f>
        <v/>
      </c>
      <c r="B169" s="4">
        <f>IF('Raw Data'!B156&lt;&gt;"",'Raw Data'!B156,"")</f>
        <v/>
      </c>
      <c r="C169" s="4">
        <f>IF('Raw Data'!C156&lt;&gt;"",'Raw Data'!C156,"")</f>
        <v/>
      </c>
      <c r="D169" s="4">
        <f>IF('Raw Data'!D156&lt;&gt;"",'Raw Data'!D156,"")</f>
        <v/>
      </c>
      <c r="E169" s="4">
        <f>IF('Raw Data'!E156&lt;&gt;"",'Raw Data'!E156,"")</f>
        <v/>
      </c>
      <c r="F169" s="14">
        <f>IF('Raw Data'!A156&lt;&gt;"",AVERAGE('Raw Data'!F156,'Raw Data'!H156,'Raw Data'!J156,'Raw Data'!L156,'Raw Data'!N156),"")</f>
        <v/>
      </c>
      <c r="G169" s="14">
        <f>IF('Raw Data'!A156&lt;&gt;"",AVERAGE('Raw Data'!G156,'Raw Data'!I156,'Raw Data'!K156,'Raw Data'!M156,'Raw Data'!O156),"")</f>
        <v/>
      </c>
      <c r="H169" s="14">
        <f>IF(F169&lt;&gt;"",F169-G169,"")</f>
        <v/>
      </c>
      <c r="I169" s="14">
        <f>IF('Raw Data'!A156&lt;&gt;"",AVERAGE('Raw Data'!P156,'Raw Data'!R156,'Raw Data'!T156,'Raw Data'!V156,'Raw Data'!X156),"")</f>
        <v/>
      </c>
      <c r="J169" s="14">
        <f>IF('Raw Data'!A156&lt;&gt;"",AVERAGE('Raw Data'!Q156,'Raw Data'!S156,'Raw Data'!U156,'Raw Data'!W156,'Raw Data'!Y156),"")</f>
        <v/>
      </c>
      <c r="K169" s="14">
        <f>IF(I169&lt;&gt;"",I169-J169,"")</f>
        <v/>
      </c>
      <c r="L169" s="14">
        <f>IF('Raw Data'!A156&lt;&gt;"",AVERAGE('Raw Data'!Z156,'Raw Data'!AB156,'Raw Data'!AD156,'Raw Data'!AF156,'Raw Data'!AH156),"")</f>
        <v/>
      </c>
      <c r="M169" s="14">
        <f>IF('Raw Data'!A156&lt;&gt;"",AVERAGE('Raw Data'!AA156,'Raw Data'!AC156,'Raw Data'!AE156,'Raw Data'!AG156,'Raw Data'!AI156),"")</f>
        <v/>
      </c>
      <c r="N169" s="14">
        <f>IF(L169&lt;&gt;"",L169-M169,"")</f>
        <v/>
      </c>
      <c r="O169" s="14">
        <f>IF('Raw Data'!A156&lt;&gt;"",AVERAGE('Raw Data'!AJ156,'Raw Data'!AL156,'Raw Data'!AN156,'Raw Data'!AP156,'Raw Data'!AR156),"")</f>
        <v/>
      </c>
      <c r="P169" s="14">
        <f>IF('Raw Data'!A156&lt;&gt;"",AVERAGE('Raw Data'!AK156,'Raw Data'!AM156,'Raw Data'!AO156,'Raw Data'!AQ156,'Raw Data'!AS156),"")</f>
        <v/>
      </c>
      <c r="Q169" s="14">
        <f>IF(O169&lt;&gt;"",O169-P169,"")</f>
        <v/>
      </c>
      <c r="R169" s="14">
        <f>IF('Raw Data'!A156&lt;&gt;"",AVERAGE('Raw Data'!AT156,'Raw Data'!AV156,'Raw Data'!AX156,'Raw Data'!AZ156,'Raw Data'!BB156),"")</f>
        <v/>
      </c>
      <c r="S169" s="14">
        <f>IF('Raw Data'!A156&lt;&gt;"",AVERAGE('Raw Data'!AU156,'Raw Data'!AW156,'Raw Data'!AY156,'Raw Data'!BA156,'Raw Data'!BC156),"")</f>
        <v/>
      </c>
      <c r="T169" s="14">
        <f>IF(R169&lt;&gt;"",R169-S169,"")</f>
        <v/>
      </c>
      <c r="U169" s="14">
        <f>IF('Raw Data'!A156&lt;&gt;"",AVERAGE('Raw Data'!BD156,'Raw Data'!BF156,'Raw Data'!BH156,'Raw Data'!BJ156,'Raw Data'!BL156),"")</f>
        <v/>
      </c>
      <c r="V169" s="14">
        <f>IF('Raw Data'!A156&lt;&gt;"",AVERAGE('Raw Data'!BE156,'Raw Data'!BG156,'Raw Data'!BI156,'Raw Data'!BK156,'Raw Data'!BM156),"")</f>
        <v/>
      </c>
      <c r="W169" s="14">
        <f>IF(U169&lt;&gt;"",U169-V169,"")</f>
        <v/>
      </c>
      <c r="X169" s="14">
        <f>IF(A169&lt;&gt;"",AVERAGE(F169,I169,L169,O169,R169,U169),"")</f>
        <v/>
      </c>
      <c r="Y169" s="14">
        <f>IF(A169&lt;&gt;"",AVERAGE(G169,J169,M169,P169,S169,V169),"")</f>
        <v/>
      </c>
      <c r="Z169" s="14">
        <f>IF(A169&lt;&gt;"",X169-Y169,"")</f>
        <v/>
      </c>
      <c r="AA169" s="15">
        <f>IF(A169&lt;&gt;"",ROUND(MIN(100,100*((MAX(0,K169)*0.25)+(MAX(0,Q169)*0.20)+(MAX(0,W169)*0.20)+(MAX(0,H169)*0.15)+(MAX(0,N169)*0.10)+(MAX(0,T169)*0.10))/9),1),"")</f>
        <v/>
      </c>
      <c r="AB169" s="28">
        <f>IF(A169&lt;&gt;"",MIN(1,(0.5*AA169/100)+(0.3*MAX(0,K169)/9)+(0.2*MAX(0,Q169)/9)),"")</f>
        <v/>
      </c>
    </row>
    <row r="170">
      <c r="A170" s="13">
        <f>IF('Raw Data'!A157&lt;&gt;"",'Raw Data'!A157,"")</f>
        <v/>
      </c>
      <c r="B170" s="13">
        <f>IF('Raw Data'!B157&lt;&gt;"",'Raw Data'!B157,"")</f>
        <v/>
      </c>
      <c r="C170" s="13">
        <f>IF('Raw Data'!C157&lt;&gt;"",'Raw Data'!C157,"")</f>
        <v/>
      </c>
      <c r="D170" s="13">
        <f>IF('Raw Data'!D157&lt;&gt;"",'Raw Data'!D157,"")</f>
        <v/>
      </c>
      <c r="E170" s="13">
        <f>IF('Raw Data'!E157&lt;&gt;"",'Raw Data'!E157,"")</f>
        <v/>
      </c>
      <c r="F170" s="17">
        <f>IF('Raw Data'!A157&lt;&gt;"",AVERAGE('Raw Data'!F157,'Raw Data'!H157,'Raw Data'!J157,'Raw Data'!L157,'Raw Data'!N157),"")</f>
        <v/>
      </c>
      <c r="G170" s="17">
        <f>IF('Raw Data'!A157&lt;&gt;"",AVERAGE('Raw Data'!G157,'Raw Data'!I157,'Raw Data'!K157,'Raw Data'!M157,'Raw Data'!O157),"")</f>
        <v/>
      </c>
      <c r="H170" s="17">
        <f>IF(F170&lt;&gt;"",F170-G170,"")</f>
        <v/>
      </c>
      <c r="I170" s="17">
        <f>IF('Raw Data'!A157&lt;&gt;"",AVERAGE('Raw Data'!P157,'Raw Data'!R157,'Raw Data'!T157,'Raw Data'!V157,'Raw Data'!X157),"")</f>
        <v/>
      </c>
      <c r="J170" s="17">
        <f>IF('Raw Data'!A157&lt;&gt;"",AVERAGE('Raw Data'!Q157,'Raw Data'!S157,'Raw Data'!U157,'Raw Data'!W157,'Raw Data'!Y157),"")</f>
        <v/>
      </c>
      <c r="K170" s="17">
        <f>IF(I170&lt;&gt;"",I170-J170,"")</f>
        <v/>
      </c>
      <c r="L170" s="17">
        <f>IF('Raw Data'!A157&lt;&gt;"",AVERAGE('Raw Data'!Z157,'Raw Data'!AB157,'Raw Data'!AD157,'Raw Data'!AF157,'Raw Data'!AH157),"")</f>
        <v/>
      </c>
      <c r="M170" s="17">
        <f>IF('Raw Data'!A157&lt;&gt;"",AVERAGE('Raw Data'!AA157,'Raw Data'!AC157,'Raw Data'!AE157,'Raw Data'!AG157,'Raw Data'!AI157),"")</f>
        <v/>
      </c>
      <c r="N170" s="17">
        <f>IF(L170&lt;&gt;"",L170-M170,"")</f>
        <v/>
      </c>
      <c r="O170" s="17">
        <f>IF('Raw Data'!A157&lt;&gt;"",AVERAGE('Raw Data'!AJ157,'Raw Data'!AL157,'Raw Data'!AN157,'Raw Data'!AP157,'Raw Data'!AR157),"")</f>
        <v/>
      </c>
      <c r="P170" s="17">
        <f>IF('Raw Data'!A157&lt;&gt;"",AVERAGE('Raw Data'!AK157,'Raw Data'!AM157,'Raw Data'!AO157,'Raw Data'!AQ157,'Raw Data'!AS157),"")</f>
        <v/>
      </c>
      <c r="Q170" s="17">
        <f>IF(O170&lt;&gt;"",O170-P170,"")</f>
        <v/>
      </c>
      <c r="R170" s="17">
        <f>IF('Raw Data'!A157&lt;&gt;"",AVERAGE('Raw Data'!AT157,'Raw Data'!AV157,'Raw Data'!AX157,'Raw Data'!AZ157,'Raw Data'!BB157),"")</f>
        <v/>
      </c>
      <c r="S170" s="17">
        <f>IF('Raw Data'!A157&lt;&gt;"",AVERAGE('Raw Data'!AU157,'Raw Data'!AW157,'Raw Data'!AY157,'Raw Data'!BA157,'Raw Data'!BC157),"")</f>
        <v/>
      </c>
      <c r="T170" s="17">
        <f>IF(R170&lt;&gt;"",R170-S170,"")</f>
        <v/>
      </c>
      <c r="U170" s="17">
        <f>IF('Raw Data'!A157&lt;&gt;"",AVERAGE('Raw Data'!BD157,'Raw Data'!BF157,'Raw Data'!BH157,'Raw Data'!BJ157,'Raw Data'!BL157),"")</f>
        <v/>
      </c>
      <c r="V170" s="17">
        <f>IF('Raw Data'!A157&lt;&gt;"",AVERAGE('Raw Data'!BE157,'Raw Data'!BG157,'Raw Data'!BI157,'Raw Data'!BK157,'Raw Data'!BM157),"")</f>
        <v/>
      </c>
      <c r="W170" s="17">
        <f>IF(U170&lt;&gt;"",U170-V170,"")</f>
        <v/>
      </c>
      <c r="X170" s="17">
        <f>IF(A170&lt;&gt;"",AVERAGE(F170,I170,L170,O170,R170,U170),"")</f>
        <v/>
      </c>
      <c r="Y170" s="17">
        <f>IF(A170&lt;&gt;"",AVERAGE(G170,J170,M170,P170,S170,V170),"")</f>
        <v/>
      </c>
      <c r="Z170" s="17">
        <f>IF(A170&lt;&gt;"",X170-Y170,"")</f>
        <v/>
      </c>
      <c r="AA170" s="18">
        <f>IF(A170&lt;&gt;"",ROUND(MIN(100,100*((MAX(0,K170)*0.25)+(MAX(0,Q170)*0.20)+(MAX(0,W170)*0.20)+(MAX(0,H170)*0.15)+(MAX(0,N170)*0.10)+(MAX(0,T170)*0.10))/9),1),"")</f>
        <v/>
      </c>
      <c r="AB170" s="29">
        <f>IF(A170&lt;&gt;"",MIN(1,(0.5*AA170/100)+(0.3*MAX(0,K170)/9)+(0.2*MAX(0,Q170)/9)),"")</f>
        <v/>
      </c>
    </row>
    <row r="171">
      <c r="A171" s="4">
        <f>IF('Raw Data'!A158&lt;&gt;"",'Raw Data'!A158,"")</f>
        <v/>
      </c>
      <c r="B171" s="4">
        <f>IF('Raw Data'!B158&lt;&gt;"",'Raw Data'!B158,"")</f>
        <v/>
      </c>
      <c r="C171" s="4">
        <f>IF('Raw Data'!C158&lt;&gt;"",'Raw Data'!C158,"")</f>
        <v/>
      </c>
      <c r="D171" s="4">
        <f>IF('Raw Data'!D158&lt;&gt;"",'Raw Data'!D158,"")</f>
        <v/>
      </c>
      <c r="E171" s="4">
        <f>IF('Raw Data'!E158&lt;&gt;"",'Raw Data'!E158,"")</f>
        <v/>
      </c>
      <c r="F171" s="14">
        <f>IF('Raw Data'!A158&lt;&gt;"",AVERAGE('Raw Data'!F158,'Raw Data'!H158,'Raw Data'!J158,'Raw Data'!L158,'Raw Data'!N158),"")</f>
        <v/>
      </c>
      <c r="G171" s="14">
        <f>IF('Raw Data'!A158&lt;&gt;"",AVERAGE('Raw Data'!G158,'Raw Data'!I158,'Raw Data'!K158,'Raw Data'!M158,'Raw Data'!O158),"")</f>
        <v/>
      </c>
      <c r="H171" s="14">
        <f>IF(F171&lt;&gt;"",F171-G171,"")</f>
        <v/>
      </c>
      <c r="I171" s="14">
        <f>IF('Raw Data'!A158&lt;&gt;"",AVERAGE('Raw Data'!P158,'Raw Data'!R158,'Raw Data'!T158,'Raw Data'!V158,'Raw Data'!X158),"")</f>
        <v/>
      </c>
      <c r="J171" s="14">
        <f>IF('Raw Data'!A158&lt;&gt;"",AVERAGE('Raw Data'!Q158,'Raw Data'!S158,'Raw Data'!U158,'Raw Data'!W158,'Raw Data'!Y158),"")</f>
        <v/>
      </c>
      <c r="K171" s="14">
        <f>IF(I171&lt;&gt;"",I171-J171,"")</f>
        <v/>
      </c>
      <c r="L171" s="14">
        <f>IF('Raw Data'!A158&lt;&gt;"",AVERAGE('Raw Data'!Z158,'Raw Data'!AB158,'Raw Data'!AD158,'Raw Data'!AF158,'Raw Data'!AH158),"")</f>
        <v/>
      </c>
      <c r="M171" s="14">
        <f>IF('Raw Data'!A158&lt;&gt;"",AVERAGE('Raw Data'!AA158,'Raw Data'!AC158,'Raw Data'!AE158,'Raw Data'!AG158,'Raw Data'!AI158),"")</f>
        <v/>
      </c>
      <c r="N171" s="14">
        <f>IF(L171&lt;&gt;"",L171-M171,"")</f>
        <v/>
      </c>
      <c r="O171" s="14">
        <f>IF('Raw Data'!A158&lt;&gt;"",AVERAGE('Raw Data'!AJ158,'Raw Data'!AL158,'Raw Data'!AN158,'Raw Data'!AP158,'Raw Data'!AR158),"")</f>
        <v/>
      </c>
      <c r="P171" s="14">
        <f>IF('Raw Data'!A158&lt;&gt;"",AVERAGE('Raw Data'!AK158,'Raw Data'!AM158,'Raw Data'!AO158,'Raw Data'!AQ158,'Raw Data'!AS158),"")</f>
        <v/>
      </c>
      <c r="Q171" s="14">
        <f>IF(O171&lt;&gt;"",O171-P171,"")</f>
        <v/>
      </c>
      <c r="R171" s="14">
        <f>IF('Raw Data'!A158&lt;&gt;"",AVERAGE('Raw Data'!AT158,'Raw Data'!AV158,'Raw Data'!AX158,'Raw Data'!AZ158,'Raw Data'!BB158),"")</f>
        <v/>
      </c>
      <c r="S171" s="14">
        <f>IF('Raw Data'!A158&lt;&gt;"",AVERAGE('Raw Data'!AU158,'Raw Data'!AW158,'Raw Data'!AY158,'Raw Data'!BA158,'Raw Data'!BC158),"")</f>
        <v/>
      </c>
      <c r="T171" s="14">
        <f>IF(R171&lt;&gt;"",R171-S171,"")</f>
        <v/>
      </c>
      <c r="U171" s="14">
        <f>IF('Raw Data'!A158&lt;&gt;"",AVERAGE('Raw Data'!BD158,'Raw Data'!BF158,'Raw Data'!BH158,'Raw Data'!BJ158,'Raw Data'!BL158),"")</f>
        <v/>
      </c>
      <c r="V171" s="14">
        <f>IF('Raw Data'!A158&lt;&gt;"",AVERAGE('Raw Data'!BE158,'Raw Data'!BG158,'Raw Data'!BI158,'Raw Data'!BK158,'Raw Data'!BM158),"")</f>
        <v/>
      </c>
      <c r="W171" s="14">
        <f>IF(U171&lt;&gt;"",U171-V171,"")</f>
        <v/>
      </c>
      <c r="X171" s="14">
        <f>IF(A171&lt;&gt;"",AVERAGE(F171,I171,L171,O171,R171,U171),"")</f>
        <v/>
      </c>
      <c r="Y171" s="14">
        <f>IF(A171&lt;&gt;"",AVERAGE(G171,J171,M171,P171,S171,V171),"")</f>
        <v/>
      </c>
      <c r="Z171" s="14">
        <f>IF(A171&lt;&gt;"",X171-Y171,"")</f>
        <v/>
      </c>
      <c r="AA171" s="15">
        <f>IF(A171&lt;&gt;"",ROUND(MIN(100,100*((MAX(0,K171)*0.25)+(MAX(0,Q171)*0.20)+(MAX(0,W171)*0.20)+(MAX(0,H171)*0.15)+(MAX(0,N171)*0.10)+(MAX(0,T171)*0.10))/9),1),"")</f>
        <v/>
      </c>
      <c r="AB171" s="28">
        <f>IF(A171&lt;&gt;"",MIN(1,(0.5*AA171/100)+(0.3*MAX(0,K171)/9)+(0.2*MAX(0,Q171)/9)),"")</f>
        <v/>
      </c>
    </row>
    <row r="172">
      <c r="A172" s="13">
        <f>IF('Raw Data'!A159&lt;&gt;"",'Raw Data'!A159,"")</f>
        <v/>
      </c>
      <c r="B172" s="13">
        <f>IF('Raw Data'!B159&lt;&gt;"",'Raw Data'!B159,"")</f>
        <v/>
      </c>
      <c r="C172" s="13">
        <f>IF('Raw Data'!C159&lt;&gt;"",'Raw Data'!C159,"")</f>
        <v/>
      </c>
      <c r="D172" s="13">
        <f>IF('Raw Data'!D159&lt;&gt;"",'Raw Data'!D159,"")</f>
        <v/>
      </c>
      <c r="E172" s="13">
        <f>IF('Raw Data'!E159&lt;&gt;"",'Raw Data'!E159,"")</f>
        <v/>
      </c>
      <c r="F172" s="17">
        <f>IF('Raw Data'!A159&lt;&gt;"",AVERAGE('Raw Data'!F159,'Raw Data'!H159,'Raw Data'!J159,'Raw Data'!L159,'Raw Data'!N159),"")</f>
        <v/>
      </c>
      <c r="G172" s="17">
        <f>IF('Raw Data'!A159&lt;&gt;"",AVERAGE('Raw Data'!G159,'Raw Data'!I159,'Raw Data'!K159,'Raw Data'!M159,'Raw Data'!O159),"")</f>
        <v/>
      </c>
      <c r="H172" s="17">
        <f>IF(F172&lt;&gt;"",F172-G172,"")</f>
        <v/>
      </c>
      <c r="I172" s="17">
        <f>IF('Raw Data'!A159&lt;&gt;"",AVERAGE('Raw Data'!P159,'Raw Data'!R159,'Raw Data'!T159,'Raw Data'!V159,'Raw Data'!X159),"")</f>
        <v/>
      </c>
      <c r="J172" s="17">
        <f>IF('Raw Data'!A159&lt;&gt;"",AVERAGE('Raw Data'!Q159,'Raw Data'!S159,'Raw Data'!U159,'Raw Data'!W159,'Raw Data'!Y159),"")</f>
        <v/>
      </c>
      <c r="K172" s="17">
        <f>IF(I172&lt;&gt;"",I172-J172,"")</f>
        <v/>
      </c>
      <c r="L172" s="17">
        <f>IF('Raw Data'!A159&lt;&gt;"",AVERAGE('Raw Data'!Z159,'Raw Data'!AB159,'Raw Data'!AD159,'Raw Data'!AF159,'Raw Data'!AH159),"")</f>
        <v/>
      </c>
      <c r="M172" s="17">
        <f>IF('Raw Data'!A159&lt;&gt;"",AVERAGE('Raw Data'!AA159,'Raw Data'!AC159,'Raw Data'!AE159,'Raw Data'!AG159,'Raw Data'!AI159),"")</f>
        <v/>
      </c>
      <c r="N172" s="17">
        <f>IF(L172&lt;&gt;"",L172-M172,"")</f>
        <v/>
      </c>
      <c r="O172" s="17">
        <f>IF('Raw Data'!A159&lt;&gt;"",AVERAGE('Raw Data'!AJ159,'Raw Data'!AL159,'Raw Data'!AN159,'Raw Data'!AP159,'Raw Data'!AR159),"")</f>
        <v/>
      </c>
      <c r="P172" s="17">
        <f>IF('Raw Data'!A159&lt;&gt;"",AVERAGE('Raw Data'!AK159,'Raw Data'!AM159,'Raw Data'!AO159,'Raw Data'!AQ159,'Raw Data'!AS159),"")</f>
        <v/>
      </c>
      <c r="Q172" s="17">
        <f>IF(O172&lt;&gt;"",O172-P172,"")</f>
        <v/>
      </c>
      <c r="R172" s="17">
        <f>IF('Raw Data'!A159&lt;&gt;"",AVERAGE('Raw Data'!AT159,'Raw Data'!AV159,'Raw Data'!AX159,'Raw Data'!AZ159,'Raw Data'!BB159),"")</f>
        <v/>
      </c>
      <c r="S172" s="17">
        <f>IF('Raw Data'!A159&lt;&gt;"",AVERAGE('Raw Data'!AU159,'Raw Data'!AW159,'Raw Data'!AY159,'Raw Data'!BA159,'Raw Data'!BC159),"")</f>
        <v/>
      </c>
      <c r="T172" s="17">
        <f>IF(R172&lt;&gt;"",R172-S172,"")</f>
        <v/>
      </c>
      <c r="U172" s="17">
        <f>IF('Raw Data'!A159&lt;&gt;"",AVERAGE('Raw Data'!BD159,'Raw Data'!BF159,'Raw Data'!BH159,'Raw Data'!BJ159,'Raw Data'!BL159),"")</f>
        <v/>
      </c>
      <c r="V172" s="17">
        <f>IF('Raw Data'!A159&lt;&gt;"",AVERAGE('Raw Data'!BE159,'Raw Data'!BG159,'Raw Data'!BI159,'Raw Data'!BK159,'Raw Data'!BM159),"")</f>
        <v/>
      </c>
      <c r="W172" s="17">
        <f>IF(U172&lt;&gt;"",U172-V172,"")</f>
        <v/>
      </c>
      <c r="X172" s="17">
        <f>IF(A172&lt;&gt;"",AVERAGE(F172,I172,L172,O172,R172,U172),"")</f>
        <v/>
      </c>
      <c r="Y172" s="17">
        <f>IF(A172&lt;&gt;"",AVERAGE(G172,J172,M172,P172,S172,V172),"")</f>
        <v/>
      </c>
      <c r="Z172" s="17">
        <f>IF(A172&lt;&gt;"",X172-Y172,"")</f>
        <v/>
      </c>
      <c r="AA172" s="18">
        <f>IF(A172&lt;&gt;"",ROUND(MIN(100,100*((MAX(0,K172)*0.25)+(MAX(0,Q172)*0.20)+(MAX(0,W172)*0.20)+(MAX(0,H172)*0.15)+(MAX(0,N172)*0.10)+(MAX(0,T172)*0.10))/9),1),"")</f>
        <v/>
      </c>
      <c r="AB172" s="29">
        <f>IF(A172&lt;&gt;"",MIN(1,(0.5*AA172/100)+(0.3*MAX(0,K172)/9)+(0.2*MAX(0,Q172)/9)),"")</f>
        <v/>
      </c>
    </row>
    <row r="173">
      <c r="A173" s="4">
        <f>IF('Raw Data'!A160&lt;&gt;"",'Raw Data'!A160,"")</f>
        <v/>
      </c>
      <c r="B173" s="4">
        <f>IF('Raw Data'!B160&lt;&gt;"",'Raw Data'!B160,"")</f>
        <v/>
      </c>
      <c r="C173" s="4">
        <f>IF('Raw Data'!C160&lt;&gt;"",'Raw Data'!C160,"")</f>
        <v/>
      </c>
      <c r="D173" s="4">
        <f>IF('Raw Data'!D160&lt;&gt;"",'Raw Data'!D160,"")</f>
        <v/>
      </c>
      <c r="E173" s="4">
        <f>IF('Raw Data'!E160&lt;&gt;"",'Raw Data'!E160,"")</f>
        <v/>
      </c>
      <c r="F173" s="14">
        <f>IF('Raw Data'!A160&lt;&gt;"",AVERAGE('Raw Data'!F160,'Raw Data'!H160,'Raw Data'!J160,'Raw Data'!L160,'Raw Data'!N160),"")</f>
        <v/>
      </c>
      <c r="G173" s="14">
        <f>IF('Raw Data'!A160&lt;&gt;"",AVERAGE('Raw Data'!G160,'Raw Data'!I160,'Raw Data'!K160,'Raw Data'!M160,'Raw Data'!O160),"")</f>
        <v/>
      </c>
      <c r="H173" s="14">
        <f>IF(F173&lt;&gt;"",F173-G173,"")</f>
        <v/>
      </c>
      <c r="I173" s="14">
        <f>IF('Raw Data'!A160&lt;&gt;"",AVERAGE('Raw Data'!P160,'Raw Data'!R160,'Raw Data'!T160,'Raw Data'!V160,'Raw Data'!X160),"")</f>
        <v/>
      </c>
      <c r="J173" s="14">
        <f>IF('Raw Data'!A160&lt;&gt;"",AVERAGE('Raw Data'!Q160,'Raw Data'!S160,'Raw Data'!U160,'Raw Data'!W160,'Raw Data'!Y160),"")</f>
        <v/>
      </c>
      <c r="K173" s="14">
        <f>IF(I173&lt;&gt;"",I173-J173,"")</f>
        <v/>
      </c>
      <c r="L173" s="14">
        <f>IF('Raw Data'!A160&lt;&gt;"",AVERAGE('Raw Data'!Z160,'Raw Data'!AB160,'Raw Data'!AD160,'Raw Data'!AF160,'Raw Data'!AH160),"")</f>
        <v/>
      </c>
      <c r="M173" s="14">
        <f>IF('Raw Data'!A160&lt;&gt;"",AVERAGE('Raw Data'!AA160,'Raw Data'!AC160,'Raw Data'!AE160,'Raw Data'!AG160,'Raw Data'!AI160),"")</f>
        <v/>
      </c>
      <c r="N173" s="14">
        <f>IF(L173&lt;&gt;"",L173-M173,"")</f>
        <v/>
      </c>
      <c r="O173" s="14">
        <f>IF('Raw Data'!A160&lt;&gt;"",AVERAGE('Raw Data'!AJ160,'Raw Data'!AL160,'Raw Data'!AN160,'Raw Data'!AP160,'Raw Data'!AR160),"")</f>
        <v/>
      </c>
      <c r="P173" s="14">
        <f>IF('Raw Data'!A160&lt;&gt;"",AVERAGE('Raw Data'!AK160,'Raw Data'!AM160,'Raw Data'!AO160,'Raw Data'!AQ160,'Raw Data'!AS160),"")</f>
        <v/>
      </c>
      <c r="Q173" s="14">
        <f>IF(O173&lt;&gt;"",O173-P173,"")</f>
        <v/>
      </c>
      <c r="R173" s="14">
        <f>IF('Raw Data'!A160&lt;&gt;"",AVERAGE('Raw Data'!AT160,'Raw Data'!AV160,'Raw Data'!AX160,'Raw Data'!AZ160,'Raw Data'!BB160),"")</f>
        <v/>
      </c>
      <c r="S173" s="14">
        <f>IF('Raw Data'!A160&lt;&gt;"",AVERAGE('Raw Data'!AU160,'Raw Data'!AW160,'Raw Data'!AY160,'Raw Data'!BA160,'Raw Data'!BC160),"")</f>
        <v/>
      </c>
      <c r="T173" s="14">
        <f>IF(R173&lt;&gt;"",R173-S173,"")</f>
        <v/>
      </c>
      <c r="U173" s="14">
        <f>IF('Raw Data'!A160&lt;&gt;"",AVERAGE('Raw Data'!BD160,'Raw Data'!BF160,'Raw Data'!BH160,'Raw Data'!BJ160,'Raw Data'!BL160),"")</f>
        <v/>
      </c>
      <c r="V173" s="14">
        <f>IF('Raw Data'!A160&lt;&gt;"",AVERAGE('Raw Data'!BE160,'Raw Data'!BG160,'Raw Data'!BI160,'Raw Data'!BK160,'Raw Data'!BM160),"")</f>
        <v/>
      </c>
      <c r="W173" s="14">
        <f>IF(U173&lt;&gt;"",U173-V173,"")</f>
        <v/>
      </c>
      <c r="X173" s="14">
        <f>IF(A173&lt;&gt;"",AVERAGE(F173,I173,L173,O173,R173,U173),"")</f>
        <v/>
      </c>
      <c r="Y173" s="14">
        <f>IF(A173&lt;&gt;"",AVERAGE(G173,J173,M173,P173,S173,V173),"")</f>
        <v/>
      </c>
      <c r="Z173" s="14">
        <f>IF(A173&lt;&gt;"",X173-Y173,"")</f>
        <v/>
      </c>
      <c r="AA173" s="15">
        <f>IF(A173&lt;&gt;"",ROUND(MIN(100,100*((MAX(0,K173)*0.25)+(MAX(0,Q173)*0.20)+(MAX(0,W173)*0.20)+(MAX(0,H173)*0.15)+(MAX(0,N173)*0.10)+(MAX(0,T173)*0.10))/9),1),"")</f>
        <v/>
      </c>
      <c r="AB173" s="28">
        <f>IF(A173&lt;&gt;"",MIN(1,(0.5*AA173/100)+(0.3*MAX(0,K173)/9)+(0.2*MAX(0,Q173)/9)),"")</f>
        <v/>
      </c>
    </row>
    <row r="174">
      <c r="A174" s="13">
        <f>IF('Raw Data'!A161&lt;&gt;"",'Raw Data'!A161,"")</f>
        <v/>
      </c>
      <c r="B174" s="13">
        <f>IF('Raw Data'!B161&lt;&gt;"",'Raw Data'!B161,"")</f>
        <v/>
      </c>
      <c r="C174" s="13">
        <f>IF('Raw Data'!C161&lt;&gt;"",'Raw Data'!C161,"")</f>
        <v/>
      </c>
      <c r="D174" s="13">
        <f>IF('Raw Data'!D161&lt;&gt;"",'Raw Data'!D161,"")</f>
        <v/>
      </c>
      <c r="E174" s="13">
        <f>IF('Raw Data'!E161&lt;&gt;"",'Raw Data'!E161,"")</f>
        <v/>
      </c>
      <c r="F174" s="17">
        <f>IF('Raw Data'!A161&lt;&gt;"",AVERAGE('Raw Data'!F161,'Raw Data'!H161,'Raw Data'!J161,'Raw Data'!L161,'Raw Data'!N161),"")</f>
        <v/>
      </c>
      <c r="G174" s="17">
        <f>IF('Raw Data'!A161&lt;&gt;"",AVERAGE('Raw Data'!G161,'Raw Data'!I161,'Raw Data'!K161,'Raw Data'!M161,'Raw Data'!O161),"")</f>
        <v/>
      </c>
      <c r="H174" s="17">
        <f>IF(F174&lt;&gt;"",F174-G174,"")</f>
        <v/>
      </c>
      <c r="I174" s="17">
        <f>IF('Raw Data'!A161&lt;&gt;"",AVERAGE('Raw Data'!P161,'Raw Data'!R161,'Raw Data'!T161,'Raw Data'!V161,'Raw Data'!X161),"")</f>
        <v/>
      </c>
      <c r="J174" s="17">
        <f>IF('Raw Data'!A161&lt;&gt;"",AVERAGE('Raw Data'!Q161,'Raw Data'!S161,'Raw Data'!U161,'Raw Data'!W161,'Raw Data'!Y161),"")</f>
        <v/>
      </c>
      <c r="K174" s="17">
        <f>IF(I174&lt;&gt;"",I174-J174,"")</f>
        <v/>
      </c>
      <c r="L174" s="17">
        <f>IF('Raw Data'!A161&lt;&gt;"",AVERAGE('Raw Data'!Z161,'Raw Data'!AB161,'Raw Data'!AD161,'Raw Data'!AF161,'Raw Data'!AH161),"")</f>
        <v/>
      </c>
      <c r="M174" s="17">
        <f>IF('Raw Data'!A161&lt;&gt;"",AVERAGE('Raw Data'!AA161,'Raw Data'!AC161,'Raw Data'!AE161,'Raw Data'!AG161,'Raw Data'!AI161),"")</f>
        <v/>
      </c>
      <c r="N174" s="17">
        <f>IF(L174&lt;&gt;"",L174-M174,"")</f>
        <v/>
      </c>
      <c r="O174" s="17">
        <f>IF('Raw Data'!A161&lt;&gt;"",AVERAGE('Raw Data'!AJ161,'Raw Data'!AL161,'Raw Data'!AN161,'Raw Data'!AP161,'Raw Data'!AR161),"")</f>
        <v/>
      </c>
      <c r="P174" s="17">
        <f>IF('Raw Data'!A161&lt;&gt;"",AVERAGE('Raw Data'!AK161,'Raw Data'!AM161,'Raw Data'!AO161,'Raw Data'!AQ161,'Raw Data'!AS161),"")</f>
        <v/>
      </c>
      <c r="Q174" s="17">
        <f>IF(O174&lt;&gt;"",O174-P174,"")</f>
        <v/>
      </c>
      <c r="R174" s="17">
        <f>IF('Raw Data'!A161&lt;&gt;"",AVERAGE('Raw Data'!AT161,'Raw Data'!AV161,'Raw Data'!AX161,'Raw Data'!AZ161,'Raw Data'!BB161),"")</f>
        <v/>
      </c>
      <c r="S174" s="17">
        <f>IF('Raw Data'!A161&lt;&gt;"",AVERAGE('Raw Data'!AU161,'Raw Data'!AW161,'Raw Data'!AY161,'Raw Data'!BA161,'Raw Data'!BC161),"")</f>
        <v/>
      </c>
      <c r="T174" s="17">
        <f>IF(R174&lt;&gt;"",R174-S174,"")</f>
        <v/>
      </c>
      <c r="U174" s="17">
        <f>IF('Raw Data'!A161&lt;&gt;"",AVERAGE('Raw Data'!BD161,'Raw Data'!BF161,'Raw Data'!BH161,'Raw Data'!BJ161,'Raw Data'!BL161),"")</f>
        <v/>
      </c>
      <c r="V174" s="17">
        <f>IF('Raw Data'!A161&lt;&gt;"",AVERAGE('Raw Data'!BE161,'Raw Data'!BG161,'Raw Data'!BI161,'Raw Data'!BK161,'Raw Data'!BM161),"")</f>
        <v/>
      </c>
      <c r="W174" s="17">
        <f>IF(U174&lt;&gt;"",U174-V174,"")</f>
        <v/>
      </c>
      <c r="X174" s="17">
        <f>IF(A174&lt;&gt;"",AVERAGE(F174,I174,L174,O174,R174,U174),"")</f>
        <v/>
      </c>
      <c r="Y174" s="17">
        <f>IF(A174&lt;&gt;"",AVERAGE(G174,J174,M174,P174,S174,V174),"")</f>
        <v/>
      </c>
      <c r="Z174" s="17">
        <f>IF(A174&lt;&gt;"",X174-Y174,"")</f>
        <v/>
      </c>
      <c r="AA174" s="18">
        <f>IF(A174&lt;&gt;"",ROUND(MIN(100,100*((MAX(0,K174)*0.25)+(MAX(0,Q174)*0.20)+(MAX(0,W174)*0.20)+(MAX(0,H174)*0.15)+(MAX(0,N174)*0.10)+(MAX(0,T174)*0.10))/9),1),"")</f>
        <v/>
      </c>
      <c r="AB174" s="29">
        <f>IF(A174&lt;&gt;"",MIN(1,(0.5*AA174/100)+(0.3*MAX(0,K174)/9)+(0.2*MAX(0,Q174)/9)),"")</f>
        <v/>
      </c>
    </row>
    <row r="175">
      <c r="A175" s="4">
        <f>IF('Raw Data'!A162&lt;&gt;"",'Raw Data'!A162,"")</f>
        <v/>
      </c>
      <c r="B175" s="4">
        <f>IF('Raw Data'!B162&lt;&gt;"",'Raw Data'!B162,"")</f>
        <v/>
      </c>
      <c r="C175" s="4">
        <f>IF('Raw Data'!C162&lt;&gt;"",'Raw Data'!C162,"")</f>
        <v/>
      </c>
      <c r="D175" s="4">
        <f>IF('Raw Data'!D162&lt;&gt;"",'Raw Data'!D162,"")</f>
        <v/>
      </c>
      <c r="E175" s="4">
        <f>IF('Raw Data'!E162&lt;&gt;"",'Raw Data'!E162,"")</f>
        <v/>
      </c>
      <c r="F175" s="14">
        <f>IF('Raw Data'!A162&lt;&gt;"",AVERAGE('Raw Data'!F162,'Raw Data'!H162,'Raw Data'!J162,'Raw Data'!L162,'Raw Data'!N162),"")</f>
        <v/>
      </c>
      <c r="G175" s="14">
        <f>IF('Raw Data'!A162&lt;&gt;"",AVERAGE('Raw Data'!G162,'Raw Data'!I162,'Raw Data'!K162,'Raw Data'!M162,'Raw Data'!O162),"")</f>
        <v/>
      </c>
      <c r="H175" s="14">
        <f>IF(F175&lt;&gt;"",F175-G175,"")</f>
        <v/>
      </c>
      <c r="I175" s="14">
        <f>IF('Raw Data'!A162&lt;&gt;"",AVERAGE('Raw Data'!P162,'Raw Data'!R162,'Raw Data'!T162,'Raw Data'!V162,'Raw Data'!X162),"")</f>
        <v/>
      </c>
      <c r="J175" s="14">
        <f>IF('Raw Data'!A162&lt;&gt;"",AVERAGE('Raw Data'!Q162,'Raw Data'!S162,'Raw Data'!U162,'Raw Data'!W162,'Raw Data'!Y162),"")</f>
        <v/>
      </c>
      <c r="K175" s="14">
        <f>IF(I175&lt;&gt;"",I175-J175,"")</f>
        <v/>
      </c>
      <c r="L175" s="14">
        <f>IF('Raw Data'!A162&lt;&gt;"",AVERAGE('Raw Data'!Z162,'Raw Data'!AB162,'Raw Data'!AD162,'Raw Data'!AF162,'Raw Data'!AH162),"")</f>
        <v/>
      </c>
      <c r="M175" s="14">
        <f>IF('Raw Data'!A162&lt;&gt;"",AVERAGE('Raw Data'!AA162,'Raw Data'!AC162,'Raw Data'!AE162,'Raw Data'!AG162,'Raw Data'!AI162),"")</f>
        <v/>
      </c>
      <c r="N175" s="14">
        <f>IF(L175&lt;&gt;"",L175-M175,"")</f>
        <v/>
      </c>
      <c r="O175" s="14">
        <f>IF('Raw Data'!A162&lt;&gt;"",AVERAGE('Raw Data'!AJ162,'Raw Data'!AL162,'Raw Data'!AN162,'Raw Data'!AP162,'Raw Data'!AR162),"")</f>
        <v/>
      </c>
      <c r="P175" s="14">
        <f>IF('Raw Data'!A162&lt;&gt;"",AVERAGE('Raw Data'!AK162,'Raw Data'!AM162,'Raw Data'!AO162,'Raw Data'!AQ162,'Raw Data'!AS162),"")</f>
        <v/>
      </c>
      <c r="Q175" s="14">
        <f>IF(O175&lt;&gt;"",O175-P175,"")</f>
        <v/>
      </c>
      <c r="R175" s="14">
        <f>IF('Raw Data'!A162&lt;&gt;"",AVERAGE('Raw Data'!AT162,'Raw Data'!AV162,'Raw Data'!AX162,'Raw Data'!AZ162,'Raw Data'!BB162),"")</f>
        <v/>
      </c>
      <c r="S175" s="14">
        <f>IF('Raw Data'!A162&lt;&gt;"",AVERAGE('Raw Data'!AU162,'Raw Data'!AW162,'Raw Data'!AY162,'Raw Data'!BA162,'Raw Data'!BC162),"")</f>
        <v/>
      </c>
      <c r="T175" s="14">
        <f>IF(R175&lt;&gt;"",R175-S175,"")</f>
        <v/>
      </c>
      <c r="U175" s="14">
        <f>IF('Raw Data'!A162&lt;&gt;"",AVERAGE('Raw Data'!BD162,'Raw Data'!BF162,'Raw Data'!BH162,'Raw Data'!BJ162,'Raw Data'!BL162),"")</f>
        <v/>
      </c>
      <c r="V175" s="14">
        <f>IF('Raw Data'!A162&lt;&gt;"",AVERAGE('Raw Data'!BE162,'Raw Data'!BG162,'Raw Data'!BI162,'Raw Data'!BK162,'Raw Data'!BM162),"")</f>
        <v/>
      </c>
      <c r="W175" s="14">
        <f>IF(U175&lt;&gt;"",U175-V175,"")</f>
        <v/>
      </c>
      <c r="X175" s="14">
        <f>IF(A175&lt;&gt;"",AVERAGE(F175,I175,L175,O175,R175,U175),"")</f>
        <v/>
      </c>
      <c r="Y175" s="14">
        <f>IF(A175&lt;&gt;"",AVERAGE(G175,J175,M175,P175,S175,V175),"")</f>
        <v/>
      </c>
      <c r="Z175" s="14">
        <f>IF(A175&lt;&gt;"",X175-Y175,"")</f>
        <v/>
      </c>
      <c r="AA175" s="15">
        <f>IF(A175&lt;&gt;"",ROUND(MIN(100,100*((MAX(0,K175)*0.25)+(MAX(0,Q175)*0.20)+(MAX(0,W175)*0.20)+(MAX(0,H175)*0.15)+(MAX(0,N175)*0.10)+(MAX(0,T175)*0.10))/9),1),"")</f>
        <v/>
      </c>
      <c r="AB175" s="28">
        <f>IF(A175&lt;&gt;"",MIN(1,(0.5*AA175/100)+(0.3*MAX(0,K175)/9)+(0.2*MAX(0,Q175)/9)),"")</f>
        <v/>
      </c>
    </row>
    <row r="176">
      <c r="A176" s="13">
        <f>IF('Raw Data'!A163&lt;&gt;"",'Raw Data'!A163,"")</f>
        <v/>
      </c>
      <c r="B176" s="13">
        <f>IF('Raw Data'!B163&lt;&gt;"",'Raw Data'!B163,"")</f>
        <v/>
      </c>
      <c r="C176" s="13">
        <f>IF('Raw Data'!C163&lt;&gt;"",'Raw Data'!C163,"")</f>
        <v/>
      </c>
      <c r="D176" s="13">
        <f>IF('Raw Data'!D163&lt;&gt;"",'Raw Data'!D163,"")</f>
        <v/>
      </c>
      <c r="E176" s="13">
        <f>IF('Raw Data'!E163&lt;&gt;"",'Raw Data'!E163,"")</f>
        <v/>
      </c>
      <c r="F176" s="17">
        <f>IF('Raw Data'!A163&lt;&gt;"",AVERAGE('Raw Data'!F163,'Raw Data'!H163,'Raw Data'!J163,'Raw Data'!L163,'Raw Data'!N163),"")</f>
        <v/>
      </c>
      <c r="G176" s="17">
        <f>IF('Raw Data'!A163&lt;&gt;"",AVERAGE('Raw Data'!G163,'Raw Data'!I163,'Raw Data'!K163,'Raw Data'!M163,'Raw Data'!O163),"")</f>
        <v/>
      </c>
      <c r="H176" s="17">
        <f>IF(F176&lt;&gt;"",F176-G176,"")</f>
        <v/>
      </c>
      <c r="I176" s="17">
        <f>IF('Raw Data'!A163&lt;&gt;"",AVERAGE('Raw Data'!P163,'Raw Data'!R163,'Raw Data'!T163,'Raw Data'!V163,'Raw Data'!X163),"")</f>
        <v/>
      </c>
      <c r="J176" s="17">
        <f>IF('Raw Data'!A163&lt;&gt;"",AVERAGE('Raw Data'!Q163,'Raw Data'!S163,'Raw Data'!U163,'Raw Data'!W163,'Raw Data'!Y163),"")</f>
        <v/>
      </c>
      <c r="K176" s="17">
        <f>IF(I176&lt;&gt;"",I176-J176,"")</f>
        <v/>
      </c>
      <c r="L176" s="17">
        <f>IF('Raw Data'!A163&lt;&gt;"",AVERAGE('Raw Data'!Z163,'Raw Data'!AB163,'Raw Data'!AD163,'Raw Data'!AF163,'Raw Data'!AH163),"")</f>
        <v/>
      </c>
      <c r="M176" s="17">
        <f>IF('Raw Data'!A163&lt;&gt;"",AVERAGE('Raw Data'!AA163,'Raw Data'!AC163,'Raw Data'!AE163,'Raw Data'!AG163,'Raw Data'!AI163),"")</f>
        <v/>
      </c>
      <c r="N176" s="17">
        <f>IF(L176&lt;&gt;"",L176-M176,"")</f>
        <v/>
      </c>
      <c r="O176" s="17">
        <f>IF('Raw Data'!A163&lt;&gt;"",AVERAGE('Raw Data'!AJ163,'Raw Data'!AL163,'Raw Data'!AN163,'Raw Data'!AP163,'Raw Data'!AR163),"")</f>
        <v/>
      </c>
      <c r="P176" s="17">
        <f>IF('Raw Data'!A163&lt;&gt;"",AVERAGE('Raw Data'!AK163,'Raw Data'!AM163,'Raw Data'!AO163,'Raw Data'!AQ163,'Raw Data'!AS163),"")</f>
        <v/>
      </c>
      <c r="Q176" s="17">
        <f>IF(O176&lt;&gt;"",O176-P176,"")</f>
        <v/>
      </c>
      <c r="R176" s="17">
        <f>IF('Raw Data'!A163&lt;&gt;"",AVERAGE('Raw Data'!AT163,'Raw Data'!AV163,'Raw Data'!AX163,'Raw Data'!AZ163,'Raw Data'!BB163),"")</f>
        <v/>
      </c>
      <c r="S176" s="17">
        <f>IF('Raw Data'!A163&lt;&gt;"",AVERAGE('Raw Data'!AU163,'Raw Data'!AW163,'Raw Data'!AY163,'Raw Data'!BA163,'Raw Data'!BC163),"")</f>
        <v/>
      </c>
      <c r="T176" s="17">
        <f>IF(R176&lt;&gt;"",R176-S176,"")</f>
        <v/>
      </c>
      <c r="U176" s="17">
        <f>IF('Raw Data'!A163&lt;&gt;"",AVERAGE('Raw Data'!BD163,'Raw Data'!BF163,'Raw Data'!BH163,'Raw Data'!BJ163,'Raw Data'!BL163),"")</f>
        <v/>
      </c>
      <c r="V176" s="17">
        <f>IF('Raw Data'!A163&lt;&gt;"",AVERAGE('Raw Data'!BE163,'Raw Data'!BG163,'Raw Data'!BI163,'Raw Data'!BK163,'Raw Data'!BM163),"")</f>
        <v/>
      </c>
      <c r="W176" s="17">
        <f>IF(U176&lt;&gt;"",U176-V176,"")</f>
        <v/>
      </c>
      <c r="X176" s="17">
        <f>IF(A176&lt;&gt;"",AVERAGE(F176,I176,L176,O176,R176,U176),"")</f>
        <v/>
      </c>
      <c r="Y176" s="17">
        <f>IF(A176&lt;&gt;"",AVERAGE(G176,J176,M176,P176,S176,V176),"")</f>
        <v/>
      </c>
      <c r="Z176" s="17">
        <f>IF(A176&lt;&gt;"",X176-Y176,"")</f>
        <v/>
      </c>
      <c r="AA176" s="18">
        <f>IF(A176&lt;&gt;"",ROUND(MIN(100,100*((MAX(0,K176)*0.25)+(MAX(0,Q176)*0.20)+(MAX(0,W176)*0.20)+(MAX(0,H176)*0.15)+(MAX(0,N176)*0.10)+(MAX(0,T176)*0.10))/9),1),"")</f>
        <v/>
      </c>
      <c r="AB176" s="29">
        <f>IF(A176&lt;&gt;"",MIN(1,(0.5*AA176/100)+(0.3*MAX(0,K176)/9)+(0.2*MAX(0,Q176)/9)),"")</f>
        <v/>
      </c>
    </row>
    <row r="177">
      <c r="A177" s="4">
        <f>IF('Raw Data'!A164&lt;&gt;"",'Raw Data'!A164,"")</f>
        <v/>
      </c>
      <c r="B177" s="4">
        <f>IF('Raw Data'!B164&lt;&gt;"",'Raw Data'!B164,"")</f>
        <v/>
      </c>
      <c r="C177" s="4">
        <f>IF('Raw Data'!C164&lt;&gt;"",'Raw Data'!C164,"")</f>
        <v/>
      </c>
      <c r="D177" s="4">
        <f>IF('Raw Data'!D164&lt;&gt;"",'Raw Data'!D164,"")</f>
        <v/>
      </c>
      <c r="E177" s="4">
        <f>IF('Raw Data'!E164&lt;&gt;"",'Raw Data'!E164,"")</f>
        <v/>
      </c>
      <c r="F177" s="14">
        <f>IF('Raw Data'!A164&lt;&gt;"",AVERAGE('Raw Data'!F164,'Raw Data'!H164,'Raw Data'!J164,'Raw Data'!L164,'Raw Data'!N164),"")</f>
        <v/>
      </c>
      <c r="G177" s="14">
        <f>IF('Raw Data'!A164&lt;&gt;"",AVERAGE('Raw Data'!G164,'Raw Data'!I164,'Raw Data'!K164,'Raw Data'!M164,'Raw Data'!O164),"")</f>
        <v/>
      </c>
      <c r="H177" s="14">
        <f>IF(F177&lt;&gt;"",F177-G177,"")</f>
        <v/>
      </c>
      <c r="I177" s="14">
        <f>IF('Raw Data'!A164&lt;&gt;"",AVERAGE('Raw Data'!P164,'Raw Data'!R164,'Raw Data'!T164,'Raw Data'!V164,'Raw Data'!X164),"")</f>
        <v/>
      </c>
      <c r="J177" s="14">
        <f>IF('Raw Data'!A164&lt;&gt;"",AVERAGE('Raw Data'!Q164,'Raw Data'!S164,'Raw Data'!U164,'Raw Data'!W164,'Raw Data'!Y164),"")</f>
        <v/>
      </c>
      <c r="K177" s="14">
        <f>IF(I177&lt;&gt;"",I177-J177,"")</f>
        <v/>
      </c>
      <c r="L177" s="14">
        <f>IF('Raw Data'!A164&lt;&gt;"",AVERAGE('Raw Data'!Z164,'Raw Data'!AB164,'Raw Data'!AD164,'Raw Data'!AF164,'Raw Data'!AH164),"")</f>
        <v/>
      </c>
      <c r="M177" s="14">
        <f>IF('Raw Data'!A164&lt;&gt;"",AVERAGE('Raw Data'!AA164,'Raw Data'!AC164,'Raw Data'!AE164,'Raw Data'!AG164,'Raw Data'!AI164),"")</f>
        <v/>
      </c>
      <c r="N177" s="14">
        <f>IF(L177&lt;&gt;"",L177-M177,"")</f>
        <v/>
      </c>
      <c r="O177" s="14">
        <f>IF('Raw Data'!A164&lt;&gt;"",AVERAGE('Raw Data'!AJ164,'Raw Data'!AL164,'Raw Data'!AN164,'Raw Data'!AP164,'Raw Data'!AR164),"")</f>
        <v/>
      </c>
      <c r="P177" s="14">
        <f>IF('Raw Data'!A164&lt;&gt;"",AVERAGE('Raw Data'!AK164,'Raw Data'!AM164,'Raw Data'!AO164,'Raw Data'!AQ164,'Raw Data'!AS164),"")</f>
        <v/>
      </c>
      <c r="Q177" s="14">
        <f>IF(O177&lt;&gt;"",O177-P177,"")</f>
        <v/>
      </c>
      <c r="R177" s="14">
        <f>IF('Raw Data'!A164&lt;&gt;"",AVERAGE('Raw Data'!AT164,'Raw Data'!AV164,'Raw Data'!AX164,'Raw Data'!AZ164,'Raw Data'!BB164),"")</f>
        <v/>
      </c>
      <c r="S177" s="14">
        <f>IF('Raw Data'!A164&lt;&gt;"",AVERAGE('Raw Data'!AU164,'Raw Data'!AW164,'Raw Data'!AY164,'Raw Data'!BA164,'Raw Data'!BC164),"")</f>
        <v/>
      </c>
      <c r="T177" s="14">
        <f>IF(R177&lt;&gt;"",R177-S177,"")</f>
        <v/>
      </c>
      <c r="U177" s="14">
        <f>IF('Raw Data'!A164&lt;&gt;"",AVERAGE('Raw Data'!BD164,'Raw Data'!BF164,'Raw Data'!BH164,'Raw Data'!BJ164,'Raw Data'!BL164),"")</f>
        <v/>
      </c>
      <c r="V177" s="14">
        <f>IF('Raw Data'!A164&lt;&gt;"",AVERAGE('Raw Data'!BE164,'Raw Data'!BG164,'Raw Data'!BI164,'Raw Data'!BK164,'Raw Data'!BM164),"")</f>
        <v/>
      </c>
      <c r="W177" s="14">
        <f>IF(U177&lt;&gt;"",U177-V177,"")</f>
        <v/>
      </c>
      <c r="X177" s="14">
        <f>IF(A177&lt;&gt;"",AVERAGE(F177,I177,L177,O177,R177,U177),"")</f>
        <v/>
      </c>
      <c r="Y177" s="14">
        <f>IF(A177&lt;&gt;"",AVERAGE(G177,J177,M177,P177,S177,V177),"")</f>
        <v/>
      </c>
      <c r="Z177" s="14">
        <f>IF(A177&lt;&gt;"",X177-Y177,"")</f>
        <v/>
      </c>
      <c r="AA177" s="15">
        <f>IF(A177&lt;&gt;"",ROUND(MIN(100,100*((MAX(0,K177)*0.25)+(MAX(0,Q177)*0.20)+(MAX(0,W177)*0.20)+(MAX(0,H177)*0.15)+(MAX(0,N177)*0.10)+(MAX(0,T177)*0.10))/9),1),"")</f>
        <v/>
      </c>
      <c r="AB177" s="28">
        <f>IF(A177&lt;&gt;"",MIN(1,(0.5*AA177/100)+(0.3*MAX(0,K177)/9)+(0.2*MAX(0,Q177)/9)),"")</f>
        <v/>
      </c>
    </row>
    <row r="178">
      <c r="A178" s="13">
        <f>IF('Raw Data'!A165&lt;&gt;"",'Raw Data'!A165,"")</f>
        <v/>
      </c>
      <c r="B178" s="13">
        <f>IF('Raw Data'!B165&lt;&gt;"",'Raw Data'!B165,"")</f>
        <v/>
      </c>
      <c r="C178" s="13">
        <f>IF('Raw Data'!C165&lt;&gt;"",'Raw Data'!C165,"")</f>
        <v/>
      </c>
      <c r="D178" s="13">
        <f>IF('Raw Data'!D165&lt;&gt;"",'Raw Data'!D165,"")</f>
        <v/>
      </c>
      <c r="E178" s="13">
        <f>IF('Raw Data'!E165&lt;&gt;"",'Raw Data'!E165,"")</f>
        <v/>
      </c>
      <c r="F178" s="17">
        <f>IF('Raw Data'!A165&lt;&gt;"",AVERAGE('Raw Data'!F165,'Raw Data'!H165,'Raw Data'!J165,'Raw Data'!L165,'Raw Data'!N165),"")</f>
        <v/>
      </c>
      <c r="G178" s="17">
        <f>IF('Raw Data'!A165&lt;&gt;"",AVERAGE('Raw Data'!G165,'Raw Data'!I165,'Raw Data'!K165,'Raw Data'!M165,'Raw Data'!O165),"")</f>
        <v/>
      </c>
      <c r="H178" s="17">
        <f>IF(F178&lt;&gt;"",F178-G178,"")</f>
        <v/>
      </c>
      <c r="I178" s="17">
        <f>IF('Raw Data'!A165&lt;&gt;"",AVERAGE('Raw Data'!P165,'Raw Data'!R165,'Raw Data'!T165,'Raw Data'!V165,'Raw Data'!X165),"")</f>
        <v/>
      </c>
      <c r="J178" s="17">
        <f>IF('Raw Data'!A165&lt;&gt;"",AVERAGE('Raw Data'!Q165,'Raw Data'!S165,'Raw Data'!U165,'Raw Data'!W165,'Raw Data'!Y165),"")</f>
        <v/>
      </c>
      <c r="K178" s="17">
        <f>IF(I178&lt;&gt;"",I178-J178,"")</f>
        <v/>
      </c>
      <c r="L178" s="17">
        <f>IF('Raw Data'!A165&lt;&gt;"",AVERAGE('Raw Data'!Z165,'Raw Data'!AB165,'Raw Data'!AD165,'Raw Data'!AF165,'Raw Data'!AH165),"")</f>
        <v/>
      </c>
      <c r="M178" s="17">
        <f>IF('Raw Data'!A165&lt;&gt;"",AVERAGE('Raw Data'!AA165,'Raw Data'!AC165,'Raw Data'!AE165,'Raw Data'!AG165,'Raw Data'!AI165),"")</f>
        <v/>
      </c>
      <c r="N178" s="17">
        <f>IF(L178&lt;&gt;"",L178-M178,"")</f>
        <v/>
      </c>
      <c r="O178" s="17">
        <f>IF('Raw Data'!A165&lt;&gt;"",AVERAGE('Raw Data'!AJ165,'Raw Data'!AL165,'Raw Data'!AN165,'Raw Data'!AP165,'Raw Data'!AR165),"")</f>
        <v/>
      </c>
      <c r="P178" s="17">
        <f>IF('Raw Data'!A165&lt;&gt;"",AVERAGE('Raw Data'!AK165,'Raw Data'!AM165,'Raw Data'!AO165,'Raw Data'!AQ165,'Raw Data'!AS165),"")</f>
        <v/>
      </c>
      <c r="Q178" s="17">
        <f>IF(O178&lt;&gt;"",O178-P178,"")</f>
        <v/>
      </c>
      <c r="R178" s="17">
        <f>IF('Raw Data'!A165&lt;&gt;"",AVERAGE('Raw Data'!AT165,'Raw Data'!AV165,'Raw Data'!AX165,'Raw Data'!AZ165,'Raw Data'!BB165),"")</f>
        <v/>
      </c>
      <c r="S178" s="17">
        <f>IF('Raw Data'!A165&lt;&gt;"",AVERAGE('Raw Data'!AU165,'Raw Data'!AW165,'Raw Data'!AY165,'Raw Data'!BA165,'Raw Data'!BC165),"")</f>
        <v/>
      </c>
      <c r="T178" s="17">
        <f>IF(R178&lt;&gt;"",R178-S178,"")</f>
        <v/>
      </c>
      <c r="U178" s="17">
        <f>IF('Raw Data'!A165&lt;&gt;"",AVERAGE('Raw Data'!BD165,'Raw Data'!BF165,'Raw Data'!BH165,'Raw Data'!BJ165,'Raw Data'!BL165),"")</f>
        <v/>
      </c>
      <c r="V178" s="17">
        <f>IF('Raw Data'!A165&lt;&gt;"",AVERAGE('Raw Data'!BE165,'Raw Data'!BG165,'Raw Data'!BI165,'Raw Data'!BK165,'Raw Data'!BM165),"")</f>
        <v/>
      </c>
      <c r="W178" s="17">
        <f>IF(U178&lt;&gt;"",U178-V178,"")</f>
        <v/>
      </c>
      <c r="X178" s="17">
        <f>IF(A178&lt;&gt;"",AVERAGE(F178,I178,L178,O178,R178,U178),"")</f>
        <v/>
      </c>
      <c r="Y178" s="17">
        <f>IF(A178&lt;&gt;"",AVERAGE(G178,J178,M178,P178,S178,V178),"")</f>
        <v/>
      </c>
      <c r="Z178" s="17">
        <f>IF(A178&lt;&gt;"",X178-Y178,"")</f>
        <v/>
      </c>
      <c r="AA178" s="18">
        <f>IF(A178&lt;&gt;"",ROUND(MIN(100,100*((MAX(0,K178)*0.25)+(MAX(0,Q178)*0.20)+(MAX(0,W178)*0.20)+(MAX(0,H178)*0.15)+(MAX(0,N178)*0.10)+(MAX(0,T178)*0.10))/9),1),"")</f>
        <v/>
      </c>
      <c r="AB178" s="29">
        <f>IF(A178&lt;&gt;"",MIN(1,(0.5*AA178/100)+(0.3*MAX(0,K178)/9)+(0.2*MAX(0,Q178)/9)),"")</f>
        <v/>
      </c>
    </row>
    <row r="179">
      <c r="A179" s="4">
        <f>IF('Raw Data'!A166&lt;&gt;"",'Raw Data'!A166,"")</f>
        <v/>
      </c>
      <c r="B179" s="4">
        <f>IF('Raw Data'!B166&lt;&gt;"",'Raw Data'!B166,"")</f>
        <v/>
      </c>
      <c r="C179" s="4">
        <f>IF('Raw Data'!C166&lt;&gt;"",'Raw Data'!C166,"")</f>
        <v/>
      </c>
      <c r="D179" s="4">
        <f>IF('Raw Data'!D166&lt;&gt;"",'Raw Data'!D166,"")</f>
        <v/>
      </c>
      <c r="E179" s="4">
        <f>IF('Raw Data'!E166&lt;&gt;"",'Raw Data'!E166,"")</f>
        <v/>
      </c>
      <c r="F179" s="14">
        <f>IF('Raw Data'!A166&lt;&gt;"",AVERAGE('Raw Data'!F166,'Raw Data'!H166,'Raw Data'!J166,'Raw Data'!L166,'Raw Data'!N166),"")</f>
        <v/>
      </c>
      <c r="G179" s="14">
        <f>IF('Raw Data'!A166&lt;&gt;"",AVERAGE('Raw Data'!G166,'Raw Data'!I166,'Raw Data'!K166,'Raw Data'!M166,'Raw Data'!O166),"")</f>
        <v/>
      </c>
      <c r="H179" s="14">
        <f>IF(F179&lt;&gt;"",F179-G179,"")</f>
        <v/>
      </c>
      <c r="I179" s="14">
        <f>IF('Raw Data'!A166&lt;&gt;"",AVERAGE('Raw Data'!P166,'Raw Data'!R166,'Raw Data'!T166,'Raw Data'!V166,'Raw Data'!X166),"")</f>
        <v/>
      </c>
      <c r="J179" s="14">
        <f>IF('Raw Data'!A166&lt;&gt;"",AVERAGE('Raw Data'!Q166,'Raw Data'!S166,'Raw Data'!U166,'Raw Data'!W166,'Raw Data'!Y166),"")</f>
        <v/>
      </c>
      <c r="K179" s="14">
        <f>IF(I179&lt;&gt;"",I179-J179,"")</f>
        <v/>
      </c>
      <c r="L179" s="14">
        <f>IF('Raw Data'!A166&lt;&gt;"",AVERAGE('Raw Data'!Z166,'Raw Data'!AB166,'Raw Data'!AD166,'Raw Data'!AF166,'Raw Data'!AH166),"")</f>
        <v/>
      </c>
      <c r="M179" s="14">
        <f>IF('Raw Data'!A166&lt;&gt;"",AVERAGE('Raw Data'!AA166,'Raw Data'!AC166,'Raw Data'!AE166,'Raw Data'!AG166,'Raw Data'!AI166),"")</f>
        <v/>
      </c>
      <c r="N179" s="14">
        <f>IF(L179&lt;&gt;"",L179-M179,"")</f>
        <v/>
      </c>
      <c r="O179" s="14">
        <f>IF('Raw Data'!A166&lt;&gt;"",AVERAGE('Raw Data'!AJ166,'Raw Data'!AL166,'Raw Data'!AN166,'Raw Data'!AP166,'Raw Data'!AR166),"")</f>
        <v/>
      </c>
      <c r="P179" s="14">
        <f>IF('Raw Data'!A166&lt;&gt;"",AVERAGE('Raw Data'!AK166,'Raw Data'!AM166,'Raw Data'!AO166,'Raw Data'!AQ166,'Raw Data'!AS166),"")</f>
        <v/>
      </c>
      <c r="Q179" s="14">
        <f>IF(O179&lt;&gt;"",O179-P179,"")</f>
        <v/>
      </c>
      <c r="R179" s="14">
        <f>IF('Raw Data'!A166&lt;&gt;"",AVERAGE('Raw Data'!AT166,'Raw Data'!AV166,'Raw Data'!AX166,'Raw Data'!AZ166,'Raw Data'!BB166),"")</f>
        <v/>
      </c>
      <c r="S179" s="14">
        <f>IF('Raw Data'!A166&lt;&gt;"",AVERAGE('Raw Data'!AU166,'Raw Data'!AW166,'Raw Data'!AY166,'Raw Data'!BA166,'Raw Data'!BC166),"")</f>
        <v/>
      </c>
      <c r="T179" s="14">
        <f>IF(R179&lt;&gt;"",R179-S179,"")</f>
        <v/>
      </c>
      <c r="U179" s="14">
        <f>IF('Raw Data'!A166&lt;&gt;"",AVERAGE('Raw Data'!BD166,'Raw Data'!BF166,'Raw Data'!BH166,'Raw Data'!BJ166,'Raw Data'!BL166),"")</f>
        <v/>
      </c>
      <c r="V179" s="14">
        <f>IF('Raw Data'!A166&lt;&gt;"",AVERAGE('Raw Data'!BE166,'Raw Data'!BG166,'Raw Data'!BI166,'Raw Data'!BK166,'Raw Data'!BM166),"")</f>
        <v/>
      </c>
      <c r="W179" s="14">
        <f>IF(U179&lt;&gt;"",U179-V179,"")</f>
        <v/>
      </c>
      <c r="X179" s="14">
        <f>IF(A179&lt;&gt;"",AVERAGE(F179,I179,L179,O179,R179,U179),"")</f>
        <v/>
      </c>
      <c r="Y179" s="14">
        <f>IF(A179&lt;&gt;"",AVERAGE(G179,J179,M179,P179,S179,V179),"")</f>
        <v/>
      </c>
      <c r="Z179" s="14">
        <f>IF(A179&lt;&gt;"",X179-Y179,"")</f>
        <v/>
      </c>
      <c r="AA179" s="15">
        <f>IF(A179&lt;&gt;"",ROUND(MIN(100,100*((MAX(0,K179)*0.25)+(MAX(0,Q179)*0.20)+(MAX(0,W179)*0.20)+(MAX(0,H179)*0.15)+(MAX(0,N179)*0.10)+(MAX(0,T179)*0.10))/9),1),"")</f>
        <v/>
      </c>
      <c r="AB179" s="28">
        <f>IF(A179&lt;&gt;"",MIN(1,(0.5*AA179/100)+(0.3*MAX(0,K179)/9)+(0.2*MAX(0,Q179)/9)),"")</f>
        <v/>
      </c>
    </row>
    <row r="180">
      <c r="A180" s="13">
        <f>IF('Raw Data'!A167&lt;&gt;"",'Raw Data'!A167,"")</f>
        <v/>
      </c>
      <c r="B180" s="13">
        <f>IF('Raw Data'!B167&lt;&gt;"",'Raw Data'!B167,"")</f>
        <v/>
      </c>
      <c r="C180" s="13">
        <f>IF('Raw Data'!C167&lt;&gt;"",'Raw Data'!C167,"")</f>
        <v/>
      </c>
      <c r="D180" s="13">
        <f>IF('Raw Data'!D167&lt;&gt;"",'Raw Data'!D167,"")</f>
        <v/>
      </c>
      <c r="E180" s="13">
        <f>IF('Raw Data'!E167&lt;&gt;"",'Raw Data'!E167,"")</f>
        <v/>
      </c>
      <c r="F180" s="17">
        <f>IF('Raw Data'!A167&lt;&gt;"",AVERAGE('Raw Data'!F167,'Raw Data'!H167,'Raw Data'!J167,'Raw Data'!L167,'Raw Data'!N167),"")</f>
        <v/>
      </c>
      <c r="G180" s="17">
        <f>IF('Raw Data'!A167&lt;&gt;"",AVERAGE('Raw Data'!G167,'Raw Data'!I167,'Raw Data'!K167,'Raw Data'!M167,'Raw Data'!O167),"")</f>
        <v/>
      </c>
      <c r="H180" s="17">
        <f>IF(F180&lt;&gt;"",F180-G180,"")</f>
        <v/>
      </c>
      <c r="I180" s="17">
        <f>IF('Raw Data'!A167&lt;&gt;"",AVERAGE('Raw Data'!P167,'Raw Data'!R167,'Raw Data'!T167,'Raw Data'!V167,'Raw Data'!X167),"")</f>
        <v/>
      </c>
      <c r="J180" s="17">
        <f>IF('Raw Data'!A167&lt;&gt;"",AVERAGE('Raw Data'!Q167,'Raw Data'!S167,'Raw Data'!U167,'Raw Data'!W167,'Raw Data'!Y167),"")</f>
        <v/>
      </c>
      <c r="K180" s="17">
        <f>IF(I180&lt;&gt;"",I180-J180,"")</f>
        <v/>
      </c>
      <c r="L180" s="17">
        <f>IF('Raw Data'!A167&lt;&gt;"",AVERAGE('Raw Data'!Z167,'Raw Data'!AB167,'Raw Data'!AD167,'Raw Data'!AF167,'Raw Data'!AH167),"")</f>
        <v/>
      </c>
      <c r="M180" s="17">
        <f>IF('Raw Data'!A167&lt;&gt;"",AVERAGE('Raw Data'!AA167,'Raw Data'!AC167,'Raw Data'!AE167,'Raw Data'!AG167,'Raw Data'!AI167),"")</f>
        <v/>
      </c>
      <c r="N180" s="17">
        <f>IF(L180&lt;&gt;"",L180-M180,"")</f>
        <v/>
      </c>
      <c r="O180" s="17">
        <f>IF('Raw Data'!A167&lt;&gt;"",AVERAGE('Raw Data'!AJ167,'Raw Data'!AL167,'Raw Data'!AN167,'Raw Data'!AP167,'Raw Data'!AR167),"")</f>
        <v/>
      </c>
      <c r="P180" s="17">
        <f>IF('Raw Data'!A167&lt;&gt;"",AVERAGE('Raw Data'!AK167,'Raw Data'!AM167,'Raw Data'!AO167,'Raw Data'!AQ167,'Raw Data'!AS167),"")</f>
        <v/>
      </c>
      <c r="Q180" s="17">
        <f>IF(O180&lt;&gt;"",O180-P180,"")</f>
        <v/>
      </c>
      <c r="R180" s="17">
        <f>IF('Raw Data'!A167&lt;&gt;"",AVERAGE('Raw Data'!AT167,'Raw Data'!AV167,'Raw Data'!AX167,'Raw Data'!AZ167,'Raw Data'!BB167),"")</f>
        <v/>
      </c>
      <c r="S180" s="17">
        <f>IF('Raw Data'!A167&lt;&gt;"",AVERAGE('Raw Data'!AU167,'Raw Data'!AW167,'Raw Data'!AY167,'Raw Data'!BA167,'Raw Data'!BC167),"")</f>
        <v/>
      </c>
      <c r="T180" s="17">
        <f>IF(R180&lt;&gt;"",R180-S180,"")</f>
        <v/>
      </c>
      <c r="U180" s="17">
        <f>IF('Raw Data'!A167&lt;&gt;"",AVERAGE('Raw Data'!BD167,'Raw Data'!BF167,'Raw Data'!BH167,'Raw Data'!BJ167,'Raw Data'!BL167),"")</f>
        <v/>
      </c>
      <c r="V180" s="17">
        <f>IF('Raw Data'!A167&lt;&gt;"",AVERAGE('Raw Data'!BE167,'Raw Data'!BG167,'Raw Data'!BI167,'Raw Data'!BK167,'Raw Data'!BM167),"")</f>
        <v/>
      </c>
      <c r="W180" s="17">
        <f>IF(U180&lt;&gt;"",U180-V180,"")</f>
        <v/>
      </c>
      <c r="X180" s="17">
        <f>IF(A180&lt;&gt;"",AVERAGE(F180,I180,L180,O180,R180,U180),"")</f>
        <v/>
      </c>
      <c r="Y180" s="17">
        <f>IF(A180&lt;&gt;"",AVERAGE(G180,J180,M180,P180,S180,V180),"")</f>
        <v/>
      </c>
      <c r="Z180" s="17">
        <f>IF(A180&lt;&gt;"",X180-Y180,"")</f>
        <v/>
      </c>
      <c r="AA180" s="18">
        <f>IF(A180&lt;&gt;"",ROUND(MIN(100,100*((MAX(0,K180)*0.25)+(MAX(0,Q180)*0.20)+(MAX(0,W180)*0.20)+(MAX(0,H180)*0.15)+(MAX(0,N180)*0.10)+(MAX(0,T180)*0.10))/9),1),"")</f>
        <v/>
      </c>
      <c r="AB180" s="29">
        <f>IF(A180&lt;&gt;"",MIN(1,(0.5*AA180/100)+(0.3*MAX(0,K180)/9)+(0.2*MAX(0,Q180)/9)),"")</f>
        <v/>
      </c>
    </row>
    <row r="181">
      <c r="A181" s="4">
        <f>IF('Raw Data'!A168&lt;&gt;"",'Raw Data'!A168,"")</f>
        <v/>
      </c>
      <c r="B181" s="4">
        <f>IF('Raw Data'!B168&lt;&gt;"",'Raw Data'!B168,"")</f>
        <v/>
      </c>
      <c r="C181" s="4">
        <f>IF('Raw Data'!C168&lt;&gt;"",'Raw Data'!C168,"")</f>
        <v/>
      </c>
      <c r="D181" s="4">
        <f>IF('Raw Data'!D168&lt;&gt;"",'Raw Data'!D168,"")</f>
        <v/>
      </c>
      <c r="E181" s="4">
        <f>IF('Raw Data'!E168&lt;&gt;"",'Raw Data'!E168,"")</f>
        <v/>
      </c>
      <c r="F181" s="14">
        <f>IF('Raw Data'!A168&lt;&gt;"",AVERAGE('Raw Data'!F168,'Raw Data'!H168,'Raw Data'!J168,'Raw Data'!L168,'Raw Data'!N168),"")</f>
        <v/>
      </c>
      <c r="G181" s="14">
        <f>IF('Raw Data'!A168&lt;&gt;"",AVERAGE('Raw Data'!G168,'Raw Data'!I168,'Raw Data'!K168,'Raw Data'!M168,'Raw Data'!O168),"")</f>
        <v/>
      </c>
      <c r="H181" s="14">
        <f>IF(F181&lt;&gt;"",F181-G181,"")</f>
        <v/>
      </c>
      <c r="I181" s="14">
        <f>IF('Raw Data'!A168&lt;&gt;"",AVERAGE('Raw Data'!P168,'Raw Data'!R168,'Raw Data'!T168,'Raw Data'!V168,'Raw Data'!X168),"")</f>
        <v/>
      </c>
      <c r="J181" s="14">
        <f>IF('Raw Data'!A168&lt;&gt;"",AVERAGE('Raw Data'!Q168,'Raw Data'!S168,'Raw Data'!U168,'Raw Data'!W168,'Raw Data'!Y168),"")</f>
        <v/>
      </c>
      <c r="K181" s="14">
        <f>IF(I181&lt;&gt;"",I181-J181,"")</f>
        <v/>
      </c>
      <c r="L181" s="14">
        <f>IF('Raw Data'!A168&lt;&gt;"",AVERAGE('Raw Data'!Z168,'Raw Data'!AB168,'Raw Data'!AD168,'Raw Data'!AF168,'Raw Data'!AH168),"")</f>
        <v/>
      </c>
      <c r="M181" s="14">
        <f>IF('Raw Data'!A168&lt;&gt;"",AVERAGE('Raw Data'!AA168,'Raw Data'!AC168,'Raw Data'!AE168,'Raw Data'!AG168,'Raw Data'!AI168),"")</f>
        <v/>
      </c>
      <c r="N181" s="14">
        <f>IF(L181&lt;&gt;"",L181-M181,"")</f>
        <v/>
      </c>
      <c r="O181" s="14">
        <f>IF('Raw Data'!A168&lt;&gt;"",AVERAGE('Raw Data'!AJ168,'Raw Data'!AL168,'Raw Data'!AN168,'Raw Data'!AP168,'Raw Data'!AR168),"")</f>
        <v/>
      </c>
      <c r="P181" s="14">
        <f>IF('Raw Data'!A168&lt;&gt;"",AVERAGE('Raw Data'!AK168,'Raw Data'!AM168,'Raw Data'!AO168,'Raw Data'!AQ168,'Raw Data'!AS168),"")</f>
        <v/>
      </c>
      <c r="Q181" s="14">
        <f>IF(O181&lt;&gt;"",O181-P181,"")</f>
        <v/>
      </c>
      <c r="R181" s="14">
        <f>IF('Raw Data'!A168&lt;&gt;"",AVERAGE('Raw Data'!AT168,'Raw Data'!AV168,'Raw Data'!AX168,'Raw Data'!AZ168,'Raw Data'!BB168),"")</f>
        <v/>
      </c>
      <c r="S181" s="14">
        <f>IF('Raw Data'!A168&lt;&gt;"",AVERAGE('Raw Data'!AU168,'Raw Data'!AW168,'Raw Data'!AY168,'Raw Data'!BA168,'Raw Data'!BC168),"")</f>
        <v/>
      </c>
      <c r="T181" s="14">
        <f>IF(R181&lt;&gt;"",R181-S181,"")</f>
        <v/>
      </c>
      <c r="U181" s="14">
        <f>IF('Raw Data'!A168&lt;&gt;"",AVERAGE('Raw Data'!BD168,'Raw Data'!BF168,'Raw Data'!BH168,'Raw Data'!BJ168,'Raw Data'!BL168),"")</f>
        <v/>
      </c>
      <c r="V181" s="14">
        <f>IF('Raw Data'!A168&lt;&gt;"",AVERAGE('Raw Data'!BE168,'Raw Data'!BG168,'Raw Data'!BI168,'Raw Data'!BK168,'Raw Data'!BM168),"")</f>
        <v/>
      </c>
      <c r="W181" s="14">
        <f>IF(U181&lt;&gt;"",U181-V181,"")</f>
        <v/>
      </c>
      <c r="X181" s="14">
        <f>IF(A181&lt;&gt;"",AVERAGE(F181,I181,L181,O181,R181,U181),"")</f>
        <v/>
      </c>
      <c r="Y181" s="14">
        <f>IF(A181&lt;&gt;"",AVERAGE(G181,J181,M181,P181,S181,V181),"")</f>
        <v/>
      </c>
      <c r="Z181" s="14">
        <f>IF(A181&lt;&gt;"",X181-Y181,"")</f>
        <v/>
      </c>
      <c r="AA181" s="15">
        <f>IF(A181&lt;&gt;"",ROUND(MIN(100,100*((MAX(0,K181)*0.25)+(MAX(0,Q181)*0.20)+(MAX(0,W181)*0.20)+(MAX(0,H181)*0.15)+(MAX(0,N181)*0.10)+(MAX(0,T181)*0.10))/9),1),"")</f>
        <v/>
      </c>
      <c r="AB181" s="28">
        <f>IF(A181&lt;&gt;"",MIN(1,(0.5*AA181/100)+(0.3*MAX(0,K181)/9)+(0.2*MAX(0,Q181)/9)),"")</f>
        <v/>
      </c>
    </row>
    <row r="182">
      <c r="A182" s="13">
        <f>IF('Raw Data'!A169&lt;&gt;"",'Raw Data'!A169,"")</f>
        <v/>
      </c>
      <c r="B182" s="13">
        <f>IF('Raw Data'!B169&lt;&gt;"",'Raw Data'!B169,"")</f>
        <v/>
      </c>
      <c r="C182" s="13">
        <f>IF('Raw Data'!C169&lt;&gt;"",'Raw Data'!C169,"")</f>
        <v/>
      </c>
      <c r="D182" s="13">
        <f>IF('Raw Data'!D169&lt;&gt;"",'Raw Data'!D169,"")</f>
        <v/>
      </c>
      <c r="E182" s="13">
        <f>IF('Raw Data'!E169&lt;&gt;"",'Raw Data'!E169,"")</f>
        <v/>
      </c>
      <c r="F182" s="17">
        <f>IF('Raw Data'!A169&lt;&gt;"",AVERAGE('Raw Data'!F169,'Raw Data'!H169,'Raw Data'!J169,'Raw Data'!L169,'Raw Data'!N169),"")</f>
        <v/>
      </c>
      <c r="G182" s="17">
        <f>IF('Raw Data'!A169&lt;&gt;"",AVERAGE('Raw Data'!G169,'Raw Data'!I169,'Raw Data'!K169,'Raw Data'!M169,'Raw Data'!O169),"")</f>
        <v/>
      </c>
      <c r="H182" s="17">
        <f>IF(F182&lt;&gt;"",F182-G182,"")</f>
        <v/>
      </c>
      <c r="I182" s="17">
        <f>IF('Raw Data'!A169&lt;&gt;"",AVERAGE('Raw Data'!P169,'Raw Data'!R169,'Raw Data'!T169,'Raw Data'!V169,'Raw Data'!X169),"")</f>
        <v/>
      </c>
      <c r="J182" s="17">
        <f>IF('Raw Data'!A169&lt;&gt;"",AVERAGE('Raw Data'!Q169,'Raw Data'!S169,'Raw Data'!U169,'Raw Data'!W169,'Raw Data'!Y169),"")</f>
        <v/>
      </c>
      <c r="K182" s="17">
        <f>IF(I182&lt;&gt;"",I182-J182,"")</f>
        <v/>
      </c>
      <c r="L182" s="17">
        <f>IF('Raw Data'!A169&lt;&gt;"",AVERAGE('Raw Data'!Z169,'Raw Data'!AB169,'Raw Data'!AD169,'Raw Data'!AF169,'Raw Data'!AH169),"")</f>
        <v/>
      </c>
      <c r="M182" s="17">
        <f>IF('Raw Data'!A169&lt;&gt;"",AVERAGE('Raw Data'!AA169,'Raw Data'!AC169,'Raw Data'!AE169,'Raw Data'!AG169,'Raw Data'!AI169),"")</f>
        <v/>
      </c>
      <c r="N182" s="17">
        <f>IF(L182&lt;&gt;"",L182-M182,"")</f>
        <v/>
      </c>
      <c r="O182" s="17">
        <f>IF('Raw Data'!A169&lt;&gt;"",AVERAGE('Raw Data'!AJ169,'Raw Data'!AL169,'Raw Data'!AN169,'Raw Data'!AP169,'Raw Data'!AR169),"")</f>
        <v/>
      </c>
      <c r="P182" s="17">
        <f>IF('Raw Data'!A169&lt;&gt;"",AVERAGE('Raw Data'!AK169,'Raw Data'!AM169,'Raw Data'!AO169,'Raw Data'!AQ169,'Raw Data'!AS169),"")</f>
        <v/>
      </c>
      <c r="Q182" s="17">
        <f>IF(O182&lt;&gt;"",O182-P182,"")</f>
        <v/>
      </c>
      <c r="R182" s="17">
        <f>IF('Raw Data'!A169&lt;&gt;"",AVERAGE('Raw Data'!AT169,'Raw Data'!AV169,'Raw Data'!AX169,'Raw Data'!AZ169,'Raw Data'!BB169),"")</f>
        <v/>
      </c>
      <c r="S182" s="17">
        <f>IF('Raw Data'!A169&lt;&gt;"",AVERAGE('Raw Data'!AU169,'Raw Data'!AW169,'Raw Data'!AY169,'Raw Data'!BA169,'Raw Data'!BC169),"")</f>
        <v/>
      </c>
      <c r="T182" s="17">
        <f>IF(R182&lt;&gt;"",R182-S182,"")</f>
        <v/>
      </c>
      <c r="U182" s="17">
        <f>IF('Raw Data'!A169&lt;&gt;"",AVERAGE('Raw Data'!BD169,'Raw Data'!BF169,'Raw Data'!BH169,'Raw Data'!BJ169,'Raw Data'!BL169),"")</f>
        <v/>
      </c>
      <c r="V182" s="17">
        <f>IF('Raw Data'!A169&lt;&gt;"",AVERAGE('Raw Data'!BE169,'Raw Data'!BG169,'Raw Data'!BI169,'Raw Data'!BK169,'Raw Data'!BM169),"")</f>
        <v/>
      </c>
      <c r="W182" s="17">
        <f>IF(U182&lt;&gt;"",U182-V182,"")</f>
        <v/>
      </c>
      <c r="X182" s="17">
        <f>IF(A182&lt;&gt;"",AVERAGE(F182,I182,L182,O182,R182,U182),"")</f>
        <v/>
      </c>
      <c r="Y182" s="17">
        <f>IF(A182&lt;&gt;"",AVERAGE(G182,J182,M182,P182,S182,V182),"")</f>
        <v/>
      </c>
      <c r="Z182" s="17">
        <f>IF(A182&lt;&gt;"",X182-Y182,"")</f>
        <v/>
      </c>
      <c r="AA182" s="18">
        <f>IF(A182&lt;&gt;"",ROUND(MIN(100,100*((MAX(0,K182)*0.25)+(MAX(0,Q182)*0.20)+(MAX(0,W182)*0.20)+(MAX(0,H182)*0.15)+(MAX(0,N182)*0.10)+(MAX(0,T182)*0.10))/9),1),"")</f>
        <v/>
      </c>
      <c r="AB182" s="29">
        <f>IF(A182&lt;&gt;"",MIN(1,(0.5*AA182/100)+(0.3*MAX(0,K182)/9)+(0.2*MAX(0,Q182)/9)),"")</f>
        <v/>
      </c>
    </row>
    <row r="183">
      <c r="A183" s="4">
        <f>IF('Raw Data'!A170&lt;&gt;"",'Raw Data'!A170,"")</f>
        <v/>
      </c>
      <c r="B183" s="4">
        <f>IF('Raw Data'!B170&lt;&gt;"",'Raw Data'!B170,"")</f>
        <v/>
      </c>
      <c r="C183" s="4">
        <f>IF('Raw Data'!C170&lt;&gt;"",'Raw Data'!C170,"")</f>
        <v/>
      </c>
      <c r="D183" s="4">
        <f>IF('Raw Data'!D170&lt;&gt;"",'Raw Data'!D170,"")</f>
        <v/>
      </c>
      <c r="E183" s="4">
        <f>IF('Raw Data'!E170&lt;&gt;"",'Raw Data'!E170,"")</f>
        <v/>
      </c>
      <c r="F183" s="14">
        <f>IF('Raw Data'!A170&lt;&gt;"",AVERAGE('Raw Data'!F170,'Raw Data'!H170,'Raw Data'!J170,'Raw Data'!L170,'Raw Data'!N170),"")</f>
        <v/>
      </c>
      <c r="G183" s="14">
        <f>IF('Raw Data'!A170&lt;&gt;"",AVERAGE('Raw Data'!G170,'Raw Data'!I170,'Raw Data'!K170,'Raw Data'!M170,'Raw Data'!O170),"")</f>
        <v/>
      </c>
      <c r="H183" s="14">
        <f>IF(F183&lt;&gt;"",F183-G183,"")</f>
        <v/>
      </c>
      <c r="I183" s="14">
        <f>IF('Raw Data'!A170&lt;&gt;"",AVERAGE('Raw Data'!P170,'Raw Data'!R170,'Raw Data'!T170,'Raw Data'!V170,'Raw Data'!X170),"")</f>
        <v/>
      </c>
      <c r="J183" s="14">
        <f>IF('Raw Data'!A170&lt;&gt;"",AVERAGE('Raw Data'!Q170,'Raw Data'!S170,'Raw Data'!U170,'Raw Data'!W170,'Raw Data'!Y170),"")</f>
        <v/>
      </c>
      <c r="K183" s="14">
        <f>IF(I183&lt;&gt;"",I183-J183,"")</f>
        <v/>
      </c>
      <c r="L183" s="14">
        <f>IF('Raw Data'!A170&lt;&gt;"",AVERAGE('Raw Data'!Z170,'Raw Data'!AB170,'Raw Data'!AD170,'Raw Data'!AF170,'Raw Data'!AH170),"")</f>
        <v/>
      </c>
      <c r="M183" s="14">
        <f>IF('Raw Data'!A170&lt;&gt;"",AVERAGE('Raw Data'!AA170,'Raw Data'!AC170,'Raw Data'!AE170,'Raw Data'!AG170,'Raw Data'!AI170),"")</f>
        <v/>
      </c>
      <c r="N183" s="14">
        <f>IF(L183&lt;&gt;"",L183-M183,"")</f>
        <v/>
      </c>
      <c r="O183" s="14">
        <f>IF('Raw Data'!A170&lt;&gt;"",AVERAGE('Raw Data'!AJ170,'Raw Data'!AL170,'Raw Data'!AN170,'Raw Data'!AP170,'Raw Data'!AR170),"")</f>
        <v/>
      </c>
      <c r="P183" s="14">
        <f>IF('Raw Data'!A170&lt;&gt;"",AVERAGE('Raw Data'!AK170,'Raw Data'!AM170,'Raw Data'!AO170,'Raw Data'!AQ170,'Raw Data'!AS170),"")</f>
        <v/>
      </c>
      <c r="Q183" s="14">
        <f>IF(O183&lt;&gt;"",O183-P183,"")</f>
        <v/>
      </c>
      <c r="R183" s="14">
        <f>IF('Raw Data'!A170&lt;&gt;"",AVERAGE('Raw Data'!AT170,'Raw Data'!AV170,'Raw Data'!AX170,'Raw Data'!AZ170,'Raw Data'!BB170),"")</f>
        <v/>
      </c>
      <c r="S183" s="14">
        <f>IF('Raw Data'!A170&lt;&gt;"",AVERAGE('Raw Data'!AU170,'Raw Data'!AW170,'Raw Data'!AY170,'Raw Data'!BA170,'Raw Data'!BC170),"")</f>
        <v/>
      </c>
      <c r="T183" s="14">
        <f>IF(R183&lt;&gt;"",R183-S183,"")</f>
        <v/>
      </c>
      <c r="U183" s="14">
        <f>IF('Raw Data'!A170&lt;&gt;"",AVERAGE('Raw Data'!BD170,'Raw Data'!BF170,'Raw Data'!BH170,'Raw Data'!BJ170,'Raw Data'!BL170),"")</f>
        <v/>
      </c>
      <c r="V183" s="14">
        <f>IF('Raw Data'!A170&lt;&gt;"",AVERAGE('Raw Data'!BE170,'Raw Data'!BG170,'Raw Data'!BI170,'Raw Data'!BK170,'Raw Data'!BM170),"")</f>
        <v/>
      </c>
      <c r="W183" s="14">
        <f>IF(U183&lt;&gt;"",U183-V183,"")</f>
        <v/>
      </c>
      <c r="X183" s="14">
        <f>IF(A183&lt;&gt;"",AVERAGE(F183,I183,L183,O183,R183,U183),"")</f>
        <v/>
      </c>
      <c r="Y183" s="14">
        <f>IF(A183&lt;&gt;"",AVERAGE(G183,J183,M183,P183,S183,V183),"")</f>
        <v/>
      </c>
      <c r="Z183" s="14">
        <f>IF(A183&lt;&gt;"",X183-Y183,"")</f>
        <v/>
      </c>
      <c r="AA183" s="15">
        <f>IF(A183&lt;&gt;"",ROUND(MIN(100,100*((MAX(0,K183)*0.25)+(MAX(0,Q183)*0.20)+(MAX(0,W183)*0.20)+(MAX(0,H183)*0.15)+(MAX(0,N183)*0.10)+(MAX(0,T183)*0.10))/9),1),"")</f>
        <v/>
      </c>
      <c r="AB183" s="28">
        <f>IF(A183&lt;&gt;"",MIN(1,(0.5*AA183/100)+(0.3*MAX(0,K183)/9)+(0.2*MAX(0,Q183)/9)),"")</f>
        <v/>
      </c>
    </row>
    <row r="184">
      <c r="A184" s="13">
        <f>IF('Raw Data'!A171&lt;&gt;"",'Raw Data'!A171,"")</f>
        <v/>
      </c>
      <c r="B184" s="13">
        <f>IF('Raw Data'!B171&lt;&gt;"",'Raw Data'!B171,"")</f>
        <v/>
      </c>
      <c r="C184" s="13">
        <f>IF('Raw Data'!C171&lt;&gt;"",'Raw Data'!C171,"")</f>
        <v/>
      </c>
      <c r="D184" s="13">
        <f>IF('Raw Data'!D171&lt;&gt;"",'Raw Data'!D171,"")</f>
        <v/>
      </c>
      <c r="E184" s="13">
        <f>IF('Raw Data'!E171&lt;&gt;"",'Raw Data'!E171,"")</f>
        <v/>
      </c>
      <c r="F184" s="17">
        <f>IF('Raw Data'!A171&lt;&gt;"",AVERAGE('Raw Data'!F171,'Raw Data'!H171,'Raw Data'!J171,'Raw Data'!L171,'Raw Data'!N171),"")</f>
        <v/>
      </c>
      <c r="G184" s="17">
        <f>IF('Raw Data'!A171&lt;&gt;"",AVERAGE('Raw Data'!G171,'Raw Data'!I171,'Raw Data'!K171,'Raw Data'!M171,'Raw Data'!O171),"")</f>
        <v/>
      </c>
      <c r="H184" s="17">
        <f>IF(F184&lt;&gt;"",F184-G184,"")</f>
        <v/>
      </c>
      <c r="I184" s="17">
        <f>IF('Raw Data'!A171&lt;&gt;"",AVERAGE('Raw Data'!P171,'Raw Data'!R171,'Raw Data'!T171,'Raw Data'!V171,'Raw Data'!X171),"")</f>
        <v/>
      </c>
      <c r="J184" s="17">
        <f>IF('Raw Data'!A171&lt;&gt;"",AVERAGE('Raw Data'!Q171,'Raw Data'!S171,'Raw Data'!U171,'Raw Data'!W171,'Raw Data'!Y171),"")</f>
        <v/>
      </c>
      <c r="K184" s="17">
        <f>IF(I184&lt;&gt;"",I184-J184,"")</f>
        <v/>
      </c>
      <c r="L184" s="17">
        <f>IF('Raw Data'!A171&lt;&gt;"",AVERAGE('Raw Data'!Z171,'Raw Data'!AB171,'Raw Data'!AD171,'Raw Data'!AF171,'Raw Data'!AH171),"")</f>
        <v/>
      </c>
      <c r="M184" s="17">
        <f>IF('Raw Data'!A171&lt;&gt;"",AVERAGE('Raw Data'!AA171,'Raw Data'!AC171,'Raw Data'!AE171,'Raw Data'!AG171,'Raw Data'!AI171),"")</f>
        <v/>
      </c>
      <c r="N184" s="17">
        <f>IF(L184&lt;&gt;"",L184-M184,"")</f>
        <v/>
      </c>
      <c r="O184" s="17">
        <f>IF('Raw Data'!A171&lt;&gt;"",AVERAGE('Raw Data'!AJ171,'Raw Data'!AL171,'Raw Data'!AN171,'Raw Data'!AP171,'Raw Data'!AR171),"")</f>
        <v/>
      </c>
      <c r="P184" s="17">
        <f>IF('Raw Data'!A171&lt;&gt;"",AVERAGE('Raw Data'!AK171,'Raw Data'!AM171,'Raw Data'!AO171,'Raw Data'!AQ171,'Raw Data'!AS171),"")</f>
        <v/>
      </c>
      <c r="Q184" s="17">
        <f>IF(O184&lt;&gt;"",O184-P184,"")</f>
        <v/>
      </c>
      <c r="R184" s="17">
        <f>IF('Raw Data'!A171&lt;&gt;"",AVERAGE('Raw Data'!AT171,'Raw Data'!AV171,'Raw Data'!AX171,'Raw Data'!AZ171,'Raw Data'!BB171),"")</f>
        <v/>
      </c>
      <c r="S184" s="17">
        <f>IF('Raw Data'!A171&lt;&gt;"",AVERAGE('Raw Data'!AU171,'Raw Data'!AW171,'Raw Data'!AY171,'Raw Data'!BA171,'Raw Data'!BC171),"")</f>
        <v/>
      </c>
      <c r="T184" s="17">
        <f>IF(R184&lt;&gt;"",R184-S184,"")</f>
        <v/>
      </c>
      <c r="U184" s="17">
        <f>IF('Raw Data'!A171&lt;&gt;"",AVERAGE('Raw Data'!BD171,'Raw Data'!BF171,'Raw Data'!BH171,'Raw Data'!BJ171,'Raw Data'!BL171),"")</f>
        <v/>
      </c>
      <c r="V184" s="17">
        <f>IF('Raw Data'!A171&lt;&gt;"",AVERAGE('Raw Data'!BE171,'Raw Data'!BG171,'Raw Data'!BI171,'Raw Data'!BK171,'Raw Data'!BM171),"")</f>
        <v/>
      </c>
      <c r="W184" s="17">
        <f>IF(U184&lt;&gt;"",U184-V184,"")</f>
        <v/>
      </c>
      <c r="X184" s="17">
        <f>IF(A184&lt;&gt;"",AVERAGE(F184,I184,L184,O184,R184,U184),"")</f>
        <v/>
      </c>
      <c r="Y184" s="17">
        <f>IF(A184&lt;&gt;"",AVERAGE(G184,J184,M184,P184,S184,V184),"")</f>
        <v/>
      </c>
      <c r="Z184" s="17">
        <f>IF(A184&lt;&gt;"",X184-Y184,"")</f>
        <v/>
      </c>
      <c r="AA184" s="18">
        <f>IF(A184&lt;&gt;"",ROUND(MIN(100,100*((MAX(0,K184)*0.25)+(MAX(0,Q184)*0.20)+(MAX(0,W184)*0.20)+(MAX(0,H184)*0.15)+(MAX(0,N184)*0.10)+(MAX(0,T184)*0.10))/9),1),"")</f>
        <v/>
      </c>
      <c r="AB184" s="29">
        <f>IF(A184&lt;&gt;"",MIN(1,(0.5*AA184/100)+(0.3*MAX(0,K184)/9)+(0.2*MAX(0,Q184)/9)),"")</f>
        <v/>
      </c>
    </row>
    <row r="185">
      <c r="A185" s="4">
        <f>IF('Raw Data'!A172&lt;&gt;"",'Raw Data'!A172,"")</f>
        <v/>
      </c>
      <c r="B185" s="4">
        <f>IF('Raw Data'!B172&lt;&gt;"",'Raw Data'!B172,"")</f>
        <v/>
      </c>
      <c r="C185" s="4">
        <f>IF('Raw Data'!C172&lt;&gt;"",'Raw Data'!C172,"")</f>
        <v/>
      </c>
      <c r="D185" s="4">
        <f>IF('Raw Data'!D172&lt;&gt;"",'Raw Data'!D172,"")</f>
        <v/>
      </c>
      <c r="E185" s="4">
        <f>IF('Raw Data'!E172&lt;&gt;"",'Raw Data'!E172,"")</f>
        <v/>
      </c>
      <c r="F185" s="14">
        <f>IF('Raw Data'!A172&lt;&gt;"",AVERAGE('Raw Data'!F172,'Raw Data'!H172,'Raw Data'!J172,'Raw Data'!L172,'Raw Data'!N172),"")</f>
        <v/>
      </c>
      <c r="G185" s="14">
        <f>IF('Raw Data'!A172&lt;&gt;"",AVERAGE('Raw Data'!G172,'Raw Data'!I172,'Raw Data'!K172,'Raw Data'!M172,'Raw Data'!O172),"")</f>
        <v/>
      </c>
      <c r="H185" s="14">
        <f>IF(F185&lt;&gt;"",F185-G185,"")</f>
        <v/>
      </c>
      <c r="I185" s="14">
        <f>IF('Raw Data'!A172&lt;&gt;"",AVERAGE('Raw Data'!P172,'Raw Data'!R172,'Raw Data'!T172,'Raw Data'!V172,'Raw Data'!X172),"")</f>
        <v/>
      </c>
      <c r="J185" s="14">
        <f>IF('Raw Data'!A172&lt;&gt;"",AVERAGE('Raw Data'!Q172,'Raw Data'!S172,'Raw Data'!U172,'Raw Data'!W172,'Raw Data'!Y172),"")</f>
        <v/>
      </c>
      <c r="K185" s="14">
        <f>IF(I185&lt;&gt;"",I185-J185,"")</f>
        <v/>
      </c>
      <c r="L185" s="14">
        <f>IF('Raw Data'!A172&lt;&gt;"",AVERAGE('Raw Data'!Z172,'Raw Data'!AB172,'Raw Data'!AD172,'Raw Data'!AF172,'Raw Data'!AH172),"")</f>
        <v/>
      </c>
      <c r="M185" s="14">
        <f>IF('Raw Data'!A172&lt;&gt;"",AVERAGE('Raw Data'!AA172,'Raw Data'!AC172,'Raw Data'!AE172,'Raw Data'!AG172,'Raw Data'!AI172),"")</f>
        <v/>
      </c>
      <c r="N185" s="14">
        <f>IF(L185&lt;&gt;"",L185-M185,"")</f>
        <v/>
      </c>
      <c r="O185" s="14">
        <f>IF('Raw Data'!A172&lt;&gt;"",AVERAGE('Raw Data'!AJ172,'Raw Data'!AL172,'Raw Data'!AN172,'Raw Data'!AP172,'Raw Data'!AR172),"")</f>
        <v/>
      </c>
      <c r="P185" s="14">
        <f>IF('Raw Data'!A172&lt;&gt;"",AVERAGE('Raw Data'!AK172,'Raw Data'!AM172,'Raw Data'!AO172,'Raw Data'!AQ172,'Raw Data'!AS172),"")</f>
        <v/>
      </c>
      <c r="Q185" s="14">
        <f>IF(O185&lt;&gt;"",O185-P185,"")</f>
        <v/>
      </c>
      <c r="R185" s="14">
        <f>IF('Raw Data'!A172&lt;&gt;"",AVERAGE('Raw Data'!AT172,'Raw Data'!AV172,'Raw Data'!AX172,'Raw Data'!AZ172,'Raw Data'!BB172),"")</f>
        <v/>
      </c>
      <c r="S185" s="14">
        <f>IF('Raw Data'!A172&lt;&gt;"",AVERAGE('Raw Data'!AU172,'Raw Data'!AW172,'Raw Data'!AY172,'Raw Data'!BA172,'Raw Data'!BC172),"")</f>
        <v/>
      </c>
      <c r="T185" s="14">
        <f>IF(R185&lt;&gt;"",R185-S185,"")</f>
        <v/>
      </c>
      <c r="U185" s="14">
        <f>IF('Raw Data'!A172&lt;&gt;"",AVERAGE('Raw Data'!BD172,'Raw Data'!BF172,'Raw Data'!BH172,'Raw Data'!BJ172,'Raw Data'!BL172),"")</f>
        <v/>
      </c>
      <c r="V185" s="14">
        <f>IF('Raw Data'!A172&lt;&gt;"",AVERAGE('Raw Data'!BE172,'Raw Data'!BG172,'Raw Data'!BI172,'Raw Data'!BK172,'Raw Data'!BM172),"")</f>
        <v/>
      </c>
      <c r="W185" s="14">
        <f>IF(U185&lt;&gt;"",U185-V185,"")</f>
        <v/>
      </c>
      <c r="X185" s="14">
        <f>IF(A185&lt;&gt;"",AVERAGE(F185,I185,L185,O185,R185,U185),"")</f>
        <v/>
      </c>
      <c r="Y185" s="14">
        <f>IF(A185&lt;&gt;"",AVERAGE(G185,J185,M185,P185,S185,V185),"")</f>
        <v/>
      </c>
      <c r="Z185" s="14">
        <f>IF(A185&lt;&gt;"",X185-Y185,"")</f>
        <v/>
      </c>
      <c r="AA185" s="15">
        <f>IF(A185&lt;&gt;"",ROUND(MIN(100,100*((MAX(0,K185)*0.25)+(MAX(0,Q185)*0.20)+(MAX(0,W185)*0.20)+(MAX(0,H185)*0.15)+(MAX(0,N185)*0.10)+(MAX(0,T185)*0.10))/9),1),"")</f>
        <v/>
      </c>
      <c r="AB185" s="28">
        <f>IF(A185&lt;&gt;"",MIN(1,(0.5*AA185/100)+(0.3*MAX(0,K185)/9)+(0.2*MAX(0,Q185)/9)),"")</f>
        <v/>
      </c>
    </row>
    <row r="186">
      <c r="A186" s="13">
        <f>IF('Raw Data'!A173&lt;&gt;"",'Raw Data'!A173,"")</f>
        <v/>
      </c>
      <c r="B186" s="13">
        <f>IF('Raw Data'!B173&lt;&gt;"",'Raw Data'!B173,"")</f>
        <v/>
      </c>
      <c r="C186" s="13">
        <f>IF('Raw Data'!C173&lt;&gt;"",'Raw Data'!C173,"")</f>
        <v/>
      </c>
      <c r="D186" s="13">
        <f>IF('Raw Data'!D173&lt;&gt;"",'Raw Data'!D173,"")</f>
        <v/>
      </c>
      <c r="E186" s="13">
        <f>IF('Raw Data'!E173&lt;&gt;"",'Raw Data'!E173,"")</f>
        <v/>
      </c>
      <c r="F186" s="17">
        <f>IF('Raw Data'!A173&lt;&gt;"",AVERAGE('Raw Data'!F173,'Raw Data'!H173,'Raw Data'!J173,'Raw Data'!L173,'Raw Data'!N173),"")</f>
        <v/>
      </c>
      <c r="G186" s="17">
        <f>IF('Raw Data'!A173&lt;&gt;"",AVERAGE('Raw Data'!G173,'Raw Data'!I173,'Raw Data'!K173,'Raw Data'!M173,'Raw Data'!O173),"")</f>
        <v/>
      </c>
      <c r="H186" s="17">
        <f>IF(F186&lt;&gt;"",F186-G186,"")</f>
        <v/>
      </c>
      <c r="I186" s="17">
        <f>IF('Raw Data'!A173&lt;&gt;"",AVERAGE('Raw Data'!P173,'Raw Data'!R173,'Raw Data'!T173,'Raw Data'!V173,'Raw Data'!X173),"")</f>
        <v/>
      </c>
      <c r="J186" s="17">
        <f>IF('Raw Data'!A173&lt;&gt;"",AVERAGE('Raw Data'!Q173,'Raw Data'!S173,'Raw Data'!U173,'Raw Data'!W173,'Raw Data'!Y173),"")</f>
        <v/>
      </c>
      <c r="K186" s="17">
        <f>IF(I186&lt;&gt;"",I186-J186,"")</f>
        <v/>
      </c>
      <c r="L186" s="17">
        <f>IF('Raw Data'!A173&lt;&gt;"",AVERAGE('Raw Data'!Z173,'Raw Data'!AB173,'Raw Data'!AD173,'Raw Data'!AF173,'Raw Data'!AH173),"")</f>
        <v/>
      </c>
      <c r="M186" s="17">
        <f>IF('Raw Data'!A173&lt;&gt;"",AVERAGE('Raw Data'!AA173,'Raw Data'!AC173,'Raw Data'!AE173,'Raw Data'!AG173,'Raw Data'!AI173),"")</f>
        <v/>
      </c>
      <c r="N186" s="17">
        <f>IF(L186&lt;&gt;"",L186-M186,"")</f>
        <v/>
      </c>
      <c r="O186" s="17">
        <f>IF('Raw Data'!A173&lt;&gt;"",AVERAGE('Raw Data'!AJ173,'Raw Data'!AL173,'Raw Data'!AN173,'Raw Data'!AP173,'Raw Data'!AR173),"")</f>
        <v/>
      </c>
      <c r="P186" s="17">
        <f>IF('Raw Data'!A173&lt;&gt;"",AVERAGE('Raw Data'!AK173,'Raw Data'!AM173,'Raw Data'!AO173,'Raw Data'!AQ173,'Raw Data'!AS173),"")</f>
        <v/>
      </c>
      <c r="Q186" s="17">
        <f>IF(O186&lt;&gt;"",O186-P186,"")</f>
        <v/>
      </c>
      <c r="R186" s="17">
        <f>IF('Raw Data'!A173&lt;&gt;"",AVERAGE('Raw Data'!AT173,'Raw Data'!AV173,'Raw Data'!AX173,'Raw Data'!AZ173,'Raw Data'!BB173),"")</f>
        <v/>
      </c>
      <c r="S186" s="17">
        <f>IF('Raw Data'!A173&lt;&gt;"",AVERAGE('Raw Data'!AU173,'Raw Data'!AW173,'Raw Data'!AY173,'Raw Data'!BA173,'Raw Data'!BC173),"")</f>
        <v/>
      </c>
      <c r="T186" s="17">
        <f>IF(R186&lt;&gt;"",R186-S186,"")</f>
        <v/>
      </c>
      <c r="U186" s="17">
        <f>IF('Raw Data'!A173&lt;&gt;"",AVERAGE('Raw Data'!BD173,'Raw Data'!BF173,'Raw Data'!BH173,'Raw Data'!BJ173,'Raw Data'!BL173),"")</f>
        <v/>
      </c>
      <c r="V186" s="17">
        <f>IF('Raw Data'!A173&lt;&gt;"",AVERAGE('Raw Data'!BE173,'Raw Data'!BG173,'Raw Data'!BI173,'Raw Data'!BK173,'Raw Data'!BM173),"")</f>
        <v/>
      </c>
      <c r="W186" s="17">
        <f>IF(U186&lt;&gt;"",U186-V186,"")</f>
        <v/>
      </c>
      <c r="X186" s="17">
        <f>IF(A186&lt;&gt;"",AVERAGE(F186,I186,L186,O186,R186,U186),"")</f>
        <v/>
      </c>
      <c r="Y186" s="17">
        <f>IF(A186&lt;&gt;"",AVERAGE(G186,J186,M186,P186,S186,V186),"")</f>
        <v/>
      </c>
      <c r="Z186" s="17">
        <f>IF(A186&lt;&gt;"",X186-Y186,"")</f>
        <v/>
      </c>
      <c r="AA186" s="18">
        <f>IF(A186&lt;&gt;"",ROUND(MIN(100,100*((MAX(0,K186)*0.25)+(MAX(0,Q186)*0.20)+(MAX(0,W186)*0.20)+(MAX(0,H186)*0.15)+(MAX(0,N186)*0.10)+(MAX(0,T186)*0.10))/9),1),"")</f>
        <v/>
      </c>
      <c r="AB186" s="29">
        <f>IF(A186&lt;&gt;"",MIN(1,(0.5*AA186/100)+(0.3*MAX(0,K186)/9)+(0.2*MAX(0,Q186)/9)),"")</f>
        <v/>
      </c>
    </row>
    <row r="187">
      <c r="A187" s="4">
        <f>IF('Raw Data'!A174&lt;&gt;"",'Raw Data'!A174,"")</f>
        <v/>
      </c>
      <c r="B187" s="4">
        <f>IF('Raw Data'!B174&lt;&gt;"",'Raw Data'!B174,"")</f>
        <v/>
      </c>
      <c r="C187" s="4">
        <f>IF('Raw Data'!C174&lt;&gt;"",'Raw Data'!C174,"")</f>
        <v/>
      </c>
      <c r="D187" s="4">
        <f>IF('Raw Data'!D174&lt;&gt;"",'Raw Data'!D174,"")</f>
        <v/>
      </c>
      <c r="E187" s="4">
        <f>IF('Raw Data'!E174&lt;&gt;"",'Raw Data'!E174,"")</f>
        <v/>
      </c>
      <c r="F187" s="14">
        <f>IF('Raw Data'!A174&lt;&gt;"",AVERAGE('Raw Data'!F174,'Raw Data'!H174,'Raw Data'!J174,'Raw Data'!L174,'Raw Data'!N174),"")</f>
        <v/>
      </c>
      <c r="G187" s="14">
        <f>IF('Raw Data'!A174&lt;&gt;"",AVERAGE('Raw Data'!G174,'Raw Data'!I174,'Raw Data'!K174,'Raw Data'!M174,'Raw Data'!O174),"")</f>
        <v/>
      </c>
      <c r="H187" s="14">
        <f>IF(F187&lt;&gt;"",F187-G187,"")</f>
        <v/>
      </c>
      <c r="I187" s="14">
        <f>IF('Raw Data'!A174&lt;&gt;"",AVERAGE('Raw Data'!P174,'Raw Data'!R174,'Raw Data'!T174,'Raw Data'!V174,'Raw Data'!X174),"")</f>
        <v/>
      </c>
      <c r="J187" s="14">
        <f>IF('Raw Data'!A174&lt;&gt;"",AVERAGE('Raw Data'!Q174,'Raw Data'!S174,'Raw Data'!U174,'Raw Data'!W174,'Raw Data'!Y174),"")</f>
        <v/>
      </c>
      <c r="K187" s="14">
        <f>IF(I187&lt;&gt;"",I187-J187,"")</f>
        <v/>
      </c>
      <c r="L187" s="14">
        <f>IF('Raw Data'!A174&lt;&gt;"",AVERAGE('Raw Data'!Z174,'Raw Data'!AB174,'Raw Data'!AD174,'Raw Data'!AF174,'Raw Data'!AH174),"")</f>
        <v/>
      </c>
      <c r="M187" s="14">
        <f>IF('Raw Data'!A174&lt;&gt;"",AVERAGE('Raw Data'!AA174,'Raw Data'!AC174,'Raw Data'!AE174,'Raw Data'!AG174,'Raw Data'!AI174),"")</f>
        <v/>
      </c>
      <c r="N187" s="14">
        <f>IF(L187&lt;&gt;"",L187-M187,"")</f>
        <v/>
      </c>
      <c r="O187" s="14">
        <f>IF('Raw Data'!A174&lt;&gt;"",AVERAGE('Raw Data'!AJ174,'Raw Data'!AL174,'Raw Data'!AN174,'Raw Data'!AP174,'Raw Data'!AR174),"")</f>
        <v/>
      </c>
      <c r="P187" s="14">
        <f>IF('Raw Data'!A174&lt;&gt;"",AVERAGE('Raw Data'!AK174,'Raw Data'!AM174,'Raw Data'!AO174,'Raw Data'!AQ174,'Raw Data'!AS174),"")</f>
        <v/>
      </c>
      <c r="Q187" s="14">
        <f>IF(O187&lt;&gt;"",O187-P187,"")</f>
        <v/>
      </c>
      <c r="R187" s="14">
        <f>IF('Raw Data'!A174&lt;&gt;"",AVERAGE('Raw Data'!AT174,'Raw Data'!AV174,'Raw Data'!AX174,'Raw Data'!AZ174,'Raw Data'!BB174),"")</f>
        <v/>
      </c>
      <c r="S187" s="14">
        <f>IF('Raw Data'!A174&lt;&gt;"",AVERAGE('Raw Data'!AU174,'Raw Data'!AW174,'Raw Data'!AY174,'Raw Data'!BA174,'Raw Data'!BC174),"")</f>
        <v/>
      </c>
      <c r="T187" s="14">
        <f>IF(R187&lt;&gt;"",R187-S187,"")</f>
        <v/>
      </c>
      <c r="U187" s="14">
        <f>IF('Raw Data'!A174&lt;&gt;"",AVERAGE('Raw Data'!BD174,'Raw Data'!BF174,'Raw Data'!BH174,'Raw Data'!BJ174,'Raw Data'!BL174),"")</f>
        <v/>
      </c>
      <c r="V187" s="14">
        <f>IF('Raw Data'!A174&lt;&gt;"",AVERAGE('Raw Data'!BE174,'Raw Data'!BG174,'Raw Data'!BI174,'Raw Data'!BK174,'Raw Data'!BM174),"")</f>
        <v/>
      </c>
      <c r="W187" s="14">
        <f>IF(U187&lt;&gt;"",U187-V187,"")</f>
        <v/>
      </c>
      <c r="X187" s="14">
        <f>IF(A187&lt;&gt;"",AVERAGE(F187,I187,L187,O187,R187,U187),"")</f>
        <v/>
      </c>
      <c r="Y187" s="14">
        <f>IF(A187&lt;&gt;"",AVERAGE(G187,J187,M187,P187,S187,V187),"")</f>
        <v/>
      </c>
      <c r="Z187" s="14">
        <f>IF(A187&lt;&gt;"",X187-Y187,"")</f>
        <v/>
      </c>
      <c r="AA187" s="15">
        <f>IF(A187&lt;&gt;"",ROUND(MIN(100,100*((MAX(0,K187)*0.25)+(MAX(0,Q187)*0.20)+(MAX(0,W187)*0.20)+(MAX(0,H187)*0.15)+(MAX(0,N187)*0.10)+(MAX(0,T187)*0.10))/9),1),"")</f>
        <v/>
      </c>
      <c r="AB187" s="28">
        <f>IF(A187&lt;&gt;"",MIN(1,(0.5*AA187/100)+(0.3*MAX(0,K187)/9)+(0.2*MAX(0,Q187)/9)),"")</f>
        <v/>
      </c>
    </row>
    <row r="188">
      <c r="A188" s="13">
        <f>IF('Raw Data'!A175&lt;&gt;"",'Raw Data'!A175,"")</f>
        <v/>
      </c>
      <c r="B188" s="13">
        <f>IF('Raw Data'!B175&lt;&gt;"",'Raw Data'!B175,"")</f>
        <v/>
      </c>
      <c r="C188" s="13">
        <f>IF('Raw Data'!C175&lt;&gt;"",'Raw Data'!C175,"")</f>
        <v/>
      </c>
      <c r="D188" s="13">
        <f>IF('Raw Data'!D175&lt;&gt;"",'Raw Data'!D175,"")</f>
        <v/>
      </c>
      <c r="E188" s="13">
        <f>IF('Raw Data'!E175&lt;&gt;"",'Raw Data'!E175,"")</f>
        <v/>
      </c>
      <c r="F188" s="17">
        <f>IF('Raw Data'!A175&lt;&gt;"",AVERAGE('Raw Data'!F175,'Raw Data'!H175,'Raw Data'!J175,'Raw Data'!L175,'Raw Data'!N175),"")</f>
        <v/>
      </c>
      <c r="G188" s="17">
        <f>IF('Raw Data'!A175&lt;&gt;"",AVERAGE('Raw Data'!G175,'Raw Data'!I175,'Raw Data'!K175,'Raw Data'!M175,'Raw Data'!O175),"")</f>
        <v/>
      </c>
      <c r="H188" s="17">
        <f>IF(F188&lt;&gt;"",F188-G188,"")</f>
        <v/>
      </c>
      <c r="I188" s="17">
        <f>IF('Raw Data'!A175&lt;&gt;"",AVERAGE('Raw Data'!P175,'Raw Data'!R175,'Raw Data'!T175,'Raw Data'!V175,'Raw Data'!X175),"")</f>
        <v/>
      </c>
      <c r="J188" s="17">
        <f>IF('Raw Data'!A175&lt;&gt;"",AVERAGE('Raw Data'!Q175,'Raw Data'!S175,'Raw Data'!U175,'Raw Data'!W175,'Raw Data'!Y175),"")</f>
        <v/>
      </c>
      <c r="K188" s="17">
        <f>IF(I188&lt;&gt;"",I188-J188,"")</f>
        <v/>
      </c>
      <c r="L188" s="17">
        <f>IF('Raw Data'!A175&lt;&gt;"",AVERAGE('Raw Data'!Z175,'Raw Data'!AB175,'Raw Data'!AD175,'Raw Data'!AF175,'Raw Data'!AH175),"")</f>
        <v/>
      </c>
      <c r="M188" s="17">
        <f>IF('Raw Data'!A175&lt;&gt;"",AVERAGE('Raw Data'!AA175,'Raw Data'!AC175,'Raw Data'!AE175,'Raw Data'!AG175,'Raw Data'!AI175),"")</f>
        <v/>
      </c>
      <c r="N188" s="17">
        <f>IF(L188&lt;&gt;"",L188-M188,"")</f>
        <v/>
      </c>
      <c r="O188" s="17">
        <f>IF('Raw Data'!A175&lt;&gt;"",AVERAGE('Raw Data'!AJ175,'Raw Data'!AL175,'Raw Data'!AN175,'Raw Data'!AP175,'Raw Data'!AR175),"")</f>
        <v/>
      </c>
      <c r="P188" s="17">
        <f>IF('Raw Data'!A175&lt;&gt;"",AVERAGE('Raw Data'!AK175,'Raw Data'!AM175,'Raw Data'!AO175,'Raw Data'!AQ175,'Raw Data'!AS175),"")</f>
        <v/>
      </c>
      <c r="Q188" s="17">
        <f>IF(O188&lt;&gt;"",O188-P188,"")</f>
        <v/>
      </c>
      <c r="R188" s="17">
        <f>IF('Raw Data'!A175&lt;&gt;"",AVERAGE('Raw Data'!AT175,'Raw Data'!AV175,'Raw Data'!AX175,'Raw Data'!AZ175,'Raw Data'!BB175),"")</f>
        <v/>
      </c>
      <c r="S188" s="17">
        <f>IF('Raw Data'!A175&lt;&gt;"",AVERAGE('Raw Data'!AU175,'Raw Data'!AW175,'Raw Data'!AY175,'Raw Data'!BA175,'Raw Data'!BC175),"")</f>
        <v/>
      </c>
      <c r="T188" s="17">
        <f>IF(R188&lt;&gt;"",R188-S188,"")</f>
        <v/>
      </c>
      <c r="U188" s="17">
        <f>IF('Raw Data'!A175&lt;&gt;"",AVERAGE('Raw Data'!BD175,'Raw Data'!BF175,'Raw Data'!BH175,'Raw Data'!BJ175,'Raw Data'!BL175),"")</f>
        <v/>
      </c>
      <c r="V188" s="17">
        <f>IF('Raw Data'!A175&lt;&gt;"",AVERAGE('Raw Data'!BE175,'Raw Data'!BG175,'Raw Data'!BI175,'Raw Data'!BK175,'Raw Data'!BM175),"")</f>
        <v/>
      </c>
      <c r="W188" s="17">
        <f>IF(U188&lt;&gt;"",U188-V188,"")</f>
        <v/>
      </c>
      <c r="X188" s="17">
        <f>IF(A188&lt;&gt;"",AVERAGE(F188,I188,L188,O188,R188,U188),"")</f>
        <v/>
      </c>
      <c r="Y188" s="17">
        <f>IF(A188&lt;&gt;"",AVERAGE(G188,J188,M188,P188,S188,V188),"")</f>
        <v/>
      </c>
      <c r="Z188" s="17">
        <f>IF(A188&lt;&gt;"",X188-Y188,"")</f>
        <v/>
      </c>
      <c r="AA188" s="18">
        <f>IF(A188&lt;&gt;"",ROUND(MIN(100,100*((MAX(0,K188)*0.25)+(MAX(0,Q188)*0.20)+(MAX(0,W188)*0.20)+(MAX(0,H188)*0.15)+(MAX(0,N188)*0.10)+(MAX(0,T188)*0.10))/9),1),"")</f>
        <v/>
      </c>
      <c r="AB188" s="29">
        <f>IF(A188&lt;&gt;"",MIN(1,(0.5*AA188/100)+(0.3*MAX(0,K188)/9)+(0.2*MAX(0,Q188)/9)),"")</f>
        <v/>
      </c>
    </row>
    <row r="189">
      <c r="A189" s="4">
        <f>IF('Raw Data'!A176&lt;&gt;"",'Raw Data'!A176,"")</f>
        <v/>
      </c>
      <c r="B189" s="4">
        <f>IF('Raw Data'!B176&lt;&gt;"",'Raw Data'!B176,"")</f>
        <v/>
      </c>
      <c r="C189" s="4">
        <f>IF('Raw Data'!C176&lt;&gt;"",'Raw Data'!C176,"")</f>
        <v/>
      </c>
      <c r="D189" s="4">
        <f>IF('Raw Data'!D176&lt;&gt;"",'Raw Data'!D176,"")</f>
        <v/>
      </c>
      <c r="E189" s="4">
        <f>IF('Raw Data'!E176&lt;&gt;"",'Raw Data'!E176,"")</f>
        <v/>
      </c>
      <c r="F189" s="14">
        <f>IF('Raw Data'!A176&lt;&gt;"",AVERAGE('Raw Data'!F176,'Raw Data'!H176,'Raw Data'!J176,'Raw Data'!L176,'Raw Data'!N176),"")</f>
        <v/>
      </c>
      <c r="G189" s="14">
        <f>IF('Raw Data'!A176&lt;&gt;"",AVERAGE('Raw Data'!G176,'Raw Data'!I176,'Raw Data'!K176,'Raw Data'!M176,'Raw Data'!O176),"")</f>
        <v/>
      </c>
      <c r="H189" s="14">
        <f>IF(F189&lt;&gt;"",F189-G189,"")</f>
        <v/>
      </c>
      <c r="I189" s="14">
        <f>IF('Raw Data'!A176&lt;&gt;"",AVERAGE('Raw Data'!P176,'Raw Data'!R176,'Raw Data'!T176,'Raw Data'!V176,'Raw Data'!X176),"")</f>
        <v/>
      </c>
      <c r="J189" s="14">
        <f>IF('Raw Data'!A176&lt;&gt;"",AVERAGE('Raw Data'!Q176,'Raw Data'!S176,'Raw Data'!U176,'Raw Data'!W176,'Raw Data'!Y176),"")</f>
        <v/>
      </c>
      <c r="K189" s="14">
        <f>IF(I189&lt;&gt;"",I189-J189,"")</f>
        <v/>
      </c>
      <c r="L189" s="14">
        <f>IF('Raw Data'!A176&lt;&gt;"",AVERAGE('Raw Data'!Z176,'Raw Data'!AB176,'Raw Data'!AD176,'Raw Data'!AF176,'Raw Data'!AH176),"")</f>
        <v/>
      </c>
      <c r="M189" s="14">
        <f>IF('Raw Data'!A176&lt;&gt;"",AVERAGE('Raw Data'!AA176,'Raw Data'!AC176,'Raw Data'!AE176,'Raw Data'!AG176,'Raw Data'!AI176),"")</f>
        <v/>
      </c>
      <c r="N189" s="14">
        <f>IF(L189&lt;&gt;"",L189-M189,"")</f>
        <v/>
      </c>
      <c r="O189" s="14">
        <f>IF('Raw Data'!A176&lt;&gt;"",AVERAGE('Raw Data'!AJ176,'Raw Data'!AL176,'Raw Data'!AN176,'Raw Data'!AP176,'Raw Data'!AR176),"")</f>
        <v/>
      </c>
      <c r="P189" s="14">
        <f>IF('Raw Data'!A176&lt;&gt;"",AVERAGE('Raw Data'!AK176,'Raw Data'!AM176,'Raw Data'!AO176,'Raw Data'!AQ176,'Raw Data'!AS176),"")</f>
        <v/>
      </c>
      <c r="Q189" s="14">
        <f>IF(O189&lt;&gt;"",O189-P189,"")</f>
        <v/>
      </c>
      <c r="R189" s="14">
        <f>IF('Raw Data'!A176&lt;&gt;"",AVERAGE('Raw Data'!AT176,'Raw Data'!AV176,'Raw Data'!AX176,'Raw Data'!AZ176,'Raw Data'!BB176),"")</f>
        <v/>
      </c>
      <c r="S189" s="14">
        <f>IF('Raw Data'!A176&lt;&gt;"",AVERAGE('Raw Data'!AU176,'Raw Data'!AW176,'Raw Data'!AY176,'Raw Data'!BA176,'Raw Data'!BC176),"")</f>
        <v/>
      </c>
      <c r="T189" s="14">
        <f>IF(R189&lt;&gt;"",R189-S189,"")</f>
        <v/>
      </c>
      <c r="U189" s="14">
        <f>IF('Raw Data'!A176&lt;&gt;"",AVERAGE('Raw Data'!BD176,'Raw Data'!BF176,'Raw Data'!BH176,'Raw Data'!BJ176,'Raw Data'!BL176),"")</f>
        <v/>
      </c>
      <c r="V189" s="14">
        <f>IF('Raw Data'!A176&lt;&gt;"",AVERAGE('Raw Data'!BE176,'Raw Data'!BG176,'Raw Data'!BI176,'Raw Data'!BK176,'Raw Data'!BM176),"")</f>
        <v/>
      </c>
      <c r="W189" s="14">
        <f>IF(U189&lt;&gt;"",U189-V189,"")</f>
        <v/>
      </c>
      <c r="X189" s="14">
        <f>IF(A189&lt;&gt;"",AVERAGE(F189,I189,L189,O189,R189,U189),"")</f>
        <v/>
      </c>
      <c r="Y189" s="14">
        <f>IF(A189&lt;&gt;"",AVERAGE(G189,J189,M189,P189,S189,V189),"")</f>
        <v/>
      </c>
      <c r="Z189" s="14">
        <f>IF(A189&lt;&gt;"",X189-Y189,"")</f>
        <v/>
      </c>
      <c r="AA189" s="15">
        <f>IF(A189&lt;&gt;"",ROUND(MIN(100,100*((MAX(0,K189)*0.25)+(MAX(0,Q189)*0.20)+(MAX(0,W189)*0.20)+(MAX(0,H189)*0.15)+(MAX(0,N189)*0.10)+(MAX(0,T189)*0.10))/9),1),"")</f>
        <v/>
      </c>
      <c r="AB189" s="28">
        <f>IF(A189&lt;&gt;"",MIN(1,(0.5*AA189/100)+(0.3*MAX(0,K189)/9)+(0.2*MAX(0,Q189)/9)),"")</f>
        <v/>
      </c>
    </row>
    <row r="190">
      <c r="A190" s="13">
        <f>IF('Raw Data'!A177&lt;&gt;"",'Raw Data'!A177,"")</f>
        <v/>
      </c>
      <c r="B190" s="13">
        <f>IF('Raw Data'!B177&lt;&gt;"",'Raw Data'!B177,"")</f>
        <v/>
      </c>
      <c r="C190" s="13">
        <f>IF('Raw Data'!C177&lt;&gt;"",'Raw Data'!C177,"")</f>
        <v/>
      </c>
      <c r="D190" s="13">
        <f>IF('Raw Data'!D177&lt;&gt;"",'Raw Data'!D177,"")</f>
        <v/>
      </c>
      <c r="E190" s="13">
        <f>IF('Raw Data'!E177&lt;&gt;"",'Raw Data'!E177,"")</f>
        <v/>
      </c>
      <c r="F190" s="17">
        <f>IF('Raw Data'!A177&lt;&gt;"",AVERAGE('Raw Data'!F177,'Raw Data'!H177,'Raw Data'!J177,'Raw Data'!L177,'Raw Data'!N177),"")</f>
        <v/>
      </c>
      <c r="G190" s="17">
        <f>IF('Raw Data'!A177&lt;&gt;"",AVERAGE('Raw Data'!G177,'Raw Data'!I177,'Raw Data'!K177,'Raw Data'!M177,'Raw Data'!O177),"")</f>
        <v/>
      </c>
      <c r="H190" s="17">
        <f>IF(F190&lt;&gt;"",F190-G190,"")</f>
        <v/>
      </c>
      <c r="I190" s="17">
        <f>IF('Raw Data'!A177&lt;&gt;"",AVERAGE('Raw Data'!P177,'Raw Data'!R177,'Raw Data'!T177,'Raw Data'!V177,'Raw Data'!X177),"")</f>
        <v/>
      </c>
      <c r="J190" s="17">
        <f>IF('Raw Data'!A177&lt;&gt;"",AVERAGE('Raw Data'!Q177,'Raw Data'!S177,'Raw Data'!U177,'Raw Data'!W177,'Raw Data'!Y177),"")</f>
        <v/>
      </c>
      <c r="K190" s="17">
        <f>IF(I190&lt;&gt;"",I190-J190,"")</f>
        <v/>
      </c>
      <c r="L190" s="17">
        <f>IF('Raw Data'!A177&lt;&gt;"",AVERAGE('Raw Data'!Z177,'Raw Data'!AB177,'Raw Data'!AD177,'Raw Data'!AF177,'Raw Data'!AH177),"")</f>
        <v/>
      </c>
      <c r="M190" s="17">
        <f>IF('Raw Data'!A177&lt;&gt;"",AVERAGE('Raw Data'!AA177,'Raw Data'!AC177,'Raw Data'!AE177,'Raw Data'!AG177,'Raw Data'!AI177),"")</f>
        <v/>
      </c>
      <c r="N190" s="17">
        <f>IF(L190&lt;&gt;"",L190-M190,"")</f>
        <v/>
      </c>
      <c r="O190" s="17">
        <f>IF('Raw Data'!A177&lt;&gt;"",AVERAGE('Raw Data'!AJ177,'Raw Data'!AL177,'Raw Data'!AN177,'Raw Data'!AP177,'Raw Data'!AR177),"")</f>
        <v/>
      </c>
      <c r="P190" s="17">
        <f>IF('Raw Data'!A177&lt;&gt;"",AVERAGE('Raw Data'!AK177,'Raw Data'!AM177,'Raw Data'!AO177,'Raw Data'!AQ177,'Raw Data'!AS177),"")</f>
        <v/>
      </c>
      <c r="Q190" s="17">
        <f>IF(O190&lt;&gt;"",O190-P190,"")</f>
        <v/>
      </c>
      <c r="R190" s="17">
        <f>IF('Raw Data'!A177&lt;&gt;"",AVERAGE('Raw Data'!AT177,'Raw Data'!AV177,'Raw Data'!AX177,'Raw Data'!AZ177,'Raw Data'!BB177),"")</f>
        <v/>
      </c>
      <c r="S190" s="17">
        <f>IF('Raw Data'!A177&lt;&gt;"",AVERAGE('Raw Data'!AU177,'Raw Data'!AW177,'Raw Data'!AY177,'Raw Data'!BA177,'Raw Data'!BC177),"")</f>
        <v/>
      </c>
      <c r="T190" s="17">
        <f>IF(R190&lt;&gt;"",R190-S190,"")</f>
        <v/>
      </c>
      <c r="U190" s="17">
        <f>IF('Raw Data'!A177&lt;&gt;"",AVERAGE('Raw Data'!BD177,'Raw Data'!BF177,'Raw Data'!BH177,'Raw Data'!BJ177,'Raw Data'!BL177),"")</f>
        <v/>
      </c>
      <c r="V190" s="17">
        <f>IF('Raw Data'!A177&lt;&gt;"",AVERAGE('Raw Data'!BE177,'Raw Data'!BG177,'Raw Data'!BI177,'Raw Data'!BK177,'Raw Data'!BM177),"")</f>
        <v/>
      </c>
      <c r="W190" s="17">
        <f>IF(U190&lt;&gt;"",U190-V190,"")</f>
        <v/>
      </c>
      <c r="X190" s="17">
        <f>IF(A190&lt;&gt;"",AVERAGE(F190,I190,L190,O190,R190,U190),"")</f>
        <v/>
      </c>
      <c r="Y190" s="17">
        <f>IF(A190&lt;&gt;"",AVERAGE(G190,J190,M190,P190,S190,V190),"")</f>
        <v/>
      </c>
      <c r="Z190" s="17">
        <f>IF(A190&lt;&gt;"",X190-Y190,"")</f>
        <v/>
      </c>
      <c r="AA190" s="18">
        <f>IF(A190&lt;&gt;"",ROUND(MIN(100,100*((MAX(0,K190)*0.25)+(MAX(0,Q190)*0.20)+(MAX(0,W190)*0.20)+(MAX(0,H190)*0.15)+(MAX(0,N190)*0.10)+(MAX(0,T190)*0.10))/9),1),"")</f>
        <v/>
      </c>
      <c r="AB190" s="29">
        <f>IF(A190&lt;&gt;"",MIN(1,(0.5*AA190/100)+(0.3*MAX(0,K190)/9)+(0.2*MAX(0,Q190)/9)),"")</f>
        <v/>
      </c>
    </row>
    <row r="191">
      <c r="A191" s="4">
        <f>IF('Raw Data'!A178&lt;&gt;"",'Raw Data'!A178,"")</f>
        <v/>
      </c>
      <c r="B191" s="4">
        <f>IF('Raw Data'!B178&lt;&gt;"",'Raw Data'!B178,"")</f>
        <v/>
      </c>
      <c r="C191" s="4">
        <f>IF('Raw Data'!C178&lt;&gt;"",'Raw Data'!C178,"")</f>
        <v/>
      </c>
      <c r="D191" s="4">
        <f>IF('Raw Data'!D178&lt;&gt;"",'Raw Data'!D178,"")</f>
        <v/>
      </c>
      <c r="E191" s="4">
        <f>IF('Raw Data'!E178&lt;&gt;"",'Raw Data'!E178,"")</f>
        <v/>
      </c>
      <c r="F191" s="14">
        <f>IF('Raw Data'!A178&lt;&gt;"",AVERAGE('Raw Data'!F178,'Raw Data'!H178,'Raw Data'!J178,'Raw Data'!L178,'Raw Data'!N178),"")</f>
        <v/>
      </c>
      <c r="G191" s="14">
        <f>IF('Raw Data'!A178&lt;&gt;"",AVERAGE('Raw Data'!G178,'Raw Data'!I178,'Raw Data'!K178,'Raw Data'!M178,'Raw Data'!O178),"")</f>
        <v/>
      </c>
      <c r="H191" s="14">
        <f>IF(F191&lt;&gt;"",F191-G191,"")</f>
        <v/>
      </c>
      <c r="I191" s="14">
        <f>IF('Raw Data'!A178&lt;&gt;"",AVERAGE('Raw Data'!P178,'Raw Data'!R178,'Raw Data'!T178,'Raw Data'!V178,'Raw Data'!X178),"")</f>
        <v/>
      </c>
      <c r="J191" s="14">
        <f>IF('Raw Data'!A178&lt;&gt;"",AVERAGE('Raw Data'!Q178,'Raw Data'!S178,'Raw Data'!U178,'Raw Data'!W178,'Raw Data'!Y178),"")</f>
        <v/>
      </c>
      <c r="K191" s="14">
        <f>IF(I191&lt;&gt;"",I191-J191,"")</f>
        <v/>
      </c>
      <c r="L191" s="14">
        <f>IF('Raw Data'!A178&lt;&gt;"",AVERAGE('Raw Data'!Z178,'Raw Data'!AB178,'Raw Data'!AD178,'Raw Data'!AF178,'Raw Data'!AH178),"")</f>
        <v/>
      </c>
      <c r="M191" s="14">
        <f>IF('Raw Data'!A178&lt;&gt;"",AVERAGE('Raw Data'!AA178,'Raw Data'!AC178,'Raw Data'!AE178,'Raw Data'!AG178,'Raw Data'!AI178),"")</f>
        <v/>
      </c>
      <c r="N191" s="14">
        <f>IF(L191&lt;&gt;"",L191-M191,"")</f>
        <v/>
      </c>
      <c r="O191" s="14">
        <f>IF('Raw Data'!A178&lt;&gt;"",AVERAGE('Raw Data'!AJ178,'Raw Data'!AL178,'Raw Data'!AN178,'Raw Data'!AP178,'Raw Data'!AR178),"")</f>
        <v/>
      </c>
      <c r="P191" s="14">
        <f>IF('Raw Data'!A178&lt;&gt;"",AVERAGE('Raw Data'!AK178,'Raw Data'!AM178,'Raw Data'!AO178,'Raw Data'!AQ178,'Raw Data'!AS178),"")</f>
        <v/>
      </c>
      <c r="Q191" s="14">
        <f>IF(O191&lt;&gt;"",O191-P191,"")</f>
        <v/>
      </c>
      <c r="R191" s="14">
        <f>IF('Raw Data'!A178&lt;&gt;"",AVERAGE('Raw Data'!AT178,'Raw Data'!AV178,'Raw Data'!AX178,'Raw Data'!AZ178,'Raw Data'!BB178),"")</f>
        <v/>
      </c>
      <c r="S191" s="14">
        <f>IF('Raw Data'!A178&lt;&gt;"",AVERAGE('Raw Data'!AU178,'Raw Data'!AW178,'Raw Data'!AY178,'Raw Data'!BA178,'Raw Data'!BC178),"")</f>
        <v/>
      </c>
      <c r="T191" s="14">
        <f>IF(R191&lt;&gt;"",R191-S191,"")</f>
        <v/>
      </c>
      <c r="U191" s="14">
        <f>IF('Raw Data'!A178&lt;&gt;"",AVERAGE('Raw Data'!BD178,'Raw Data'!BF178,'Raw Data'!BH178,'Raw Data'!BJ178,'Raw Data'!BL178),"")</f>
        <v/>
      </c>
      <c r="V191" s="14">
        <f>IF('Raw Data'!A178&lt;&gt;"",AVERAGE('Raw Data'!BE178,'Raw Data'!BG178,'Raw Data'!BI178,'Raw Data'!BK178,'Raw Data'!BM178),"")</f>
        <v/>
      </c>
      <c r="W191" s="14">
        <f>IF(U191&lt;&gt;"",U191-V191,"")</f>
        <v/>
      </c>
      <c r="X191" s="14">
        <f>IF(A191&lt;&gt;"",AVERAGE(F191,I191,L191,O191,R191,U191),"")</f>
        <v/>
      </c>
      <c r="Y191" s="14">
        <f>IF(A191&lt;&gt;"",AVERAGE(G191,J191,M191,P191,S191,V191),"")</f>
        <v/>
      </c>
      <c r="Z191" s="14">
        <f>IF(A191&lt;&gt;"",X191-Y191,"")</f>
        <v/>
      </c>
      <c r="AA191" s="15">
        <f>IF(A191&lt;&gt;"",ROUND(MIN(100,100*((MAX(0,K191)*0.25)+(MAX(0,Q191)*0.20)+(MAX(0,W191)*0.20)+(MAX(0,H191)*0.15)+(MAX(0,N191)*0.10)+(MAX(0,T191)*0.10))/9),1),"")</f>
        <v/>
      </c>
      <c r="AB191" s="28">
        <f>IF(A191&lt;&gt;"",MIN(1,(0.5*AA191/100)+(0.3*MAX(0,K191)/9)+(0.2*MAX(0,Q191)/9)),"")</f>
        <v/>
      </c>
    </row>
    <row r="192">
      <c r="A192" s="13">
        <f>IF('Raw Data'!A179&lt;&gt;"",'Raw Data'!A179,"")</f>
        <v/>
      </c>
      <c r="B192" s="13">
        <f>IF('Raw Data'!B179&lt;&gt;"",'Raw Data'!B179,"")</f>
        <v/>
      </c>
      <c r="C192" s="13">
        <f>IF('Raw Data'!C179&lt;&gt;"",'Raw Data'!C179,"")</f>
        <v/>
      </c>
      <c r="D192" s="13">
        <f>IF('Raw Data'!D179&lt;&gt;"",'Raw Data'!D179,"")</f>
        <v/>
      </c>
      <c r="E192" s="13">
        <f>IF('Raw Data'!E179&lt;&gt;"",'Raw Data'!E179,"")</f>
        <v/>
      </c>
      <c r="F192" s="17">
        <f>IF('Raw Data'!A179&lt;&gt;"",AVERAGE('Raw Data'!F179,'Raw Data'!H179,'Raw Data'!J179,'Raw Data'!L179,'Raw Data'!N179),"")</f>
        <v/>
      </c>
      <c r="G192" s="17">
        <f>IF('Raw Data'!A179&lt;&gt;"",AVERAGE('Raw Data'!G179,'Raw Data'!I179,'Raw Data'!K179,'Raw Data'!M179,'Raw Data'!O179),"")</f>
        <v/>
      </c>
      <c r="H192" s="17">
        <f>IF(F192&lt;&gt;"",F192-G192,"")</f>
        <v/>
      </c>
      <c r="I192" s="17">
        <f>IF('Raw Data'!A179&lt;&gt;"",AVERAGE('Raw Data'!P179,'Raw Data'!R179,'Raw Data'!T179,'Raw Data'!V179,'Raw Data'!X179),"")</f>
        <v/>
      </c>
      <c r="J192" s="17">
        <f>IF('Raw Data'!A179&lt;&gt;"",AVERAGE('Raw Data'!Q179,'Raw Data'!S179,'Raw Data'!U179,'Raw Data'!W179,'Raw Data'!Y179),"")</f>
        <v/>
      </c>
      <c r="K192" s="17">
        <f>IF(I192&lt;&gt;"",I192-J192,"")</f>
        <v/>
      </c>
      <c r="L192" s="17">
        <f>IF('Raw Data'!A179&lt;&gt;"",AVERAGE('Raw Data'!Z179,'Raw Data'!AB179,'Raw Data'!AD179,'Raw Data'!AF179,'Raw Data'!AH179),"")</f>
        <v/>
      </c>
      <c r="M192" s="17">
        <f>IF('Raw Data'!A179&lt;&gt;"",AVERAGE('Raw Data'!AA179,'Raw Data'!AC179,'Raw Data'!AE179,'Raw Data'!AG179,'Raw Data'!AI179),"")</f>
        <v/>
      </c>
      <c r="N192" s="17">
        <f>IF(L192&lt;&gt;"",L192-M192,"")</f>
        <v/>
      </c>
      <c r="O192" s="17">
        <f>IF('Raw Data'!A179&lt;&gt;"",AVERAGE('Raw Data'!AJ179,'Raw Data'!AL179,'Raw Data'!AN179,'Raw Data'!AP179,'Raw Data'!AR179),"")</f>
        <v/>
      </c>
      <c r="P192" s="17">
        <f>IF('Raw Data'!A179&lt;&gt;"",AVERAGE('Raw Data'!AK179,'Raw Data'!AM179,'Raw Data'!AO179,'Raw Data'!AQ179,'Raw Data'!AS179),"")</f>
        <v/>
      </c>
      <c r="Q192" s="17">
        <f>IF(O192&lt;&gt;"",O192-P192,"")</f>
        <v/>
      </c>
      <c r="R192" s="17">
        <f>IF('Raw Data'!A179&lt;&gt;"",AVERAGE('Raw Data'!AT179,'Raw Data'!AV179,'Raw Data'!AX179,'Raw Data'!AZ179,'Raw Data'!BB179),"")</f>
        <v/>
      </c>
      <c r="S192" s="17">
        <f>IF('Raw Data'!A179&lt;&gt;"",AVERAGE('Raw Data'!AU179,'Raw Data'!AW179,'Raw Data'!AY179,'Raw Data'!BA179,'Raw Data'!BC179),"")</f>
        <v/>
      </c>
      <c r="T192" s="17">
        <f>IF(R192&lt;&gt;"",R192-S192,"")</f>
        <v/>
      </c>
      <c r="U192" s="17">
        <f>IF('Raw Data'!A179&lt;&gt;"",AVERAGE('Raw Data'!BD179,'Raw Data'!BF179,'Raw Data'!BH179,'Raw Data'!BJ179,'Raw Data'!BL179),"")</f>
        <v/>
      </c>
      <c r="V192" s="17">
        <f>IF('Raw Data'!A179&lt;&gt;"",AVERAGE('Raw Data'!BE179,'Raw Data'!BG179,'Raw Data'!BI179,'Raw Data'!BK179,'Raw Data'!BM179),"")</f>
        <v/>
      </c>
      <c r="W192" s="17">
        <f>IF(U192&lt;&gt;"",U192-V192,"")</f>
        <v/>
      </c>
      <c r="X192" s="17">
        <f>IF(A192&lt;&gt;"",AVERAGE(F192,I192,L192,O192,R192,U192),"")</f>
        <v/>
      </c>
      <c r="Y192" s="17">
        <f>IF(A192&lt;&gt;"",AVERAGE(G192,J192,M192,P192,S192,V192),"")</f>
        <v/>
      </c>
      <c r="Z192" s="17">
        <f>IF(A192&lt;&gt;"",X192-Y192,"")</f>
        <v/>
      </c>
      <c r="AA192" s="18">
        <f>IF(A192&lt;&gt;"",ROUND(MIN(100,100*((MAX(0,K192)*0.25)+(MAX(0,Q192)*0.20)+(MAX(0,W192)*0.20)+(MAX(0,H192)*0.15)+(MAX(0,N192)*0.10)+(MAX(0,T192)*0.10))/9),1),"")</f>
        <v/>
      </c>
      <c r="AB192" s="29">
        <f>IF(A192&lt;&gt;"",MIN(1,(0.5*AA192/100)+(0.3*MAX(0,K192)/9)+(0.2*MAX(0,Q192)/9)),"")</f>
        <v/>
      </c>
    </row>
    <row r="193">
      <c r="A193" s="4">
        <f>IF('Raw Data'!A180&lt;&gt;"",'Raw Data'!A180,"")</f>
        <v/>
      </c>
      <c r="B193" s="4">
        <f>IF('Raw Data'!B180&lt;&gt;"",'Raw Data'!B180,"")</f>
        <v/>
      </c>
      <c r="C193" s="4">
        <f>IF('Raw Data'!C180&lt;&gt;"",'Raw Data'!C180,"")</f>
        <v/>
      </c>
      <c r="D193" s="4">
        <f>IF('Raw Data'!D180&lt;&gt;"",'Raw Data'!D180,"")</f>
        <v/>
      </c>
      <c r="E193" s="4">
        <f>IF('Raw Data'!E180&lt;&gt;"",'Raw Data'!E180,"")</f>
        <v/>
      </c>
      <c r="F193" s="14">
        <f>IF('Raw Data'!A180&lt;&gt;"",AVERAGE('Raw Data'!F180,'Raw Data'!H180,'Raw Data'!J180,'Raw Data'!L180,'Raw Data'!N180),"")</f>
        <v/>
      </c>
      <c r="G193" s="14">
        <f>IF('Raw Data'!A180&lt;&gt;"",AVERAGE('Raw Data'!G180,'Raw Data'!I180,'Raw Data'!K180,'Raw Data'!M180,'Raw Data'!O180),"")</f>
        <v/>
      </c>
      <c r="H193" s="14">
        <f>IF(F193&lt;&gt;"",F193-G193,"")</f>
        <v/>
      </c>
      <c r="I193" s="14">
        <f>IF('Raw Data'!A180&lt;&gt;"",AVERAGE('Raw Data'!P180,'Raw Data'!R180,'Raw Data'!T180,'Raw Data'!V180,'Raw Data'!X180),"")</f>
        <v/>
      </c>
      <c r="J193" s="14">
        <f>IF('Raw Data'!A180&lt;&gt;"",AVERAGE('Raw Data'!Q180,'Raw Data'!S180,'Raw Data'!U180,'Raw Data'!W180,'Raw Data'!Y180),"")</f>
        <v/>
      </c>
      <c r="K193" s="14">
        <f>IF(I193&lt;&gt;"",I193-J193,"")</f>
        <v/>
      </c>
      <c r="L193" s="14">
        <f>IF('Raw Data'!A180&lt;&gt;"",AVERAGE('Raw Data'!Z180,'Raw Data'!AB180,'Raw Data'!AD180,'Raw Data'!AF180,'Raw Data'!AH180),"")</f>
        <v/>
      </c>
      <c r="M193" s="14">
        <f>IF('Raw Data'!A180&lt;&gt;"",AVERAGE('Raw Data'!AA180,'Raw Data'!AC180,'Raw Data'!AE180,'Raw Data'!AG180,'Raw Data'!AI180),"")</f>
        <v/>
      </c>
      <c r="N193" s="14">
        <f>IF(L193&lt;&gt;"",L193-M193,"")</f>
        <v/>
      </c>
      <c r="O193" s="14">
        <f>IF('Raw Data'!A180&lt;&gt;"",AVERAGE('Raw Data'!AJ180,'Raw Data'!AL180,'Raw Data'!AN180,'Raw Data'!AP180,'Raw Data'!AR180),"")</f>
        <v/>
      </c>
      <c r="P193" s="14">
        <f>IF('Raw Data'!A180&lt;&gt;"",AVERAGE('Raw Data'!AK180,'Raw Data'!AM180,'Raw Data'!AO180,'Raw Data'!AQ180,'Raw Data'!AS180),"")</f>
        <v/>
      </c>
      <c r="Q193" s="14">
        <f>IF(O193&lt;&gt;"",O193-P193,"")</f>
        <v/>
      </c>
      <c r="R193" s="14">
        <f>IF('Raw Data'!A180&lt;&gt;"",AVERAGE('Raw Data'!AT180,'Raw Data'!AV180,'Raw Data'!AX180,'Raw Data'!AZ180,'Raw Data'!BB180),"")</f>
        <v/>
      </c>
      <c r="S193" s="14">
        <f>IF('Raw Data'!A180&lt;&gt;"",AVERAGE('Raw Data'!AU180,'Raw Data'!AW180,'Raw Data'!AY180,'Raw Data'!BA180,'Raw Data'!BC180),"")</f>
        <v/>
      </c>
      <c r="T193" s="14">
        <f>IF(R193&lt;&gt;"",R193-S193,"")</f>
        <v/>
      </c>
      <c r="U193" s="14">
        <f>IF('Raw Data'!A180&lt;&gt;"",AVERAGE('Raw Data'!BD180,'Raw Data'!BF180,'Raw Data'!BH180,'Raw Data'!BJ180,'Raw Data'!BL180),"")</f>
        <v/>
      </c>
      <c r="V193" s="14">
        <f>IF('Raw Data'!A180&lt;&gt;"",AVERAGE('Raw Data'!BE180,'Raw Data'!BG180,'Raw Data'!BI180,'Raw Data'!BK180,'Raw Data'!BM180),"")</f>
        <v/>
      </c>
      <c r="W193" s="14">
        <f>IF(U193&lt;&gt;"",U193-V193,"")</f>
        <v/>
      </c>
      <c r="X193" s="14">
        <f>IF(A193&lt;&gt;"",AVERAGE(F193,I193,L193,O193,R193,U193),"")</f>
        <v/>
      </c>
      <c r="Y193" s="14">
        <f>IF(A193&lt;&gt;"",AVERAGE(G193,J193,M193,P193,S193,V193),"")</f>
        <v/>
      </c>
      <c r="Z193" s="14">
        <f>IF(A193&lt;&gt;"",X193-Y193,"")</f>
        <v/>
      </c>
      <c r="AA193" s="15">
        <f>IF(A193&lt;&gt;"",ROUND(MIN(100,100*((MAX(0,K193)*0.25)+(MAX(0,Q193)*0.20)+(MAX(0,W193)*0.20)+(MAX(0,H193)*0.15)+(MAX(0,N193)*0.10)+(MAX(0,T193)*0.10))/9),1),"")</f>
        <v/>
      </c>
      <c r="AB193" s="28">
        <f>IF(A193&lt;&gt;"",MIN(1,(0.5*AA193/100)+(0.3*MAX(0,K193)/9)+(0.2*MAX(0,Q193)/9)),"")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Data'!B181&lt;&gt;"",'Raw Data'!B181,"")</f>
        <v/>
      </c>
      <c r="C194" s="13">
        <f>IF('Raw Data'!C181&lt;&gt;"",'Raw Data'!C181,"")</f>
        <v/>
      </c>
      <c r="D194" s="13">
        <f>IF('Raw Data'!D181&lt;&gt;"",'Raw Data'!D181,"")</f>
        <v/>
      </c>
      <c r="E194" s="13">
        <f>IF('Raw Data'!E181&lt;&gt;"",'Raw Data'!E181,"")</f>
        <v/>
      </c>
      <c r="F194" s="17">
        <f>IF('Raw Data'!A181&lt;&gt;"",AVERAGE('Raw Data'!F181,'Raw Data'!H181,'Raw Data'!J181,'Raw Data'!L181,'Raw Data'!N181),"")</f>
        <v/>
      </c>
      <c r="G194" s="17">
        <f>IF('Raw Data'!A181&lt;&gt;"",AVERAGE('Raw Data'!G181,'Raw Data'!I181,'Raw Data'!K181,'Raw Data'!M181,'Raw Data'!O181),"")</f>
        <v/>
      </c>
      <c r="H194" s="17">
        <f>IF(F194&lt;&gt;"",F194-G194,"")</f>
        <v/>
      </c>
      <c r="I194" s="17">
        <f>IF('Raw Data'!A181&lt;&gt;"",AVERAGE('Raw Data'!P181,'Raw Data'!R181,'Raw Data'!T181,'Raw Data'!V181,'Raw Data'!X181),"")</f>
        <v/>
      </c>
      <c r="J194" s="17">
        <f>IF('Raw Data'!A181&lt;&gt;"",AVERAGE('Raw Data'!Q181,'Raw Data'!S181,'Raw Data'!U181,'Raw Data'!W181,'Raw Data'!Y181),"")</f>
        <v/>
      </c>
      <c r="K194" s="17">
        <f>IF(I194&lt;&gt;"",I194-J194,"")</f>
        <v/>
      </c>
      <c r="L194" s="17">
        <f>IF('Raw Data'!A181&lt;&gt;"",AVERAGE('Raw Data'!Z181,'Raw Data'!AB181,'Raw Data'!AD181,'Raw Data'!AF181,'Raw Data'!AH181),"")</f>
        <v/>
      </c>
      <c r="M194" s="17">
        <f>IF('Raw Data'!A181&lt;&gt;"",AVERAGE('Raw Data'!AA181,'Raw Data'!AC181,'Raw Data'!AE181,'Raw Data'!AG181,'Raw Data'!AI181),"")</f>
        <v/>
      </c>
      <c r="N194" s="17">
        <f>IF(L194&lt;&gt;"",L194-M194,"")</f>
        <v/>
      </c>
      <c r="O194" s="17">
        <f>IF('Raw Data'!A181&lt;&gt;"",AVERAGE('Raw Data'!AJ181,'Raw Data'!AL181,'Raw Data'!AN181,'Raw Data'!AP181,'Raw Data'!AR181),"")</f>
        <v/>
      </c>
      <c r="P194" s="17">
        <f>IF('Raw Data'!A181&lt;&gt;"",AVERAGE('Raw Data'!AK181,'Raw Data'!AM181,'Raw Data'!AO181,'Raw Data'!AQ181,'Raw Data'!AS181),"")</f>
        <v/>
      </c>
      <c r="Q194" s="17">
        <f>IF(O194&lt;&gt;"",O194-P194,"")</f>
        <v/>
      </c>
      <c r="R194" s="17">
        <f>IF('Raw Data'!A181&lt;&gt;"",AVERAGE('Raw Data'!AT181,'Raw Data'!AV181,'Raw Data'!AX181,'Raw Data'!AZ181,'Raw Data'!BB181),"")</f>
        <v/>
      </c>
      <c r="S194" s="17">
        <f>IF('Raw Data'!A181&lt;&gt;"",AVERAGE('Raw Data'!AU181,'Raw Data'!AW181,'Raw Data'!AY181,'Raw Data'!BA181,'Raw Data'!BC181),"")</f>
        <v/>
      </c>
      <c r="T194" s="17">
        <f>IF(R194&lt;&gt;"",R194-S194,"")</f>
        <v/>
      </c>
      <c r="U194" s="17">
        <f>IF('Raw Data'!A181&lt;&gt;"",AVERAGE('Raw Data'!BD181,'Raw Data'!BF181,'Raw Data'!BH181,'Raw Data'!BJ181,'Raw Data'!BL181),"")</f>
        <v/>
      </c>
      <c r="V194" s="17">
        <f>IF('Raw Data'!A181&lt;&gt;"",AVERAGE('Raw Data'!BE181,'Raw Data'!BG181,'Raw Data'!BI181,'Raw Data'!BK181,'Raw Data'!BM181),"")</f>
        <v/>
      </c>
      <c r="W194" s="17">
        <f>IF(U194&lt;&gt;"",U194-V194,"")</f>
        <v/>
      </c>
      <c r="X194" s="17">
        <f>IF(A194&lt;&gt;"",AVERAGE(F194,I194,L194,O194,R194,U194),"")</f>
        <v/>
      </c>
      <c r="Y194" s="17">
        <f>IF(A194&lt;&gt;"",AVERAGE(G194,J194,M194,P194,S194,V194),"")</f>
        <v/>
      </c>
      <c r="Z194" s="17">
        <f>IF(A194&lt;&gt;"",X194-Y194,"")</f>
        <v/>
      </c>
      <c r="AA194" s="18">
        <f>IF(A194&lt;&gt;"",ROUND(MIN(100,100*((MAX(0,K194)*0.25)+(MAX(0,Q194)*0.20)+(MAX(0,W194)*0.20)+(MAX(0,H194)*0.15)+(MAX(0,N194)*0.10)+(MAX(0,T194)*0.10))/9),1),"")</f>
        <v/>
      </c>
      <c r="AB194" s="29">
        <f>IF(A194&lt;&gt;"",MIN(1,(0.5*AA194/100)+(0.3*MAX(0,K194)/9)+(0.2*MAX(0,Q194)/9)),"")</f>
        <v/>
      </c>
    </row>
    <row r="195">
      <c r="A195" s="4">
        <f>IF('Raw Data'!A182&lt;&gt;"",'Raw Data'!A182,"")</f>
        <v/>
      </c>
      <c r="B195" s="4">
        <f>IF('Raw Data'!B182&lt;&gt;"",'Raw Data'!B182,"")</f>
        <v/>
      </c>
      <c r="C195" s="4">
        <f>IF('Raw Data'!C182&lt;&gt;"",'Raw Data'!C182,"")</f>
        <v/>
      </c>
      <c r="D195" s="4">
        <f>IF('Raw Data'!D182&lt;&gt;"",'Raw Data'!D182,"")</f>
        <v/>
      </c>
      <c r="E195" s="4">
        <f>IF('Raw Data'!E182&lt;&gt;"",'Raw Data'!E182,"")</f>
        <v/>
      </c>
      <c r="F195" s="14">
        <f>IF('Raw Data'!A182&lt;&gt;"",AVERAGE('Raw Data'!F182,'Raw Data'!H182,'Raw Data'!J182,'Raw Data'!L182,'Raw Data'!N182),"")</f>
        <v/>
      </c>
      <c r="G195" s="14">
        <f>IF('Raw Data'!A182&lt;&gt;"",AVERAGE('Raw Data'!G182,'Raw Data'!I182,'Raw Data'!K182,'Raw Data'!M182,'Raw Data'!O182),"")</f>
        <v/>
      </c>
      <c r="H195" s="14">
        <f>IF(F195&lt;&gt;"",F195-G195,"")</f>
        <v/>
      </c>
      <c r="I195" s="14">
        <f>IF('Raw Data'!A182&lt;&gt;"",AVERAGE('Raw Data'!P182,'Raw Data'!R182,'Raw Data'!T182,'Raw Data'!V182,'Raw Data'!X182),"")</f>
        <v/>
      </c>
      <c r="J195" s="14">
        <f>IF('Raw Data'!A182&lt;&gt;"",AVERAGE('Raw Data'!Q182,'Raw Data'!S182,'Raw Data'!U182,'Raw Data'!W182,'Raw Data'!Y182),"")</f>
        <v/>
      </c>
      <c r="K195" s="14">
        <f>IF(I195&lt;&gt;"",I195-J195,"")</f>
        <v/>
      </c>
      <c r="L195" s="14">
        <f>IF('Raw Data'!A182&lt;&gt;"",AVERAGE('Raw Data'!Z182,'Raw Data'!AB182,'Raw Data'!AD182,'Raw Data'!AF182,'Raw Data'!AH182),"")</f>
        <v/>
      </c>
      <c r="M195" s="14">
        <f>IF('Raw Data'!A182&lt;&gt;"",AVERAGE('Raw Data'!AA182,'Raw Data'!AC182,'Raw Data'!AE182,'Raw Data'!AG182,'Raw Data'!AI182),"")</f>
        <v/>
      </c>
      <c r="N195" s="14">
        <f>IF(L195&lt;&gt;"",L195-M195,"")</f>
        <v/>
      </c>
      <c r="O195" s="14">
        <f>IF('Raw Data'!A182&lt;&gt;"",AVERAGE('Raw Data'!AJ182,'Raw Data'!AL182,'Raw Data'!AN182,'Raw Data'!AP182,'Raw Data'!AR182),"")</f>
        <v/>
      </c>
      <c r="P195" s="14">
        <f>IF('Raw Data'!A182&lt;&gt;"",AVERAGE('Raw Data'!AK182,'Raw Data'!AM182,'Raw Data'!AO182,'Raw Data'!AQ182,'Raw Data'!AS182),"")</f>
        <v/>
      </c>
      <c r="Q195" s="14">
        <f>IF(O195&lt;&gt;"",O195-P195,"")</f>
        <v/>
      </c>
      <c r="R195" s="14">
        <f>IF('Raw Data'!A182&lt;&gt;"",AVERAGE('Raw Data'!AT182,'Raw Data'!AV182,'Raw Data'!AX182,'Raw Data'!AZ182,'Raw Data'!BB182),"")</f>
        <v/>
      </c>
      <c r="S195" s="14">
        <f>IF('Raw Data'!A182&lt;&gt;"",AVERAGE('Raw Data'!AU182,'Raw Data'!AW182,'Raw Data'!AY182,'Raw Data'!BA182,'Raw Data'!BC182),"")</f>
        <v/>
      </c>
      <c r="T195" s="14">
        <f>IF(R195&lt;&gt;"",R195-S195,"")</f>
        <v/>
      </c>
      <c r="U195" s="14">
        <f>IF('Raw Data'!A182&lt;&gt;"",AVERAGE('Raw Data'!BD182,'Raw Data'!BF182,'Raw Data'!BH182,'Raw Data'!BJ182,'Raw Data'!BL182),"")</f>
        <v/>
      </c>
      <c r="V195" s="14">
        <f>IF('Raw Data'!A182&lt;&gt;"",AVERAGE('Raw Data'!BE182,'Raw Data'!BG182,'Raw Data'!BI182,'Raw Data'!BK182,'Raw Data'!BM182),"")</f>
        <v/>
      </c>
      <c r="W195" s="14">
        <f>IF(U195&lt;&gt;"",U195-V195,"")</f>
        <v/>
      </c>
      <c r="X195" s="14">
        <f>IF(A195&lt;&gt;"",AVERAGE(F195,I195,L195,O195,R195,U195),"")</f>
        <v/>
      </c>
      <c r="Y195" s="14">
        <f>IF(A195&lt;&gt;"",AVERAGE(G195,J195,M195,P195,S195,V195),"")</f>
        <v/>
      </c>
      <c r="Z195" s="14">
        <f>IF(A195&lt;&gt;"",X195-Y195,"")</f>
        <v/>
      </c>
      <c r="AA195" s="15">
        <f>IF(A195&lt;&gt;"",ROUND(MIN(100,100*((MAX(0,K195)*0.25)+(MAX(0,Q195)*0.20)+(MAX(0,W195)*0.20)+(MAX(0,H195)*0.15)+(MAX(0,N195)*0.10)+(MAX(0,T195)*0.10))/9),1),"")</f>
        <v/>
      </c>
      <c r="AB195" s="28">
        <f>IF(A195&lt;&gt;"",MIN(1,(0.5*AA195/100)+(0.3*MAX(0,K195)/9)+(0.2*MAX(0,Q195)/9)),"")</f>
        <v/>
      </c>
    </row>
    <row r="196">
      <c r="A196" s="13">
        <f>IF('Raw Data'!A183&lt;&gt;"",'Raw Data'!A183,"")</f>
        <v/>
      </c>
      <c r="B196" s="13">
        <f>IF('Raw Data'!B183&lt;&gt;"",'Raw Data'!B183,"")</f>
        <v/>
      </c>
      <c r="C196" s="13">
        <f>IF('Raw Data'!C183&lt;&gt;"",'Raw Data'!C183,"")</f>
        <v/>
      </c>
      <c r="D196" s="13">
        <f>IF('Raw Data'!D183&lt;&gt;"",'Raw Data'!D183,"")</f>
        <v/>
      </c>
      <c r="E196" s="13">
        <f>IF('Raw Data'!E183&lt;&gt;"",'Raw Data'!E183,"")</f>
        <v/>
      </c>
      <c r="F196" s="17">
        <f>IF('Raw Data'!A183&lt;&gt;"",AVERAGE('Raw Data'!F183,'Raw Data'!H183,'Raw Data'!J183,'Raw Data'!L183,'Raw Data'!N183),"")</f>
        <v/>
      </c>
      <c r="G196" s="17">
        <f>IF('Raw Data'!A183&lt;&gt;"",AVERAGE('Raw Data'!G183,'Raw Data'!I183,'Raw Data'!K183,'Raw Data'!M183,'Raw Data'!O183),"")</f>
        <v/>
      </c>
      <c r="H196" s="17">
        <f>IF(F196&lt;&gt;"",F196-G196,"")</f>
        <v/>
      </c>
      <c r="I196" s="17">
        <f>IF('Raw Data'!A183&lt;&gt;"",AVERAGE('Raw Data'!P183,'Raw Data'!R183,'Raw Data'!T183,'Raw Data'!V183,'Raw Data'!X183),"")</f>
        <v/>
      </c>
      <c r="J196" s="17">
        <f>IF('Raw Data'!A183&lt;&gt;"",AVERAGE('Raw Data'!Q183,'Raw Data'!S183,'Raw Data'!U183,'Raw Data'!W183,'Raw Data'!Y183),"")</f>
        <v/>
      </c>
      <c r="K196" s="17">
        <f>IF(I196&lt;&gt;"",I196-J196,"")</f>
        <v/>
      </c>
      <c r="L196" s="17">
        <f>IF('Raw Data'!A183&lt;&gt;"",AVERAGE('Raw Data'!Z183,'Raw Data'!AB183,'Raw Data'!AD183,'Raw Data'!AF183,'Raw Data'!AH183),"")</f>
        <v/>
      </c>
      <c r="M196" s="17">
        <f>IF('Raw Data'!A183&lt;&gt;"",AVERAGE('Raw Data'!AA183,'Raw Data'!AC183,'Raw Data'!AE183,'Raw Data'!AG183,'Raw Data'!AI183),"")</f>
        <v/>
      </c>
      <c r="N196" s="17">
        <f>IF(L196&lt;&gt;"",L196-M196,"")</f>
        <v/>
      </c>
      <c r="O196" s="17">
        <f>IF('Raw Data'!A183&lt;&gt;"",AVERAGE('Raw Data'!AJ183,'Raw Data'!AL183,'Raw Data'!AN183,'Raw Data'!AP183,'Raw Data'!AR183),"")</f>
        <v/>
      </c>
      <c r="P196" s="17">
        <f>IF('Raw Data'!A183&lt;&gt;"",AVERAGE('Raw Data'!AK183,'Raw Data'!AM183,'Raw Data'!AO183,'Raw Data'!AQ183,'Raw Data'!AS183),"")</f>
        <v/>
      </c>
      <c r="Q196" s="17">
        <f>IF(O196&lt;&gt;"",O196-P196,"")</f>
        <v/>
      </c>
      <c r="R196" s="17">
        <f>IF('Raw Data'!A183&lt;&gt;"",AVERAGE('Raw Data'!AT183,'Raw Data'!AV183,'Raw Data'!AX183,'Raw Data'!AZ183,'Raw Data'!BB183),"")</f>
        <v/>
      </c>
      <c r="S196" s="17">
        <f>IF('Raw Data'!A183&lt;&gt;"",AVERAGE('Raw Data'!AU183,'Raw Data'!AW183,'Raw Data'!AY183,'Raw Data'!BA183,'Raw Data'!BC183),"")</f>
        <v/>
      </c>
      <c r="T196" s="17">
        <f>IF(R196&lt;&gt;"",R196-S196,"")</f>
        <v/>
      </c>
      <c r="U196" s="17">
        <f>IF('Raw Data'!A183&lt;&gt;"",AVERAGE('Raw Data'!BD183,'Raw Data'!BF183,'Raw Data'!BH183,'Raw Data'!BJ183,'Raw Data'!BL183),"")</f>
        <v/>
      </c>
      <c r="V196" s="17">
        <f>IF('Raw Data'!A183&lt;&gt;"",AVERAGE('Raw Data'!BE183,'Raw Data'!BG183,'Raw Data'!BI183,'Raw Data'!BK183,'Raw Data'!BM183),"")</f>
        <v/>
      </c>
      <c r="W196" s="17">
        <f>IF(U196&lt;&gt;"",U196-V196,"")</f>
        <v/>
      </c>
      <c r="X196" s="17">
        <f>IF(A196&lt;&gt;"",AVERAGE(F196,I196,L196,O196,R196,U196),"")</f>
        <v/>
      </c>
      <c r="Y196" s="17">
        <f>IF(A196&lt;&gt;"",AVERAGE(G196,J196,M196,P196,S196,V196),"")</f>
        <v/>
      </c>
      <c r="Z196" s="17">
        <f>IF(A196&lt;&gt;"",X196-Y196,"")</f>
        <v/>
      </c>
      <c r="AA196" s="18">
        <f>IF(A196&lt;&gt;"",ROUND(MIN(100,100*((MAX(0,K196)*0.25)+(MAX(0,Q196)*0.20)+(MAX(0,W196)*0.20)+(MAX(0,H196)*0.15)+(MAX(0,N196)*0.10)+(MAX(0,T196)*0.10))/9),1),"")</f>
        <v/>
      </c>
      <c r="AB196" s="29">
        <f>IF(A196&lt;&gt;"",MIN(1,(0.5*AA196/100)+(0.3*MAX(0,K196)/9)+(0.2*MAX(0,Q196)/9)),"")</f>
        <v/>
      </c>
    </row>
    <row r="197">
      <c r="A197" s="4">
        <f>IF('Raw Data'!A184&lt;&gt;"",'Raw Data'!A184,"")</f>
        <v/>
      </c>
      <c r="B197" s="4">
        <f>IF('Raw Data'!B184&lt;&gt;"",'Raw Data'!B184,"")</f>
        <v/>
      </c>
      <c r="C197" s="4">
        <f>IF('Raw Data'!C184&lt;&gt;"",'Raw Data'!C184,"")</f>
        <v/>
      </c>
      <c r="D197" s="4">
        <f>IF('Raw Data'!D184&lt;&gt;"",'Raw Data'!D184,"")</f>
        <v/>
      </c>
      <c r="E197" s="4">
        <f>IF('Raw Data'!E184&lt;&gt;"",'Raw Data'!E184,"")</f>
        <v/>
      </c>
      <c r="F197" s="14">
        <f>IF('Raw Data'!A184&lt;&gt;"",AVERAGE('Raw Data'!F184,'Raw Data'!H184,'Raw Data'!J184,'Raw Data'!L184,'Raw Data'!N184),"")</f>
        <v/>
      </c>
      <c r="G197" s="14">
        <f>IF('Raw Data'!A184&lt;&gt;"",AVERAGE('Raw Data'!G184,'Raw Data'!I184,'Raw Data'!K184,'Raw Data'!M184,'Raw Data'!O184),"")</f>
        <v/>
      </c>
      <c r="H197" s="14">
        <f>IF(F197&lt;&gt;"",F197-G197,"")</f>
        <v/>
      </c>
      <c r="I197" s="14">
        <f>IF('Raw Data'!A184&lt;&gt;"",AVERAGE('Raw Data'!P184,'Raw Data'!R184,'Raw Data'!T184,'Raw Data'!V184,'Raw Data'!X184),"")</f>
        <v/>
      </c>
      <c r="J197" s="14">
        <f>IF('Raw Data'!A184&lt;&gt;"",AVERAGE('Raw Data'!Q184,'Raw Data'!S184,'Raw Data'!U184,'Raw Data'!W184,'Raw Data'!Y184),"")</f>
        <v/>
      </c>
      <c r="K197" s="14">
        <f>IF(I197&lt;&gt;"",I197-J197,"")</f>
        <v/>
      </c>
      <c r="L197" s="14">
        <f>IF('Raw Data'!A184&lt;&gt;"",AVERAGE('Raw Data'!Z184,'Raw Data'!AB184,'Raw Data'!AD184,'Raw Data'!AF184,'Raw Data'!AH184),"")</f>
        <v/>
      </c>
      <c r="M197" s="14">
        <f>IF('Raw Data'!A184&lt;&gt;"",AVERAGE('Raw Data'!AA184,'Raw Data'!AC184,'Raw Data'!AE184,'Raw Data'!AG184,'Raw Data'!AI184),"")</f>
        <v/>
      </c>
      <c r="N197" s="14">
        <f>IF(L197&lt;&gt;"",L197-M197,"")</f>
        <v/>
      </c>
      <c r="O197" s="14">
        <f>IF('Raw Data'!A184&lt;&gt;"",AVERAGE('Raw Data'!AJ184,'Raw Data'!AL184,'Raw Data'!AN184,'Raw Data'!AP184,'Raw Data'!AR184),"")</f>
        <v/>
      </c>
      <c r="P197" s="14">
        <f>IF('Raw Data'!A184&lt;&gt;"",AVERAGE('Raw Data'!AK184,'Raw Data'!AM184,'Raw Data'!AO184,'Raw Data'!AQ184,'Raw Data'!AS184),"")</f>
        <v/>
      </c>
      <c r="Q197" s="14">
        <f>IF(O197&lt;&gt;"",O197-P197,"")</f>
        <v/>
      </c>
      <c r="R197" s="14">
        <f>IF('Raw Data'!A184&lt;&gt;"",AVERAGE('Raw Data'!AT184,'Raw Data'!AV184,'Raw Data'!AX184,'Raw Data'!AZ184,'Raw Data'!BB184),"")</f>
        <v/>
      </c>
      <c r="S197" s="14">
        <f>IF('Raw Data'!A184&lt;&gt;"",AVERAGE('Raw Data'!AU184,'Raw Data'!AW184,'Raw Data'!AY184,'Raw Data'!BA184,'Raw Data'!BC184),"")</f>
        <v/>
      </c>
      <c r="T197" s="14">
        <f>IF(R197&lt;&gt;"",R197-S197,"")</f>
        <v/>
      </c>
      <c r="U197" s="14">
        <f>IF('Raw Data'!A184&lt;&gt;"",AVERAGE('Raw Data'!BD184,'Raw Data'!BF184,'Raw Data'!BH184,'Raw Data'!BJ184,'Raw Data'!BL184),"")</f>
        <v/>
      </c>
      <c r="V197" s="14">
        <f>IF('Raw Data'!A184&lt;&gt;"",AVERAGE('Raw Data'!BE184,'Raw Data'!BG184,'Raw Data'!BI184,'Raw Data'!BK184,'Raw Data'!BM184),"")</f>
        <v/>
      </c>
      <c r="W197" s="14">
        <f>IF(U197&lt;&gt;"",U197-V197,"")</f>
        <v/>
      </c>
      <c r="X197" s="14">
        <f>IF(A197&lt;&gt;"",AVERAGE(F197,I197,L197,O197,R197,U197),"")</f>
        <v/>
      </c>
      <c r="Y197" s="14">
        <f>IF(A197&lt;&gt;"",AVERAGE(G197,J197,M197,P197,S197,V197),"")</f>
        <v/>
      </c>
      <c r="Z197" s="14">
        <f>IF(A197&lt;&gt;"",X197-Y197,"")</f>
        <v/>
      </c>
      <c r="AA197" s="15">
        <f>IF(A197&lt;&gt;"",ROUND(MIN(100,100*((MAX(0,K197)*0.25)+(MAX(0,Q197)*0.20)+(MAX(0,W197)*0.20)+(MAX(0,H197)*0.15)+(MAX(0,N197)*0.10)+(MAX(0,T197)*0.10))/9),1),"")</f>
        <v/>
      </c>
      <c r="AB197" s="28">
        <f>IF(A197&lt;&gt;"",MIN(1,(0.5*AA197/100)+(0.3*MAX(0,K197)/9)+(0.2*MAX(0,Q197)/9)),"")</f>
        <v/>
      </c>
    </row>
    <row r="198">
      <c r="A198" s="13">
        <f>IF('Raw Data'!A185&lt;&gt;"",'Raw Data'!A185,"")</f>
        <v/>
      </c>
      <c r="B198" s="13">
        <f>IF('Raw Data'!B185&lt;&gt;"",'Raw Data'!B185,"")</f>
        <v/>
      </c>
      <c r="C198" s="13">
        <f>IF('Raw Data'!C185&lt;&gt;"",'Raw Data'!C185,"")</f>
        <v/>
      </c>
      <c r="D198" s="13">
        <f>IF('Raw Data'!D185&lt;&gt;"",'Raw Data'!D185,"")</f>
        <v/>
      </c>
      <c r="E198" s="13">
        <f>IF('Raw Data'!E185&lt;&gt;"",'Raw Data'!E185,"")</f>
        <v/>
      </c>
      <c r="F198" s="17">
        <f>IF('Raw Data'!A185&lt;&gt;"",AVERAGE('Raw Data'!F185,'Raw Data'!H185,'Raw Data'!J185,'Raw Data'!L185,'Raw Data'!N185),"")</f>
        <v/>
      </c>
      <c r="G198" s="17">
        <f>IF('Raw Data'!A185&lt;&gt;"",AVERAGE('Raw Data'!G185,'Raw Data'!I185,'Raw Data'!K185,'Raw Data'!M185,'Raw Data'!O185),"")</f>
        <v/>
      </c>
      <c r="H198" s="17">
        <f>IF(F198&lt;&gt;"",F198-G198,"")</f>
        <v/>
      </c>
      <c r="I198" s="17">
        <f>IF('Raw Data'!A185&lt;&gt;"",AVERAGE('Raw Data'!P185,'Raw Data'!R185,'Raw Data'!T185,'Raw Data'!V185,'Raw Data'!X185),"")</f>
        <v/>
      </c>
      <c r="J198" s="17">
        <f>IF('Raw Data'!A185&lt;&gt;"",AVERAGE('Raw Data'!Q185,'Raw Data'!S185,'Raw Data'!U185,'Raw Data'!W185,'Raw Data'!Y185),"")</f>
        <v/>
      </c>
      <c r="K198" s="17">
        <f>IF(I198&lt;&gt;"",I198-J198,"")</f>
        <v/>
      </c>
      <c r="L198" s="17">
        <f>IF('Raw Data'!A185&lt;&gt;"",AVERAGE('Raw Data'!Z185,'Raw Data'!AB185,'Raw Data'!AD185,'Raw Data'!AF185,'Raw Data'!AH185),"")</f>
        <v/>
      </c>
      <c r="M198" s="17">
        <f>IF('Raw Data'!A185&lt;&gt;"",AVERAGE('Raw Data'!AA185,'Raw Data'!AC185,'Raw Data'!AE185,'Raw Data'!AG185,'Raw Data'!AI185),"")</f>
        <v/>
      </c>
      <c r="N198" s="17">
        <f>IF(L198&lt;&gt;"",L198-M198,"")</f>
        <v/>
      </c>
      <c r="O198" s="17">
        <f>IF('Raw Data'!A185&lt;&gt;"",AVERAGE('Raw Data'!AJ185,'Raw Data'!AL185,'Raw Data'!AN185,'Raw Data'!AP185,'Raw Data'!AR185),"")</f>
        <v/>
      </c>
      <c r="P198" s="17">
        <f>IF('Raw Data'!A185&lt;&gt;"",AVERAGE('Raw Data'!AK185,'Raw Data'!AM185,'Raw Data'!AO185,'Raw Data'!AQ185,'Raw Data'!AS185),"")</f>
        <v/>
      </c>
      <c r="Q198" s="17">
        <f>IF(O198&lt;&gt;"",O198-P198,"")</f>
        <v/>
      </c>
      <c r="R198" s="17">
        <f>IF('Raw Data'!A185&lt;&gt;"",AVERAGE('Raw Data'!AT185,'Raw Data'!AV185,'Raw Data'!AX185,'Raw Data'!AZ185,'Raw Data'!BB185),"")</f>
        <v/>
      </c>
      <c r="S198" s="17">
        <f>IF('Raw Data'!A185&lt;&gt;"",AVERAGE('Raw Data'!AU185,'Raw Data'!AW185,'Raw Data'!AY185,'Raw Data'!BA185,'Raw Data'!BC185),"")</f>
        <v/>
      </c>
      <c r="T198" s="17">
        <f>IF(R198&lt;&gt;"",R198-S198,"")</f>
        <v/>
      </c>
      <c r="U198" s="17">
        <f>IF('Raw Data'!A185&lt;&gt;"",AVERAGE('Raw Data'!BD185,'Raw Data'!BF185,'Raw Data'!BH185,'Raw Data'!BJ185,'Raw Data'!BL185),"")</f>
        <v/>
      </c>
      <c r="V198" s="17">
        <f>IF('Raw Data'!A185&lt;&gt;"",AVERAGE('Raw Data'!BE185,'Raw Data'!BG185,'Raw Data'!BI185,'Raw Data'!BK185,'Raw Data'!BM185),"")</f>
        <v/>
      </c>
      <c r="W198" s="17">
        <f>IF(U198&lt;&gt;"",U198-V198,"")</f>
        <v/>
      </c>
      <c r="X198" s="17">
        <f>IF(A198&lt;&gt;"",AVERAGE(F198,I198,L198,O198,R198,U198),"")</f>
        <v/>
      </c>
      <c r="Y198" s="17">
        <f>IF(A198&lt;&gt;"",AVERAGE(G198,J198,M198,P198,S198,V198),"")</f>
        <v/>
      </c>
      <c r="Z198" s="17">
        <f>IF(A198&lt;&gt;"",X198-Y198,"")</f>
        <v/>
      </c>
      <c r="AA198" s="18">
        <f>IF(A198&lt;&gt;"",ROUND(MIN(100,100*((MAX(0,K198)*0.25)+(MAX(0,Q198)*0.20)+(MAX(0,W198)*0.20)+(MAX(0,H198)*0.15)+(MAX(0,N198)*0.10)+(MAX(0,T198)*0.10))/9),1),"")</f>
        <v/>
      </c>
      <c r="AB198" s="29">
        <f>IF(A198&lt;&gt;"",MIN(1,(0.5*AA198/100)+(0.3*MAX(0,K198)/9)+(0.2*MAX(0,Q198)/9)),"")</f>
        <v/>
      </c>
    </row>
    <row r="199">
      <c r="A199" s="4">
        <f>IF('Raw Data'!A186&lt;&gt;"",'Raw Data'!A186,"")</f>
        <v/>
      </c>
      <c r="B199" s="4">
        <f>IF('Raw Data'!B186&lt;&gt;"",'Raw Data'!B186,"")</f>
        <v/>
      </c>
      <c r="C199" s="4">
        <f>IF('Raw Data'!C186&lt;&gt;"",'Raw Data'!C186,"")</f>
        <v/>
      </c>
      <c r="D199" s="4">
        <f>IF('Raw Data'!D186&lt;&gt;"",'Raw Data'!D186,"")</f>
        <v/>
      </c>
      <c r="E199" s="4">
        <f>IF('Raw Data'!E186&lt;&gt;"",'Raw Data'!E186,"")</f>
        <v/>
      </c>
      <c r="F199" s="14">
        <f>IF('Raw Data'!A186&lt;&gt;"",AVERAGE('Raw Data'!F186,'Raw Data'!H186,'Raw Data'!J186,'Raw Data'!L186,'Raw Data'!N186),"")</f>
        <v/>
      </c>
      <c r="G199" s="14">
        <f>IF('Raw Data'!A186&lt;&gt;"",AVERAGE('Raw Data'!G186,'Raw Data'!I186,'Raw Data'!K186,'Raw Data'!M186,'Raw Data'!O186),"")</f>
        <v/>
      </c>
      <c r="H199" s="14">
        <f>IF(F199&lt;&gt;"",F199-G199,"")</f>
        <v/>
      </c>
      <c r="I199" s="14">
        <f>IF('Raw Data'!A186&lt;&gt;"",AVERAGE('Raw Data'!P186,'Raw Data'!R186,'Raw Data'!T186,'Raw Data'!V186,'Raw Data'!X186),"")</f>
        <v/>
      </c>
      <c r="J199" s="14">
        <f>IF('Raw Data'!A186&lt;&gt;"",AVERAGE('Raw Data'!Q186,'Raw Data'!S186,'Raw Data'!U186,'Raw Data'!W186,'Raw Data'!Y186),"")</f>
        <v/>
      </c>
      <c r="K199" s="14">
        <f>IF(I199&lt;&gt;"",I199-J199,"")</f>
        <v/>
      </c>
      <c r="L199" s="14">
        <f>IF('Raw Data'!A186&lt;&gt;"",AVERAGE('Raw Data'!Z186,'Raw Data'!AB186,'Raw Data'!AD186,'Raw Data'!AF186,'Raw Data'!AH186),"")</f>
        <v/>
      </c>
      <c r="M199" s="14">
        <f>IF('Raw Data'!A186&lt;&gt;"",AVERAGE('Raw Data'!AA186,'Raw Data'!AC186,'Raw Data'!AE186,'Raw Data'!AG186,'Raw Data'!AI186),"")</f>
        <v/>
      </c>
      <c r="N199" s="14">
        <f>IF(L199&lt;&gt;"",L199-M199,"")</f>
        <v/>
      </c>
      <c r="O199" s="14">
        <f>IF('Raw Data'!A186&lt;&gt;"",AVERAGE('Raw Data'!AJ186,'Raw Data'!AL186,'Raw Data'!AN186,'Raw Data'!AP186,'Raw Data'!AR186),"")</f>
        <v/>
      </c>
      <c r="P199" s="14">
        <f>IF('Raw Data'!A186&lt;&gt;"",AVERAGE('Raw Data'!AK186,'Raw Data'!AM186,'Raw Data'!AO186,'Raw Data'!AQ186,'Raw Data'!AS186),"")</f>
        <v/>
      </c>
      <c r="Q199" s="14">
        <f>IF(O199&lt;&gt;"",O199-P199,"")</f>
        <v/>
      </c>
      <c r="R199" s="14">
        <f>IF('Raw Data'!A186&lt;&gt;"",AVERAGE('Raw Data'!AT186,'Raw Data'!AV186,'Raw Data'!AX186,'Raw Data'!AZ186,'Raw Data'!BB186),"")</f>
        <v/>
      </c>
      <c r="S199" s="14">
        <f>IF('Raw Data'!A186&lt;&gt;"",AVERAGE('Raw Data'!AU186,'Raw Data'!AW186,'Raw Data'!AY186,'Raw Data'!BA186,'Raw Data'!BC186),"")</f>
        <v/>
      </c>
      <c r="T199" s="14">
        <f>IF(R199&lt;&gt;"",R199-S199,"")</f>
        <v/>
      </c>
      <c r="U199" s="14">
        <f>IF('Raw Data'!A186&lt;&gt;"",AVERAGE('Raw Data'!BD186,'Raw Data'!BF186,'Raw Data'!BH186,'Raw Data'!BJ186,'Raw Data'!BL186),"")</f>
        <v/>
      </c>
      <c r="V199" s="14">
        <f>IF('Raw Data'!A186&lt;&gt;"",AVERAGE('Raw Data'!BE186,'Raw Data'!BG186,'Raw Data'!BI186,'Raw Data'!BK186,'Raw Data'!BM186),"")</f>
        <v/>
      </c>
      <c r="W199" s="14">
        <f>IF(U199&lt;&gt;"",U199-V199,"")</f>
        <v/>
      </c>
      <c r="X199" s="14">
        <f>IF(A199&lt;&gt;"",AVERAGE(F199,I199,L199,O199,R199,U199),"")</f>
        <v/>
      </c>
      <c r="Y199" s="14">
        <f>IF(A199&lt;&gt;"",AVERAGE(G199,J199,M199,P199,S199,V199),"")</f>
        <v/>
      </c>
      <c r="Z199" s="14">
        <f>IF(A199&lt;&gt;"",X199-Y199,"")</f>
        <v/>
      </c>
      <c r="AA199" s="15">
        <f>IF(A199&lt;&gt;"",ROUND(MIN(100,100*((MAX(0,K199)*0.25)+(MAX(0,Q199)*0.20)+(MAX(0,W199)*0.20)+(MAX(0,H199)*0.15)+(MAX(0,N199)*0.10)+(MAX(0,T199)*0.10))/9),1),"")</f>
        <v/>
      </c>
      <c r="AB199" s="28">
        <f>IF(A199&lt;&gt;"",MIN(1,(0.5*AA199/100)+(0.3*MAX(0,K199)/9)+(0.2*MAX(0,Q199)/9)),"")</f>
        <v/>
      </c>
    </row>
    <row r="200">
      <c r="A200" s="13">
        <f>IF('Raw Data'!A187&lt;&gt;"",'Raw Data'!A187,"")</f>
        <v/>
      </c>
      <c r="B200" s="13">
        <f>IF('Raw Data'!B187&lt;&gt;"",'Raw Data'!B187,"")</f>
        <v/>
      </c>
      <c r="C200" s="13">
        <f>IF('Raw Data'!C187&lt;&gt;"",'Raw Data'!C187,"")</f>
        <v/>
      </c>
      <c r="D200" s="13">
        <f>IF('Raw Data'!D187&lt;&gt;"",'Raw Data'!D187,"")</f>
        <v/>
      </c>
      <c r="E200" s="13">
        <f>IF('Raw Data'!E187&lt;&gt;"",'Raw Data'!E187,"")</f>
        <v/>
      </c>
      <c r="F200" s="17">
        <f>IF('Raw Data'!A187&lt;&gt;"",AVERAGE('Raw Data'!F187,'Raw Data'!H187,'Raw Data'!J187,'Raw Data'!L187,'Raw Data'!N187),"")</f>
        <v/>
      </c>
      <c r="G200" s="17">
        <f>IF('Raw Data'!A187&lt;&gt;"",AVERAGE('Raw Data'!G187,'Raw Data'!I187,'Raw Data'!K187,'Raw Data'!M187,'Raw Data'!O187),"")</f>
        <v/>
      </c>
      <c r="H200" s="17">
        <f>IF(F200&lt;&gt;"",F200-G200,"")</f>
        <v/>
      </c>
      <c r="I200" s="17">
        <f>IF('Raw Data'!A187&lt;&gt;"",AVERAGE('Raw Data'!P187,'Raw Data'!R187,'Raw Data'!T187,'Raw Data'!V187,'Raw Data'!X187),"")</f>
        <v/>
      </c>
      <c r="J200" s="17">
        <f>IF('Raw Data'!A187&lt;&gt;"",AVERAGE('Raw Data'!Q187,'Raw Data'!S187,'Raw Data'!U187,'Raw Data'!W187,'Raw Data'!Y187),"")</f>
        <v/>
      </c>
      <c r="K200" s="17">
        <f>IF(I200&lt;&gt;"",I200-J200,"")</f>
        <v/>
      </c>
      <c r="L200" s="17">
        <f>IF('Raw Data'!A187&lt;&gt;"",AVERAGE('Raw Data'!Z187,'Raw Data'!AB187,'Raw Data'!AD187,'Raw Data'!AF187,'Raw Data'!AH187),"")</f>
        <v/>
      </c>
      <c r="M200" s="17">
        <f>IF('Raw Data'!A187&lt;&gt;"",AVERAGE('Raw Data'!AA187,'Raw Data'!AC187,'Raw Data'!AE187,'Raw Data'!AG187,'Raw Data'!AI187),"")</f>
        <v/>
      </c>
      <c r="N200" s="17">
        <f>IF(L200&lt;&gt;"",L200-M200,"")</f>
        <v/>
      </c>
      <c r="O200" s="17">
        <f>IF('Raw Data'!A187&lt;&gt;"",AVERAGE('Raw Data'!AJ187,'Raw Data'!AL187,'Raw Data'!AN187,'Raw Data'!AP187,'Raw Data'!AR187),"")</f>
        <v/>
      </c>
      <c r="P200" s="17">
        <f>IF('Raw Data'!A187&lt;&gt;"",AVERAGE('Raw Data'!AK187,'Raw Data'!AM187,'Raw Data'!AO187,'Raw Data'!AQ187,'Raw Data'!AS187),"")</f>
        <v/>
      </c>
      <c r="Q200" s="17">
        <f>IF(O200&lt;&gt;"",O200-P200,"")</f>
        <v/>
      </c>
      <c r="R200" s="17">
        <f>IF('Raw Data'!A187&lt;&gt;"",AVERAGE('Raw Data'!AT187,'Raw Data'!AV187,'Raw Data'!AX187,'Raw Data'!AZ187,'Raw Data'!BB187),"")</f>
        <v/>
      </c>
      <c r="S200" s="17">
        <f>IF('Raw Data'!A187&lt;&gt;"",AVERAGE('Raw Data'!AU187,'Raw Data'!AW187,'Raw Data'!AY187,'Raw Data'!BA187,'Raw Data'!BC187),"")</f>
        <v/>
      </c>
      <c r="T200" s="17">
        <f>IF(R200&lt;&gt;"",R200-S200,"")</f>
        <v/>
      </c>
      <c r="U200" s="17">
        <f>IF('Raw Data'!A187&lt;&gt;"",AVERAGE('Raw Data'!BD187,'Raw Data'!BF187,'Raw Data'!BH187,'Raw Data'!BJ187,'Raw Data'!BL187),"")</f>
        <v/>
      </c>
      <c r="V200" s="17">
        <f>IF('Raw Data'!A187&lt;&gt;"",AVERAGE('Raw Data'!BE187,'Raw Data'!BG187,'Raw Data'!BI187,'Raw Data'!BK187,'Raw Data'!BM187),"")</f>
        <v/>
      </c>
      <c r="W200" s="17">
        <f>IF(U200&lt;&gt;"",U200-V200,"")</f>
        <v/>
      </c>
      <c r="X200" s="17">
        <f>IF(A200&lt;&gt;"",AVERAGE(F200,I200,L200,O200,R200,U200),"")</f>
        <v/>
      </c>
      <c r="Y200" s="17">
        <f>IF(A200&lt;&gt;"",AVERAGE(G200,J200,M200,P200,S200,V200),"")</f>
        <v/>
      </c>
      <c r="Z200" s="17">
        <f>IF(A200&lt;&gt;"",X200-Y200,"")</f>
        <v/>
      </c>
      <c r="AA200" s="18">
        <f>IF(A200&lt;&gt;"",ROUND(MIN(100,100*((MAX(0,K200)*0.25)+(MAX(0,Q200)*0.20)+(MAX(0,W200)*0.20)+(MAX(0,H200)*0.15)+(MAX(0,N200)*0.10)+(MAX(0,T200)*0.10))/9),1),"")</f>
        <v/>
      </c>
      <c r="AB200" s="29">
        <f>IF(A200&lt;&gt;"",MIN(1,(0.5*AA200/100)+(0.3*MAX(0,K200)/9)+(0.2*MAX(0,Q200)/9)),"")</f>
        <v/>
      </c>
    </row>
    <row r="201">
      <c r="A201" s="4">
        <f>IF('Raw Data'!A188&lt;&gt;"",'Raw Data'!A188,"")</f>
        <v/>
      </c>
      <c r="B201" s="4">
        <f>IF('Raw Data'!B188&lt;&gt;"",'Raw Data'!B188,"")</f>
        <v/>
      </c>
      <c r="C201" s="4">
        <f>IF('Raw Data'!C188&lt;&gt;"",'Raw Data'!C188,"")</f>
        <v/>
      </c>
      <c r="D201" s="4">
        <f>IF('Raw Data'!D188&lt;&gt;"",'Raw Data'!D188,"")</f>
        <v/>
      </c>
      <c r="E201" s="4">
        <f>IF('Raw Data'!E188&lt;&gt;"",'Raw Data'!E188,"")</f>
        <v/>
      </c>
      <c r="F201" s="14">
        <f>IF('Raw Data'!A188&lt;&gt;"",AVERAGE('Raw Data'!F188,'Raw Data'!H188,'Raw Data'!J188,'Raw Data'!L188,'Raw Data'!N188),"")</f>
        <v/>
      </c>
      <c r="G201" s="14">
        <f>IF('Raw Data'!A188&lt;&gt;"",AVERAGE('Raw Data'!G188,'Raw Data'!I188,'Raw Data'!K188,'Raw Data'!M188,'Raw Data'!O188),"")</f>
        <v/>
      </c>
      <c r="H201" s="14">
        <f>IF(F201&lt;&gt;"",F201-G201,"")</f>
        <v/>
      </c>
      <c r="I201" s="14">
        <f>IF('Raw Data'!A188&lt;&gt;"",AVERAGE('Raw Data'!P188,'Raw Data'!R188,'Raw Data'!T188,'Raw Data'!V188,'Raw Data'!X188),"")</f>
        <v/>
      </c>
      <c r="J201" s="14">
        <f>IF('Raw Data'!A188&lt;&gt;"",AVERAGE('Raw Data'!Q188,'Raw Data'!S188,'Raw Data'!U188,'Raw Data'!W188,'Raw Data'!Y188),"")</f>
        <v/>
      </c>
      <c r="K201" s="14">
        <f>IF(I201&lt;&gt;"",I201-J201,"")</f>
        <v/>
      </c>
      <c r="L201" s="14">
        <f>IF('Raw Data'!A188&lt;&gt;"",AVERAGE('Raw Data'!Z188,'Raw Data'!AB188,'Raw Data'!AD188,'Raw Data'!AF188,'Raw Data'!AH188),"")</f>
        <v/>
      </c>
      <c r="M201" s="14">
        <f>IF('Raw Data'!A188&lt;&gt;"",AVERAGE('Raw Data'!AA188,'Raw Data'!AC188,'Raw Data'!AE188,'Raw Data'!AG188,'Raw Data'!AI188),"")</f>
        <v/>
      </c>
      <c r="N201" s="14">
        <f>IF(L201&lt;&gt;"",L201-M201,"")</f>
        <v/>
      </c>
      <c r="O201" s="14">
        <f>IF('Raw Data'!A188&lt;&gt;"",AVERAGE('Raw Data'!AJ188,'Raw Data'!AL188,'Raw Data'!AN188,'Raw Data'!AP188,'Raw Data'!AR188),"")</f>
        <v/>
      </c>
      <c r="P201" s="14">
        <f>IF('Raw Data'!A188&lt;&gt;"",AVERAGE('Raw Data'!AK188,'Raw Data'!AM188,'Raw Data'!AO188,'Raw Data'!AQ188,'Raw Data'!AS188),"")</f>
        <v/>
      </c>
      <c r="Q201" s="14">
        <f>IF(O201&lt;&gt;"",O201-P201,"")</f>
        <v/>
      </c>
      <c r="R201" s="14">
        <f>IF('Raw Data'!A188&lt;&gt;"",AVERAGE('Raw Data'!AT188,'Raw Data'!AV188,'Raw Data'!AX188,'Raw Data'!AZ188,'Raw Data'!BB188),"")</f>
        <v/>
      </c>
      <c r="S201" s="14">
        <f>IF('Raw Data'!A188&lt;&gt;"",AVERAGE('Raw Data'!AU188,'Raw Data'!AW188,'Raw Data'!AY188,'Raw Data'!BA188,'Raw Data'!BC188),"")</f>
        <v/>
      </c>
      <c r="T201" s="14">
        <f>IF(R201&lt;&gt;"",R201-S201,"")</f>
        <v/>
      </c>
      <c r="U201" s="14">
        <f>IF('Raw Data'!A188&lt;&gt;"",AVERAGE('Raw Data'!BD188,'Raw Data'!BF188,'Raw Data'!BH188,'Raw Data'!BJ188,'Raw Data'!BL188),"")</f>
        <v/>
      </c>
      <c r="V201" s="14">
        <f>IF('Raw Data'!A188&lt;&gt;"",AVERAGE('Raw Data'!BE188,'Raw Data'!BG188,'Raw Data'!BI188,'Raw Data'!BK188,'Raw Data'!BM188),"")</f>
        <v/>
      </c>
      <c r="W201" s="14">
        <f>IF(U201&lt;&gt;"",U201-V201,"")</f>
        <v/>
      </c>
      <c r="X201" s="14">
        <f>IF(A201&lt;&gt;"",AVERAGE(F201,I201,L201,O201,R201,U201),"")</f>
        <v/>
      </c>
      <c r="Y201" s="14">
        <f>IF(A201&lt;&gt;"",AVERAGE(G201,J201,M201,P201,S201,V201),"")</f>
        <v/>
      </c>
      <c r="Z201" s="14">
        <f>IF(A201&lt;&gt;"",X201-Y201,"")</f>
        <v/>
      </c>
      <c r="AA201" s="15">
        <f>IF(A201&lt;&gt;"",ROUND(MIN(100,100*((MAX(0,K201)*0.25)+(MAX(0,Q201)*0.20)+(MAX(0,W201)*0.20)+(MAX(0,H201)*0.15)+(MAX(0,N201)*0.10)+(MAX(0,T201)*0.10))/9),1),"")</f>
        <v/>
      </c>
      <c r="AB201" s="28">
        <f>IF(A201&lt;&gt;"",MIN(1,(0.5*AA201/100)+(0.3*MAX(0,K201)/9)+(0.2*MAX(0,Q201)/9)),"")</f>
        <v/>
      </c>
    </row>
    <row r="202">
      <c r="A202" s="13">
        <f>IF('Raw Data'!A189&lt;&gt;"",'Raw Data'!A189,"")</f>
        <v/>
      </c>
      <c r="B202" s="13">
        <f>IF('Raw Data'!B189&lt;&gt;"",'Raw Data'!B189,"")</f>
        <v/>
      </c>
      <c r="C202" s="13">
        <f>IF('Raw Data'!C189&lt;&gt;"",'Raw Data'!C189,"")</f>
        <v/>
      </c>
      <c r="D202" s="13">
        <f>IF('Raw Data'!D189&lt;&gt;"",'Raw Data'!D189,"")</f>
        <v/>
      </c>
      <c r="E202" s="13">
        <f>IF('Raw Data'!E189&lt;&gt;"",'Raw Data'!E189,"")</f>
        <v/>
      </c>
      <c r="F202" s="17">
        <f>IF('Raw Data'!A189&lt;&gt;"",AVERAGE('Raw Data'!F189,'Raw Data'!H189,'Raw Data'!J189,'Raw Data'!L189,'Raw Data'!N189),"")</f>
        <v/>
      </c>
      <c r="G202" s="17">
        <f>IF('Raw Data'!A189&lt;&gt;"",AVERAGE('Raw Data'!G189,'Raw Data'!I189,'Raw Data'!K189,'Raw Data'!M189,'Raw Data'!O189),"")</f>
        <v/>
      </c>
      <c r="H202" s="17">
        <f>IF(F202&lt;&gt;"",F202-G202,"")</f>
        <v/>
      </c>
      <c r="I202" s="17">
        <f>IF('Raw Data'!A189&lt;&gt;"",AVERAGE('Raw Data'!P189,'Raw Data'!R189,'Raw Data'!T189,'Raw Data'!V189,'Raw Data'!X189),"")</f>
        <v/>
      </c>
      <c r="J202" s="17">
        <f>IF('Raw Data'!A189&lt;&gt;"",AVERAGE('Raw Data'!Q189,'Raw Data'!S189,'Raw Data'!U189,'Raw Data'!W189,'Raw Data'!Y189),"")</f>
        <v/>
      </c>
      <c r="K202" s="17">
        <f>IF(I202&lt;&gt;"",I202-J202,"")</f>
        <v/>
      </c>
      <c r="L202" s="17">
        <f>IF('Raw Data'!A189&lt;&gt;"",AVERAGE('Raw Data'!Z189,'Raw Data'!AB189,'Raw Data'!AD189,'Raw Data'!AF189,'Raw Data'!AH189),"")</f>
        <v/>
      </c>
      <c r="M202" s="17">
        <f>IF('Raw Data'!A189&lt;&gt;"",AVERAGE('Raw Data'!AA189,'Raw Data'!AC189,'Raw Data'!AE189,'Raw Data'!AG189,'Raw Data'!AI189),"")</f>
        <v/>
      </c>
      <c r="N202" s="17">
        <f>IF(L202&lt;&gt;"",L202-M202,"")</f>
        <v/>
      </c>
      <c r="O202" s="17">
        <f>IF('Raw Data'!A189&lt;&gt;"",AVERAGE('Raw Data'!AJ189,'Raw Data'!AL189,'Raw Data'!AN189,'Raw Data'!AP189,'Raw Data'!AR189),"")</f>
        <v/>
      </c>
      <c r="P202" s="17">
        <f>IF('Raw Data'!A189&lt;&gt;"",AVERAGE('Raw Data'!AK189,'Raw Data'!AM189,'Raw Data'!AO189,'Raw Data'!AQ189,'Raw Data'!AS189),"")</f>
        <v/>
      </c>
      <c r="Q202" s="17">
        <f>IF(O202&lt;&gt;"",O202-P202,"")</f>
        <v/>
      </c>
      <c r="R202" s="17">
        <f>IF('Raw Data'!A189&lt;&gt;"",AVERAGE('Raw Data'!AT189,'Raw Data'!AV189,'Raw Data'!AX189,'Raw Data'!AZ189,'Raw Data'!BB189),"")</f>
        <v/>
      </c>
      <c r="S202" s="17">
        <f>IF('Raw Data'!A189&lt;&gt;"",AVERAGE('Raw Data'!AU189,'Raw Data'!AW189,'Raw Data'!AY189,'Raw Data'!BA189,'Raw Data'!BC189),"")</f>
        <v/>
      </c>
      <c r="T202" s="17">
        <f>IF(R202&lt;&gt;"",R202-S202,"")</f>
        <v/>
      </c>
      <c r="U202" s="17">
        <f>IF('Raw Data'!A189&lt;&gt;"",AVERAGE('Raw Data'!BD189,'Raw Data'!BF189,'Raw Data'!BH189,'Raw Data'!BJ189,'Raw Data'!BL189),"")</f>
        <v/>
      </c>
      <c r="V202" s="17">
        <f>IF('Raw Data'!A189&lt;&gt;"",AVERAGE('Raw Data'!BE189,'Raw Data'!BG189,'Raw Data'!BI189,'Raw Data'!BK189,'Raw Data'!BM189),"")</f>
        <v/>
      </c>
      <c r="W202" s="17">
        <f>IF(U202&lt;&gt;"",U202-V202,"")</f>
        <v/>
      </c>
      <c r="X202" s="17">
        <f>IF(A202&lt;&gt;"",AVERAGE(F202,I202,L202,O202,R202,U202),"")</f>
        <v/>
      </c>
      <c r="Y202" s="17">
        <f>IF(A202&lt;&gt;"",AVERAGE(G202,J202,M202,P202,S202,V202),"")</f>
        <v/>
      </c>
      <c r="Z202" s="17">
        <f>IF(A202&lt;&gt;"",X202-Y202,"")</f>
        <v/>
      </c>
      <c r="AA202" s="18">
        <f>IF(A202&lt;&gt;"",ROUND(MIN(100,100*((MAX(0,K202)*0.25)+(MAX(0,Q202)*0.20)+(MAX(0,W202)*0.20)+(MAX(0,H202)*0.15)+(MAX(0,N202)*0.10)+(MAX(0,T202)*0.10))/9),1),"")</f>
        <v/>
      </c>
      <c r="AB202" s="29">
        <f>IF(A202&lt;&gt;"",MIN(1,(0.5*AA202/100)+(0.3*MAX(0,K202)/9)+(0.2*MAX(0,Q202)/9)),"")</f>
        <v/>
      </c>
    </row>
    <row r="203">
      <c r="A203" s="4">
        <f>IF('Raw Data'!A190&lt;&gt;"",'Raw Data'!A190,"")</f>
        <v/>
      </c>
      <c r="B203" s="4">
        <f>IF('Raw Data'!B190&lt;&gt;"",'Raw Data'!B190,"")</f>
        <v/>
      </c>
      <c r="C203" s="4">
        <f>IF('Raw Data'!C190&lt;&gt;"",'Raw Data'!C190,"")</f>
        <v/>
      </c>
      <c r="D203" s="4">
        <f>IF('Raw Data'!D190&lt;&gt;"",'Raw Data'!D190,"")</f>
        <v/>
      </c>
      <c r="E203" s="4">
        <f>IF('Raw Data'!E190&lt;&gt;"",'Raw Data'!E190,"")</f>
        <v/>
      </c>
      <c r="F203" s="14">
        <f>IF('Raw Data'!A190&lt;&gt;"",AVERAGE('Raw Data'!F190,'Raw Data'!H190,'Raw Data'!J190,'Raw Data'!L190,'Raw Data'!N190),"")</f>
        <v/>
      </c>
      <c r="G203" s="14">
        <f>IF('Raw Data'!A190&lt;&gt;"",AVERAGE('Raw Data'!G190,'Raw Data'!I190,'Raw Data'!K190,'Raw Data'!M190,'Raw Data'!O190),"")</f>
        <v/>
      </c>
      <c r="H203" s="14">
        <f>IF(F203&lt;&gt;"",F203-G203,"")</f>
        <v/>
      </c>
      <c r="I203" s="14">
        <f>IF('Raw Data'!A190&lt;&gt;"",AVERAGE('Raw Data'!P190,'Raw Data'!R190,'Raw Data'!T190,'Raw Data'!V190,'Raw Data'!X190),"")</f>
        <v/>
      </c>
      <c r="J203" s="14">
        <f>IF('Raw Data'!A190&lt;&gt;"",AVERAGE('Raw Data'!Q190,'Raw Data'!S190,'Raw Data'!U190,'Raw Data'!W190,'Raw Data'!Y190),"")</f>
        <v/>
      </c>
      <c r="K203" s="14">
        <f>IF(I203&lt;&gt;"",I203-J203,"")</f>
        <v/>
      </c>
      <c r="L203" s="14">
        <f>IF('Raw Data'!A190&lt;&gt;"",AVERAGE('Raw Data'!Z190,'Raw Data'!AB190,'Raw Data'!AD190,'Raw Data'!AF190,'Raw Data'!AH190),"")</f>
        <v/>
      </c>
      <c r="M203" s="14">
        <f>IF('Raw Data'!A190&lt;&gt;"",AVERAGE('Raw Data'!AA190,'Raw Data'!AC190,'Raw Data'!AE190,'Raw Data'!AG190,'Raw Data'!AI190),"")</f>
        <v/>
      </c>
      <c r="N203" s="14">
        <f>IF(L203&lt;&gt;"",L203-M203,"")</f>
        <v/>
      </c>
      <c r="O203" s="14">
        <f>IF('Raw Data'!A190&lt;&gt;"",AVERAGE('Raw Data'!AJ190,'Raw Data'!AL190,'Raw Data'!AN190,'Raw Data'!AP190,'Raw Data'!AR190),"")</f>
        <v/>
      </c>
      <c r="P203" s="14">
        <f>IF('Raw Data'!A190&lt;&gt;"",AVERAGE('Raw Data'!AK190,'Raw Data'!AM190,'Raw Data'!AO190,'Raw Data'!AQ190,'Raw Data'!AS190),"")</f>
        <v/>
      </c>
      <c r="Q203" s="14">
        <f>IF(O203&lt;&gt;"",O203-P203,"")</f>
        <v/>
      </c>
      <c r="R203" s="14">
        <f>IF('Raw Data'!A190&lt;&gt;"",AVERAGE('Raw Data'!AT190,'Raw Data'!AV190,'Raw Data'!AX190,'Raw Data'!AZ190,'Raw Data'!BB190),"")</f>
        <v/>
      </c>
      <c r="S203" s="14">
        <f>IF('Raw Data'!A190&lt;&gt;"",AVERAGE('Raw Data'!AU190,'Raw Data'!AW190,'Raw Data'!AY190,'Raw Data'!BA190,'Raw Data'!BC190),"")</f>
        <v/>
      </c>
      <c r="T203" s="14">
        <f>IF(R203&lt;&gt;"",R203-S203,"")</f>
        <v/>
      </c>
      <c r="U203" s="14">
        <f>IF('Raw Data'!A190&lt;&gt;"",AVERAGE('Raw Data'!BD190,'Raw Data'!BF190,'Raw Data'!BH190,'Raw Data'!BJ190,'Raw Data'!BL190),"")</f>
        <v/>
      </c>
      <c r="V203" s="14">
        <f>IF('Raw Data'!A190&lt;&gt;"",AVERAGE('Raw Data'!BE190,'Raw Data'!BG190,'Raw Data'!BI190,'Raw Data'!BK190,'Raw Data'!BM190),"")</f>
        <v/>
      </c>
      <c r="W203" s="14">
        <f>IF(U203&lt;&gt;"",U203-V203,"")</f>
        <v/>
      </c>
      <c r="X203" s="14">
        <f>IF(A203&lt;&gt;"",AVERAGE(F203,I203,L203,O203,R203,U203),"")</f>
        <v/>
      </c>
      <c r="Y203" s="14">
        <f>IF(A203&lt;&gt;"",AVERAGE(G203,J203,M203,P203,S203,V203),"")</f>
        <v/>
      </c>
      <c r="Z203" s="14">
        <f>IF(A203&lt;&gt;"",X203-Y203,"")</f>
        <v/>
      </c>
      <c r="AA203" s="15">
        <f>IF(A203&lt;&gt;"",ROUND(MIN(100,100*((MAX(0,K203)*0.25)+(MAX(0,Q203)*0.20)+(MAX(0,W203)*0.20)+(MAX(0,H203)*0.15)+(MAX(0,N203)*0.10)+(MAX(0,T203)*0.10))/9),1),"")</f>
        <v/>
      </c>
      <c r="AB203" s="28">
        <f>IF(A203&lt;&gt;"",MIN(1,(0.5*AA203/100)+(0.3*MAX(0,K203)/9)+(0.2*MAX(0,Q203)/9)),"")</f>
        <v/>
      </c>
    </row>
    <row r="204">
      <c r="A204" s="13">
        <f>IF('Raw Data'!A191&lt;&gt;"",'Raw Data'!A191,"")</f>
        <v/>
      </c>
      <c r="B204" s="13">
        <f>IF('Raw Data'!B191&lt;&gt;"",'Raw Data'!B191,"")</f>
        <v/>
      </c>
      <c r="C204" s="13">
        <f>IF('Raw Data'!C191&lt;&gt;"",'Raw Data'!C191,"")</f>
        <v/>
      </c>
      <c r="D204" s="13">
        <f>IF('Raw Data'!D191&lt;&gt;"",'Raw Data'!D191,"")</f>
        <v/>
      </c>
      <c r="E204" s="13">
        <f>IF('Raw Data'!E191&lt;&gt;"",'Raw Data'!E191,"")</f>
        <v/>
      </c>
      <c r="F204" s="17">
        <f>IF('Raw Data'!A191&lt;&gt;"",AVERAGE('Raw Data'!F191,'Raw Data'!H191,'Raw Data'!J191,'Raw Data'!L191,'Raw Data'!N191),"")</f>
        <v/>
      </c>
      <c r="G204" s="17">
        <f>IF('Raw Data'!A191&lt;&gt;"",AVERAGE('Raw Data'!G191,'Raw Data'!I191,'Raw Data'!K191,'Raw Data'!M191,'Raw Data'!O191),"")</f>
        <v/>
      </c>
      <c r="H204" s="17">
        <f>IF(F204&lt;&gt;"",F204-G204,"")</f>
        <v/>
      </c>
      <c r="I204" s="17">
        <f>IF('Raw Data'!A191&lt;&gt;"",AVERAGE('Raw Data'!P191,'Raw Data'!R191,'Raw Data'!T191,'Raw Data'!V191,'Raw Data'!X191),"")</f>
        <v/>
      </c>
      <c r="J204" s="17">
        <f>IF('Raw Data'!A191&lt;&gt;"",AVERAGE('Raw Data'!Q191,'Raw Data'!S191,'Raw Data'!U191,'Raw Data'!W191,'Raw Data'!Y191),"")</f>
        <v/>
      </c>
      <c r="K204" s="17">
        <f>IF(I204&lt;&gt;"",I204-J204,"")</f>
        <v/>
      </c>
      <c r="L204" s="17">
        <f>IF('Raw Data'!A191&lt;&gt;"",AVERAGE('Raw Data'!Z191,'Raw Data'!AB191,'Raw Data'!AD191,'Raw Data'!AF191,'Raw Data'!AH191),"")</f>
        <v/>
      </c>
      <c r="M204" s="17">
        <f>IF('Raw Data'!A191&lt;&gt;"",AVERAGE('Raw Data'!AA191,'Raw Data'!AC191,'Raw Data'!AE191,'Raw Data'!AG191,'Raw Data'!AI191),"")</f>
        <v/>
      </c>
      <c r="N204" s="17">
        <f>IF(L204&lt;&gt;"",L204-M204,"")</f>
        <v/>
      </c>
      <c r="O204" s="17">
        <f>IF('Raw Data'!A191&lt;&gt;"",AVERAGE('Raw Data'!AJ191,'Raw Data'!AL191,'Raw Data'!AN191,'Raw Data'!AP191,'Raw Data'!AR191),"")</f>
        <v/>
      </c>
      <c r="P204" s="17">
        <f>IF('Raw Data'!A191&lt;&gt;"",AVERAGE('Raw Data'!AK191,'Raw Data'!AM191,'Raw Data'!AO191,'Raw Data'!AQ191,'Raw Data'!AS191),"")</f>
        <v/>
      </c>
      <c r="Q204" s="17">
        <f>IF(O204&lt;&gt;"",O204-P204,"")</f>
        <v/>
      </c>
      <c r="R204" s="17">
        <f>IF('Raw Data'!A191&lt;&gt;"",AVERAGE('Raw Data'!AT191,'Raw Data'!AV191,'Raw Data'!AX191,'Raw Data'!AZ191,'Raw Data'!BB191),"")</f>
        <v/>
      </c>
      <c r="S204" s="17">
        <f>IF('Raw Data'!A191&lt;&gt;"",AVERAGE('Raw Data'!AU191,'Raw Data'!AW191,'Raw Data'!AY191,'Raw Data'!BA191,'Raw Data'!BC191),"")</f>
        <v/>
      </c>
      <c r="T204" s="17">
        <f>IF(R204&lt;&gt;"",R204-S204,"")</f>
        <v/>
      </c>
      <c r="U204" s="17">
        <f>IF('Raw Data'!A191&lt;&gt;"",AVERAGE('Raw Data'!BD191,'Raw Data'!BF191,'Raw Data'!BH191,'Raw Data'!BJ191,'Raw Data'!BL191),"")</f>
        <v/>
      </c>
      <c r="V204" s="17">
        <f>IF('Raw Data'!A191&lt;&gt;"",AVERAGE('Raw Data'!BE191,'Raw Data'!BG191,'Raw Data'!BI191,'Raw Data'!BK191,'Raw Data'!BM191),"")</f>
        <v/>
      </c>
      <c r="W204" s="17">
        <f>IF(U204&lt;&gt;"",U204-V204,"")</f>
        <v/>
      </c>
      <c r="X204" s="17">
        <f>IF(A204&lt;&gt;"",AVERAGE(F204,I204,L204,O204,R204,U204),"")</f>
        <v/>
      </c>
      <c r="Y204" s="17">
        <f>IF(A204&lt;&gt;"",AVERAGE(G204,J204,M204,P204,S204,V204),"")</f>
        <v/>
      </c>
      <c r="Z204" s="17">
        <f>IF(A204&lt;&gt;"",X204-Y204,"")</f>
        <v/>
      </c>
      <c r="AA204" s="18">
        <f>IF(A204&lt;&gt;"",ROUND(MIN(100,100*((MAX(0,K204)*0.25)+(MAX(0,Q204)*0.20)+(MAX(0,W204)*0.20)+(MAX(0,H204)*0.15)+(MAX(0,N204)*0.10)+(MAX(0,T204)*0.10))/9),1),"")</f>
        <v/>
      </c>
      <c r="AB204" s="29">
        <f>IF(A204&lt;&gt;"",MIN(1,(0.5*AA204/100)+(0.3*MAX(0,K204)/9)+(0.2*MAX(0,Q204)/9)),"")</f>
        <v/>
      </c>
    </row>
    <row r="205">
      <c r="A205" s="4">
        <f>IF('Raw Data'!A192&lt;&gt;"",'Raw Data'!A192,"")</f>
        <v/>
      </c>
      <c r="B205" s="4">
        <f>IF('Raw Data'!B192&lt;&gt;"",'Raw Data'!B192,"")</f>
        <v/>
      </c>
      <c r="C205" s="4">
        <f>IF('Raw Data'!C192&lt;&gt;"",'Raw Data'!C192,"")</f>
        <v/>
      </c>
      <c r="D205" s="4">
        <f>IF('Raw Data'!D192&lt;&gt;"",'Raw Data'!D192,"")</f>
        <v/>
      </c>
      <c r="E205" s="4">
        <f>IF('Raw Data'!E192&lt;&gt;"",'Raw Data'!E192,"")</f>
        <v/>
      </c>
      <c r="F205" s="14">
        <f>IF('Raw Data'!A192&lt;&gt;"",AVERAGE('Raw Data'!F192,'Raw Data'!H192,'Raw Data'!J192,'Raw Data'!L192,'Raw Data'!N192),"")</f>
        <v/>
      </c>
      <c r="G205" s="14">
        <f>IF('Raw Data'!A192&lt;&gt;"",AVERAGE('Raw Data'!G192,'Raw Data'!I192,'Raw Data'!K192,'Raw Data'!M192,'Raw Data'!O192),"")</f>
        <v/>
      </c>
      <c r="H205" s="14">
        <f>IF(F205&lt;&gt;"",F205-G205,"")</f>
        <v/>
      </c>
      <c r="I205" s="14">
        <f>IF('Raw Data'!A192&lt;&gt;"",AVERAGE('Raw Data'!P192,'Raw Data'!R192,'Raw Data'!T192,'Raw Data'!V192,'Raw Data'!X192),"")</f>
        <v/>
      </c>
      <c r="J205" s="14">
        <f>IF('Raw Data'!A192&lt;&gt;"",AVERAGE('Raw Data'!Q192,'Raw Data'!S192,'Raw Data'!U192,'Raw Data'!W192,'Raw Data'!Y192),"")</f>
        <v/>
      </c>
      <c r="K205" s="14">
        <f>IF(I205&lt;&gt;"",I205-J205,"")</f>
        <v/>
      </c>
      <c r="L205" s="14">
        <f>IF('Raw Data'!A192&lt;&gt;"",AVERAGE('Raw Data'!Z192,'Raw Data'!AB192,'Raw Data'!AD192,'Raw Data'!AF192,'Raw Data'!AH192),"")</f>
        <v/>
      </c>
      <c r="M205" s="14">
        <f>IF('Raw Data'!A192&lt;&gt;"",AVERAGE('Raw Data'!AA192,'Raw Data'!AC192,'Raw Data'!AE192,'Raw Data'!AG192,'Raw Data'!AI192),"")</f>
        <v/>
      </c>
      <c r="N205" s="14">
        <f>IF(L205&lt;&gt;"",L205-M205,"")</f>
        <v/>
      </c>
      <c r="O205" s="14">
        <f>IF('Raw Data'!A192&lt;&gt;"",AVERAGE('Raw Data'!AJ192,'Raw Data'!AL192,'Raw Data'!AN192,'Raw Data'!AP192,'Raw Data'!AR192),"")</f>
        <v/>
      </c>
      <c r="P205" s="14">
        <f>IF('Raw Data'!A192&lt;&gt;"",AVERAGE('Raw Data'!AK192,'Raw Data'!AM192,'Raw Data'!AO192,'Raw Data'!AQ192,'Raw Data'!AS192),"")</f>
        <v/>
      </c>
      <c r="Q205" s="14">
        <f>IF(O205&lt;&gt;"",O205-P205,"")</f>
        <v/>
      </c>
      <c r="R205" s="14">
        <f>IF('Raw Data'!A192&lt;&gt;"",AVERAGE('Raw Data'!AT192,'Raw Data'!AV192,'Raw Data'!AX192,'Raw Data'!AZ192,'Raw Data'!BB192),"")</f>
        <v/>
      </c>
      <c r="S205" s="14">
        <f>IF('Raw Data'!A192&lt;&gt;"",AVERAGE('Raw Data'!AU192,'Raw Data'!AW192,'Raw Data'!AY192,'Raw Data'!BA192,'Raw Data'!BC192),"")</f>
        <v/>
      </c>
      <c r="T205" s="14">
        <f>IF(R205&lt;&gt;"",R205-S205,"")</f>
        <v/>
      </c>
      <c r="U205" s="14">
        <f>IF('Raw Data'!A192&lt;&gt;"",AVERAGE('Raw Data'!BD192,'Raw Data'!BF192,'Raw Data'!BH192,'Raw Data'!BJ192,'Raw Data'!BL192),"")</f>
        <v/>
      </c>
      <c r="V205" s="14">
        <f>IF('Raw Data'!A192&lt;&gt;"",AVERAGE('Raw Data'!BE192,'Raw Data'!BG192,'Raw Data'!BI192,'Raw Data'!BK192,'Raw Data'!BM192),"")</f>
        <v/>
      </c>
      <c r="W205" s="14">
        <f>IF(U205&lt;&gt;"",U205-V205,"")</f>
        <v/>
      </c>
      <c r="X205" s="14">
        <f>IF(A205&lt;&gt;"",AVERAGE(F205,I205,L205,O205,R205,U205),"")</f>
        <v/>
      </c>
      <c r="Y205" s="14">
        <f>IF(A205&lt;&gt;"",AVERAGE(G205,J205,M205,P205,S205,V205),"")</f>
        <v/>
      </c>
      <c r="Z205" s="14">
        <f>IF(A205&lt;&gt;"",X205-Y205,"")</f>
        <v/>
      </c>
      <c r="AA205" s="15">
        <f>IF(A205&lt;&gt;"",ROUND(MIN(100,100*((MAX(0,K205)*0.25)+(MAX(0,Q205)*0.20)+(MAX(0,W205)*0.20)+(MAX(0,H205)*0.15)+(MAX(0,N205)*0.10)+(MAX(0,T205)*0.10))/9),1),"")</f>
        <v/>
      </c>
      <c r="AB205" s="28">
        <f>IF(A205&lt;&gt;"",MIN(1,(0.5*AA205/100)+(0.3*MAX(0,K205)/9)+(0.2*MAX(0,Q205)/9)),"")</f>
        <v/>
      </c>
    </row>
    <row r="206">
      <c r="A206" s="13">
        <f>IF('Raw Data'!A193&lt;&gt;"",'Raw Data'!A193,"")</f>
        <v/>
      </c>
      <c r="B206" s="13">
        <f>IF('Raw Data'!B193&lt;&gt;"",'Raw Data'!B193,"")</f>
        <v/>
      </c>
      <c r="C206" s="13">
        <f>IF('Raw Data'!C193&lt;&gt;"",'Raw Data'!C193,"")</f>
        <v/>
      </c>
      <c r="D206" s="13">
        <f>IF('Raw Data'!D193&lt;&gt;"",'Raw Data'!D193,"")</f>
        <v/>
      </c>
      <c r="E206" s="13">
        <f>IF('Raw Data'!E193&lt;&gt;"",'Raw Data'!E193,"")</f>
        <v/>
      </c>
      <c r="F206" s="17">
        <f>IF('Raw Data'!A193&lt;&gt;"",AVERAGE('Raw Data'!F193,'Raw Data'!H193,'Raw Data'!J193,'Raw Data'!L193,'Raw Data'!N193),"")</f>
        <v/>
      </c>
      <c r="G206" s="17">
        <f>IF('Raw Data'!A193&lt;&gt;"",AVERAGE('Raw Data'!G193,'Raw Data'!I193,'Raw Data'!K193,'Raw Data'!M193,'Raw Data'!O193),"")</f>
        <v/>
      </c>
      <c r="H206" s="17">
        <f>IF(F206&lt;&gt;"",F206-G206,"")</f>
        <v/>
      </c>
      <c r="I206" s="17">
        <f>IF('Raw Data'!A193&lt;&gt;"",AVERAGE('Raw Data'!P193,'Raw Data'!R193,'Raw Data'!T193,'Raw Data'!V193,'Raw Data'!X193),"")</f>
        <v/>
      </c>
      <c r="J206" s="17">
        <f>IF('Raw Data'!A193&lt;&gt;"",AVERAGE('Raw Data'!Q193,'Raw Data'!S193,'Raw Data'!U193,'Raw Data'!W193,'Raw Data'!Y193),"")</f>
        <v/>
      </c>
      <c r="K206" s="17">
        <f>IF(I206&lt;&gt;"",I206-J206,"")</f>
        <v/>
      </c>
      <c r="L206" s="17">
        <f>IF('Raw Data'!A193&lt;&gt;"",AVERAGE('Raw Data'!Z193,'Raw Data'!AB193,'Raw Data'!AD193,'Raw Data'!AF193,'Raw Data'!AH193),"")</f>
        <v/>
      </c>
      <c r="M206" s="17">
        <f>IF('Raw Data'!A193&lt;&gt;"",AVERAGE('Raw Data'!AA193,'Raw Data'!AC193,'Raw Data'!AE193,'Raw Data'!AG193,'Raw Data'!AI193),"")</f>
        <v/>
      </c>
      <c r="N206" s="17">
        <f>IF(L206&lt;&gt;"",L206-M206,"")</f>
        <v/>
      </c>
      <c r="O206" s="17">
        <f>IF('Raw Data'!A193&lt;&gt;"",AVERAGE('Raw Data'!AJ193,'Raw Data'!AL193,'Raw Data'!AN193,'Raw Data'!AP193,'Raw Data'!AR193),"")</f>
        <v/>
      </c>
      <c r="P206" s="17">
        <f>IF('Raw Data'!A193&lt;&gt;"",AVERAGE('Raw Data'!AK193,'Raw Data'!AM193,'Raw Data'!AO193,'Raw Data'!AQ193,'Raw Data'!AS193),"")</f>
        <v/>
      </c>
      <c r="Q206" s="17">
        <f>IF(O206&lt;&gt;"",O206-P206,"")</f>
        <v/>
      </c>
      <c r="R206" s="17">
        <f>IF('Raw Data'!A193&lt;&gt;"",AVERAGE('Raw Data'!AT193,'Raw Data'!AV193,'Raw Data'!AX193,'Raw Data'!AZ193,'Raw Data'!BB193),"")</f>
        <v/>
      </c>
      <c r="S206" s="17">
        <f>IF('Raw Data'!A193&lt;&gt;"",AVERAGE('Raw Data'!AU193,'Raw Data'!AW193,'Raw Data'!AY193,'Raw Data'!BA193,'Raw Data'!BC193),"")</f>
        <v/>
      </c>
      <c r="T206" s="17">
        <f>IF(R206&lt;&gt;"",R206-S206,"")</f>
        <v/>
      </c>
      <c r="U206" s="17">
        <f>IF('Raw Data'!A193&lt;&gt;"",AVERAGE('Raw Data'!BD193,'Raw Data'!BF193,'Raw Data'!BH193,'Raw Data'!BJ193,'Raw Data'!BL193),"")</f>
        <v/>
      </c>
      <c r="V206" s="17">
        <f>IF('Raw Data'!A193&lt;&gt;"",AVERAGE('Raw Data'!BE193,'Raw Data'!BG193,'Raw Data'!BI193,'Raw Data'!BK193,'Raw Data'!BM193),"")</f>
        <v/>
      </c>
      <c r="W206" s="17">
        <f>IF(U206&lt;&gt;"",U206-V206,"")</f>
        <v/>
      </c>
      <c r="X206" s="17">
        <f>IF(A206&lt;&gt;"",AVERAGE(F206,I206,L206,O206,R206,U206),"")</f>
        <v/>
      </c>
      <c r="Y206" s="17">
        <f>IF(A206&lt;&gt;"",AVERAGE(G206,J206,M206,P206,S206,V206),"")</f>
        <v/>
      </c>
      <c r="Z206" s="17">
        <f>IF(A206&lt;&gt;"",X206-Y206,"")</f>
        <v/>
      </c>
      <c r="AA206" s="18">
        <f>IF(A206&lt;&gt;"",ROUND(MIN(100,100*((MAX(0,K206)*0.25)+(MAX(0,Q206)*0.20)+(MAX(0,W206)*0.20)+(MAX(0,H206)*0.15)+(MAX(0,N206)*0.10)+(MAX(0,T206)*0.10))/9),1),"")</f>
        <v/>
      </c>
      <c r="AB206" s="29">
        <f>IF(A206&lt;&gt;"",MIN(1,(0.5*AA206/100)+(0.3*MAX(0,K206)/9)+(0.2*MAX(0,Q206)/9)),"")</f>
        <v/>
      </c>
    </row>
    <row r="207">
      <c r="A207" s="4">
        <f>IF('Raw Data'!A194&lt;&gt;"",'Raw Data'!A194,"")</f>
        <v/>
      </c>
      <c r="B207" s="4">
        <f>IF('Raw Data'!B194&lt;&gt;"",'Raw Data'!B194,"")</f>
        <v/>
      </c>
      <c r="C207" s="4">
        <f>IF('Raw Data'!C194&lt;&gt;"",'Raw Data'!C194,"")</f>
        <v/>
      </c>
      <c r="D207" s="4">
        <f>IF('Raw Data'!D194&lt;&gt;"",'Raw Data'!D194,"")</f>
        <v/>
      </c>
      <c r="E207" s="4">
        <f>IF('Raw Data'!E194&lt;&gt;"",'Raw Data'!E194,"")</f>
        <v/>
      </c>
      <c r="F207" s="14">
        <f>IF('Raw Data'!A194&lt;&gt;"",AVERAGE('Raw Data'!F194,'Raw Data'!H194,'Raw Data'!J194,'Raw Data'!L194,'Raw Data'!N194),"")</f>
        <v/>
      </c>
      <c r="G207" s="14">
        <f>IF('Raw Data'!A194&lt;&gt;"",AVERAGE('Raw Data'!G194,'Raw Data'!I194,'Raw Data'!K194,'Raw Data'!M194,'Raw Data'!O194),"")</f>
        <v/>
      </c>
      <c r="H207" s="14">
        <f>IF(F207&lt;&gt;"",F207-G207,"")</f>
        <v/>
      </c>
      <c r="I207" s="14">
        <f>IF('Raw Data'!A194&lt;&gt;"",AVERAGE('Raw Data'!P194,'Raw Data'!R194,'Raw Data'!T194,'Raw Data'!V194,'Raw Data'!X194),"")</f>
        <v/>
      </c>
      <c r="J207" s="14">
        <f>IF('Raw Data'!A194&lt;&gt;"",AVERAGE('Raw Data'!Q194,'Raw Data'!S194,'Raw Data'!U194,'Raw Data'!W194,'Raw Data'!Y194),"")</f>
        <v/>
      </c>
      <c r="K207" s="14">
        <f>IF(I207&lt;&gt;"",I207-J207,"")</f>
        <v/>
      </c>
      <c r="L207" s="14">
        <f>IF('Raw Data'!A194&lt;&gt;"",AVERAGE('Raw Data'!Z194,'Raw Data'!AB194,'Raw Data'!AD194,'Raw Data'!AF194,'Raw Data'!AH194),"")</f>
        <v/>
      </c>
      <c r="M207" s="14">
        <f>IF('Raw Data'!A194&lt;&gt;"",AVERAGE('Raw Data'!AA194,'Raw Data'!AC194,'Raw Data'!AE194,'Raw Data'!AG194,'Raw Data'!AI194),"")</f>
        <v/>
      </c>
      <c r="N207" s="14">
        <f>IF(L207&lt;&gt;"",L207-M207,"")</f>
        <v/>
      </c>
      <c r="O207" s="14">
        <f>IF('Raw Data'!A194&lt;&gt;"",AVERAGE('Raw Data'!AJ194,'Raw Data'!AL194,'Raw Data'!AN194,'Raw Data'!AP194,'Raw Data'!AR194),"")</f>
        <v/>
      </c>
      <c r="P207" s="14">
        <f>IF('Raw Data'!A194&lt;&gt;"",AVERAGE('Raw Data'!AK194,'Raw Data'!AM194,'Raw Data'!AO194,'Raw Data'!AQ194,'Raw Data'!AS194),"")</f>
        <v/>
      </c>
      <c r="Q207" s="14">
        <f>IF(O207&lt;&gt;"",O207-P207,"")</f>
        <v/>
      </c>
      <c r="R207" s="14">
        <f>IF('Raw Data'!A194&lt;&gt;"",AVERAGE('Raw Data'!AT194,'Raw Data'!AV194,'Raw Data'!AX194,'Raw Data'!AZ194,'Raw Data'!BB194),"")</f>
        <v/>
      </c>
      <c r="S207" s="14">
        <f>IF('Raw Data'!A194&lt;&gt;"",AVERAGE('Raw Data'!AU194,'Raw Data'!AW194,'Raw Data'!AY194,'Raw Data'!BA194,'Raw Data'!BC194),"")</f>
        <v/>
      </c>
      <c r="T207" s="14">
        <f>IF(R207&lt;&gt;"",R207-S207,"")</f>
        <v/>
      </c>
      <c r="U207" s="14">
        <f>IF('Raw Data'!A194&lt;&gt;"",AVERAGE('Raw Data'!BD194,'Raw Data'!BF194,'Raw Data'!BH194,'Raw Data'!BJ194,'Raw Data'!BL194),"")</f>
        <v/>
      </c>
      <c r="V207" s="14">
        <f>IF('Raw Data'!A194&lt;&gt;"",AVERAGE('Raw Data'!BE194,'Raw Data'!BG194,'Raw Data'!BI194,'Raw Data'!BK194,'Raw Data'!BM194),"")</f>
        <v/>
      </c>
      <c r="W207" s="14">
        <f>IF(U207&lt;&gt;"",U207-V207,"")</f>
        <v/>
      </c>
      <c r="X207" s="14">
        <f>IF(A207&lt;&gt;"",AVERAGE(F207,I207,L207,O207,R207,U207),"")</f>
        <v/>
      </c>
      <c r="Y207" s="14">
        <f>IF(A207&lt;&gt;"",AVERAGE(G207,J207,M207,P207,S207,V207),"")</f>
        <v/>
      </c>
      <c r="Z207" s="14">
        <f>IF(A207&lt;&gt;"",X207-Y207,"")</f>
        <v/>
      </c>
      <c r="AA207" s="15">
        <f>IF(A207&lt;&gt;"",ROUND(MIN(100,100*((MAX(0,K207)*0.25)+(MAX(0,Q207)*0.20)+(MAX(0,W207)*0.20)+(MAX(0,H207)*0.15)+(MAX(0,N207)*0.10)+(MAX(0,T207)*0.10))/9),1),"")</f>
        <v/>
      </c>
      <c r="AB207" s="28">
        <f>IF(A207&lt;&gt;"",MIN(1,(0.5*AA207/100)+(0.3*MAX(0,K207)/9)+(0.2*MAX(0,Q207)/9)),"")</f>
        <v/>
      </c>
    </row>
    <row r="208">
      <c r="A208" s="13">
        <f>IF('Raw Data'!A195&lt;&gt;"",'Raw Data'!A195,"")</f>
        <v/>
      </c>
      <c r="B208" s="13">
        <f>IF('Raw Data'!B195&lt;&gt;"",'Raw Data'!B195,"")</f>
        <v/>
      </c>
      <c r="C208" s="13">
        <f>IF('Raw Data'!C195&lt;&gt;"",'Raw Data'!C195,"")</f>
        <v/>
      </c>
      <c r="D208" s="13">
        <f>IF('Raw Data'!D195&lt;&gt;"",'Raw Data'!D195,"")</f>
        <v/>
      </c>
      <c r="E208" s="13">
        <f>IF('Raw Data'!E195&lt;&gt;"",'Raw Data'!E195,"")</f>
        <v/>
      </c>
      <c r="F208" s="17">
        <f>IF('Raw Data'!A195&lt;&gt;"",AVERAGE('Raw Data'!F195,'Raw Data'!H195,'Raw Data'!J195,'Raw Data'!L195,'Raw Data'!N195),"")</f>
        <v/>
      </c>
      <c r="G208" s="17">
        <f>IF('Raw Data'!A195&lt;&gt;"",AVERAGE('Raw Data'!G195,'Raw Data'!I195,'Raw Data'!K195,'Raw Data'!M195,'Raw Data'!O195),"")</f>
        <v/>
      </c>
      <c r="H208" s="17">
        <f>IF(F208&lt;&gt;"",F208-G208,"")</f>
        <v/>
      </c>
      <c r="I208" s="17">
        <f>IF('Raw Data'!A195&lt;&gt;"",AVERAGE('Raw Data'!P195,'Raw Data'!R195,'Raw Data'!T195,'Raw Data'!V195,'Raw Data'!X195),"")</f>
        <v/>
      </c>
      <c r="J208" s="17">
        <f>IF('Raw Data'!A195&lt;&gt;"",AVERAGE('Raw Data'!Q195,'Raw Data'!S195,'Raw Data'!U195,'Raw Data'!W195,'Raw Data'!Y195),"")</f>
        <v/>
      </c>
      <c r="K208" s="17">
        <f>IF(I208&lt;&gt;"",I208-J208,"")</f>
        <v/>
      </c>
      <c r="L208" s="17">
        <f>IF('Raw Data'!A195&lt;&gt;"",AVERAGE('Raw Data'!Z195,'Raw Data'!AB195,'Raw Data'!AD195,'Raw Data'!AF195,'Raw Data'!AH195),"")</f>
        <v/>
      </c>
      <c r="M208" s="17">
        <f>IF('Raw Data'!A195&lt;&gt;"",AVERAGE('Raw Data'!AA195,'Raw Data'!AC195,'Raw Data'!AE195,'Raw Data'!AG195,'Raw Data'!AI195),"")</f>
        <v/>
      </c>
      <c r="N208" s="17">
        <f>IF(L208&lt;&gt;"",L208-M208,"")</f>
        <v/>
      </c>
      <c r="O208" s="17">
        <f>IF('Raw Data'!A195&lt;&gt;"",AVERAGE('Raw Data'!AJ195,'Raw Data'!AL195,'Raw Data'!AN195,'Raw Data'!AP195,'Raw Data'!AR195),"")</f>
        <v/>
      </c>
      <c r="P208" s="17">
        <f>IF('Raw Data'!A195&lt;&gt;"",AVERAGE('Raw Data'!AK195,'Raw Data'!AM195,'Raw Data'!AO195,'Raw Data'!AQ195,'Raw Data'!AS195),"")</f>
        <v/>
      </c>
      <c r="Q208" s="17">
        <f>IF(O208&lt;&gt;"",O208-P208,"")</f>
        <v/>
      </c>
      <c r="R208" s="17">
        <f>IF('Raw Data'!A195&lt;&gt;"",AVERAGE('Raw Data'!AT195,'Raw Data'!AV195,'Raw Data'!AX195,'Raw Data'!AZ195,'Raw Data'!BB195),"")</f>
        <v/>
      </c>
      <c r="S208" s="17">
        <f>IF('Raw Data'!A195&lt;&gt;"",AVERAGE('Raw Data'!AU195,'Raw Data'!AW195,'Raw Data'!AY195,'Raw Data'!BA195,'Raw Data'!BC195),"")</f>
        <v/>
      </c>
      <c r="T208" s="17">
        <f>IF(R208&lt;&gt;"",R208-S208,"")</f>
        <v/>
      </c>
      <c r="U208" s="17">
        <f>IF('Raw Data'!A195&lt;&gt;"",AVERAGE('Raw Data'!BD195,'Raw Data'!BF195,'Raw Data'!BH195,'Raw Data'!BJ195,'Raw Data'!BL195),"")</f>
        <v/>
      </c>
      <c r="V208" s="17">
        <f>IF('Raw Data'!A195&lt;&gt;"",AVERAGE('Raw Data'!BE195,'Raw Data'!BG195,'Raw Data'!BI195,'Raw Data'!BK195,'Raw Data'!BM195),"")</f>
        <v/>
      </c>
      <c r="W208" s="17">
        <f>IF(U208&lt;&gt;"",U208-V208,"")</f>
        <v/>
      </c>
      <c r="X208" s="17">
        <f>IF(A208&lt;&gt;"",AVERAGE(F208,I208,L208,O208,R208,U208),"")</f>
        <v/>
      </c>
      <c r="Y208" s="17">
        <f>IF(A208&lt;&gt;"",AVERAGE(G208,J208,M208,P208,S208,V208),"")</f>
        <v/>
      </c>
      <c r="Z208" s="17">
        <f>IF(A208&lt;&gt;"",X208-Y208,"")</f>
        <v/>
      </c>
      <c r="AA208" s="18">
        <f>IF(A208&lt;&gt;"",ROUND(MIN(100,100*((MAX(0,K208)*0.25)+(MAX(0,Q208)*0.20)+(MAX(0,W208)*0.20)+(MAX(0,H208)*0.15)+(MAX(0,N208)*0.10)+(MAX(0,T208)*0.10))/9),1),"")</f>
        <v/>
      </c>
      <c r="AB208" s="29">
        <f>IF(A208&lt;&gt;"",MIN(1,(0.5*AA208/100)+(0.3*MAX(0,K208)/9)+(0.2*MAX(0,Q208)/9)),"")</f>
        <v/>
      </c>
    </row>
    <row r="209">
      <c r="A209" s="4">
        <f>IF('Raw Data'!A196&lt;&gt;"",'Raw Data'!A196,"")</f>
        <v/>
      </c>
      <c r="B209" s="4">
        <f>IF('Raw Data'!B196&lt;&gt;"",'Raw Data'!B196,"")</f>
        <v/>
      </c>
      <c r="C209" s="4">
        <f>IF('Raw Data'!C196&lt;&gt;"",'Raw Data'!C196,"")</f>
        <v/>
      </c>
      <c r="D209" s="4">
        <f>IF('Raw Data'!D196&lt;&gt;"",'Raw Data'!D196,"")</f>
        <v/>
      </c>
      <c r="E209" s="4">
        <f>IF('Raw Data'!E196&lt;&gt;"",'Raw Data'!E196,"")</f>
        <v/>
      </c>
      <c r="F209" s="14">
        <f>IF('Raw Data'!A196&lt;&gt;"",AVERAGE('Raw Data'!F196,'Raw Data'!H196,'Raw Data'!J196,'Raw Data'!L196,'Raw Data'!N196),"")</f>
        <v/>
      </c>
      <c r="G209" s="14">
        <f>IF('Raw Data'!A196&lt;&gt;"",AVERAGE('Raw Data'!G196,'Raw Data'!I196,'Raw Data'!K196,'Raw Data'!M196,'Raw Data'!O196),"")</f>
        <v/>
      </c>
      <c r="H209" s="14">
        <f>IF(F209&lt;&gt;"",F209-G209,"")</f>
        <v/>
      </c>
      <c r="I209" s="14">
        <f>IF('Raw Data'!A196&lt;&gt;"",AVERAGE('Raw Data'!P196,'Raw Data'!R196,'Raw Data'!T196,'Raw Data'!V196,'Raw Data'!X196),"")</f>
        <v/>
      </c>
      <c r="J209" s="14">
        <f>IF('Raw Data'!A196&lt;&gt;"",AVERAGE('Raw Data'!Q196,'Raw Data'!S196,'Raw Data'!U196,'Raw Data'!W196,'Raw Data'!Y196),"")</f>
        <v/>
      </c>
      <c r="K209" s="14">
        <f>IF(I209&lt;&gt;"",I209-J209,"")</f>
        <v/>
      </c>
      <c r="L209" s="14">
        <f>IF('Raw Data'!A196&lt;&gt;"",AVERAGE('Raw Data'!Z196,'Raw Data'!AB196,'Raw Data'!AD196,'Raw Data'!AF196,'Raw Data'!AH196),"")</f>
        <v/>
      </c>
      <c r="M209" s="14">
        <f>IF('Raw Data'!A196&lt;&gt;"",AVERAGE('Raw Data'!AA196,'Raw Data'!AC196,'Raw Data'!AE196,'Raw Data'!AG196,'Raw Data'!AI196),"")</f>
        <v/>
      </c>
      <c r="N209" s="14">
        <f>IF(L209&lt;&gt;"",L209-M209,"")</f>
        <v/>
      </c>
      <c r="O209" s="14">
        <f>IF('Raw Data'!A196&lt;&gt;"",AVERAGE('Raw Data'!AJ196,'Raw Data'!AL196,'Raw Data'!AN196,'Raw Data'!AP196,'Raw Data'!AR196),"")</f>
        <v/>
      </c>
      <c r="P209" s="14">
        <f>IF('Raw Data'!A196&lt;&gt;"",AVERAGE('Raw Data'!AK196,'Raw Data'!AM196,'Raw Data'!AO196,'Raw Data'!AQ196,'Raw Data'!AS196),"")</f>
        <v/>
      </c>
      <c r="Q209" s="14">
        <f>IF(O209&lt;&gt;"",O209-P209,"")</f>
        <v/>
      </c>
      <c r="R209" s="14">
        <f>IF('Raw Data'!A196&lt;&gt;"",AVERAGE('Raw Data'!AT196,'Raw Data'!AV196,'Raw Data'!AX196,'Raw Data'!AZ196,'Raw Data'!BB196),"")</f>
        <v/>
      </c>
      <c r="S209" s="14">
        <f>IF('Raw Data'!A196&lt;&gt;"",AVERAGE('Raw Data'!AU196,'Raw Data'!AW196,'Raw Data'!AY196,'Raw Data'!BA196,'Raw Data'!BC196),"")</f>
        <v/>
      </c>
      <c r="T209" s="14">
        <f>IF(R209&lt;&gt;"",R209-S209,"")</f>
        <v/>
      </c>
      <c r="U209" s="14">
        <f>IF('Raw Data'!A196&lt;&gt;"",AVERAGE('Raw Data'!BD196,'Raw Data'!BF196,'Raw Data'!BH196,'Raw Data'!BJ196,'Raw Data'!BL196),"")</f>
        <v/>
      </c>
      <c r="V209" s="14">
        <f>IF('Raw Data'!A196&lt;&gt;"",AVERAGE('Raw Data'!BE196,'Raw Data'!BG196,'Raw Data'!BI196,'Raw Data'!BK196,'Raw Data'!BM196),"")</f>
        <v/>
      </c>
      <c r="W209" s="14">
        <f>IF(U209&lt;&gt;"",U209-V209,"")</f>
        <v/>
      </c>
      <c r="X209" s="14">
        <f>IF(A209&lt;&gt;"",AVERAGE(F209,I209,L209,O209,R209,U209),"")</f>
        <v/>
      </c>
      <c r="Y209" s="14">
        <f>IF(A209&lt;&gt;"",AVERAGE(G209,J209,M209,P209,S209,V209),"")</f>
        <v/>
      </c>
      <c r="Z209" s="14">
        <f>IF(A209&lt;&gt;"",X209-Y209,"")</f>
        <v/>
      </c>
      <c r="AA209" s="15">
        <f>IF(A209&lt;&gt;"",ROUND(MIN(100,100*((MAX(0,K209)*0.25)+(MAX(0,Q209)*0.20)+(MAX(0,W209)*0.20)+(MAX(0,H209)*0.15)+(MAX(0,N209)*0.10)+(MAX(0,T209)*0.10))/9),1),"")</f>
        <v/>
      </c>
      <c r="AB209" s="28">
        <f>IF(A209&lt;&gt;"",MIN(1,(0.5*AA209/100)+(0.3*MAX(0,K209)/9)+(0.2*MAX(0,Q209)/9)),"")</f>
        <v/>
      </c>
    </row>
    <row r="210">
      <c r="A210" s="13">
        <f>IF('Raw Data'!A197&lt;&gt;"",'Raw Data'!A197,"")</f>
        <v/>
      </c>
      <c r="B210" s="13">
        <f>IF('Raw Data'!B197&lt;&gt;"",'Raw Data'!B197,"")</f>
        <v/>
      </c>
      <c r="C210" s="13">
        <f>IF('Raw Data'!C197&lt;&gt;"",'Raw Data'!C197,"")</f>
        <v/>
      </c>
      <c r="D210" s="13">
        <f>IF('Raw Data'!D197&lt;&gt;"",'Raw Data'!D197,"")</f>
        <v/>
      </c>
      <c r="E210" s="13">
        <f>IF('Raw Data'!E197&lt;&gt;"",'Raw Data'!E197,"")</f>
        <v/>
      </c>
      <c r="F210" s="17">
        <f>IF('Raw Data'!A197&lt;&gt;"",AVERAGE('Raw Data'!F197,'Raw Data'!H197,'Raw Data'!J197,'Raw Data'!L197,'Raw Data'!N197),"")</f>
        <v/>
      </c>
      <c r="G210" s="17">
        <f>IF('Raw Data'!A197&lt;&gt;"",AVERAGE('Raw Data'!G197,'Raw Data'!I197,'Raw Data'!K197,'Raw Data'!M197,'Raw Data'!O197),"")</f>
        <v/>
      </c>
      <c r="H210" s="17">
        <f>IF(F210&lt;&gt;"",F210-G210,"")</f>
        <v/>
      </c>
      <c r="I210" s="17">
        <f>IF('Raw Data'!A197&lt;&gt;"",AVERAGE('Raw Data'!P197,'Raw Data'!R197,'Raw Data'!T197,'Raw Data'!V197,'Raw Data'!X197),"")</f>
        <v/>
      </c>
      <c r="J210" s="17">
        <f>IF('Raw Data'!A197&lt;&gt;"",AVERAGE('Raw Data'!Q197,'Raw Data'!S197,'Raw Data'!U197,'Raw Data'!W197,'Raw Data'!Y197),"")</f>
        <v/>
      </c>
      <c r="K210" s="17">
        <f>IF(I210&lt;&gt;"",I210-J210,"")</f>
        <v/>
      </c>
      <c r="L210" s="17">
        <f>IF('Raw Data'!A197&lt;&gt;"",AVERAGE('Raw Data'!Z197,'Raw Data'!AB197,'Raw Data'!AD197,'Raw Data'!AF197,'Raw Data'!AH197),"")</f>
        <v/>
      </c>
      <c r="M210" s="17">
        <f>IF('Raw Data'!A197&lt;&gt;"",AVERAGE('Raw Data'!AA197,'Raw Data'!AC197,'Raw Data'!AE197,'Raw Data'!AG197,'Raw Data'!AI197),"")</f>
        <v/>
      </c>
      <c r="N210" s="17">
        <f>IF(L210&lt;&gt;"",L210-M210,"")</f>
        <v/>
      </c>
      <c r="O210" s="17">
        <f>IF('Raw Data'!A197&lt;&gt;"",AVERAGE('Raw Data'!AJ197,'Raw Data'!AL197,'Raw Data'!AN197,'Raw Data'!AP197,'Raw Data'!AR197),"")</f>
        <v/>
      </c>
      <c r="P210" s="17">
        <f>IF('Raw Data'!A197&lt;&gt;"",AVERAGE('Raw Data'!AK197,'Raw Data'!AM197,'Raw Data'!AO197,'Raw Data'!AQ197,'Raw Data'!AS197),"")</f>
        <v/>
      </c>
      <c r="Q210" s="17">
        <f>IF(O210&lt;&gt;"",O210-P210,"")</f>
        <v/>
      </c>
      <c r="R210" s="17">
        <f>IF('Raw Data'!A197&lt;&gt;"",AVERAGE('Raw Data'!AT197,'Raw Data'!AV197,'Raw Data'!AX197,'Raw Data'!AZ197,'Raw Data'!BB197),"")</f>
        <v/>
      </c>
      <c r="S210" s="17">
        <f>IF('Raw Data'!A197&lt;&gt;"",AVERAGE('Raw Data'!AU197,'Raw Data'!AW197,'Raw Data'!AY197,'Raw Data'!BA197,'Raw Data'!BC197),"")</f>
        <v/>
      </c>
      <c r="T210" s="17">
        <f>IF(R210&lt;&gt;"",R210-S210,"")</f>
        <v/>
      </c>
      <c r="U210" s="17">
        <f>IF('Raw Data'!A197&lt;&gt;"",AVERAGE('Raw Data'!BD197,'Raw Data'!BF197,'Raw Data'!BH197,'Raw Data'!BJ197,'Raw Data'!BL197),"")</f>
        <v/>
      </c>
      <c r="V210" s="17">
        <f>IF('Raw Data'!A197&lt;&gt;"",AVERAGE('Raw Data'!BE197,'Raw Data'!BG197,'Raw Data'!BI197,'Raw Data'!BK197,'Raw Data'!BM197),"")</f>
        <v/>
      </c>
      <c r="W210" s="17">
        <f>IF(U210&lt;&gt;"",U210-V210,"")</f>
        <v/>
      </c>
      <c r="X210" s="17">
        <f>IF(A210&lt;&gt;"",AVERAGE(F210,I210,L210,O210,R210,U210),"")</f>
        <v/>
      </c>
      <c r="Y210" s="17">
        <f>IF(A210&lt;&gt;"",AVERAGE(G210,J210,M210,P210,S210,V210),"")</f>
        <v/>
      </c>
      <c r="Z210" s="17">
        <f>IF(A210&lt;&gt;"",X210-Y210,"")</f>
        <v/>
      </c>
      <c r="AA210" s="18">
        <f>IF(A210&lt;&gt;"",ROUND(MIN(100,100*((MAX(0,K210)*0.25)+(MAX(0,Q210)*0.20)+(MAX(0,W210)*0.20)+(MAX(0,H210)*0.15)+(MAX(0,N210)*0.10)+(MAX(0,T210)*0.10))/9),1),"")</f>
        <v/>
      </c>
      <c r="AB210" s="29">
        <f>IF(A210&lt;&gt;"",MIN(1,(0.5*AA210/100)+(0.3*MAX(0,K210)/9)+(0.2*MAX(0,Q210)/9)),"")</f>
        <v/>
      </c>
    </row>
    <row r="211">
      <c r="A211" s="4">
        <f>IF('Raw Data'!A198&lt;&gt;"",'Raw Data'!A198,"")</f>
        <v/>
      </c>
      <c r="B211" s="4">
        <f>IF('Raw Data'!B198&lt;&gt;"",'Raw Data'!B198,"")</f>
        <v/>
      </c>
      <c r="C211" s="4">
        <f>IF('Raw Data'!C198&lt;&gt;"",'Raw Data'!C198,"")</f>
        <v/>
      </c>
      <c r="D211" s="4">
        <f>IF('Raw Data'!D198&lt;&gt;"",'Raw Data'!D198,"")</f>
        <v/>
      </c>
      <c r="E211" s="4">
        <f>IF('Raw Data'!E198&lt;&gt;"",'Raw Data'!E198,"")</f>
        <v/>
      </c>
      <c r="F211" s="14">
        <f>IF('Raw Data'!A198&lt;&gt;"",AVERAGE('Raw Data'!F198,'Raw Data'!H198,'Raw Data'!J198,'Raw Data'!L198,'Raw Data'!N198),"")</f>
        <v/>
      </c>
      <c r="G211" s="14">
        <f>IF('Raw Data'!A198&lt;&gt;"",AVERAGE('Raw Data'!G198,'Raw Data'!I198,'Raw Data'!K198,'Raw Data'!M198,'Raw Data'!O198),"")</f>
        <v/>
      </c>
      <c r="H211" s="14">
        <f>IF(F211&lt;&gt;"",F211-G211,"")</f>
        <v/>
      </c>
      <c r="I211" s="14">
        <f>IF('Raw Data'!A198&lt;&gt;"",AVERAGE('Raw Data'!P198,'Raw Data'!R198,'Raw Data'!T198,'Raw Data'!V198,'Raw Data'!X198),"")</f>
        <v/>
      </c>
      <c r="J211" s="14">
        <f>IF('Raw Data'!A198&lt;&gt;"",AVERAGE('Raw Data'!Q198,'Raw Data'!S198,'Raw Data'!U198,'Raw Data'!W198,'Raw Data'!Y198),"")</f>
        <v/>
      </c>
      <c r="K211" s="14">
        <f>IF(I211&lt;&gt;"",I211-J211,"")</f>
        <v/>
      </c>
      <c r="L211" s="14">
        <f>IF('Raw Data'!A198&lt;&gt;"",AVERAGE('Raw Data'!Z198,'Raw Data'!AB198,'Raw Data'!AD198,'Raw Data'!AF198,'Raw Data'!AH198),"")</f>
        <v/>
      </c>
      <c r="M211" s="14">
        <f>IF('Raw Data'!A198&lt;&gt;"",AVERAGE('Raw Data'!AA198,'Raw Data'!AC198,'Raw Data'!AE198,'Raw Data'!AG198,'Raw Data'!AI198),"")</f>
        <v/>
      </c>
      <c r="N211" s="14">
        <f>IF(L211&lt;&gt;"",L211-M211,"")</f>
        <v/>
      </c>
      <c r="O211" s="14">
        <f>IF('Raw Data'!A198&lt;&gt;"",AVERAGE('Raw Data'!AJ198,'Raw Data'!AL198,'Raw Data'!AN198,'Raw Data'!AP198,'Raw Data'!AR198),"")</f>
        <v/>
      </c>
      <c r="P211" s="14">
        <f>IF('Raw Data'!A198&lt;&gt;"",AVERAGE('Raw Data'!AK198,'Raw Data'!AM198,'Raw Data'!AO198,'Raw Data'!AQ198,'Raw Data'!AS198),"")</f>
        <v/>
      </c>
      <c r="Q211" s="14">
        <f>IF(O211&lt;&gt;"",O211-P211,"")</f>
        <v/>
      </c>
      <c r="R211" s="14">
        <f>IF('Raw Data'!A198&lt;&gt;"",AVERAGE('Raw Data'!AT198,'Raw Data'!AV198,'Raw Data'!AX198,'Raw Data'!AZ198,'Raw Data'!BB198),"")</f>
        <v/>
      </c>
      <c r="S211" s="14">
        <f>IF('Raw Data'!A198&lt;&gt;"",AVERAGE('Raw Data'!AU198,'Raw Data'!AW198,'Raw Data'!AY198,'Raw Data'!BA198,'Raw Data'!BC198),"")</f>
        <v/>
      </c>
      <c r="T211" s="14">
        <f>IF(R211&lt;&gt;"",R211-S211,"")</f>
        <v/>
      </c>
      <c r="U211" s="14">
        <f>IF('Raw Data'!A198&lt;&gt;"",AVERAGE('Raw Data'!BD198,'Raw Data'!BF198,'Raw Data'!BH198,'Raw Data'!BJ198,'Raw Data'!BL198),"")</f>
        <v/>
      </c>
      <c r="V211" s="14">
        <f>IF('Raw Data'!A198&lt;&gt;"",AVERAGE('Raw Data'!BE198,'Raw Data'!BG198,'Raw Data'!BI198,'Raw Data'!BK198,'Raw Data'!BM198),"")</f>
        <v/>
      </c>
      <c r="W211" s="14">
        <f>IF(U211&lt;&gt;"",U211-V211,"")</f>
        <v/>
      </c>
      <c r="X211" s="14">
        <f>IF(A211&lt;&gt;"",AVERAGE(F211,I211,L211,O211,R211,U211),"")</f>
        <v/>
      </c>
      <c r="Y211" s="14">
        <f>IF(A211&lt;&gt;"",AVERAGE(G211,J211,M211,P211,S211,V211),"")</f>
        <v/>
      </c>
      <c r="Z211" s="14">
        <f>IF(A211&lt;&gt;"",X211-Y211,"")</f>
        <v/>
      </c>
      <c r="AA211" s="15">
        <f>IF(A211&lt;&gt;"",ROUND(MIN(100,100*((MAX(0,K211)*0.25)+(MAX(0,Q211)*0.20)+(MAX(0,W211)*0.20)+(MAX(0,H211)*0.15)+(MAX(0,N211)*0.10)+(MAX(0,T211)*0.10))/9),1),"")</f>
        <v/>
      </c>
      <c r="AB211" s="28">
        <f>IF(A211&lt;&gt;"",MIN(1,(0.5*AA211/100)+(0.3*MAX(0,K211)/9)+(0.2*MAX(0,Q211)/9)),"")</f>
        <v/>
      </c>
    </row>
    <row r="212">
      <c r="A212" s="13">
        <f>IF('Raw Data'!A199&lt;&gt;"",'Raw Data'!A199,"")</f>
        <v/>
      </c>
      <c r="B212" s="13">
        <f>IF('Raw Data'!B199&lt;&gt;"",'Raw Data'!B199,"")</f>
        <v/>
      </c>
      <c r="C212" s="13">
        <f>IF('Raw Data'!C199&lt;&gt;"",'Raw Data'!C199,"")</f>
        <v/>
      </c>
      <c r="D212" s="13">
        <f>IF('Raw Data'!D199&lt;&gt;"",'Raw Data'!D199,"")</f>
        <v/>
      </c>
      <c r="E212" s="13">
        <f>IF('Raw Data'!E199&lt;&gt;"",'Raw Data'!E199,"")</f>
        <v/>
      </c>
      <c r="F212" s="17">
        <f>IF('Raw Data'!A199&lt;&gt;"",AVERAGE('Raw Data'!F199,'Raw Data'!H199,'Raw Data'!J199,'Raw Data'!L199,'Raw Data'!N199),"")</f>
        <v/>
      </c>
      <c r="G212" s="17">
        <f>IF('Raw Data'!A199&lt;&gt;"",AVERAGE('Raw Data'!G199,'Raw Data'!I199,'Raw Data'!K199,'Raw Data'!M199,'Raw Data'!O199),"")</f>
        <v/>
      </c>
      <c r="H212" s="17">
        <f>IF(F212&lt;&gt;"",F212-G212,"")</f>
        <v/>
      </c>
      <c r="I212" s="17">
        <f>IF('Raw Data'!A199&lt;&gt;"",AVERAGE('Raw Data'!P199,'Raw Data'!R199,'Raw Data'!T199,'Raw Data'!V199,'Raw Data'!X199),"")</f>
        <v/>
      </c>
      <c r="J212" s="17">
        <f>IF('Raw Data'!A199&lt;&gt;"",AVERAGE('Raw Data'!Q199,'Raw Data'!S199,'Raw Data'!U199,'Raw Data'!W199,'Raw Data'!Y199),"")</f>
        <v/>
      </c>
      <c r="K212" s="17">
        <f>IF(I212&lt;&gt;"",I212-J212,"")</f>
        <v/>
      </c>
      <c r="L212" s="17">
        <f>IF('Raw Data'!A199&lt;&gt;"",AVERAGE('Raw Data'!Z199,'Raw Data'!AB199,'Raw Data'!AD199,'Raw Data'!AF199,'Raw Data'!AH199),"")</f>
        <v/>
      </c>
      <c r="M212" s="17">
        <f>IF('Raw Data'!A199&lt;&gt;"",AVERAGE('Raw Data'!AA199,'Raw Data'!AC199,'Raw Data'!AE199,'Raw Data'!AG199,'Raw Data'!AI199),"")</f>
        <v/>
      </c>
      <c r="N212" s="17">
        <f>IF(L212&lt;&gt;"",L212-M212,"")</f>
        <v/>
      </c>
      <c r="O212" s="17">
        <f>IF('Raw Data'!A199&lt;&gt;"",AVERAGE('Raw Data'!AJ199,'Raw Data'!AL199,'Raw Data'!AN199,'Raw Data'!AP199,'Raw Data'!AR199),"")</f>
        <v/>
      </c>
      <c r="P212" s="17">
        <f>IF('Raw Data'!A199&lt;&gt;"",AVERAGE('Raw Data'!AK199,'Raw Data'!AM199,'Raw Data'!AO199,'Raw Data'!AQ199,'Raw Data'!AS199),"")</f>
        <v/>
      </c>
      <c r="Q212" s="17">
        <f>IF(O212&lt;&gt;"",O212-P212,"")</f>
        <v/>
      </c>
      <c r="R212" s="17">
        <f>IF('Raw Data'!A199&lt;&gt;"",AVERAGE('Raw Data'!AT199,'Raw Data'!AV199,'Raw Data'!AX199,'Raw Data'!AZ199,'Raw Data'!BB199),"")</f>
        <v/>
      </c>
      <c r="S212" s="17">
        <f>IF('Raw Data'!A199&lt;&gt;"",AVERAGE('Raw Data'!AU199,'Raw Data'!AW199,'Raw Data'!AY199,'Raw Data'!BA199,'Raw Data'!BC199),"")</f>
        <v/>
      </c>
      <c r="T212" s="17">
        <f>IF(R212&lt;&gt;"",R212-S212,"")</f>
        <v/>
      </c>
      <c r="U212" s="17">
        <f>IF('Raw Data'!A199&lt;&gt;"",AVERAGE('Raw Data'!BD199,'Raw Data'!BF199,'Raw Data'!BH199,'Raw Data'!BJ199,'Raw Data'!BL199),"")</f>
        <v/>
      </c>
      <c r="V212" s="17">
        <f>IF('Raw Data'!A199&lt;&gt;"",AVERAGE('Raw Data'!BE199,'Raw Data'!BG199,'Raw Data'!BI199,'Raw Data'!BK199,'Raw Data'!BM199),"")</f>
        <v/>
      </c>
      <c r="W212" s="17">
        <f>IF(U212&lt;&gt;"",U212-V212,"")</f>
        <v/>
      </c>
      <c r="X212" s="17">
        <f>IF(A212&lt;&gt;"",AVERAGE(F212,I212,L212,O212,R212,U212),"")</f>
        <v/>
      </c>
      <c r="Y212" s="17">
        <f>IF(A212&lt;&gt;"",AVERAGE(G212,J212,M212,P212,S212,V212),"")</f>
        <v/>
      </c>
      <c r="Z212" s="17">
        <f>IF(A212&lt;&gt;"",X212-Y212,"")</f>
        <v/>
      </c>
      <c r="AA212" s="18">
        <f>IF(A212&lt;&gt;"",ROUND(MIN(100,100*((MAX(0,K212)*0.25)+(MAX(0,Q212)*0.20)+(MAX(0,W212)*0.20)+(MAX(0,H212)*0.15)+(MAX(0,N212)*0.10)+(MAX(0,T212)*0.10))/9),1),"")</f>
        <v/>
      </c>
      <c r="AB212" s="29">
        <f>IF(A212&lt;&gt;"",MIN(1,(0.5*AA212/100)+(0.3*MAX(0,K212)/9)+(0.2*MAX(0,Q212)/9)),"")</f>
        <v/>
      </c>
    </row>
    <row r="213">
      <c r="A213" s="4">
        <f>IF('Raw Data'!A200&lt;&gt;"",'Raw Data'!A200,"")</f>
        <v/>
      </c>
      <c r="B213" s="4">
        <f>IF('Raw Data'!B200&lt;&gt;"",'Raw Data'!B200,"")</f>
        <v/>
      </c>
      <c r="C213" s="4">
        <f>IF('Raw Data'!C200&lt;&gt;"",'Raw Data'!C200,"")</f>
        <v/>
      </c>
      <c r="D213" s="4">
        <f>IF('Raw Data'!D200&lt;&gt;"",'Raw Data'!D200,"")</f>
        <v/>
      </c>
      <c r="E213" s="4">
        <f>IF('Raw Data'!E200&lt;&gt;"",'Raw Data'!E200,"")</f>
        <v/>
      </c>
      <c r="F213" s="14">
        <f>IF('Raw Data'!A200&lt;&gt;"",AVERAGE('Raw Data'!F200,'Raw Data'!H200,'Raw Data'!J200,'Raw Data'!L200,'Raw Data'!N200),"")</f>
        <v/>
      </c>
      <c r="G213" s="14">
        <f>IF('Raw Data'!A200&lt;&gt;"",AVERAGE('Raw Data'!G200,'Raw Data'!I200,'Raw Data'!K200,'Raw Data'!M200,'Raw Data'!O200),"")</f>
        <v/>
      </c>
      <c r="H213" s="14">
        <f>IF(F213&lt;&gt;"",F213-G213,"")</f>
        <v/>
      </c>
      <c r="I213" s="14">
        <f>IF('Raw Data'!A200&lt;&gt;"",AVERAGE('Raw Data'!P200,'Raw Data'!R200,'Raw Data'!T200,'Raw Data'!V200,'Raw Data'!X200),"")</f>
        <v/>
      </c>
      <c r="J213" s="14">
        <f>IF('Raw Data'!A200&lt;&gt;"",AVERAGE('Raw Data'!Q200,'Raw Data'!S200,'Raw Data'!U200,'Raw Data'!W200,'Raw Data'!Y200),"")</f>
        <v/>
      </c>
      <c r="K213" s="14">
        <f>IF(I213&lt;&gt;"",I213-J213,"")</f>
        <v/>
      </c>
      <c r="L213" s="14">
        <f>IF('Raw Data'!A200&lt;&gt;"",AVERAGE('Raw Data'!Z200,'Raw Data'!AB200,'Raw Data'!AD200,'Raw Data'!AF200,'Raw Data'!AH200),"")</f>
        <v/>
      </c>
      <c r="M213" s="14">
        <f>IF('Raw Data'!A200&lt;&gt;"",AVERAGE('Raw Data'!AA200,'Raw Data'!AC200,'Raw Data'!AE200,'Raw Data'!AG200,'Raw Data'!AI200),"")</f>
        <v/>
      </c>
      <c r="N213" s="14">
        <f>IF(L213&lt;&gt;"",L213-M213,"")</f>
        <v/>
      </c>
      <c r="O213" s="14">
        <f>IF('Raw Data'!A200&lt;&gt;"",AVERAGE('Raw Data'!AJ200,'Raw Data'!AL200,'Raw Data'!AN200,'Raw Data'!AP200,'Raw Data'!AR200),"")</f>
        <v/>
      </c>
      <c r="P213" s="14">
        <f>IF('Raw Data'!A200&lt;&gt;"",AVERAGE('Raw Data'!AK200,'Raw Data'!AM200,'Raw Data'!AO200,'Raw Data'!AQ200,'Raw Data'!AS200),"")</f>
        <v/>
      </c>
      <c r="Q213" s="14">
        <f>IF(O213&lt;&gt;"",O213-P213,"")</f>
        <v/>
      </c>
      <c r="R213" s="14">
        <f>IF('Raw Data'!A200&lt;&gt;"",AVERAGE('Raw Data'!AT200,'Raw Data'!AV200,'Raw Data'!AX200,'Raw Data'!AZ200,'Raw Data'!BB200),"")</f>
        <v/>
      </c>
      <c r="S213" s="14">
        <f>IF('Raw Data'!A200&lt;&gt;"",AVERAGE('Raw Data'!AU200,'Raw Data'!AW200,'Raw Data'!AY200,'Raw Data'!BA200,'Raw Data'!BC200),"")</f>
        <v/>
      </c>
      <c r="T213" s="14">
        <f>IF(R213&lt;&gt;"",R213-S213,"")</f>
        <v/>
      </c>
      <c r="U213" s="14">
        <f>IF('Raw Data'!A200&lt;&gt;"",AVERAGE('Raw Data'!BD200,'Raw Data'!BF200,'Raw Data'!BH200,'Raw Data'!BJ200,'Raw Data'!BL200),"")</f>
        <v/>
      </c>
      <c r="V213" s="14">
        <f>IF('Raw Data'!A200&lt;&gt;"",AVERAGE('Raw Data'!BE200,'Raw Data'!BG200,'Raw Data'!BI200,'Raw Data'!BK200,'Raw Data'!BM200),"")</f>
        <v/>
      </c>
      <c r="W213" s="14">
        <f>IF(U213&lt;&gt;"",U213-V213,"")</f>
        <v/>
      </c>
      <c r="X213" s="14">
        <f>IF(A213&lt;&gt;"",AVERAGE(F213,I213,L213,O213,R213,U213),"")</f>
        <v/>
      </c>
      <c r="Y213" s="14">
        <f>IF(A213&lt;&gt;"",AVERAGE(G213,J213,M213,P213,S213,V213),"")</f>
        <v/>
      </c>
      <c r="Z213" s="14">
        <f>IF(A213&lt;&gt;"",X213-Y213,"")</f>
        <v/>
      </c>
      <c r="AA213" s="15">
        <f>IF(A213&lt;&gt;"",ROUND(MIN(100,100*((MAX(0,K213)*0.25)+(MAX(0,Q213)*0.20)+(MAX(0,W213)*0.20)+(MAX(0,H213)*0.15)+(MAX(0,N213)*0.10)+(MAX(0,T213)*0.10))/9),1),"")</f>
        <v/>
      </c>
      <c r="AB213" s="28">
        <f>IF(A213&lt;&gt;"",MIN(1,(0.5*AA213/100)+(0.3*MAX(0,K213)/9)+(0.2*MAX(0,Q213)/9)),"")</f>
        <v/>
      </c>
    </row>
    <row r="214">
      <c r="A214" s="13">
        <f>IF('Raw Data'!A201&lt;&gt;"",'Raw Data'!A201,"")</f>
        <v/>
      </c>
      <c r="B214" s="13">
        <f>IF('Raw Data'!B201&lt;&gt;"",'Raw Data'!B201,"")</f>
        <v/>
      </c>
      <c r="C214" s="13">
        <f>IF('Raw Data'!C201&lt;&gt;"",'Raw Data'!C201,"")</f>
        <v/>
      </c>
      <c r="D214" s="13">
        <f>IF('Raw Data'!D201&lt;&gt;"",'Raw Data'!D201,"")</f>
        <v/>
      </c>
      <c r="E214" s="13">
        <f>IF('Raw Data'!E201&lt;&gt;"",'Raw Data'!E201,"")</f>
        <v/>
      </c>
      <c r="F214" s="17">
        <f>IF('Raw Data'!A201&lt;&gt;"",AVERAGE('Raw Data'!F201,'Raw Data'!H201,'Raw Data'!J201,'Raw Data'!L201,'Raw Data'!N201),"")</f>
        <v/>
      </c>
      <c r="G214" s="17">
        <f>IF('Raw Data'!A201&lt;&gt;"",AVERAGE('Raw Data'!G201,'Raw Data'!I201,'Raw Data'!K201,'Raw Data'!M201,'Raw Data'!O201),"")</f>
        <v/>
      </c>
      <c r="H214" s="17">
        <f>IF(F214&lt;&gt;"",F214-G214,"")</f>
        <v/>
      </c>
      <c r="I214" s="17">
        <f>IF('Raw Data'!A201&lt;&gt;"",AVERAGE('Raw Data'!P201,'Raw Data'!R201,'Raw Data'!T201,'Raw Data'!V201,'Raw Data'!X201),"")</f>
        <v/>
      </c>
      <c r="J214" s="17">
        <f>IF('Raw Data'!A201&lt;&gt;"",AVERAGE('Raw Data'!Q201,'Raw Data'!S201,'Raw Data'!U201,'Raw Data'!W201,'Raw Data'!Y201),"")</f>
        <v/>
      </c>
      <c r="K214" s="17">
        <f>IF(I214&lt;&gt;"",I214-J214,"")</f>
        <v/>
      </c>
      <c r="L214" s="17">
        <f>IF('Raw Data'!A201&lt;&gt;"",AVERAGE('Raw Data'!Z201,'Raw Data'!AB201,'Raw Data'!AD201,'Raw Data'!AF201,'Raw Data'!AH201),"")</f>
        <v/>
      </c>
      <c r="M214" s="17">
        <f>IF('Raw Data'!A201&lt;&gt;"",AVERAGE('Raw Data'!AA201,'Raw Data'!AC201,'Raw Data'!AE201,'Raw Data'!AG201,'Raw Data'!AI201),"")</f>
        <v/>
      </c>
      <c r="N214" s="17">
        <f>IF(L214&lt;&gt;"",L214-M214,"")</f>
        <v/>
      </c>
      <c r="O214" s="17">
        <f>IF('Raw Data'!A201&lt;&gt;"",AVERAGE('Raw Data'!AJ201,'Raw Data'!AL201,'Raw Data'!AN201,'Raw Data'!AP201,'Raw Data'!AR201),"")</f>
        <v/>
      </c>
      <c r="P214" s="17">
        <f>IF('Raw Data'!A201&lt;&gt;"",AVERAGE('Raw Data'!AK201,'Raw Data'!AM201,'Raw Data'!AO201,'Raw Data'!AQ201,'Raw Data'!AS201),"")</f>
        <v/>
      </c>
      <c r="Q214" s="17">
        <f>IF(O214&lt;&gt;"",O214-P214,"")</f>
        <v/>
      </c>
      <c r="R214" s="17">
        <f>IF('Raw Data'!A201&lt;&gt;"",AVERAGE('Raw Data'!AT201,'Raw Data'!AV201,'Raw Data'!AX201,'Raw Data'!AZ201,'Raw Data'!BB201),"")</f>
        <v/>
      </c>
      <c r="S214" s="17">
        <f>IF('Raw Data'!A201&lt;&gt;"",AVERAGE('Raw Data'!AU201,'Raw Data'!AW201,'Raw Data'!AY201,'Raw Data'!BA201,'Raw Data'!BC201),"")</f>
        <v/>
      </c>
      <c r="T214" s="17">
        <f>IF(R214&lt;&gt;"",R214-S214,"")</f>
        <v/>
      </c>
      <c r="U214" s="17">
        <f>IF('Raw Data'!A201&lt;&gt;"",AVERAGE('Raw Data'!BD201,'Raw Data'!BF201,'Raw Data'!BH201,'Raw Data'!BJ201,'Raw Data'!BL201),"")</f>
        <v/>
      </c>
      <c r="V214" s="17">
        <f>IF('Raw Data'!A201&lt;&gt;"",AVERAGE('Raw Data'!BE201,'Raw Data'!BG201,'Raw Data'!BI201,'Raw Data'!BK201,'Raw Data'!BM201),"")</f>
        <v/>
      </c>
      <c r="W214" s="17">
        <f>IF(U214&lt;&gt;"",U214-V214,"")</f>
        <v/>
      </c>
      <c r="X214" s="17">
        <f>IF(A214&lt;&gt;"",AVERAGE(F214,I214,L214,O214,R214,U214),"")</f>
        <v/>
      </c>
      <c r="Y214" s="17">
        <f>IF(A214&lt;&gt;"",AVERAGE(G214,J214,M214,P214,S214,V214),"")</f>
        <v/>
      </c>
      <c r="Z214" s="17">
        <f>IF(A214&lt;&gt;"",X214-Y214,"")</f>
        <v/>
      </c>
      <c r="AA214" s="18">
        <f>IF(A214&lt;&gt;"",ROUND(MIN(100,100*((MAX(0,K214)*0.25)+(MAX(0,Q214)*0.20)+(MAX(0,W214)*0.20)+(MAX(0,H214)*0.15)+(MAX(0,N214)*0.10)+(MAX(0,T214)*0.10))/9),1),"")</f>
        <v/>
      </c>
      <c r="AB214" s="29">
        <f>IF(A214&lt;&gt;"",MIN(1,(0.5*AA214/100)+(0.3*MAX(0,K214)/9)+(0.2*MAX(0,Q214)/9)),"")</f>
        <v/>
      </c>
    </row>
    <row r="215">
      <c r="A215" s="4">
        <f>IF('Raw Data'!A202&lt;&gt;"",'Raw Data'!A202,"")</f>
        <v/>
      </c>
      <c r="B215" s="4">
        <f>IF('Raw Data'!B202&lt;&gt;"",'Raw Data'!B202,"")</f>
        <v/>
      </c>
      <c r="C215" s="4">
        <f>IF('Raw Data'!C202&lt;&gt;"",'Raw Data'!C202,"")</f>
        <v/>
      </c>
      <c r="D215" s="4">
        <f>IF('Raw Data'!D202&lt;&gt;"",'Raw Data'!D202,"")</f>
        <v/>
      </c>
      <c r="E215" s="4">
        <f>IF('Raw Data'!E202&lt;&gt;"",'Raw Data'!E202,"")</f>
        <v/>
      </c>
      <c r="F215" s="14">
        <f>IF('Raw Data'!A202&lt;&gt;"",AVERAGE('Raw Data'!F202,'Raw Data'!H202,'Raw Data'!J202,'Raw Data'!L202,'Raw Data'!N202),"")</f>
        <v/>
      </c>
      <c r="G215" s="14">
        <f>IF('Raw Data'!A202&lt;&gt;"",AVERAGE('Raw Data'!G202,'Raw Data'!I202,'Raw Data'!K202,'Raw Data'!M202,'Raw Data'!O202),"")</f>
        <v/>
      </c>
      <c r="H215" s="14">
        <f>IF(F215&lt;&gt;"",F215-G215,"")</f>
        <v/>
      </c>
      <c r="I215" s="14">
        <f>IF('Raw Data'!A202&lt;&gt;"",AVERAGE('Raw Data'!P202,'Raw Data'!R202,'Raw Data'!T202,'Raw Data'!V202,'Raw Data'!X202),"")</f>
        <v/>
      </c>
      <c r="J215" s="14">
        <f>IF('Raw Data'!A202&lt;&gt;"",AVERAGE('Raw Data'!Q202,'Raw Data'!S202,'Raw Data'!U202,'Raw Data'!W202,'Raw Data'!Y202),"")</f>
        <v/>
      </c>
      <c r="K215" s="14">
        <f>IF(I215&lt;&gt;"",I215-J215,"")</f>
        <v/>
      </c>
      <c r="L215" s="14">
        <f>IF('Raw Data'!A202&lt;&gt;"",AVERAGE('Raw Data'!Z202,'Raw Data'!AB202,'Raw Data'!AD202,'Raw Data'!AF202,'Raw Data'!AH202),"")</f>
        <v/>
      </c>
      <c r="M215" s="14">
        <f>IF('Raw Data'!A202&lt;&gt;"",AVERAGE('Raw Data'!AA202,'Raw Data'!AC202,'Raw Data'!AE202,'Raw Data'!AG202,'Raw Data'!AI202),"")</f>
        <v/>
      </c>
      <c r="N215" s="14">
        <f>IF(L215&lt;&gt;"",L215-M215,"")</f>
        <v/>
      </c>
      <c r="O215" s="14">
        <f>IF('Raw Data'!A202&lt;&gt;"",AVERAGE('Raw Data'!AJ202,'Raw Data'!AL202,'Raw Data'!AN202,'Raw Data'!AP202,'Raw Data'!AR202),"")</f>
        <v/>
      </c>
      <c r="P215" s="14">
        <f>IF('Raw Data'!A202&lt;&gt;"",AVERAGE('Raw Data'!AK202,'Raw Data'!AM202,'Raw Data'!AO202,'Raw Data'!AQ202,'Raw Data'!AS202),"")</f>
        <v/>
      </c>
      <c r="Q215" s="14">
        <f>IF(O215&lt;&gt;"",O215-P215,"")</f>
        <v/>
      </c>
      <c r="R215" s="14">
        <f>IF('Raw Data'!A202&lt;&gt;"",AVERAGE('Raw Data'!AT202,'Raw Data'!AV202,'Raw Data'!AX202,'Raw Data'!AZ202,'Raw Data'!BB202),"")</f>
        <v/>
      </c>
      <c r="S215" s="14">
        <f>IF('Raw Data'!A202&lt;&gt;"",AVERAGE('Raw Data'!AU202,'Raw Data'!AW202,'Raw Data'!AY202,'Raw Data'!BA202,'Raw Data'!BC202),"")</f>
        <v/>
      </c>
      <c r="T215" s="14">
        <f>IF(R215&lt;&gt;"",R215-S215,"")</f>
        <v/>
      </c>
      <c r="U215" s="14">
        <f>IF('Raw Data'!A202&lt;&gt;"",AVERAGE('Raw Data'!BD202,'Raw Data'!BF202,'Raw Data'!BH202,'Raw Data'!BJ202,'Raw Data'!BL202),"")</f>
        <v/>
      </c>
      <c r="V215" s="14">
        <f>IF('Raw Data'!A202&lt;&gt;"",AVERAGE('Raw Data'!BE202,'Raw Data'!BG202,'Raw Data'!BI202,'Raw Data'!BK202,'Raw Data'!BM202),"")</f>
        <v/>
      </c>
      <c r="W215" s="14">
        <f>IF(U215&lt;&gt;"",U215-V215,"")</f>
        <v/>
      </c>
      <c r="X215" s="14">
        <f>IF(A215&lt;&gt;"",AVERAGE(F215,I215,L215,O215,R215,U215),"")</f>
        <v/>
      </c>
      <c r="Y215" s="14">
        <f>IF(A215&lt;&gt;"",AVERAGE(G215,J215,M215,P215,S215,V215),"")</f>
        <v/>
      </c>
      <c r="Z215" s="14">
        <f>IF(A215&lt;&gt;"",X215-Y215,"")</f>
        <v/>
      </c>
      <c r="AA215" s="15">
        <f>IF(A215&lt;&gt;"",ROUND(MIN(100,100*((MAX(0,K215)*0.25)+(MAX(0,Q215)*0.20)+(MAX(0,W215)*0.20)+(MAX(0,H215)*0.15)+(MAX(0,N215)*0.10)+(MAX(0,T215)*0.10))/9),1),"")</f>
        <v/>
      </c>
      <c r="AB215" s="28">
        <f>IF(A215&lt;&gt;"",MIN(1,(0.5*AA215/100)+(0.3*MAX(0,K215)/9)+(0.2*MAX(0,Q215)/9)),"")</f>
        <v/>
      </c>
    </row>
    <row r="216">
      <c r="A216" s="13">
        <f>IF('Raw Data'!A203&lt;&gt;"",'Raw Data'!A203,"")</f>
        <v/>
      </c>
      <c r="B216" s="13">
        <f>IF('Raw Data'!B203&lt;&gt;"",'Raw Data'!B203,"")</f>
        <v/>
      </c>
      <c r="C216" s="13">
        <f>IF('Raw Data'!C203&lt;&gt;"",'Raw Data'!C203,"")</f>
        <v/>
      </c>
      <c r="D216" s="13">
        <f>IF('Raw Data'!D203&lt;&gt;"",'Raw Data'!D203,"")</f>
        <v/>
      </c>
      <c r="E216" s="13">
        <f>IF('Raw Data'!E203&lt;&gt;"",'Raw Data'!E203,"")</f>
        <v/>
      </c>
      <c r="F216" s="17">
        <f>IF('Raw Data'!A203&lt;&gt;"",AVERAGE('Raw Data'!F203,'Raw Data'!H203,'Raw Data'!J203,'Raw Data'!L203,'Raw Data'!N203),"")</f>
        <v/>
      </c>
      <c r="G216" s="17">
        <f>IF('Raw Data'!A203&lt;&gt;"",AVERAGE('Raw Data'!G203,'Raw Data'!I203,'Raw Data'!K203,'Raw Data'!M203,'Raw Data'!O203),"")</f>
        <v/>
      </c>
      <c r="H216" s="17">
        <f>IF(F216&lt;&gt;"",F216-G216,"")</f>
        <v/>
      </c>
      <c r="I216" s="17">
        <f>IF('Raw Data'!A203&lt;&gt;"",AVERAGE('Raw Data'!P203,'Raw Data'!R203,'Raw Data'!T203,'Raw Data'!V203,'Raw Data'!X203),"")</f>
        <v/>
      </c>
      <c r="J216" s="17">
        <f>IF('Raw Data'!A203&lt;&gt;"",AVERAGE('Raw Data'!Q203,'Raw Data'!S203,'Raw Data'!U203,'Raw Data'!W203,'Raw Data'!Y203),"")</f>
        <v/>
      </c>
      <c r="K216" s="17">
        <f>IF(I216&lt;&gt;"",I216-J216,"")</f>
        <v/>
      </c>
      <c r="L216" s="17">
        <f>IF('Raw Data'!A203&lt;&gt;"",AVERAGE('Raw Data'!Z203,'Raw Data'!AB203,'Raw Data'!AD203,'Raw Data'!AF203,'Raw Data'!AH203),"")</f>
        <v/>
      </c>
      <c r="M216" s="17">
        <f>IF('Raw Data'!A203&lt;&gt;"",AVERAGE('Raw Data'!AA203,'Raw Data'!AC203,'Raw Data'!AE203,'Raw Data'!AG203,'Raw Data'!AI203),"")</f>
        <v/>
      </c>
      <c r="N216" s="17">
        <f>IF(L216&lt;&gt;"",L216-M216,"")</f>
        <v/>
      </c>
      <c r="O216" s="17">
        <f>IF('Raw Data'!A203&lt;&gt;"",AVERAGE('Raw Data'!AJ203,'Raw Data'!AL203,'Raw Data'!AN203,'Raw Data'!AP203,'Raw Data'!AR203),"")</f>
        <v/>
      </c>
      <c r="P216" s="17">
        <f>IF('Raw Data'!A203&lt;&gt;"",AVERAGE('Raw Data'!AK203,'Raw Data'!AM203,'Raw Data'!AO203,'Raw Data'!AQ203,'Raw Data'!AS203),"")</f>
        <v/>
      </c>
      <c r="Q216" s="17">
        <f>IF(O216&lt;&gt;"",O216-P216,"")</f>
        <v/>
      </c>
      <c r="R216" s="17">
        <f>IF('Raw Data'!A203&lt;&gt;"",AVERAGE('Raw Data'!AT203,'Raw Data'!AV203,'Raw Data'!AX203,'Raw Data'!AZ203,'Raw Data'!BB203),"")</f>
        <v/>
      </c>
      <c r="S216" s="17">
        <f>IF('Raw Data'!A203&lt;&gt;"",AVERAGE('Raw Data'!AU203,'Raw Data'!AW203,'Raw Data'!AY203,'Raw Data'!BA203,'Raw Data'!BC203),"")</f>
        <v/>
      </c>
      <c r="T216" s="17">
        <f>IF(R216&lt;&gt;"",R216-S216,"")</f>
        <v/>
      </c>
      <c r="U216" s="17">
        <f>IF('Raw Data'!A203&lt;&gt;"",AVERAGE('Raw Data'!BD203,'Raw Data'!BF203,'Raw Data'!BH203,'Raw Data'!BJ203,'Raw Data'!BL203),"")</f>
        <v/>
      </c>
      <c r="V216" s="17">
        <f>IF('Raw Data'!A203&lt;&gt;"",AVERAGE('Raw Data'!BE203,'Raw Data'!BG203,'Raw Data'!BI203,'Raw Data'!BK203,'Raw Data'!BM203),"")</f>
        <v/>
      </c>
      <c r="W216" s="17">
        <f>IF(U216&lt;&gt;"",U216-V216,"")</f>
        <v/>
      </c>
      <c r="X216" s="17">
        <f>IF(A216&lt;&gt;"",AVERAGE(F216,I216,L216,O216,R216,U216),"")</f>
        <v/>
      </c>
      <c r="Y216" s="17">
        <f>IF(A216&lt;&gt;"",AVERAGE(G216,J216,M216,P216,S216,V216),"")</f>
        <v/>
      </c>
      <c r="Z216" s="17">
        <f>IF(A216&lt;&gt;"",X216-Y216,"")</f>
        <v/>
      </c>
      <c r="AA216" s="18">
        <f>IF(A216&lt;&gt;"",ROUND(MIN(100,100*((MAX(0,K216)*0.25)+(MAX(0,Q216)*0.20)+(MAX(0,W216)*0.20)+(MAX(0,H216)*0.15)+(MAX(0,N216)*0.10)+(MAX(0,T216)*0.10))/9),1),"")</f>
        <v/>
      </c>
      <c r="AB216" s="29">
        <f>IF(A216&lt;&gt;"",MIN(1,(0.5*AA216/100)+(0.3*MAX(0,K216)/9)+(0.2*MAX(0,Q216)/9)),"")</f>
        <v/>
      </c>
    </row>
    <row r="217">
      <c r="A217" s="4">
        <f>IF('Raw Data'!A204&lt;&gt;"",'Raw Data'!A204,"")</f>
        <v/>
      </c>
      <c r="B217" s="4">
        <f>IF('Raw Data'!B204&lt;&gt;"",'Raw Data'!B204,"")</f>
        <v/>
      </c>
      <c r="C217" s="4">
        <f>IF('Raw Data'!C204&lt;&gt;"",'Raw Data'!C204,"")</f>
        <v/>
      </c>
      <c r="D217" s="4">
        <f>IF('Raw Data'!D204&lt;&gt;"",'Raw Data'!D204,"")</f>
        <v/>
      </c>
      <c r="E217" s="4">
        <f>IF('Raw Data'!E204&lt;&gt;"",'Raw Data'!E204,"")</f>
        <v/>
      </c>
      <c r="F217" s="14">
        <f>IF('Raw Data'!A204&lt;&gt;"",AVERAGE('Raw Data'!F204,'Raw Data'!H204,'Raw Data'!J204,'Raw Data'!L204,'Raw Data'!N204),"")</f>
        <v/>
      </c>
      <c r="G217" s="14">
        <f>IF('Raw Data'!A204&lt;&gt;"",AVERAGE('Raw Data'!G204,'Raw Data'!I204,'Raw Data'!K204,'Raw Data'!M204,'Raw Data'!O204),"")</f>
        <v/>
      </c>
      <c r="H217" s="14">
        <f>IF(F217&lt;&gt;"",F217-G217,"")</f>
        <v/>
      </c>
      <c r="I217" s="14">
        <f>IF('Raw Data'!A204&lt;&gt;"",AVERAGE('Raw Data'!P204,'Raw Data'!R204,'Raw Data'!T204,'Raw Data'!V204,'Raw Data'!X204),"")</f>
        <v/>
      </c>
      <c r="J217" s="14">
        <f>IF('Raw Data'!A204&lt;&gt;"",AVERAGE('Raw Data'!Q204,'Raw Data'!S204,'Raw Data'!U204,'Raw Data'!W204,'Raw Data'!Y204),"")</f>
        <v/>
      </c>
      <c r="K217" s="14">
        <f>IF(I217&lt;&gt;"",I217-J217,"")</f>
        <v/>
      </c>
      <c r="L217" s="14">
        <f>IF('Raw Data'!A204&lt;&gt;"",AVERAGE('Raw Data'!Z204,'Raw Data'!AB204,'Raw Data'!AD204,'Raw Data'!AF204,'Raw Data'!AH204),"")</f>
        <v/>
      </c>
      <c r="M217" s="14">
        <f>IF('Raw Data'!A204&lt;&gt;"",AVERAGE('Raw Data'!AA204,'Raw Data'!AC204,'Raw Data'!AE204,'Raw Data'!AG204,'Raw Data'!AI204),"")</f>
        <v/>
      </c>
      <c r="N217" s="14">
        <f>IF(L217&lt;&gt;"",L217-M217,"")</f>
        <v/>
      </c>
      <c r="O217" s="14">
        <f>IF('Raw Data'!A204&lt;&gt;"",AVERAGE('Raw Data'!AJ204,'Raw Data'!AL204,'Raw Data'!AN204,'Raw Data'!AP204,'Raw Data'!AR204),"")</f>
        <v/>
      </c>
      <c r="P217" s="14">
        <f>IF('Raw Data'!A204&lt;&gt;"",AVERAGE('Raw Data'!AK204,'Raw Data'!AM204,'Raw Data'!AO204,'Raw Data'!AQ204,'Raw Data'!AS204),"")</f>
        <v/>
      </c>
      <c r="Q217" s="14">
        <f>IF(O217&lt;&gt;"",O217-P217,"")</f>
        <v/>
      </c>
      <c r="R217" s="14">
        <f>IF('Raw Data'!A204&lt;&gt;"",AVERAGE('Raw Data'!AT204,'Raw Data'!AV204,'Raw Data'!AX204,'Raw Data'!AZ204,'Raw Data'!BB204),"")</f>
        <v/>
      </c>
      <c r="S217" s="14">
        <f>IF('Raw Data'!A204&lt;&gt;"",AVERAGE('Raw Data'!AU204,'Raw Data'!AW204,'Raw Data'!AY204,'Raw Data'!BA204,'Raw Data'!BC204),"")</f>
        <v/>
      </c>
      <c r="T217" s="14">
        <f>IF(R217&lt;&gt;"",R217-S217,"")</f>
        <v/>
      </c>
      <c r="U217" s="14">
        <f>IF('Raw Data'!A204&lt;&gt;"",AVERAGE('Raw Data'!BD204,'Raw Data'!BF204,'Raw Data'!BH204,'Raw Data'!BJ204,'Raw Data'!BL204),"")</f>
        <v/>
      </c>
      <c r="V217" s="14">
        <f>IF('Raw Data'!A204&lt;&gt;"",AVERAGE('Raw Data'!BE204,'Raw Data'!BG204,'Raw Data'!BI204,'Raw Data'!BK204,'Raw Data'!BM204),"")</f>
        <v/>
      </c>
      <c r="W217" s="14">
        <f>IF(U217&lt;&gt;"",U217-V217,"")</f>
        <v/>
      </c>
      <c r="X217" s="14">
        <f>IF(A217&lt;&gt;"",AVERAGE(F217,I217,L217,O217,R217,U217),"")</f>
        <v/>
      </c>
      <c r="Y217" s="14">
        <f>IF(A217&lt;&gt;"",AVERAGE(G217,J217,M217,P217,S217,V217),"")</f>
        <v/>
      </c>
      <c r="Z217" s="14">
        <f>IF(A217&lt;&gt;"",X217-Y217,"")</f>
        <v/>
      </c>
      <c r="AA217" s="15">
        <f>IF(A217&lt;&gt;"",ROUND(MIN(100,100*((MAX(0,K217)*0.25)+(MAX(0,Q217)*0.20)+(MAX(0,W217)*0.20)+(MAX(0,H217)*0.15)+(MAX(0,N217)*0.10)+(MAX(0,T217)*0.10))/9),1),"")</f>
        <v/>
      </c>
      <c r="AB217" s="28">
        <f>IF(A217&lt;&gt;"",MIN(1,(0.5*AA217/100)+(0.3*MAX(0,K217)/9)+(0.2*MAX(0,Q217)/9)),"")</f>
        <v/>
      </c>
    </row>
    <row r="218">
      <c r="A218" s="13">
        <f>IF('Raw Data'!A205&lt;&gt;"",'Raw Data'!A205,"")</f>
        <v/>
      </c>
      <c r="B218" s="13">
        <f>IF('Raw Data'!B205&lt;&gt;"",'Raw Data'!B205,"")</f>
        <v/>
      </c>
      <c r="C218" s="13">
        <f>IF('Raw Data'!C205&lt;&gt;"",'Raw Data'!C205,"")</f>
        <v/>
      </c>
      <c r="D218" s="13">
        <f>IF('Raw Data'!D205&lt;&gt;"",'Raw Data'!D205,"")</f>
        <v/>
      </c>
      <c r="E218" s="13">
        <f>IF('Raw Data'!E205&lt;&gt;"",'Raw Data'!E205,"")</f>
        <v/>
      </c>
      <c r="F218" s="17">
        <f>IF('Raw Data'!A205&lt;&gt;"",AVERAGE('Raw Data'!F205,'Raw Data'!H205,'Raw Data'!J205,'Raw Data'!L205,'Raw Data'!N205),"")</f>
        <v/>
      </c>
      <c r="G218" s="17">
        <f>IF('Raw Data'!A205&lt;&gt;"",AVERAGE('Raw Data'!G205,'Raw Data'!I205,'Raw Data'!K205,'Raw Data'!M205,'Raw Data'!O205),"")</f>
        <v/>
      </c>
      <c r="H218" s="17">
        <f>IF(F218&lt;&gt;"",F218-G218,"")</f>
        <v/>
      </c>
      <c r="I218" s="17">
        <f>IF('Raw Data'!A205&lt;&gt;"",AVERAGE('Raw Data'!P205,'Raw Data'!R205,'Raw Data'!T205,'Raw Data'!V205,'Raw Data'!X205),"")</f>
        <v/>
      </c>
      <c r="J218" s="17">
        <f>IF('Raw Data'!A205&lt;&gt;"",AVERAGE('Raw Data'!Q205,'Raw Data'!S205,'Raw Data'!U205,'Raw Data'!W205,'Raw Data'!Y205),"")</f>
        <v/>
      </c>
      <c r="K218" s="17">
        <f>IF(I218&lt;&gt;"",I218-J218,"")</f>
        <v/>
      </c>
      <c r="L218" s="17">
        <f>IF('Raw Data'!A205&lt;&gt;"",AVERAGE('Raw Data'!Z205,'Raw Data'!AB205,'Raw Data'!AD205,'Raw Data'!AF205,'Raw Data'!AH205),"")</f>
        <v/>
      </c>
      <c r="M218" s="17">
        <f>IF('Raw Data'!A205&lt;&gt;"",AVERAGE('Raw Data'!AA205,'Raw Data'!AC205,'Raw Data'!AE205,'Raw Data'!AG205,'Raw Data'!AI205),"")</f>
        <v/>
      </c>
      <c r="N218" s="17">
        <f>IF(L218&lt;&gt;"",L218-M218,"")</f>
        <v/>
      </c>
      <c r="O218" s="17">
        <f>IF('Raw Data'!A205&lt;&gt;"",AVERAGE('Raw Data'!AJ205,'Raw Data'!AL205,'Raw Data'!AN205,'Raw Data'!AP205,'Raw Data'!AR205),"")</f>
        <v/>
      </c>
      <c r="P218" s="17">
        <f>IF('Raw Data'!A205&lt;&gt;"",AVERAGE('Raw Data'!AK205,'Raw Data'!AM205,'Raw Data'!AO205,'Raw Data'!AQ205,'Raw Data'!AS205),"")</f>
        <v/>
      </c>
      <c r="Q218" s="17">
        <f>IF(O218&lt;&gt;"",O218-P218,"")</f>
        <v/>
      </c>
      <c r="R218" s="17">
        <f>IF('Raw Data'!A205&lt;&gt;"",AVERAGE('Raw Data'!AT205,'Raw Data'!AV205,'Raw Data'!AX205,'Raw Data'!AZ205,'Raw Data'!BB205),"")</f>
        <v/>
      </c>
      <c r="S218" s="17">
        <f>IF('Raw Data'!A205&lt;&gt;"",AVERAGE('Raw Data'!AU205,'Raw Data'!AW205,'Raw Data'!AY205,'Raw Data'!BA205,'Raw Data'!BC205),"")</f>
        <v/>
      </c>
      <c r="T218" s="17">
        <f>IF(R218&lt;&gt;"",R218-S218,"")</f>
        <v/>
      </c>
      <c r="U218" s="17">
        <f>IF('Raw Data'!A205&lt;&gt;"",AVERAGE('Raw Data'!BD205,'Raw Data'!BF205,'Raw Data'!BH205,'Raw Data'!BJ205,'Raw Data'!BL205),"")</f>
        <v/>
      </c>
      <c r="V218" s="17">
        <f>IF('Raw Data'!A205&lt;&gt;"",AVERAGE('Raw Data'!BE205,'Raw Data'!BG205,'Raw Data'!BI205,'Raw Data'!BK205,'Raw Data'!BM205),"")</f>
        <v/>
      </c>
      <c r="W218" s="17">
        <f>IF(U218&lt;&gt;"",U218-V218,"")</f>
        <v/>
      </c>
      <c r="X218" s="17">
        <f>IF(A218&lt;&gt;"",AVERAGE(F218,I218,L218,O218,R218,U218),"")</f>
        <v/>
      </c>
      <c r="Y218" s="17">
        <f>IF(A218&lt;&gt;"",AVERAGE(G218,J218,M218,P218,S218,V218),"")</f>
        <v/>
      </c>
      <c r="Z218" s="17">
        <f>IF(A218&lt;&gt;"",X218-Y218,"")</f>
        <v/>
      </c>
      <c r="AA218" s="18">
        <f>IF(A218&lt;&gt;"",ROUND(MIN(100,100*((MAX(0,K218)*0.25)+(MAX(0,Q218)*0.20)+(MAX(0,W218)*0.20)+(MAX(0,H218)*0.15)+(MAX(0,N218)*0.10)+(MAX(0,T218)*0.10))/9),1),"")</f>
        <v/>
      </c>
      <c r="AB218" s="29">
        <f>IF(A218&lt;&gt;"",MIN(1,(0.5*AA218/100)+(0.3*MAX(0,K218)/9)+(0.2*MAX(0,Q218)/9)),"")</f>
        <v/>
      </c>
    </row>
    <row r="219">
      <c r="A219" s="4">
        <f>IF('Raw Data'!A206&lt;&gt;"",'Raw Data'!A206,"")</f>
        <v/>
      </c>
      <c r="B219" s="4">
        <f>IF('Raw Data'!B206&lt;&gt;"",'Raw Data'!B206,"")</f>
        <v/>
      </c>
      <c r="C219" s="4">
        <f>IF('Raw Data'!C206&lt;&gt;"",'Raw Data'!C206,"")</f>
        <v/>
      </c>
      <c r="D219" s="4">
        <f>IF('Raw Data'!D206&lt;&gt;"",'Raw Data'!D206,"")</f>
        <v/>
      </c>
      <c r="E219" s="4">
        <f>IF('Raw Data'!E206&lt;&gt;"",'Raw Data'!E206,"")</f>
        <v/>
      </c>
      <c r="F219" s="14">
        <f>IF('Raw Data'!A206&lt;&gt;"",AVERAGE('Raw Data'!F206,'Raw Data'!H206,'Raw Data'!J206,'Raw Data'!L206,'Raw Data'!N206),"")</f>
        <v/>
      </c>
      <c r="G219" s="14">
        <f>IF('Raw Data'!A206&lt;&gt;"",AVERAGE('Raw Data'!G206,'Raw Data'!I206,'Raw Data'!K206,'Raw Data'!M206,'Raw Data'!O206),"")</f>
        <v/>
      </c>
      <c r="H219" s="14">
        <f>IF(F219&lt;&gt;"",F219-G219,"")</f>
        <v/>
      </c>
      <c r="I219" s="14">
        <f>IF('Raw Data'!A206&lt;&gt;"",AVERAGE('Raw Data'!P206,'Raw Data'!R206,'Raw Data'!T206,'Raw Data'!V206,'Raw Data'!X206),"")</f>
        <v/>
      </c>
      <c r="J219" s="14">
        <f>IF('Raw Data'!A206&lt;&gt;"",AVERAGE('Raw Data'!Q206,'Raw Data'!S206,'Raw Data'!U206,'Raw Data'!W206,'Raw Data'!Y206),"")</f>
        <v/>
      </c>
      <c r="K219" s="14">
        <f>IF(I219&lt;&gt;"",I219-J219,"")</f>
        <v/>
      </c>
      <c r="L219" s="14">
        <f>IF('Raw Data'!A206&lt;&gt;"",AVERAGE('Raw Data'!Z206,'Raw Data'!AB206,'Raw Data'!AD206,'Raw Data'!AF206,'Raw Data'!AH206),"")</f>
        <v/>
      </c>
      <c r="M219" s="14">
        <f>IF('Raw Data'!A206&lt;&gt;"",AVERAGE('Raw Data'!AA206,'Raw Data'!AC206,'Raw Data'!AE206,'Raw Data'!AG206,'Raw Data'!AI206),"")</f>
        <v/>
      </c>
      <c r="N219" s="14">
        <f>IF(L219&lt;&gt;"",L219-M219,"")</f>
        <v/>
      </c>
      <c r="O219" s="14">
        <f>IF('Raw Data'!A206&lt;&gt;"",AVERAGE('Raw Data'!AJ206,'Raw Data'!AL206,'Raw Data'!AN206,'Raw Data'!AP206,'Raw Data'!AR206),"")</f>
        <v/>
      </c>
      <c r="P219" s="14">
        <f>IF('Raw Data'!A206&lt;&gt;"",AVERAGE('Raw Data'!AK206,'Raw Data'!AM206,'Raw Data'!AO206,'Raw Data'!AQ206,'Raw Data'!AS206),"")</f>
        <v/>
      </c>
      <c r="Q219" s="14">
        <f>IF(O219&lt;&gt;"",O219-P219,"")</f>
        <v/>
      </c>
      <c r="R219" s="14">
        <f>IF('Raw Data'!A206&lt;&gt;"",AVERAGE('Raw Data'!AT206,'Raw Data'!AV206,'Raw Data'!AX206,'Raw Data'!AZ206,'Raw Data'!BB206),"")</f>
        <v/>
      </c>
      <c r="S219" s="14">
        <f>IF('Raw Data'!A206&lt;&gt;"",AVERAGE('Raw Data'!AU206,'Raw Data'!AW206,'Raw Data'!AY206,'Raw Data'!BA206,'Raw Data'!BC206),"")</f>
        <v/>
      </c>
      <c r="T219" s="14">
        <f>IF(R219&lt;&gt;"",R219-S219,"")</f>
        <v/>
      </c>
      <c r="U219" s="14">
        <f>IF('Raw Data'!A206&lt;&gt;"",AVERAGE('Raw Data'!BD206,'Raw Data'!BF206,'Raw Data'!BH206,'Raw Data'!BJ206,'Raw Data'!BL206),"")</f>
        <v/>
      </c>
      <c r="V219" s="14">
        <f>IF('Raw Data'!A206&lt;&gt;"",AVERAGE('Raw Data'!BE206,'Raw Data'!BG206,'Raw Data'!BI206,'Raw Data'!BK206,'Raw Data'!BM206),"")</f>
        <v/>
      </c>
      <c r="W219" s="14">
        <f>IF(U219&lt;&gt;"",U219-V219,"")</f>
        <v/>
      </c>
      <c r="X219" s="14">
        <f>IF(A219&lt;&gt;"",AVERAGE(F219,I219,L219,O219,R219,U219),"")</f>
        <v/>
      </c>
      <c r="Y219" s="14">
        <f>IF(A219&lt;&gt;"",AVERAGE(G219,J219,M219,P219,S219,V219),"")</f>
        <v/>
      </c>
      <c r="Z219" s="14">
        <f>IF(A219&lt;&gt;"",X219-Y219,"")</f>
        <v/>
      </c>
      <c r="AA219" s="15">
        <f>IF(A219&lt;&gt;"",ROUND(MIN(100,100*((MAX(0,K219)*0.25)+(MAX(0,Q219)*0.20)+(MAX(0,W219)*0.20)+(MAX(0,H219)*0.15)+(MAX(0,N219)*0.10)+(MAX(0,T219)*0.10))/9),1),"")</f>
        <v/>
      </c>
      <c r="AB219" s="28">
        <f>IF(A219&lt;&gt;"",MIN(1,(0.5*AA219/100)+(0.3*MAX(0,K219)/9)+(0.2*MAX(0,Q219)/9)),"")</f>
        <v/>
      </c>
    </row>
    <row r="220">
      <c r="A220" s="13">
        <f>IF('Raw Data'!A207&lt;&gt;"",'Raw Data'!A207,"")</f>
        <v/>
      </c>
      <c r="B220" s="13">
        <f>IF('Raw Data'!B207&lt;&gt;"",'Raw Data'!B207,"")</f>
        <v/>
      </c>
      <c r="C220" s="13">
        <f>IF('Raw Data'!C207&lt;&gt;"",'Raw Data'!C207,"")</f>
        <v/>
      </c>
      <c r="D220" s="13">
        <f>IF('Raw Data'!D207&lt;&gt;"",'Raw Data'!D207,"")</f>
        <v/>
      </c>
      <c r="E220" s="13">
        <f>IF('Raw Data'!E207&lt;&gt;"",'Raw Data'!E207,"")</f>
        <v/>
      </c>
      <c r="F220" s="17">
        <f>IF('Raw Data'!A207&lt;&gt;"",AVERAGE('Raw Data'!F207,'Raw Data'!H207,'Raw Data'!J207,'Raw Data'!L207,'Raw Data'!N207),"")</f>
        <v/>
      </c>
      <c r="G220" s="17">
        <f>IF('Raw Data'!A207&lt;&gt;"",AVERAGE('Raw Data'!G207,'Raw Data'!I207,'Raw Data'!K207,'Raw Data'!M207,'Raw Data'!O207),"")</f>
        <v/>
      </c>
      <c r="H220" s="17">
        <f>IF(F220&lt;&gt;"",F220-G220,"")</f>
        <v/>
      </c>
      <c r="I220" s="17">
        <f>IF('Raw Data'!A207&lt;&gt;"",AVERAGE('Raw Data'!P207,'Raw Data'!R207,'Raw Data'!T207,'Raw Data'!V207,'Raw Data'!X207),"")</f>
        <v/>
      </c>
      <c r="J220" s="17">
        <f>IF('Raw Data'!A207&lt;&gt;"",AVERAGE('Raw Data'!Q207,'Raw Data'!S207,'Raw Data'!U207,'Raw Data'!W207,'Raw Data'!Y207),"")</f>
        <v/>
      </c>
      <c r="K220" s="17">
        <f>IF(I220&lt;&gt;"",I220-J220,"")</f>
        <v/>
      </c>
      <c r="L220" s="17">
        <f>IF('Raw Data'!A207&lt;&gt;"",AVERAGE('Raw Data'!Z207,'Raw Data'!AB207,'Raw Data'!AD207,'Raw Data'!AF207,'Raw Data'!AH207),"")</f>
        <v/>
      </c>
      <c r="M220" s="17">
        <f>IF('Raw Data'!A207&lt;&gt;"",AVERAGE('Raw Data'!AA207,'Raw Data'!AC207,'Raw Data'!AE207,'Raw Data'!AG207,'Raw Data'!AI207),"")</f>
        <v/>
      </c>
      <c r="N220" s="17">
        <f>IF(L220&lt;&gt;"",L220-M220,"")</f>
        <v/>
      </c>
      <c r="O220" s="17">
        <f>IF('Raw Data'!A207&lt;&gt;"",AVERAGE('Raw Data'!AJ207,'Raw Data'!AL207,'Raw Data'!AN207,'Raw Data'!AP207,'Raw Data'!AR207),"")</f>
        <v/>
      </c>
      <c r="P220" s="17">
        <f>IF('Raw Data'!A207&lt;&gt;"",AVERAGE('Raw Data'!AK207,'Raw Data'!AM207,'Raw Data'!AO207,'Raw Data'!AQ207,'Raw Data'!AS207),"")</f>
        <v/>
      </c>
      <c r="Q220" s="17">
        <f>IF(O220&lt;&gt;"",O220-P220,"")</f>
        <v/>
      </c>
      <c r="R220" s="17">
        <f>IF('Raw Data'!A207&lt;&gt;"",AVERAGE('Raw Data'!AT207,'Raw Data'!AV207,'Raw Data'!AX207,'Raw Data'!AZ207,'Raw Data'!BB207),"")</f>
        <v/>
      </c>
      <c r="S220" s="17">
        <f>IF('Raw Data'!A207&lt;&gt;"",AVERAGE('Raw Data'!AU207,'Raw Data'!AW207,'Raw Data'!AY207,'Raw Data'!BA207,'Raw Data'!BC207),"")</f>
        <v/>
      </c>
      <c r="T220" s="17">
        <f>IF(R220&lt;&gt;"",R220-S220,"")</f>
        <v/>
      </c>
      <c r="U220" s="17">
        <f>IF('Raw Data'!A207&lt;&gt;"",AVERAGE('Raw Data'!BD207,'Raw Data'!BF207,'Raw Data'!BH207,'Raw Data'!BJ207,'Raw Data'!BL207),"")</f>
        <v/>
      </c>
      <c r="V220" s="17">
        <f>IF('Raw Data'!A207&lt;&gt;"",AVERAGE('Raw Data'!BE207,'Raw Data'!BG207,'Raw Data'!BI207,'Raw Data'!BK207,'Raw Data'!BM207),"")</f>
        <v/>
      </c>
      <c r="W220" s="17">
        <f>IF(U220&lt;&gt;"",U220-V220,"")</f>
        <v/>
      </c>
      <c r="X220" s="17">
        <f>IF(A220&lt;&gt;"",AVERAGE(F220,I220,L220,O220,R220,U220),"")</f>
        <v/>
      </c>
      <c r="Y220" s="17">
        <f>IF(A220&lt;&gt;"",AVERAGE(G220,J220,M220,P220,S220,V220),"")</f>
        <v/>
      </c>
      <c r="Z220" s="17">
        <f>IF(A220&lt;&gt;"",X220-Y220,"")</f>
        <v/>
      </c>
      <c r="AA220" s="18">
        <f>IF(A220&lt;&gt;"",ROUND(MIN(100,100*((MAX(0,K220)*0.25)+(MAX(0,Q220)*0.20)+(MAX(0,W220)*0.20)+(MAX(0,H220)*0.15)+(MAX(0,N220)*0.10)+(MAX(0,T220)*0.10))/9),1),"")</f>
        <v/>
      </c>
      <c r="AB220" s="29">
        <f>IF(A220&lt;&gt;"",MIN(1,(0.5*AA220/100)+(0.3*MAX(0,K220)/9)+(0.2*MAX(0,Q220)/9)),"")</f>
        <v/>
      </c>
    </row>
    <row r="221">
      <c r="A221" s="4">
        <f>IF('Raw Data'!A208&lt;&gt;"",'Raw Data'!A208,"")</f>
        <v/>
      </c>
      <c r="B221" s="4">
        <f>IF('Raw Data'!B208&lt;&gt;"",'Raw Data'!B208,"")</f>
        <v/>
      </c>
      <c r="C221" s="4">
        <f>IF('Raw Data'!C208&lt;&gt;"",'Raw Data'!C208,"")</f>
        <v/>
      </c>
      <c r="D221" s="4">
        <f>IF('Raw Data'!D208&lt;&gt;"",'Raw Data'!D208,"")</f>
        <v/>
      </c>
      <c r="E221" s="4">
        <f>IF('Raw Data'!E208&lt;&gt;"",'Raw Data'!E208,"")</f>
        <v/>
      </c>
      <c r="F221" s="14">
        <f>IF('Raw Data'!A208&lt;&gt;"",AVERAGE('Raw Data'!F208,'Raw Data'!H208,'Raw Data'!J208,'Raw Data'!L208,'Raw Data'!N208),"")</f>
        <v/>
      </c>
      <c r="G221" s="14">
        <f>IF('Raw Data'!A208&lt;&gt;"",AVERAGE('Raw Data'!G208,'Raw Data'!I208,'Raw Data'!K208,'Raw Data'!M208,'Raw Data'!O208),"")</f>
        <v/>
      </c>
      <c r="H221" s="14">
        <f>IF(F221&lt;&gt;"",F221-G221,"")</f>
        <v/>
      </c>
      <c r="I221" s="14">
        <f>IF('Raw Data'!A208&lt;&gt;"",AVERAGE('Raw Data'!P208,'Raw Data'!R208,'Raw Data'!T208,'Raw Data'!V208,'Raw Data'!X208),"")</f>
        <v/>
      </c>
      <c r="J221" s="14">
        <f>IF('Raw Data'!A208&lt;&gt;"",AVERAGE('Raw Data'!Q208,'Raw Data'!S208,'Raw Data'!U208,'Raw Data'!W208,'Raw Data'!Y208),"")</f>
        <v/>
      </c>
      <c r="K221" s="14">
        <f>IF(I221&lt;&gt;"",I221-J221,"")</f>
        <v/>
      </c>
      <c r="L221" s="14">
        <f>IF('Raw Data'!A208&lt;&gt;"",AVERAGE('Raw Data'!Z208,'Raw Data'!AB208,'Raw Data'!AD208,'Raw Data'!AF208,'Raw Data'!AH208),"")</f>
        <v/>
      </c>
      <c r="M221" s="14">
        <f>IF('Raw Data'!A208&lt;&gt;"",AVERAGE('Raw Data'!AA208,'Raw Data'!AC208,'Raw Data'!AE208,'Raw Data'!AG208,'Raw Data'!AI208),"")</f>
        <v/>
      </c>
      <c r="N221" s="14">
        <f>IF(L221&lt;&gt;"",L221-M221,"")</f>
        <v/>
      </c>
      <c r="O221" s="14">
        <f>IF('Raw Data'!A208&lt;&gt;"",AVERAGE('Raw Data'!AJ208,'Raw Data'!AL208,'Raw Data'!AN208,'Raw Data'!AP208,'Raw Data'!AR208),"")</f>
        <v/>
      </c>
      <c r="P221" s="14">
        <f>IF('Raw Data'!A208&lt;&gt;"",AVERAGE('Raw Data'!AK208,'Raw Data'!AM208,'Raw Data'!AO208,'Raw Data'!AQ208,'Raw Data'!AS208),"")</f>
        <v/>
      </c>
      <c r="Q221" s="14">
        <f>IF(O221&lt;&gt;"",O221-P221,"")</f>
        <v/>
      </c>
      <c r="R221" s="14">
        <f>IF('Raw Data'!A208&lt;&gt;"",AVERAGE('Raw Data'!AT208,'Raw Data'!AV208,'Raw Data'!AX208,'Raw Data'!AZ208,'Raw Data'!BB208),"")</f>
        <v/>
      </c>
      <c r="S221" s="14">
        <f>IF('Raw Data'!A208&lt;&gt;"",AVERAGE('Raw Data'!AU208,'Raw Data'!AW208,'Raw Data'!AY208,'Raw Data'!BA208,'Raw Data'!BC208),"")</f>
        <v/>
      </c>
      <c r="T221" s="14">
        <f>IF(R221&lt;&gt;"",R221-S221,"")</f>
        <v/>
      </c>
      <c r="U221" s="14">
        <f>IF('Raw Data'!A208&lt;&gt;"",AVERAGE('Raw Data'!BD208,'Raw Data'!BF208,'Raw Data'!BH208,'Raw Data'!BJ208,'Raw Data'!BL208),"")</f>
        <v/>
      </c>
      <c r="V221" s="14">
        <f>IF('Raw Data'!A208&lt;&gt;"",AVERAGE('Raw Data'!BE208,'Raw Data'!BG208,'Raw Data'!BI208,'Raw Data'!BK208,'Raw Data'!BM208),"")</f>
        <v/>
      </c>
      <c r="W221" s="14">
        <f>IF(U221&lt;&gt;"",U221-V221,"")</f>
        <v/>
      </c>
      <c r="X221" s="14">
        <f>IF(A221&lt;&gt;"",AVERAGE(F221,I221,L221,O221,R221,U221),"")</f>
        <v/>
      </c>
      <c r="Y221" s="14">
        <f>IF(A221&lt;&gt;"",AVERAGE(G221,J221,M221,P221,S221,V221),"")</f>
        <v/>
      </c>
      <c r="Z221" s="14">
        <f>IF(A221&lt;&gt;"",X221-Y221,"")</f>
        <v/>
      </c>
      <c r="AA221" s="15">
        <f>IF(A221&lt;&gt;"",ROUND(MIN(100,100*((MAX(0,K221)*0.25)+(MAX(0,Q221)*0.20)+(MAX(0,W221)*0.20)+(MAX(0,H221)*0.15)+(MAX(0,N221)*0.10)+(MAX(0,T221)*0.10))/9),1),"")</f>
        <v/>
      </c>
      <c r="AB221" s="28">
        <f>IF(A221&lt;&gt;"",MIN(1,(0.5*AA221/100)+(0.3*MAX(0,K221)/9)+(0.2*MAX(0,Q221)/9)),"")</f>
        <v/>
      </c>
    </row>
    <row r="222">
      <c r="A222" s="13">
        <f>IF('Raw Data'!A209&lt;&gt;"",'Raw Data'!A209,"")</f>
        <v/>
      </c>
      <c r="B222" s="13">
        <f>IF('Raw Data'!B209&lt;&gt;"",'Raw Data'!B209,"")</f>
        <v/>
      </c>
      <c r="C222" s="13">
        <f>IF('Raw Data'!C209&lt;&gt;"",'Raw Data'!C209,"")</f>
        <v/>
      </c>
      <c r="D222" s="13">
        <f>IF('Raw Data'!D209&lt;&gt;"",'Raw Data'!D209,"")</f>
        <v/>
      </c>
      <c r="E222" s="13">
        <f>IF('Raw Data'!E209&lt;&gt;"",'Raw Data'!E209,"")</f>
        <v/>
      </c>
      <c r="F222" s="17">
        <f>IF('Raw Data'!A209&lt;&gt;"",AVERAGE('Raw Data'!F209,'Raw Data'!H209,'Raw Data'!J209,'Raw Data'!L209,'Raw Data'!N209),"")</f>
        <v/>
      </c>
      <c r="G222" s="17">
        <f>IF('Raw Data'!A209&lt;&gt;"",AVERAGE('Raw Data'!G209,'Raw Data'!I209,'Raw Data'!K209,'Raw Data'!M209,'Raw Data'!O209),"")</f>
        <v/>
      </c>
      <c r="H222" s="17">
        <f>IF(F222&lt;&gt;"",F222-G222,"")</f>
        <v/>
      </c>
      <c r="I222" s="17">
        <f>IF('Raw Data'!A209&lt;&gt;"",AVERAGE('Raw Data'!P209,'Raw Data'!R209,'Raw Data'!T209,'Raw Data'!V209,'Raw Data'!X209),"")</f>
        <v/>
      </c>
      <c r="J222" s="17">
        <f>IF('Raw Data'!A209&lt;&gt;"",AVERAGE('Raw Data'!Q209,'Raw Data'!S209,'Raw Data'!U209,'Raw Data'!W209,'Raw Data'!Y209),"")</f>
        <v/>
      </c>
      <c r="K222" s="17">
        <f>IF(I222&lt;&gt;"",I222-J222,"")</f>
        <v/>
      </c>
      <c r="L222" s="17">
        <f>IF('Raw Data'!A209&lt;&gt;"",AVERAGE('Raw Data'!Z209,'Raw Data'!AB209,'Raw Data'!AD209,'Raw Data'!AF209,'Raw Data'!AH209),"")</f>
        <v/>
      </c>
      <c r="M222" s="17">
        <f>IF('Raw Data'!A209&lt;&gt;"",AVERAGE('Raw Data'!AA209,'Raw Data'!AC209,'Raw Data'!AE209,'Raw Data'!AG209,'Raw Data'!AI209),"")</f>
        <v/>
      </c>
      <c r="N222" s="17">
        <f>IF(L222&lt;&gt;"",L222-M222,"")</f>
        <v/>
      </c>
      <c r="O222" s="17">
        <f>IF('Raw Data'!A209&lt;&gt;"",AVERAGE('Raw Data'!AJ209,'Raw Data'!AL209,'Raw Data'!AN209,'Raw Data'!AP209,'Raw Data'!AR209),"")</f>
        <v/>
      </c>
      <c r="P222" s="17">
        <f>IF('Raw Data'!A209&lt;&gt;"",AVERAGE('Raw Data'!AK209,'Raw Data'!AM209,'Raw Data'!AO209,'Raw Data'!AQ209,'Raw Data'!AS209),"")</f>
        <v/>
      </c>
      <c r="Q222" s="17">
        <f>IF(O222&lt;&gt;"",O222-P222,"")</f>
        <v/>
      </c>
      <c r="R222" s="17">
        <f>IF('Raw Data'!A209&lt;&gt;"",AVERAGE('Raw Data'!AT209,'Raw Data'!AV209,'Raw Data'!AX209,'Raw Data'!AZ209,'Raw Data'!BB209),"")</f>
        <v/>
      </c>
      <c r="S222" s="17">
        <f>IF('Raw Data'!A209&lt;&gt;"",AVERAGE('Raw Data'!AU209,'Raw Data'!AW209,'Raw Data'!AY209,'Raw Data'!BA209,'Raw Data'!BC209),"")</f>
        <v/>
      </c>
      <c r="T222" s="17">
        <f>IF(R222&lt;&gt;"",R222-S222,"")</f>
        <v/>
      </c>
      <c r="U222" s="17">
        <f>IF('Raw Data'!A209&lt;&gt;"",AVERAGE('Raw Data'!BD209,'Raw Data'!BF209,'Raw Data'!BH209,'Raw Data'!BJ209,'Raw Data'!BL209),"")</f>
        <v/>
      </c>
      <c r="V222" s="17">
        <f>IF('Raw Data'!A209&lt;&gt;"",AVERAGE('Raw Data'!BE209,'Raw Data'!BG209,'Raw Data'!BI209,'Raw Data'!BK209,'Raw Data'!BM209),"")</f>
        <v/>
      </c>
      <c r="W222" s="17">
        <f>IF(U222&lt;&gt;"",U222-V222,"")</f>
        <v/>
      </c>
      <c r="X222" s="17">
        <f>IF(A222&lt;&gt;"",AVERAGE(F222,I222,L222,O222,R222,U222),"")</f>
        <v/>
      </c>
      <c r="Y222" s="17">
        <f>IF(A222&lt;&gt;"",AVERAGE(G222,J222,M222,P222,S222,V222),"")</f>
        <v/>
      </c>
      <c r="Z222" s="17">
        <f>IF(A222&lt;&gt;"",X222-Y222,"")</f>
        <v/>
      </c>
      <c r="AA222" s="18">
        <f>IF(A222&lt;&gt;"",ROUND(MIN(100,100*((MAX(0,K222)*0.25)+(MAX(0,Q222)*0.20)+(MAX(0,W222)*0.20)+(MAX(0,H222)*0.15)+(MAX(0,N222)*0.10)+(MAX(0,T222)*0.10))/9),1),"")</f>
        <v/>
      </c>
      <c r="AB222" s="29">
        <f>IF(A222&lt;&gt;"",MIN(1,(0.5*AA222/100)+(0.3*MAX(0,K222)/9)+(0.2*MAX(0,Q222)/9)),"")</f>
        <v/>
      </c>
    </row>
    <row r="223">
      <c r="A223" s="4">
        <f>IF('Raw Data'!A210&lt;&gt;"",'Raw Data'!A210,"")</f>
        <v/>
      </c>
      <c r="B223" s="4">
        <f>IF('Raw Data'!B210&lt;&gt;"",'Raw Data'!B210,"")</f>
        <v/>
      </c>
      <c r="C223" s="4">
        <f>IF('Raw Data'!C210&lt;&gt;"",'Raw Data'!C210,"")</f>
        <v/>
      </c>
      <c r="D223" s="4">
        <f>IF('Raw Data'!D210&lt;&gt;"",'Raw Data'!D210,"")</f>
        <v/>
      </c>
      <c r="E223" s="4">
        <f>IF('Raw Data'!E210&lt;&gt;"",'Raw Data'!E210,"")</f>
        <v/>
      </c>
      <c r="F223" s="14">
        <f>IF('Raw Data'!A210&lt;&gt;"",AVERAGE('Raw Data'!F210,'Raw Data'!H210,'Raw Data'!J210,'Raw Data'!L210,'Raw Data'!N210),"")</f>
        <v/>
      </c>
      <c r="G223" s="14">
        <f>IF('Raw Data'!A210&lt;&gt;"",AVERAGE('Raw Data'!G210,'Raw Data'!I210,'Raw Data'!K210,'Raw Data'!M210,'Raw Data'!O210),"")</f>
        <v/>
      </c>
      <c r="H223" s="14">
        <f>IF(F223&lt;&gt;"",F223-G223,"")</f>
        <v/>
      </c>
      <c r="I223" s="14">
        <f>IF('Raw Data'!A210&lt;&gt;"",AVERAGE('Raw Data'!P210,'Raw Data'!R210,'Raw Data'!T210,'Raw Data'!V210,'Raw Data'!X210),"")</f>
        <v/>
      </c>
      <c r="J223" s="14">
        <f>IF('Raw Data'!A210&lt;&gt;"",AVERAGE('Raw Data'!Q210,'Raw Data'!S210,'Raw Data'!U210,'Raw Data'!W210,'Raw Data'!Y210),"")</f>
        <v/>
      </c>
      <c r="K223" s="14">
        <f>IF(I223&lt;&gt;"",I223-J223,"")</f>
        <v/>
      </c>
      <c r="L223" s="14">
        <f>IF('Raw Data'!A210&lt;&gt;"",AVERAGE('Raw Data'!Z210,'Raw Data'!AB210,'Raw Data'!AD210,'Raw Data'!AF210,'Raw Data'!AH210),"")</f>
        <v/>
      </c>
      <c r="M223" s="14">
        <f>IF('Raw Data'!A210&lt;&gt;"",AVERAGE('Raw Data'!AA210,'Raw Data'!AC210,'Raw Data'!AE210,'Raw Data'!AG210,'Raw Data'!AI210),"")</f>
        <v/>
      </c>
      <c r="N223" s="14">
        <f>IF(L223&lt;&gt;"",L223-M223,"")</f>
        <v/>
      </c>
      <c r="O223" s="14">
        <f>IF('Raw Data'!A210&lt;&gt;"",AVERAGE('Raw Data'!AJ210,'Raw Data'!AL210,'Raw Data'!AN210,'Raw Data'!AP210,'Raw Data'!AR210),"")</f>
        <v/>
      </c>
      <c r="P223" s="14">
        <f>IF('Raw Data'!A210&lt;&gt;"",AVERAGE('Raw Data'!AK210,'Raw Data'!AM210,'Raw Data'!AO210,'Raw Data'!AQ210,'Raw Data'!AS210),"")</f>
        <v/>
      </c>
      <c r="Q223" s="14">
        <f>IF(O223&lt;&gt;"",O223-P223,"")</f>
        <v/>
      </c>
      <c r="R223" s="14">
        <f>IF('Raw Data'!A210&lt;&gt;"",AVERAGE('Raw Data'!AT210,'Raw Data'!AV210,'Raw Data'!AX210,'Raw Data'!AZ210,'Raw Data'!BB210),"")</f>
        <v/>
      </c>
      <c r="S223" s="14">
        <f>IF('Raw Data'!A210&lt;&gt;"",AVERAGE('Raw Data'!AU210,'Raw Data'!AW210,'Raw Data'!AY210,'Raw Data'!BA210,'Raw Data'!BC210),"")</f>
        <v/>
      </c>
      <c r="T223" s="14">
        <f>IF(R223&lt;&gt;"",R223-S223,"")</f>
        <v/>
      </c>
      <c r="U223" s="14">
        <f>IF('Raw Data'!A210&lt;&gt;"",AVERAGE('Raw Data'!BD210,'Raw Data'!BF210,'Raw Data'!BH210,'Raw Data'!BJ210,'Raw Data'!BL210),"")</f>
        <v/>
      </c>
      <c r="V223" s="14">
        <f>IF('Raw Data'!A210&lt;&gt;"",AVERAGE('Raw Data'!BE210,'Raw Data'!BG210,'Raw Data'!BI210,'Raw Data'!BK210,'Raw Data'!BM210),"")</f>
        <v/>
      </c>
      <c r="W223" s="14">
        <f>IF(U223&lt;&gt;"",U223-V223,"")</f>
        <v/>
      </c>
      <c r="X223" s="14">
        <f>IF(A223&lt;&gt;"",AVERAGE(F223,I223,L223,O223,R223,U223),"")</f>
        <v/>
      </c>
      <c r="Y223" s="14">
        <f>IF(A223&lt;&gt;"",AVERAGE(G223,J223,M223,P223,S223,V223),"")</f>
        <v/>
      </c>
      <c r="Z223" s="14">
        <f>IF(A223&lt;&gt;"",X223-Y223,"")</f>
        <v/>
      </c>
      <c r="AA223" s="15">
        <f>IF(A223&lt;&gt;"",ROUND(MIN(100,100*((MAX(0,K223)*0.25)+(MAX(0,Q223)*0.20)+(MAX(0,W223)*0.20)+(MAX(0,H223)*0.15)+(MAX(0,N223)*0.10)+(MAX(0,T223)*0.10))/9),1),"")</f>
        <v/>
      </c>
      <c r="AB223" s="28">
        <f>IF(A223&lt;&gt;"",MIN(1,(0.5*AA223/100)+(0.3*MAX(0,K223)/9)+(0.2*MAX(0,Q223)/9)),"")</f>
        <v/>
      </c>
    </row>
    <row r="224">
      <c r="A224" s="13">
        <f>IF('Raw Data'!A211&lt;&gt;"",'Raw Data'!A211,"")</f>
        <v/>
      </c>
      <c r="B224" s="13">
        <f>IF('Raw Data'!B211&lt;&gt;"",'Raw Data'!B211,"")</f>
        <v/>
      </c>
      <c r="C224" s="13">
        <f>IF('Raw Data'!C211&lt;&gt;"",'Raw Data'!C211,"")</f>
        <v/>
      </c>
      <c r="D224" s="13">
        <f>IF('Raw Data'!D211&lt;&gt;"",'Raw Data'!D211,"")</f>
        <v/>
      </c>
      <c r="E224" s="13">
        <f>IF('Raw Data'!E211&lt;&gt;"",'Raw Data'!E211,"")</f>
        <v/>
      </c>
      <c r="F224" s="17">
        <f>IF('Raw Data'!A211&lt;&gt;"",AVERAGE('Raw Data'!F211,'Raw Data'!H211,'Raw Data'!J211,'Raw Data'!L211,'Raw Data'!N211),"")</f>
        <v/>
      </c>
      <c r="G224" s="17">
        <f>IF('Raw Data'!A211&lt;&gt;"",AVERAGE('Raw Data'!G211,'Raw Data'!I211,'Raw Data'!K211,'Raw Data'!M211,'Raw Data'!O211),"")</f>
        <v/>
      </c>
      <c r="H224" s="17">
        <f>IF(F224&lt;&gt;"",F224-G224,"")</f>
        <v/>
      </c>
      <c r="I224" s="17">
        <f>IF('Raw Data'!A211&lt;&gt;"",AVERAGE('Raw Data'!P211,'Raw Data'!R211,'Raw Data'!T211,'Raw Data'!V211,'Raw Data'!X211),"")</f>
        <v/>
      </c>
      <c r="J224" s="17">
        <f>IF('Raw Data'!A211&lt;&gt;"",AVERAGE('Raw Data'!Q211,'Raw Data'!S211,'Raw Data'!U211,'Raw Data'!W211,'Raw Data'!Y211),"")</f>
        <v/>
      </c>
      <c r="K224" s="17">
        <f>IF(I224&lt;&gt;"",I224-J224,"")</f>
        <v/>
      </c>
      <c r="L224" s="17">
        <f>IF('Raw Data'!A211&lt;&gt;"",AVERAGE('Raw Data'!Z211,'Raw Data'!AB211,'Raw Data'!AD211,'Raw Data'!AF211,'Raw Data'!AH211),"")</f>
        <v/>
      </c>
      <c r="M224" s="17">
        <f>IF('Raw Data'!A211&lt;&gt;"",AVERAGE('Raw Data'!AA211,'Raw Data'!AC211,'Raw Data'!AE211,'Raw Data'!AG211,'Raw Data'!AI211),"")</f>
        <v/>
      </c>
      <c r="N224" s="17">
        <f>IF(L224&lt;&gt;"",L224-M224,"")</f>
        <v/>
      </c>
      <c r="O224" s="17">
        <f>IF('Raw Data'!A211&lt;&gt;"",AVERAGE('Raw Data'!AJ211,'Raw Data'!AL211,'Raw Data'!AN211,'Raw Data'!AP211,'Raw Data'!AR211),"")</f>
        <v/>
      </c>
      <c r="P224" s="17">
        <f>IF('Raw Data'!A211&lt;&gt;"",AVERAGE('Raw Data'!AK211,'Raw Data'!AM211,'Raw Data'!AO211,'Raw Data'!AQ211,'Raw Data'!AS211),"")</f>
        <v/>
      </c>
      <c r="Q224" s="17">
        <f>IF(O224&lt;&gt;"",O224-P224,"")</f>
        <v/>
      </c>
      <c r="R224" s="17">
        <f>IF('Raw Data'!A211&lt;&gt;"",AVERAGE('Raw Data'!AT211,'Raw Data'!AV211,'Raw Data'!AX211,'Raw Data'!AZ211,'Raw Data'!BB211),"")</f>
        <v/>
      </c>
      <c r="S224" s="17">
        <f>IF('Raw Data'!A211&lt;&gt;"",AVERAGE('Raw Data'!AU211,'Raw Data'!AW211,'Raw Data'!AY211,'Raw Data'!BA211,'Raw Data'!BC211),"")</f>
        <v/>
      </c>
      <c r="T224" s="17">
        <f>IF(R224&lt;&gt;"",R224-S224,"")</f>
        <v/>
      </c>
      <c r="U224" s="17">
        <f>IF('Raw Data'!A211&lt;&gt;"",AVERAGE('Raw Data'!BD211,'Raw Data'!BF211,'Raw Data'!BH211,'Raw Data'!BJ211,'Raw Data'!BL211),"")</f>
        <v/>
      </c>
      <c r="V224" s="17">
        <f>IF('Raw Data'!A211&lt;&gt;"",AVERAGE('Raw Data'!BE211,'Raw Data'!BG211,'Raw Data'!BI211,'Raw Data'!BK211,'Raw Data'!BM211),"")</f>
        <v/>
      </c>
      <c r="W224" s="17">
        <f>IF(U224&lt;&gt;"",U224-V224,"")</f>
        <v/>
      </c>
      <c r="X224" s="17">
        <f>IF(A224&lt;&gt;"",AVERAGE(F224,I224,L224,O224,R224,U224),"")</f>
        <v/>
      </c>
      <c r="Y224" s="17">
        <f>IF(A224&lt;&gt;"",AVERAGE(G224,J224,M224,P224,S224,V224),"")</f>
        <v/>
      </c>
      <c r="Z224" s="17">
        <f>IF(A224&lt;&gt;"",X224-Y224,"")</f>
        <v/>
      </c>
      <c r="AA224" s="18">
        <f>IF(A224&lt;&gt;"",ROUND(MIN(100,100*((MAX(0,K224)*0.25)+(MAX(0,Q224)*0.20)+(MAX(0,W224)*0.20)+(MAX(0,H224)*0.15)+(MAX(0,N224)*0.10)+(MAX(0,T224)*0.10))/9),1),"")</f>
        <v/>
      </c>
      <c r="AB224" s="29">
        <f>IF(A224&lt;&gt;"",MIN(1,(0.5*AA224/100)+(0.3*MAX(0,K224)/9)+(0.2*MAX(0,Q224)/9)),"")</f>
        <v/>
      </c>
    </row>
    <row r="225">
      <c r="A225" s="4">
        <f>IF('Raw Data'!A212&lt;&gt;"",'Raw Data'!A212,"")</f>
        <v/>
      </c>
      <c r="B225" s="4">
        <f>IF('Raw Data'!B212&lt;&gt;"",'Raw Data'!B212,"")</f>
        <v/>
      </c>
      <c r="C225" s="4">
        <f>IF('Raw Data'!C212&lt;&gt;"",'Raw Data'!C212,"")</f>
        <v/>
      </c>
      <c r="D225" s="4">
        <f>IF('Raw Data'!D212&lt;&gt;"",'Raw Data'!D212,"")</f>
        <v/>
      </c>
      <c r="E225" s="4">
        <f>IF('Raw Data'!E212&lt;&gt;"",'Raw Data'!E212,"")</f>
        <v/>
      </c>
      <c r="F225" s="14">
        <f>IF('Raw Data'!A212&lt;&gt;"",AVERAGE('Raw Data'!F212,'Raw Data'!H212,'Raw Data'!J212,'Raw Data'!L212,'Raw Data'!N212),"")</f>
        <v/>
      </c>
      <c r="G225" s="14">
        <f>IF('Raw Data'!A212&lt;&gt;"",AVERAGE('Raw Data'!G212,'Raw Data'!I212,'Raw Data'!K212,'Raw Data'!M212,'Raw Data'!O212),"")</f>
        <v/>
      </c>
      <c r="H225" s="14">
        <f>IF(F225&lt;&gt;"",F225-G225,"")</f>
        <v/>
      </c>
      <c r="I225" s="14">
        <f>IF('Raw Data'!A212&lt;&gt;"",AVERAGE('Raw Data'!P212,'Raw Data'!R212,'Raw Data'!T212,'Raw Data'!V212,'Raw Data'!X212),"")</f>
        <v/>
      </c>
      <c r="J225" s="14">
        <f>IF('Raw Data'!A212&lt;&gt;"",AVERAGE('Raw Data'!Q212,'Raw Data'!S212,'Raw Data'!U212,'Raw Data'!W212,'Raw Data'!Y212),"")</f>
        <v/>
      </c>
      <c r="K225" s="14">
        <f>IF(I225&lt;&gt;"",I225-J225,"")</f>
        <v/>
      </c>
      <c r="L225" s="14">
        <f>IF('Raw Data'!A212&lt;&gt;"",AVERAGE('Raw Data'!Z212,'Raw Data'!AB212,'Raw Data'!AD212,'Raw Data'!AF212,'Raw Data'!AH212),"")</f>
        <v/>
      </c>
      <c r="M225" s="14">
        <f>IF('Raw Data'!A212&lt;&gt;"",AVERAGE('Raw Data'!AA212,'Raw Data'!AC212,'Raw Data'!AE212,'Raw Data'!AG212,'Raw Data'!AI212),"")</f>
        <v/>
      </c>
      <c r="N225" s="14">
        <f>IF(L225&lt;&gt;"",L225-M225,"")</f>
        <v/>
      </c>
      <c r="O225" s="14">
        <f>IF('Raw Data'!A212&lt;&gt;"",AVERAGE('Raw Data'!AJ212,'Raw Data'!AL212,'Raw Data'!AN212,'Raw Data'!AP212,'Raw Data'!AR212),"")</f>
        <v/>
      </c>
      <c r="P225" s="14">
        <f>IF('Raw Data'!A212&lt;&gt;"",AVERAGE('Raw Data'!AK212,'Raw Data'!AM212,'Raw Data'!AO212,'Raw Data'!AQ212,'Raw Data'!AS212),"")</f>
        <v/>
      </c>
      <c r="Q225" s="14">
        <f>IF(O225&lt;&gt;"",O225-P225,"")</f>
        <v/>
      </c>
      <c r="R225" s="14">
        <f>IF('Raw Data'!A212&lt;&gt;"",AVERAGE('Raw Data'!AT212,'Raw Data'!AV212,'Raw Data'!AX212,'Raw Data'!AZ212,'Raw Data'!BB212),"")</f>
        <v/>
      </c>
      <c r="S225" s="14">
        <f>IF('Raw Data'!A212&lt;&gt;"",AVERAGE('Raw Data'!AU212,'Raw Data'!AW212,'Raw Data'!AY212,'Raw Data'!BA212,'Raw Data'!BC212),"")</f>
        <v/>
      </c>
      <c r="T225" s="14">
        <f>IF(R225&lt;&gt;"",R225-S225,"")</f>
        <v/>
      </c>
      <c r="U225" s="14">
        <f>IF('Raw Data'!A212&lt;&gt;"",AVERAGE('Raw Data'!BD212,'Raw Data'!BF212,'Raw Data'!BH212,'Raw Data'!BJ212,'Raw Data'!BL212),"")</f>
        <v/>
      </c>
      <c r="V225" s="14">
        <f>IF('Raw Data'!A212&lt;&gt;"",AVERAGE('Raw Data'!BE212,'Raw Data'!BG212,'Raw Data'!BI212,'Raw Data'!BK212,'Raw Data'!BM212),"")</f>
        <v/>
      </c>
      <c r="W225" s="14">
        <f>IF(U225&lt;&gt;"",U225-V225,"")</f>
        <v/>
      </c>
      <c r="X225" s="14">
        <f>IF(A225&lt;&gt;"",AVERAGE(F225,I225,L225,O225,R225,U225),"")</f>
        <v/>
      </c>
      <c r="Y225" s="14">
        <f>IF(A225&lt;&gt;"",AVERAGE(G225,J225,M225,P225,S225,V225),"")</f>
        <v/>
      </c>
      <c r="Z225" s="14">
        <f>IF(A225&lt;&gt;"",X225-Y225,"")</f>
        <v/>
      </c>
      <c r="AA225" s="15">
        <f>IF(A225&lt;&gt;"",ROUND(MIN(100,100*((MAX(0,K225)*0.25)+(MAX(0,Q225)*0.20)+(MAX(0,W225)*0.20)+(MAX(0,H225)*0.15)+(MAX(0,N225)*0.10)+(MAX(0,T225)*0.10))/9),1),"")</f>
        <v/>
      </c>
      <c r="AB225" s="28">
        <f>IF(A225&lt;&gt;"",MIN(1,(0.5*AA225/100)+(0.3*MAX(0,K225)/9)+(0.2*MAX(0,Q225)/9)),"")</f>
        <v/>
      </c>
    </row>
    <row r="226">
      <c r="A226" s="13">
        <f>IF('Raw Data'!A213&lt;&gt;"",'Raw Data'!A213,"")</f>
        <v/>
      </c>
      <c r="B226" s="13">
        <f>IF('Raw Data'!B213&lt;&gt;"",'Raw Data'!B213,"")</f>
        <v/>
      </c>
      <c r="C226" s="13">
        <f>IF('Raw Data'!C213&lt;&gt;"",'Raw Data'!C213,"")</f>
        <v/>
      </c>
      <c r="D226" s="13">
        <f>IF('Raw Data'!D213&lt;&gt;"",'Raw Data'!D213,"")</f>
        <v/>
      </c>
      <c r="E226" s="13">
        <f>IF('Raw Data'!E213&lt;&gt;"",'Raw Data'!E213,"")</f>
        <v/>
      </c>
      <c r="F226" s="17">
        <f>IF('Raw Data'!A213&lt;&gt;"",AVERAGE('Raw Data'!F213,'Raw Data'!H213,'Raw Data'!J213,'Raw Data'!L213,'Raw Data'!N213),"")</f>
        <v/>
      </c>
      <c r="G226" s="17">
        <f>IF('Raw Data'!A213&lt;&gt;"",AVERAGE('Raw Data'!G213,'Raw Data'!I213,'Raw Data'!K213,'Raw Data'!M213,'Raw Data'!O213),"")</f>
        <v/>
      </c>
      <c r="H226" s="17">
        <f>IF(F226&lt;&gt;"",F226-G226,"")</f>
        <v/>
      </c>
      <c r="I226" s="17">
        <f>IF('Raw Data'!A213&lt;&gt;"",AVERAGE('Raw Data'!P213,'Raw Data'!R213,'Raw Data'!T213,'Raw Data'!V213,'Raw Data'!X213),"")</f>
        <v/>
      </c>
      <c r="J226" s="17">
        <f>IF('Raw Data'!A213&lt;&gt;"",AVERAGE('Raw Data'!Q213,'Raw Data'!S213,'Raw Data'!U213,'Raw Data'!W213,'Raw Data'!Y213),"")</f>
        <v/>
      </c>
      <c r="K226" s="17">
        <f>IF(I226&lt;&gt;"",I226-J226,"")</f>
        <v/>
      </c>
      <c r="L226" s="17">
        <f>IF('Raw Data'!A213&lt;&gt;"",AVERAGE('Raw Data'!Z213,'Raw Data'!AB213,'Raw Data'!AD213,'Raw Data'!AF213,'Raw Data'!AH213),"")</f>
        <v/>
      </c>
      <c r="M226" s="17">
        <f>IF('Raw Data'!A213&lt;&gt;"",AVERAGE('Raw Data'!AA213,'Raw Data'!AC213,'Raw Data'!AE213,'Raw Data'!AG213,'Raw Data'!AI213),"")</f>
        <v/>
      </c>
      <c r="N226" s="17">
        <f>IF(L226&lt;&gt;"",L226-M226,"")</f>
        <v/>
      </c>
      <c r="O226" s="17">
        <f>IF('Raw Data'!A213&lt;&gt;"",AVERAGE('Raw Data'!AJ213,'Raw Data'!AL213,'Raw Data'!AN213,'Raw Data'!AP213,'Raw Data'!AR213),"")</f>
        <v/>
      </c>
      <c r="P226" s="17">
        <f>IF('Raw Data'!A213&lt;&gt;"",AVERAGE('Raw Data'!AK213,'Raw Data'!AM213,'Raw Data'!AO213,'Raw Data'!AQ213,'Raw Data'!AS213),"")</f>
        <v/>
      </c>
      <c r="Q226" s="17">
        <f>IF(O226&lt;&gt;"",O226-P226,"")</f>
        <v/>
      </c>
      <c r="R226" s="17">
        <f>IF('Raw Data'!A213&lt;&gt;"",AVERAGE('Raw Data'!AT213,'Raw Data'!AV213,'Raw Data'!AX213,'Raw Data'!AZ213,'Raw Data'!BB213),"")</f>
        <v/>
      </c>
      <c r="S226" s="17">
        <f>IF('Raw Data'!A213&lt;&gt;"",AVERAGE('Raw Data'!AU213,'Raw Data'!AW213,'Raw Data'!AY213,'Raw Data'!BA213,'Raw Data'!BC213),"")</f>
        <v/>
      </c>
      <c r="T226" s="17">
        <f>IF(R226&lt;&gt;"",R226-S226,"")</f>
        <v/>
      </c>
      <c r="U226" s="17">
        <f>IF('Raw Data'!A213&lt;&gt;"",AVERAGE('Raw Data'!BD213,'Raw Data'!BF213,'Raw Data'!BH213,'Raw Data'!BJ213,'Raw Data'!BL213),"")</f>
        <v/>
      </c>
      <c r="V226" s="17">
        <f>IF('Raw Data'!A213&lt;&gt;"",AVERAGE('Raw Data'!BE213,'Raw Data'!BG213,'Raw Data'!BI213,'Raw Data'!BK213,'Raw Data'!BM213),"")</f>
        <v/>
      </c>
      <c r="W226" s="17">
        <f>IF(U226&lt;&gt;"",U226-V226,"")</f>
        <v/>
      </c>
      <c r="X226" s="17">
        <f>IF(A226&lt;&gt;"",AVERAGE(F226,I226,L226,O226,R226,U226),"")</f>
        <v/>
      </c>
      <c r="Y226" s="17">
        <f>IF(A226&lt;&gt;"",AVERAGE(G226,J226,M226,P226,S226,V226),"")</f>
        <v/>
      </c>
      <c r="Z226" s="17">
        <f>IF(A226&lt;&gt;"",X226-Y226,"")</f>
        <v/>
      </c>
      <c r="AA226" s="18">
        <f>IF(A226&lt;&gt;"",ROUND(MIN(100,100*((MAX(0,K226)*0.25)+(MAX(0,Q226)*0.20)+(MAX(0,W226)*0.20)+(MAX(0,H226)*0.15)+(MAX(0,N226)*0.10)+(MAX(0,T226)*0.10))/9),1),"")</f>
        <v/>
      </c>
      <c r="AB226" s="29">
        <f>IF(A226&lt;&gt;"",MIN(1,(0.5*AA226/100)+(0.3*MAX(0,K226)/9)+(0.2*MAX(0,Q226)/9)),"")</f>
        <v/>
      </c>
    </row>
    <row r="227">
      <c r="A227" s="4">
        <f>IF('Raw Data'!A214&lt;&gt;"",'Raw Data'!A214,"")</f>
        <v/>
      </c>
      <c r="B227" s="4">
        <f>IF('Raw Data'!B214&lt;&gt;"",'Raw Data'!B214,"")</f>
        <v/>
      </c>
      <c r="C227" s="4">
        <f>IF('Raw Data'!C214&lt;&gt;"",'Raw Data'!C214,"")</f>
        <v/>
      </c>
      <c r="D227" s="4">
        <f>IF('Raw Data'!D214&lt;&gt;"",'Raw Data'!D214,"")</f>
        <v/>
      </c>
      <c r="E227" s="4">
        <f>IF('Raw Data'!E214&lt;&gt;"",'Raw Data'!E214,"")</f>
        <v/>
      </c>
      <c r="F227" s="14">
        <f>IF('Raw Data'!A214&lt;&gt;"",AVERAGE('Raw Data'!F214,'Raw Data'!H214,'Raw Data'!J214,'Raw Data'!L214,'Raw Data'!N214),"")</f>
        <v/>
      </c>
      <c r="G227" s="14">
        <f>IF('Raw Data'!A214&lt;&gt;"",AVERAGE('Raw Data'!G214,'Raw Data'!I214,'Raw Data'!K214,'Raw Data'!M214,'Raw Data'!O214),"")</f>
        <v/>
      </c>
      <c r="H227" s="14">
        <f>IF(F227&lt;&gt;"",F227-G227,"")</f>
        <v/>
      </c>
      <c r="I227" s="14">
        <f>IF('Raw Data'!A214&lt;&gt;"",AVERAGE('Raw Data'!P214,'Raw Data'!R214,'Raw Data'!T214,'Raw Data'!V214,'Raw Data'!X214),"")</f>
        <v/>
      </c>
      <c r="J227" s="14">
        <f>IF('Raw Data'!A214&lt;&gt;"",AVERAGE('Raw Data'!Q214,'Raw Data'!S214,'Raw Data'!U214,'Raw Data'!W214,'Raw Data'!Y214),"")</f>
        <v/>
      </c>
      <c r="K227" s="14">
        <f>IF(I227&lt;&gt;"",I227-J227,"")</f>
        <v/>
      </c>
      <c r="L227" s="14">
        <f>IF('Raw Data'!A214&lt;&gt;"",AVERAGE('Raw Data'!Z214,'Raw Data'!AB214,'Raw Data'!AD214,'Raw Data'!AF214,'Raw Data'!AH214),"")</f>
        <v/>
      </c>
      <c r="M227" s="14">
        <f>IF('Raw Data'!A214&lt;&gt;"",AVERAGE('Raw Data'!AA214,'Raw Data'!AC214,'Raw Data'!AE214,'Raw Data'!AG214,'Raw Data'!AI214),"")</f>
        <v/>
      </c>
      <c r="N227" s="14">
        <f>IF(L227&lt;&gt;"",L227-M227,"")</f>
        <v/>
      </c>
      <c r="O227" s="14">
        <f>IF('Raw Data'!A214&lt;&gt;"",AVERAGE('Raw Data'!AJ214,'Raw Data'!AL214,'Raw Data'!AN214,'Raw Data'!AP214,'Raw Data'!AR214),"")</f>
        <v/>
      </c>
      <c r="P227" s="14">
        <f>IF('Raw Data'!A214&lt;&gt;"",AVERAGE('Raw Data'!AK214,'Raw Data'!AM214,'Raw Data'!AO214,'Raw Data'!AQ214,'Raw Data'!AS214),"")</f>
        <v/>
      </c>
      <c r="Q227" s="14">
        <f>IF(O227&lt;&gt;"",O227-P227,"")</f>
        <v/>
      </c>
      <c r="R227" s="14">
        <f>IF('Raw Data'!A214&lt;&gt;"",AVERAGE('Raw Data'!AT214,'Raw Data'!AV214,'Raw Data'!AX214,'Raw Data'!AZ214,'Raw Data'!BB214),"")</f>
        <v/>
      </c>
      <c r="S227" s="14">
        <f>IF('Raw Data'!A214&lt;&gt;"",AVERAGE('Raw Data'!AU214,'Raw Data'!AW214,'Raw Data'!AY214,'Raw Data'!BA214,'Raw Data'!BC214),"")</f>
        <v/>
      </c>
      <c r="T227" s="14">
        <f>IF(R227&lt;&gt;"",R227-S227,"")</f>
        <v/>
      </c>
      <c r="U227" s="14">
        <f>IF('Raw Data'!A214&lt;&gt;"",AVERAGE('Raw Data'!BD214,'Raw Data'!BF214,'Raw Data'!BH214,'Raw Data'!BJ214,'Raw Data'!BL214),"")</f>
        <v/>
      </c>
      <c r="V227" s="14">
        <f>IF('Raw Data'!A214&lt;&gt;"",AVERAGE('Raw Data'!BE214,'Raw Data'!BG214,'Raw Data'!BI214,'Raw Data'!BK214,'Raw Data'!BM214),"")</f>
        <v/>
      </c>
      <c r="W227" s="14">
        <f>IF(U227&lt;&gt;"",U227-V227,"")</f>
        <v/>
      </c>
      <c r="X227" s="14">
        <f>IF(A227&lt;&gt;"",AVERAGE(F227,I227,L227,O227,R227,U227),"")</f>
        <v/>
      </c>
      <c r="Y227" s="14">
        <f>IF(A227&lt;&gt;"",AVERAGE(G227,J227,M227,P227,S227,V227),"")</f>
        <v/>
      </c>
      <c r="Z227" s="14">
        <f>IF(A227&lt;&gt;"",X227-Y227,"")</f>
        <v/>
      </c>
      <c r="AA227" s="15">
        <f>IF(A227&lt;&gt;"",ROUND(MIN(100,100*((MAX(0,K227)*0.25)+(MAX(0,Q227)*0.20)+(MAX(0,W227)*0.20)+(MAX(0,H227)*0.15)+(MAX(0,N227)*0.10)+(MAX(0,T227)*0.10))/9),1),"")</f>
        <v/>
      </c>
      <c r="AB227" s="28">
        <f>IF(A227&lt;&gt;"",MIN(1,(0.5*AA227/100)+(0.3*MAX(0,K227)/9)+(0.2*MAX(0,Q227)/9)),"")</f>
        <v/>
      </c>
    </row>
    <row r="228">
      <c r="A228" s="13">
        <f>IF('Raw Data'!A215&lt;&gt;"",'Raw Data'!A215,"")</f>
        <v/>
      </c>
      <c r="B228" s="13">
        <f>IF('Raw Data'!B215&lt;&gt;"",'Raw Data'!B215,"")</f>
        <v/>
      </c>
      <c r="C228" s="13">
        <f>IF('Raw Data'!C215&lt;&gt;"",'Raw Data'!C215,"")</f>
        <v/>
      </c>
      <c r="D228" s="13">
        <f>IF('Raw Data'!D215&lt;&gt;"",'Raw Data'!D215,"")</f>
        <v/>
      </c>
      <c r="E228" s="13">
        <f>IF('Raw Data'!E215&lt;&gt;"",'Raw Data'!E215,"")</f>
        <v/>
      </c>
      <c r="F228" s="17">
        <f>IF('Raw Data'!A215&lt;&gt;"",AVERAGE('Raw Data'!F215,'Raw Data'!H215,'Raw Data'!J215,'Raw Data'!L215,'Raw Data'!N215),"")</f>
        <v/>
      </c>
      <c r="G228" s="17">
        <f>IF('Raw Data'!A215&lt;&gt;"",AVERAGE('Raw Data'!G215,'Raw Data'!I215,'Raw Data'!K215,'Raw Data'!M215,'Raw Data'!O215),"")</f>
        <v/>
      </c>
      <c r="H228" s="17">
        <f>IF(F228&lt;&gt;"",F228-G228,"")</f>
        <v/>
      </c>
      <c r="I228" s="17">
        <f>IF('Raw Data'!A215&lt;&gt;"",AVERAGE('Raw Data'!P215,'Raw Data'!R215,'Raw Data'!T215,'Raw Data'!V215,'Raw Data'!X215),"")</f>
        <v/>
      </c>
      <c r="J228" s="17">
        <f>IF('Raw Data'!A215&lt;&gt;"",AVERAGE('Raw Data'!Q215,'Raw Data'!S215,'Raw Data'!U215,'Raw Data'!W215,'Raw Data'!Y215),"")</f>
        <v/>
      </c>
      <c r="K228" s="17">
        <f>IF(I228&lt;&gt;"",I228-J228,"")</f>
        <v/>
      </c>
      <c r="L228" s="17">
        <f>IF('Raw Data'!A215&lt;&gt;"",AVERAGE('Raw Data'!Z215,'Raw Data'!AB215,'Raw Data'!AD215,'Raw Data'!AF215,'Raw Data'!AH215),"")</f>
        <v/>
      </c>
      <c r="M228" s="17">
        <f>IF('Raw Data'!A215&lt;&gt;"",AVERAGE('Raw Data'!AA215,'Raw Data'!AC215,'Raw Data'!AE215,'Raw Data'!AG215,'Raw Data'!AI215),"")</f>
        <v/>
      </c>
      <c r="N228" s="17">
        <f>IF(L228&lt;&gt;"",L228-M228,"")</f>
        <v/>
      </c>
      <c r="O228" s="17">
        <f>IF('Raw Data'!A215&lt;&gt;"",AVERAGE('Raw Data'!AJ215,'Raw Data'!AL215,'Raw Data'!AN215,'Raw Data'!AP215,'Raw Data'!AR215),"")</f>
        <v/>
      </c>
      <c r="P228" s="17">
        <f>IF('Raw Data'!A215&lt;&gt;"",AVERAGE('Raw Data'!AK215,'Raw Data'!AM215,'Raw Data'!AO215,'Raw Data'!AQ215,'Raw Data'!AS215),"")</f>
        <v/>
      </c>
      <c r="Q228" s="17">
        <f>IF(O228&lt;&gt;"",O228-P228,"")</f>
        <v/>
      </c>
      <c r="R228" s="17">
        <f>IF('Raw Data'!A215&lt;&gt;"",AVERAGE('Raw Data'!AT215,'Raw Data'!AV215,'Raw Data'!AX215,'Raw Data'!AZ215,'Raw Data'!BB215),"")</f>
        <v/>
      </c>
      <c r="S228" s="17">
        <f>IF('Raw Data'!A215&lt;&gt;"",AVERAGE('Raw Data'!AU215,'Raw Data'!AW215,'Raw Data'!AY215,'Raw Data'!BA215,'Raw Data'!BC215),"")</f>
        <v/>
      </c>
      <c r="T228" s="17">
        <f>IF(R228&lt;&gt;"",R228-S228,"")</f>
        <v/>
      </c>
      <c r="U228" s="17">
        <f>IF('Raw Data'!A215&lt;&gt;"",AVERAGE('Raw Data'!BD215,'Raw Data'!BF215,'Raw Data'!BH215,'Raw Data'!BJ215,'Raw Data'!BL215),"")</f>
        <v/>
      </c>
      <c r="V228" s="17">
        <f>IF('Raw Data'!A215&lt;&gt;"",AVERAGE('Raw Data'!BE215,'Raw Data'!BG215,'Raw Data'!BI215,'Raw Data'!BK215,'Raw Data'!BM215),"")</f>
        <v/>
      </c>
      <c r="W228" s="17">
        <f>IF(U228&lt;&gt;"",U228-V228,"")</f>
        <v/>
      </c>
      <c r="X228" s="17">
        <f>IF(A228&lt;&gt;"",AVERAGE(F228,I228,L228,O228,R228,U228),"")</f>
        <v/>
      </c>
      <c r="Y228" s="17">
        <f>IF(A228&lt;&gt;"",AVERAGE(G228,J228,M228,P228,S228,V228),"")</f>
        <v/>
      </c>
      <c r="Z228" s="17">
        <f>IF(A228&lt;&gt;"",X228-Y228,"")</f>
        <v/>
      </c>
      <c r="AA228" s="18">
        <f>IF(A228&lt;&gt;"",ROUND(MIN(100,100*((MAX(0,K228)*0.25)+(MAX(0,Q228)*0.20)+(MAX(0,W228)*0.20)+(MAX(0,H228)*0.15)+(MAX(0,N228)*0.10)+(MAX(0,T228)*0.10))/9),1),"")</f>
        <v/>
      </c>
      <c r="AB228" s="29">
        <f>IF(A228&lt;&gt;"",MIN(1,(0.5*AA228/100)+(0.3*MAX(0,K228)/9)+(0.2*MAX(0,Q228)/9)),"")</f>
        <v/>
      </c>
    </row>
    <row r="229">
      <c r="A229" s="4">
        <f>IF('Raw Data'!A216&lt;&gt;"",'Raw Data'!A216,"")</f>
        <v/>
      </c>
      <c r="B229" s="4">
        <f>IF('Raw Data'!B216&lt;&gt;"",'Raw Data'!B216,"")</f>
        <v/>
      </c>
      <c r="C229" s="4">
        <f>IF('Raw Data'!C216&lt;&gt;"",'Raw Data'!C216,"")</f>
        <v/>
      </c>
      <c r="D229" s="4">
        <f>IF('Raw Data'!D216&lt;&gt;"",'Raw Data'!D216,"")</f>
        <v/>
      </c>
      <c r="E229" s="4">
        <f>IF('Raw Data'!E216&lt;&gt;"",'Raw Data'!E216,"")</f>
        <v/>
      </c>
      <c r="F229" s="14">
        <f>IF('Raw Data'!A216&lt;&gt;"",AVERAGE('Raw Data'!F216,'Raw Data'!H216,'Raw Data'!J216,'Raw Data'!L216,'Raw Data'!N216),"")</f>
        <v/>
      </c>
      <c r="G229" s="14">
        <f>IF('Raw Data'!A216&lt;&gt;"",AVERAGE('Raw Data'!G216,'Raw Data'!I216,'Raw Data'!K216,'Raw Data'!M216,'Raw Data'!O216),"")</f>
        <v/>
      </c>
      <c r="H229" s="14">
        <f>IF(F229&lt;&gt;"",F229-G229,"")</f>
        <v/>
      </c>
      <c r="I229" s="14">
        <f>IF('Raw Data'!A216&lt;&gt;"",AVERAGE('Raw Data'!P216,'Raw Data'!R216,'Raw Data'!T216,'Raw Data'!V216,'Raw Data'!X216),"")</f>
        <v/>
      </c>
      <c r="J229" s="14">
        <f>IF('Raw Data'!A216&lt;&gt;"",AVERAGE('Raw Data'!Q216,'Raw Data'!S216,'Raw Data'!U216,'Raw Data'!W216,'Raw Data'!Y216),"")</f>
        <v/>
      </c>
      <c r="K229" s="14">
        <f>IF(I229&lt;&gt;"",I229-J229,"")</f>
        <v/>
      </c>
      <c r="L229" s="14">
        <f>IF('Raw Data'!A216&lt;&gt;"",AVERAGE('Raw Data'!Z216,'Raw Data'!AB216,'Raw Data'!AD216,'Raw Data'!AF216,'Raw Data'!AH216),"")</f>
        <v/>
      </c>
      <c r="M229" s="14">
        <f>IF('Raw Data'!A216&lt;&gt;"",AVERAGE('Raw Data'!AA216,'Raw Data'!AC216,'Raw Data'!AE216,'Raw Data'!AG216,'Raw Data'!AI216),"")</f>
        <v/>
      </c>
      <c r="N229" s="14">
        <f>IF(L229&lt;&gt;"",L229-M229,"")</f>
        <v/>
      </c>
      <c r="O229" s="14">
        <f>IF('Raw Data'!A216&lt;&gt;"",AVERAGE('Raw Data'!AJ216,'Raw Data'!AL216,'Raw Data'!AN216,'Raw Data'!AP216,'Raw Data'!AR216),"")</f>
        <v/>
      </c>
      <c r="P229" s="14">
        <f>IF('Raw Data'!A216&lt;&gt;"",AVERAGE('Raw Data'!AK216,'Raw Data'!AM216,'Raw Data'!AO216,'Raw Data'!AQ216,'Raw Data'!AS216),"")</f>
        <v/>
      </c>
      <c r="Q229" s="14">
        <f>IF(O229&lt;&gt;"",O229-P229,"")</f>
        <v/>
      </c>
      <c r="R229" s="14">
        <f>IF('Raw Data'!A216&lt;&gt;"",AVERAGE('Raw Data'!AT216,'Raw Data'!AV216,'Raw Data'!AX216,'Raw Data'!AZ216,'Raw Data'!BB216),"")</f>
        <v/>
      </c>
      <c r="S229" s="14">
        <f>IF('Raw Data'!A216&lt;&gt;"",AVERAGE('Raw Data'!AU216,'Raw Data'!AW216,'Raw Data'!AY216,'Raw Data'!BA216,'Raw Data'!BC216),"")</f>
        <v/>
      </c>
      <c r="T229" s="14">
        <f>IF(R229&lt;&gt;"",R229-S229,"")</f>
        <v/>
      </c>
      <c r="U229" s="14">
        <f>IF('Raw Data'!A216&lt;&gt;"",AVERAGE('Raw Data'!BD216,'Raw Data'!BF216,'Raw Data'!BH216,'Raw Data'!BJ216,'Raw Data'!BL216),"")</f>
        <v/>
      </c>
      <c r="V229" s="14">
        <f>IF('Raw Data'!A216&lt;&gt;"",AVERAGE('Raw Data'!BE216,'Raw Data'!BG216,'Raw Data'!BI216,'Raw Data'!BK216,'Raw Data'!BM216),"")</f>
        <v/>
      </c>
      <c r="W229" s="14">
        <f>IF(U229&lt;&gt;"",U229-V229,"")</f>
        <v/>
      </c>
      <c r="X229" s="14">
        <f>IF(A229&lt;&gt;"",AVERAGE(F229,I229,L229,O229,R229,U229),"")</f>
        <v/>
      </c>
      <c r="Y229" s="14">
        <f>IF(A229&lt;&gt;"",AVERAGE(G229,J229,M229,P229,S229,V229),"")</f>
        <v/>
      </c>
      <c r="Z229" s="14">
        <f>IF(A229&lt;&gt;"",X229-Y229,"")</f>
        <v/>
      </c>
      <c r="AA229" s="15">
        <f>IF(A229&lt;&gt;"",ROUND(MIN(100,100*((MAX(0,K229)*0.25)+(MAX(0,Q229)*0.20)+(MAX(0,W229)*0.20)+(MAX(0,H229)*0.15)+(MAX(0,N229)*0.10)+(MAX(0,T229)*0.10))/9),1),"")</f>
        <v/>
      </c>
      <c r="AB229" s="28">
        <f>IF(A229&lt;&gt;"",MIN(1,(0.5*AA229/100)+(0.3*MAX(0,K229)/9)+(0.2*MAX(0,Q229)/9)),"")</f>
        <v/>
      </c>
    </row>
    <row r="230">
      <c r="A230" s="13">
        <f>IF('Raw Data'!A217&lt;&gt;"",'Raw Data'!A217,"")</f>
        <v/>
      </c>
      <c r="B230" s="13">
        <f>IF('Raw Data'!B217&lt;&gt;"",'Raw Data'!B217,"")</f>
        <v/>
      </c>
      <c r="C230" s="13">
        <f>IF('Raw Data'!C217&lt;&gt;"",'Raw Data'!C217,"")</f>
        <v/>
      </c>
      <c r="D230" s="13">
        <f>IF('Raw Data'!D217&lt;&gt;"",'Raw Data'!D217,"")</f>
        <v/>
      </c>
      <c r="E230" s="13">
        <f>IF('Raw Data'!E217&lt;&gt;"",'Raw Data'!E217,"")</f>
        <v/>
      </c>
      <c r="F230" s="17">
        <f>IF('Raw Data'!A217&lt;&gt;"",AVERAGE('Raw Data'!F217,'Raw Data'!H217,'Raw Data'!J217,'Raw Data'!L217,'Raw Data'!N217),"")</f>
        <v/>
      </c>
      <c r="G230" s="17">
        <f>IF('Raw Data'!A217&lt;&gt;"",AVERAGE('Raw Data'!G217,'Raw Data'!I217,'Raw Data'!K217,'Raw Data'!M217,'Raw Data'!O217),"")</f>
        <v/>
      </c>
      <c r="H230" s="17">
        <f>IF(F230&lt;&gt;"",F230-G230,"")</f>
        <v/>
      </c>
      <c r="I230" s="17">
        <f>IF('Raw Data'!A217&lt;&gt;"",AVERAGE('Raw Data'!P217,'Raw Data'!R217,'Raw Data'!T217,'Raw Data'!V217,'Raw Data'!X217),"")</f>
        <v/>
      </c>
      <c r="J230" s="17">
        <f>IF('Raw Data'!A217&lt;&gt;"",AVERAGE('Raw Data'!Q217,'Raw Data'!S217,'Raw Data'!U217,'Raw Data'!W217,'Raw Data'!Y217),"")</f>
        <v/>
      </c>
      <c r="K230" s="17">
        <f>IF(I230&lt;&gt;"",I230-J230,"")</f>
        <v/>
      </c>
      <c r="L230" s="17">
        <f>IF('Raw Data'!A217&lt;&gt;"",AVERAGE('Raw Data'!Z217,'Raw Data'!AB217,'Raw Data'!AD217,'Raw Data'!AF217,'Raw Data'!AH217),"")</f>
        <v/>
      </c>
      <c r="M230" s="17">
        <f>IF('Raw Data'!A217&lt;&gt;"",AVERAGE('Raw Data'!AA217,'Raw Data'!AC217,'Raw Data'!AE217,'Raw Data'!AG217,'Raw Data'!AI217),"")</f>
        <v/>
      </c>
      <c r="N230" s="17">
        <f>IF(L230&lt;&gt;"",L230-M230,"")</f>
        <v/>
      </c>
      <c r="O230" s="17">
        <f>IF('Raw Data'!A217&lt;&gt;"",AVERAGE('Raw Data'!AJ217,'Raw Data'!AL217,'Raw Data'!AN217,'Raw Data'!AP217,'Raw Data'!AR217),"")</f>
        <v/>
      </c>
      <c r="P230" s="17">
        <f>IF('Raw Data'!A217&lt;&gt;"",AVERAGE('Raw Data'!AK217,'Raw Data'!AM217,'Raw Data'!AO217,'Raw Data'!AQ217,'Raw Data'!AS217),"")</f>
        <v/>
      </c>
      <c r="Q230" s="17">
        <f>IF(O230&lt;&gt;"",O230-P230,"")</f>
        <v/>
      </c>
      <c r="R230" s="17">
        <f>IF('Raw Data'!A217&lt;&gt;"",AVERAGE('Raw Data'!AT217,'Raw Data'!AV217,'Raw Data'!AX217,'Raw Data'!AZ217,'Raw Data'!BB217),"")</f>
        <v/>
      </c>
      <c r="S230" s="17">
        <f>IF('Raw Data'!A217&lt;&gt;"",AVERAGE('Raw Data'!AU217,'Raw Data'!AW217,'Raw Data'!AY217,'Raw Data'!BA217,'Raw Data'!BC217),"")</f>
        <v/>
      </c>
      <c r="T230" s="17">
        <f>IF(R230&lt;&gt;"",R230-S230,"")</f>
        <v/>
      </c>
      <c r="U230" s="17">
        <f>IF('Raw Data'!A217&lt;&gt;"",AVERAGE('Raw Data'!BD217,'Raw Data'!BF217,'Raw Data'!BH217,'Raw Data'!BJ217,'Raw Data'!BL217),"")</f>
        <v/>
      </c>
      <c r="V230" s="17">
        <f>IF('Raw Data'!A217&lt;&gt;"",AVERAGE('Raw Data'!BE217,'Raw Data'!BG217,'Raw Data'!BI217,'Raw Data'!BK217,'Raw Data'!BM217),"")</f>
        <v/>
      </c>
      <c r="W230" s="17">
        <f>IF(U230&lt;&gt;"",U230-V230,"")</f>
        <v/>
      </c>
      <c r="X230" s="17">
        <f>IF(A230&lt;&gt;"",AVERAGE(F230,I230,L230,O230,R230,U230),"")</f>
        <v/>
      </c>
      <c r="Y230" s="17">
        <f>IF(A230&lt;&gt;"",AVERAGE(G230,J230,M230,P230,S230,V230),"")</f>
        <v/>
      </c>
      <c r="Z230" s="17">
        <f>IF(A230&lt;&gt;"",X230-Y230,"")</f>
        <v/>
      </c>
      <c r="AA230" s="18">
        <f>IF(A230&lt;&gt;"",ROUND(MIN(100,100*((MAX(0,K230)*0.25)+(MAX(0,Q230)*0.20)+(MAX(0,W230)*0.20)+(MAX(0,H230)*0.15)+(MAX(0,N230)*0.10)+(MAX(0,T230)*0.10))/9),1),"")</f>
        <v/>
      </c>
      <c r="AB230" s="29">
        <f>IF(A230&lt;&gt;"",MIN(1,(0.5*AA230/100)+(0.3*MAX(0,K230)/9)+(0.2*MAX(0,Q230)/9)),"")</f>
        <v/>
      </c>
    </row>
    <row r="231">
      <c r="A231" s="4">
        <f>IF('Raw Data'!A218&lt;&gt;"",'Raw Data'!A218,"")</f>
        <v/>
      </c>
      <c r="B231" s="4">
        <f>IF('Raw Data'!B218&lt;&gt;"",'Raw Data'!B218,"")</f>
        <v/>
      </c>
      <c r="C231" s="4">
        <f>IF('Raw Data'!C218&lt;&gt;"",'Raw Data'!C218,"")</f>
        <v/>
      </c>
      <c r="D231" s="4">
        <f>IF('Raw Data'!D218&lt;&gt;"",'Raw Data'!D218,"")</f>
        <v/>
      </c>
      <c r="E231" s="4">
        <f>IF('Raw Data'!E218&lt;&gt;"",'Raw Data'!E218,"")</f>
        <v/>
      </c>
      <c r="F231" s="14">
        <f>IF('Raw Data'!A218&lt;&gt;"",AVERAGE('Raw Data'!F218,'Raw Data'!H218,'Raw Data'!J218,'Raw Data'!L218,'Raw Data'!N218),"")</f>
        <v/>
      </c>
      <c r="G231" s="14">
        <f>IF('Raw Data'!A218&lt;&gt;"",AVERAGE('Raw Data'!G218,'Raw Data'!I218,'Raw Data'!K218,'Raw Data'!M218,'Raw Data'!O218),"")</f>
        <v/>
      </c>
      <c r="H231" s="14">
        <f>IF(F231&lt;&gt;"",F231-G231,"")</f>
        <v/>
      </c>
      <c r="I231" s="14">
        <f>IF('Raw Data'!A218&lt;&gt;"",AVERAGE('Raw Data'!P218,'Raw Data'!R218,'Raw Data'!T218,'Raw Data'!V218,'Raw Data'!X218),"")</f>
        <v/>
      </c>
      <c r="J231" s="14">
        <f>IF('Raw Data'!A218&lt;&gt;"",AVERAGE('Raw Data'!Q218,'Raw Data'!S218,'Raw Data'!U218,'Raw Data'!W218,'Raw Data'!Y218),"")</f>
        <v/>
      </c>
      <c r="K231" s="14">
        <f>IF(I231&lt;&gt;"",I231-J231,"")</f>
        <v/>
      </c>
      <c r="L231" s="14">
        <f>IF('Raw Data'!A218&lt;&gt;"",AVERAGE('Raw Data'!Z218,'Raw Data'!AB218,'Raw Data'!AD218,'Raw Data'!AF218,'Raw Data'!AH218),"")</f>
        <v/>
      </c>
      <c r="M231" s="14">
        <f>IF('Raw Data'!A218&lt;&gt;"",AVERAGE('Raw Data'!AA218,'Raw Data'!AC218,'Raw Data'!AE218,'Raw Data'!AG218,'Raw Data'!AI218),"")</f>
        <v/>
      </c>
      <c r="N231" s="14">
        <f>IF(L231&lt;&gt;"",L231-M231,"")</f>
        <v/>
      </c>
      <c r="O231" s="14">
        <f>IF('Raw Data'!A218&lt;&gt;"",AVERAGE('Raw Data'!AJ218,'Raw Data'!AL218,'Raw Data'!AN218,'Raw Data'!AP218,'Raw Data'!AR218),"")</f>
        <v/>
      </c>
      <c r="P231" s="14">
        <f>IF('Raw Data'!A218&lt;&gt;"",AVERAGE('Raw Data'!AK218,'Raw Data'!AM218,'Raw Data'!AO218,'Raw Data'!AQ218,'Raw Data'!AS218),"")</f>
        <v/>
      </c>
      <c r="Q231" s="14">
        <f>IF(O231&lt;&gt;"",O231-P231,"")</f>
        <v/>
      </c>
      <c r="R231" s="14">
        <f>IF('Raw Data'!A218&lt;&gt;"",AVERAGE('Raw Data'!AT218,'Raw Data'!AV218,'Raw Data'!AX218,'Raw Data'!AZ218,'Raw Data'!BB218),"")</f>
        <v/>
      </c>
      <c r="S231" s="14">
        <f>IF('Raw Data'!A218&lt;&gt;"",AVERAGE('Raw Data'!AU218,'Raw Data'!AW218,'Raw Data'!AY218,'Raw Data'!BA218,'Raw Data'!BC218),"")</f>
        <v/>
      </c>
      <c r="T231" s="14">
        <f>IF(R231&lt;&gt;"",R231-S231,"")</f>
        <v/>
      </c>
      <c r="U231" s="14">
        <f>IF('Raw Data'!A218&lt;&gt;"",AVERAGE('Raw Data'!BD218,'Raw Data'!BF218,'Raw Data'!BH218,'Raw Data'!BJ218,'Raw Data'!BL218),"")</f>
        <v/>
      </c>
      <c r="V231" s="14">
        <f>IF('Raw Data'!A218&lt;&gt;"",AVERAGE('Raw Data'!BE218,'Raw Data'!BG218,'Raw Data'!BI218,'Raw Data'!BK218,'Raw Data'!BM218),"")</f>
        <v/>
      </c>
      <c r="W231" s="14">
        <f>IF(U231&lt;&gt;"",U231-V231,"")</f>
        <v/>
      </c>
      <c r="X231" s="14">
        <f>IF(A231&lt;&gt;"",AVERAGE(F231,I231,L231,O231,R231,U231),"")</f>
        <v/>
      </c>
      <c r="Y231" s="14">
        <f>IF(A231&lt;&gt;"",AVERAGE(G231,J231,M231,P231,S231,V231),"")</f>
        <v/>
      </c>
      <c r="Z231" s="14">
        <f>IF(A231&lt;&gt;"",X231-Y231,"")</f>
        <v/>
      </c>
      <c r="AA231" s="15">
        <f>IF(A231&lt;&gt;"",ROUND(MIN(100,100*((MAX(0,K231)*0.25)+(MAX(0,Q231)*0.20)+(MAX(0,W231)*0.20)+(MAX(0,H231)*0.15)+(MAX(0,N231)*0.10)+(MAX(0,T231)*0.10))/9),1),"")</f>
        <v/>
      </c>
      <c r="AB231" s="28">
        <f>IF(A231&lt;&gt;"",MIN(1,(0.5*AA231/100)+(0.3*MAX(0,K231)/9)+(0.2*MAX(0,Q231)/9)),"")</f>
        <v/>
      </c>
    </row>
    <row r="232">
      <c r="A232" s="13">
        <f>IF('Raw Data'!A219&lt;&gt;"",'Raw Data'!A219,"")</f>
        <v/>
      </c>
      <c r="B232" s="13">
        <f>IF('Raw Data'!B219&lt;&gt;"",'Raw Data'!B219,"")</f>
        <v/>
      </c>
      <c r="C232" s="13">
        <f>IF('Raw Data'!C219&lt;&gt;"",'Raw Data'!C219,"")</f>
        <v/>
      </c>
      <c r="D232" s="13">
        <f>IF('Raw Data'!D219&lt;&gt;"",'Raw Data'!D219,"")</f>
        <v/>
      </c>
      <c r="E232" s="13">
        <f>IF('Raw Data'!E219&lt;&gt;"",'Raw Data'!E219,"")</f>
        <v/>
      </c>
      <c r="F232" s="17">
        <f>IF('Raw Data'!A219&lt;&gt;"",AVERAGE('Raw Data'!F219,'Raw Data'!H219,'Raw Data'!J219,'Raw Data'!L219,'Raw Data'!N219),"")</f>
        <v/>
      </c>
      <c r="G232" s="17">
        <f>IF('Raw Data'!A219&lt;&gt;"",AVERAGE('Raw Data'!G219,'Raw Data'!I219,'Raw Data'!K219,'Raw Data'!M219,'Raw Data'!O219),"")</f>
        <v/>
      </c>
      <c r="H232" s="17">
        <f>IF(F232&lt;&gt;"",F232-G232,"")</f>
        <v/>
      </c>
      <c r="I232" s="17">
        <f>IF('Raw Data'!A219&lt;&gt;"",AVERAGE('Raw Data'!P219,'Raw Data'!R219,'Raw Data'!T219,'Raw Data'!V219,'Raw Data'!X219),"")</f>
        <v/>
      </c>
      <c r="J232" s="17">
        <f>IF('Raw Data'!A219&lt;&gt;"",AVERAGE('Raw Data'!Q219,'Raw Data'!S219,'Raw Data'!U219,'Raw Data'!W219,'Raw Data'!Y219),"")</f>
        <v/>
      </c>
      <c r="K232" s="17">
        <f>IF(I232&lt;&gt;"",I232-J232,"")</f>
        <v/>
      </c>
      <c r="L232" s="17">
        <f>IF('Raw Data'!A219&lt;&gt;"",AVERAGE('Raw Data'!Z219,'Raw Data'!AB219,'Raw Data'!AD219,'Raw Data'!AF219,'Raw Data'!AH219),"")</f>
        <v/>
      </c>
      <c r="M232" s="17">
        <f>IF('Raw Data'!A219&lt;&gt;"",AVERAGE('Raw Data'!AA219,'Raw Data'!AC219,'Raw Data'!AE219,'Raw Data'!AG219,'Raw Data'!AI219),"")</f>
        <v/>
      </c>
      <c r="N232" s="17">
        <f>IF(L232&lt;&gt;"",L232-M232,"")</f>
        <v/>
      </c>
      <c r="O232" s="17">
        <f>IF('Raw Data'!A219&lt;&gt;"",AVERAGE('Raw Data'!AJ219,'Raw Data'!AL219,'Raw Data'!AN219,'Raw Data'!AP219,'Raw Data'!AR219),"")</f>
        <v/>
      </c>
      <c r="P232" s="17">
        <f>IF('Raw Data'!A219&lt;&gt;"",AVERAGE('Raw Data'!AK219,'Raw Data'!AM219,'Raw Data'!AO219,'Raw Data'!AQ219,'Raw Data'!AS219),"")</f>
        <v/>
      </c>
      <c r="Q232" s="17">
        <f>IF(O232&lt;&gt;"",O232-P232,"")</f>
        <v/>
      </c>
      <c r="R232" s="17">
        <f>IF('Raw Data'!A219&lt;&gt;"",AVERAGE('Raw Data'!AT219,'Raw Data'!AV219,'Raw Data'!AX219,'Raw Data'!AZ219,'Raw Data'!BB219),"")</f>
        <v/>
      </c>
      <c r="S232" s="17">
        <f>IF('Raw Data'!A219&lt;&gt;"",AVERAGE('Raw Data'!AU219,'Raw Data'!AW219,'Raw Data'!AY219,'Raw Data'!BA219,'Raw Data'!BC219),"")</f>
        <v/>
      </c>
      <c r="T232" s="17">
        <f>IF(R232&lt;&gt;"",R232-S232,"")</f>
        <v/>
      </c>
      <c r="U232" s="17">
        <f>IF('Raw Data'!A219&lt;&gt;"",AVERAGE('Raw Data'!BD219,'Raw Data'!BF219,'Raw Data'!BH219,'Raw Data'!BJ219,'Raw Data'!BL219),"")</f>
        <v/>
      </c>
      <c r="V232" s="17">
        <f>IF('Raw Data'!A219&lt;&gt;"",AVERAGE('Raw Data'!BE219,'Raw Data'!BG219,'Raw Data'!BI219,'Raw Data'!BK219,'Raw Data'!BM219),"")</f>
        <v/>
      </c>
      <c r="W232" s="17">
        <f>IF(U232&lt;&gt;"",U232-V232,"")</f>
        <v/>
      </c>
      <c r="X232" s="17">
        <f>IF(A232&lt;&gt;"",AVERAGE(F232,I232,L232,O232,R232,U232),"")</f>
        <v/>
      </c>
      <c r="Y232" s="17">
        <f>IF(A232&lt;&gt;"",AVERAGE(G232,J232,M232,P232,S232,V232),"")</f>
        <v/>
      </c>
      <c r="Z232" s="17">
        <f>IF(A232&lt;&gt;"",X232-Y232,"")</f>
        <v/>
      </c>
      <c r="AA232" s="18">
        <f>IF(A232&lt;&gt;"",ROUND(MIN(100,100*((MAX(0,K232)*0.25)+(MAX(0,Q232)*0.20)+(MAX(0,W232)*0.20)+(MAX(0,H232)*0.15)+(MAX(0,N232)*0.10)+(MAX(0,T232)*0.10))/9),1),"")</f>
        <v/>
      </c>
      <c r="AB232" s="29">
        <f>IF(A232&lt;&gt;"",MIN(1,(0.5*AA232/100)+(0.3*MAX(0,K232)/9)+(0.2*MAX(0,Q232)/9)),"")</f>
        <v/>
      </c>
    </row>
    <row r="233">
      <c r="A233" s="4">
        <f>IF('Raw Data'!A220&lt;&gt;"",'Raw Data'!A220,"")</f>
        <v/>
      </c>
      <c r="B233" s="4">
        <f>IF('Raw Data'!B220&lt;&gt;"",'Raw Data'!B220,"")</f>
        <v/>
      </c>
      <c r="C233" s="4">
        <f>IF('Raw Data'!C220&lt;&gt;"",'Raw Data'!C220,"")</f>
        <v/>
      </c>
      <c r="D233" s="4">
        <f>IF('Raw Data'!D220&lt;&gt;"",'Raw Data'!D220,"")</f>
        <v/>
      </c>
      <c r="E233" s="4">
        <f>IF('Raw Data'!E220&lt;&gt;"",'Raw Data'!E220,"")</f>
        <v/>
      </c>
      <c r="F233" s="14">
        <f>IF('Raw Data'!A220&lt;&gt;"",AVERAGE('Raw Data'!F220,'Raw Data'!H220,'Raw Data'!J220,'Raw Data'!L220,'Raw Data'!N220),"")</f>
        <v/>
      </c>
      <c r="G233" s="14">
        <f>IF('Raw Data'!A220&lt;&gt;"",AVERAGE('Raw Data'!G220,'Raw Data'!I220,'Raw Data'!K220,'Raw Data'!M220,'Raw Data'!O220),"")</f>
        <v/>
      </c>
      <c r="H233" s="14">
        <f>IF(F233&lt;&gt;"",F233-G233,"")</f>
        <v/>
      </c>
      <c r="I233" s="14">
        <f>IF('Raw Data'!A220&lt;&gt;"",AVERAGE('Raw Data'!P220,'Raw Data'!R220,'Raw Data'!T220,'Raw Data'!V220,'Raw Data'!X220),"")</f>
        <v/>
      </c>
      <c r="J233" s="14">
        <f>IF('Raw Data'!A220&lt;&gt;"",AVERAGE('Raw Data'!Q220,'Raw Data'!S220,'Raw Data'!U220,'Raw Data'!W220,'Raw Data'!Y220),"")</f>
        <v/>
      </c>
      <c r="K233" s="14">
        <f>IF(I233&lt;&gt;"",I233-J233,"")</f>
        <v/>
      </c>
      <c r="L233" s="14">
        <f>IF('Raw Data'!A220&lt;&gt;"",AVERAGE('Raw Data'!Z220,'Raw Data'!AB220,'Raw Data'!AD220,'Raw Data'!AF220,'Raw Data'!AH220),"")</f>
        <v/>
      </c>
      <c r="M233" s="14">
        <f>IF('Raw Data'!A220&lt;&gt;"",AVERAGE('Raw Data'!AA220,'Raw Data'!AC220,'Raw Data'!AE220,'Raw Data'!AG220,'Raw Data'!AI220),"")</f>
        <v/>
      </c>
      <c r="N233" s="14">
        <f>IF(L233&lt;&gt;"",L233-M233,"")</f>
        <v/>
      </c>
      <c r="O233" s="14">
        <f>IF('Raw Data'!A220&lt;&gt;"",AVERAGE('Raw Data'!AJ220,'Raw Data'!AL220,'Raw Data'!AN220,'Raw Data'!AP220,'Raw Data'!AR220),"")</f>
        <v/>
      </c>
      <c r="P233" s="14">
        <f>IF('Raw Data'!A220&lt;&gt;"",AVERAGE('Raw Data'!AK220,'Raw Data'!AM220,'Raw Data'!AO220,'Raw Data'!AQ220,'Raw Data'!AS220),"")</f>
        <v/>
      </c>
      <c r="Q233" s="14">
        <f>IF(O233&lt;&gt;"",O233-P233,"")</f>
        <v/>
      </c>
      <c r="R233" s="14">
        <f>IF('Raw Data'!A220&lt;&gt;"",AVERAGE('Raw Data'!AT220,'Raw Data'!AV220,'Raw Data'!AX220,'Raw Data'!AZ220,'Raw Data'!BB220),"")</f>
        <v/>
      </c>
      <c r="S233" s="14">
        <f>IF('Raw Data'!A220&lt;&gt;"",AVERAGE('Raw Data'!AU220,'Raw Data'!AW220,'Raw Data'!AY220,'Raw Data'!BA220,'Raw Data'!BC220),"")</f>
        <v/>
      </c>
      <c r="T233" s="14">
        <f>IF(R233&lt;&gt;"",R233-S233,"")</f>
        <v/>
      </c>
      <c r="U233" s="14">
        <f>IF('Raw Data'!A220&lt;&gt;"",AVERAGE('Raw Data'!BD220,'Raw Data'!BF220,'Raw Data'!BH220,'Raw Data'!BJ220,'Raw Data'!BL220),"")</f>
        <v/>
      </c>
      <c r="V233" s="14">
        <f>IF('Raw Data'!A220&lt;&gt;"",AVERAGE('Raw Data'!BE220,'Raw Data'!BG220,'Raw Data'!BI220,'Raw Data'!BK220,'Raw Data'!BM220),"")</f>
        <v/>
      </c>
      <c r="W233" s="14">
        <f>IF(U233&lt;&gt;"",U233-V233,"")</f>
        <v/>
      </c>
      <c r="X233" s="14">
        <f>IF(A233&lt;&gt;"",AVERAGE(F233,I233,L233,O233,R233,U233),"")</f>
        <v/>
      </c>
      <c r="Y233" s="14">
        <f>IF(A233&lt;&gt;"",AVERAGE(G233,J233,M233,P233,S233,V233),"")</f>
        <v/>
      </c>
      <c r="Z233" s="14">
        <f>IF(A233&lt;&gt;"",X233-Y233,"")</f>
        <v/>
      </c>
      <c r="AA233" s="15">
        <f>IF(A233&lt;&gt;"",ROUND(MIN(100,100*((MAX(0,K233)*0.25)+(MAX(0,Q233)*0.20)+(MAX(0,W233)*0.20)+(MAX(0,H233)*0.15)+(MAX(0,N233)*0.10)+(MAX(0,T233)*0.10))/9),1),"")</f>
        <v/>
      </c>
      <c r="AB233" s="28">
        <f>IF(A233&lt;&gt;"",MIN(1,(0.5*AA233/100)+(0.3*MAX(0,K233)/9)+(0.2*MAX(0,Q233)/9)),"")</f>
        <v/>
      </c>
    </row>
    <row r="234">
      <c r="A234" s="13">
        <f>IF('Raw Data'!A221&lt;&gt;"",'Raw Data'!A221,"")</f>
        <v/>
      </c>
      <c r="B234" s="13">
        <f>IF('Raw Data'!B221&lt;&gt;"",'Raw Data'!B221,"")</f>
        <v/>
      </c>
      <c r="C234" s="13">
        <f>IF('Raw Data'!C221&lt;&gt;"",'Raw Data'!C221,"")</f>
        <v/>
      </c>
      <c r="D234" s="13">
        <f>IF('Raw Data'!D221&lt;&gt;"",'Raw Data'!D221,"")</f>
        <v/>
      </c>
      <c r="E234" s="13">
        <f>IF('Raw Data'!E221&lt;&gt;"",'Raw Data'!E221,"")</f>
        <v/>
      </c>
      <c r="F234" s="17">
        <f>IF('Raw Data'!A221&lt;&gt;"",AVERAGE('Raw Data'!F221,'Raw Data'!H221,'Raw Data'!J221,'Raw Data'!L221,'Raw Data'!N221),"")</f>
        <v/>
      </c>
      <c r="G234" s="17">
        <f>IF('Raw Data'!A221&lt;&gt;"",AVERAGE('Raw Data'!G221,'Raw Data'!I221,'Raw Data'!K221,'Raw Data'!M221,'Raw Data'!O221),"")</f>
        <v/>
      </c>
      <c r="H234" s="17">
        <f>IF(F234&lt;&gt;"",F234-G234,"")</f>
        <v/>
      </c>
      <c r="I234" s="17">
        <f>IF('Raw Data'!A221&lt;&gt;"",AVERAGE('Raw Data'!P221,'Raw Data'!R221,'Raw Data'!T221,'Raw Data'!V221,'Raw Data'!X221),"")</f>
        <v/>
      </c>
      <c r="J234" s="17">
        <f>IF('Raw Data'!A221&lt;&gt;"",AVERAGE('Raw Data'!Q221,'Raw Data'!S221,'Raw Data'!U221,'Raw Data'!W221,'Raw Data'!Y221),"")</f>
        <v/>
      </c>
      <c r="K234" s="17">
        <f>IF(I234&lt;&gt;"",I234-J234,"")</f>
        <v/>
      </c>
      <c r="L234" s="17">
        <f>IF('Raw Data'!A221&lt;&gt;"",AVERAGE('Raw Data'!Z221,'Raw Data'!AB221,'Raw Data'!AD221,'Raw Data'!AF221,'Raw Data'!AH221),"")</f>
        <v/>
      </c>
      <c r="M234" s="17">
        <f>IF('Raw Data'!A221&lt;&gt;"",AVERAGE('Raw Data'!AA221,'Raw Data'!AC221,'Raw Data'!AE221,'Raw Data'!AG221,'Raw Data'!AI221),"")</f>
        <v/>
      </c>
      <c r="N234" s="17">
        <f>IF(L234&lt;&gt;"",L234-M234,"")</f>
        <v/>
      </c>
      <c r="O234" s="17">
        <f>IF('Raw Data'!A221&lt;&gt;"",AVERAGE('Raw Data'!AJ221,'Raw Data'!AL221,'Raw Data'!AN221,'Raw Data'!AP221,'Raw Data'!AR221),"")</f>
        <v/>
      </c>
      <c r="P234" s="17">
        <f>IF('Raw Data'!A221&lt;&gt;"",AVERAGE('Raw Data'!AK221,'Raw Data'!AM221,'Raw Data'!AO221,'Raw Data'!AQ221,'Raw Data'!AS221),"")</f>
        <v/>
      </c>
      <c r="Q234" s="17">
        <f>IF(O234&lt;&gt;"",O234-P234,"")</f>
        <v/>
      </c>
      <c r="R234" s="17">
        <f>IF('Raw Data'!A221&lt;&gt;"",AVERAGE('Raw Data'!AT221,'Raw Data'!AV221,'Raw Data'!AX221,'Raw Data'!AZ221,'Raw Data'!BB221),"")</f>
        <v/>
      </c>
      <c r="S234" s="17">
        <f>IF('Raw Data'!A221&lt;&gt;"",AVERAGE('Raw Data'!AU221,'Raw Data'!AW221,'Raw Data'!AY221,'Raw Data'!BA221,'Raw Data'!BC221),"")</f>
        <v/>
      </c>
      <c r="T234" s="17">
        <f>IF(R234&lt;&gt;"",R234-S234,"")</f>
        <v/>
      </c>
      <c r="U234" s="17">
        <f>IF('Raw Data'!A221&lt;&gt;"",AVERAGE('Raw Data'!BD221,'Raw Data'!BF221,'Raw Data'!BH221,'Raw Data'!BJ221,'Raw Data'!BL221),"")</f>
        <v/>
      </c>
      <c r="V234" s="17">
        <f>IF('Raw Data'!A221&lt;&gt;"",AVERAGE('Raw Data'!BE221,'Raw Data'!BG221,'Raw Data'!BI221,'Raw Data'!BK221,'Raw Data'!BM221),"")</f>
        <v/>
      </c>
      <c r="W234" s="17">
        <f>IF(U234&lt;&gt;"",U234-V234,"")</f>
        <v/>
      </c>
      <c r="X234" s="17">
        <f>IF(A234&lt;&gt;"",AVERAGE(F234,I234,L234,O234,R234,U234),"")</f>
        <v/>
      </c>
      <c r="Y234" s="17">
        <f>IF(A234&lt;&gt;"",AVERAGE(G234,J234,M234,P234,S234,V234),"")</f>
        <v/>
      </c>
      <c r="Z234" s="17">
        <f>IF(A234&lt;&gt;"",X234-Y234,"")</f>
        <v/>
      </c>
      <c r="AA234" s="18">
        <f>IF(A234&lt;&gt;"",ROUND(MIN(100,100*((MAX(0,K234)*0.25)+(MAX(0,Q234)*0.20)+(MAX(0,W234)*0.20)+(MAX(0,H234)*0.15)+(MAX(0,N234)*0.10)+(MAX(0,T234)*0.10))/9),1),"")</f>
        <v/>
      </c>
      <c r="AB234" s="29">
        <f>IF(A234&lt;&gt;"",MIN(1,(0.5*AA234/100)+(0.3*MAX(0,K234)/9)+(0.2*MAX(0,Q234)/9)),"")</f>
        <v/>
      </c>
    </row>
    <row r="235">
      <c r="A235" s="4">
        <f>IF('Raw Data'!A222&lt;&gt;"",'Raw Data'!A222,"")</f>
        <v/>
      </c>
      <c r="B235" s="4">
        <f>IF('Raw Data'!B222&lt;&gt;"",'Raw Data'!B222,"")</f>
        <v/>
      </c>
      <c r="C235" s="4">
        <f>IF('Raw Data'!C222&lt;&gt;"",'Raw Data'!C222,"")</f>
        <v/>
      </c>
      <c r="D235" s="4">
        <f>IF('Raw Data'!D222&lt;&gt;"",'Raw Data'!D222,"")</f>
        <v/>
      </c>
      <c r="E235" s="4">
        <f>IF('Raw Data'!E222&lt;&gt;"",'Raw Data'!E222,"")</f>
        <v/>
      </c>
      <c r="F235" s="14">
        <f>IF('Raw Data'!A222&lt;&gt;"",AVERAGE('Raw Data'!F222,'Raw Data'!H222,'Raw Data'!J222,'Raw Data'!L222,'Raw Data'!N222),"")</f>
        <v/>
      </c>
      <c r="G235" s="14">
        <f>IF('Raw Data'!A222&lt;&gt;"",AVERAGE('Raw Data'!G222,'Raw Data'!I222,'Raw Data'!K222,'Raw Data'!M222,'Raw Data'!O222),"")</f>
        <v/>
      </c>
      <c r="H235" s="14">
        <f>IF(F235&lt;&gt;"",F235-G235,"")</f>
        <v/>
      </c>
      <c r="I235" s="14">
        <f>IF('Raw Data'!A222&lt;&gt;"",AVERAGE('Raw Data'!P222,'Raw Data'!R222,'Raw Data'!T222,'Raw Data'!V222,'Raw Data'!X222),"")</f>
        <v/>
      </c>
      <c r="J235" s="14">
        <f>IF('Raw Data'!A222&lt;&gt;"",AVERAGE('Raw Data'!Q222,'Raw Data'!S222,'Raw Data'!U222,'Raw Data'!W222,'Raw Data'!Y222),"")</f>
        <v/>
      </c>
      <c r="K235" s="14">
        <f>IF(I235&lt;&gt;"",I235-J235,"")</f>
        <v/>
      </c>
      <c r="L235" s="14">
        <f>IF('Raw Data'!A222&lt;&gt;"",AVERAGE('Raw Data'!Z222,'Raw Data'!AB222,'Raw Data'!AD222,'Raw Data'!AF222,'Raw Data'!AH222),"")</f>
        <v/>
      </c>
      <c r="M235" s="14">
        <f>IF('Raw Data'!A222&lt;&gt;"",AVERAGE('Raw Data'!AA222,'Raw Data'!AC222,'Raw Data'!AE222,'Raw Data'!AG222,'Raw Data'!AI222),"")</f>
        <v/>
      </c>
      <c r="N235" s="14">
        <f>IF(L235&lt;&gt;"",L235-M235,"")</f>
        <v/>
      </c>
      <c r="O235" s="14">
        <f>IF('Raw Data'!A222&lt;&gt;"",AVERAGE('Raw Data'!AJ222,'Raw Data'!AL222,'Raw Data'!AN222,'Raw Data'!AP222,'Raw Data'!AR222),"")</f>
        <v/>
      </c>
      <c r="P235" s="14">
        <f>IF('Raw Data'!A222&lt;&gt;"",AVERAGE('Raw Data'!AK222,'Raw Data'!AM222,'Raw Data'!AO222,'Raw Data'!AQ222,'Raw Data'!AS222),"")</f>
        <v/>
      </c>
      <c r="Q235" s="14">
        <f>IF(O235&lt;&gt;"",O235-P235,"")</f>
        <v/>
      </c>
      <c r="R235" s="14">
        <f>IF('Raw Data'!A222&lt;&gt;"",AVERAGE('Raw Data'!AT222,'Raw Data'!AV222,'Raw Data'!AX222,'Raw Data'!AZ222,'Raw Data'!BB222),"")</f>
        <v/>
      </c>
      <c r="S235" s="14">
        <f>IF('Raw Data'!A222&lt;&gt;"",AVERAGE('Raw Data'!AU222,'Raw Data'!AW222,'Raw Data'!AY222,'Raw Data'!BA222,'Raw Data'!BC222),"")</f>
        <v/>
      </c>
      <c r="T235" s="14">
        <f>IF(R235&lt;&gt;"",R235-S235,"")</f>
        <v/>
      </c>
      <c r="U235" s="14">
        <f>IF('Raw Data'!A222&lt;&gt;"",AVERAGE('Raw Data'!BD222,'Raw Data'!BF222,'Raw Data'!BH222,'Raw Data'!BJ222,'Raw Data'!BL222),"")</f>
        <v/>
      </c>
      <c r="V235" s="14">
        <f>IF('Raw Data'!A222&lt;&gt;"",AVERAGE('Raw Data'!BE222,'Raw Data'!BG222,'Raw Data'!BI222,'Raw Data'!BK222,'Raw Data'!BM222),"")</f>
        <v/>
      </c>
      <c r="W235" s="14">
        <f>IF(U235&lt;&gt;"",U235-V235,"")</f>
        <v/>
      </c>
      <c r="X235" s="14">
        <f>IF(A235&lt;&gt;"",AVERAGE(F235,I235,L235,O235,R235,U235),"")</f>
        <v/>
      </c>
      <c r="Y235" s="14">
        <f>IF(A235&lt;&gt;"",AVERAGE(G235,J235,M235,P235,S235,V235),"")</f>
        <v/>
      </c>
      <c r="Z235" s="14">
        <f>IF(A235&lt;&gt;"",X235-Y235,"")</f>
        <v/>
      </c>
      <c r="AA235" s="15">
        <f>IF(A235&lt;&gt;"",ROUND(MIN(100,100*((MAX(0,K235)*0.25)+(MAX(0,Q235)*0.20)+(MAX(0,W235)*0.20)+(MAX(0,H235)*0.15)+(MAX(0,N235)*0.10)+(MAX(0,T235)*0.10))/9),1),"")</f>
        <v/>
      </c>
      <c r="AB235" s="28">
        <f>IF(A235&lt;&gt;"",MIN(1,(0.5*AA235/100)+(0.3*MAX(0,K235)/9)+(0.2*MAX(0,Q235)/9)),"")</f>
        <v/>
      </c>
    </row>
    <row r="236">
      <c r="A236" s="13">
        <f>IF('Raw Data'!A223&lt;&gt;"",'Raw Data'!A223,"")</f>
        <v/>
      </c>
      <c r="B236" s="13">
        <f>IF('Raw Data'!B223&lt;&gt;"",'Raw Data'!B223,"")</f>
        <v/>
      </c>
      <c r="C236" s="13">
        <f>IF('Raw Data'!C223&lt;&gt;"",'Raw Data'!C223,"")</f>
        <v/>
      </c>
      <c r="D236" s="13">
        <f>IF('Raw Data'!D223&lt;&gt;"",'Raw Data'!D223,"")</f>
        <v/>
      </c>
      <c r="E236" s="13">
        <f>IF('Raw Data'!E223&lt;&gt;"",'Raw Data'!E223,"")</f>
        <v/>
      </c>
      <c r="F236" s="17">
        <f>IF('Raw Data'!A223&lt;&gt;"",AVERAGE('Raw Data'!F223,'Raw Data'!H223,'Raw Data'!J223,'Raw Data'!L223,'Raw Data'!N223),"")</f>
        <v/>
      </c>
      <c r="G236" s="17">
        <f>IF('Raw Data'!A223&lt;&gt;"",AVERAGE('Raw Data'!G223,'Raw Data'!I223,'Raw Data'!K223,'Raw Data'!M223,'Raw Data'!O223),"")</f>
        <v/>
      </c>
      <c r="H236" s="17">
        <f>IF(F236&lt;&gt;"",F236-G236,"")</f>
        <v/>
      </c>
      <c r="I236" s="17">
        <f>IF('Raw Data'!A223&lt;&gt;"",AVERAGE('Raw Data'!P223,'Raw Data'!R223,'Raw Data'!T223,'Raw Data'!V223,'Raw Data'!X223),"")</f>
        <v/>
      </c>
      <c r="J236" s="17">
        <f>IF('Raw Data'!A223&lt;&gt;"",AVERAGE('Raw Data'!Q223,'Raw Data'!S223,'Raw Data'!U223,'Raw Data'!W223,'Raw Data'!Y223),"")</f>
        <v/>
      </c>
      <c r="K236" s="17">
        <f>IF(I236&lt;&gt;"",I236-J236,"")</f>
        <v/>
      </c>
      <c r="L236" s="17">
        <f>IF('Raw Data'!A223&lt;&gt;"",AVERAGE('Raw Data'!Z223,'Raw Data'!AB223,'Raw Data'!AD223,'Raw Data'!AF223,'Raw Data'!AH223),"")</f>
        <v/>
      </c>
      <c r="M236" s="17">
        <f>IF('Raw Data'!A223&lt;&gt;"",AVERAGE('Raw Data'!AA223,'Raw Data'!AC223,'Raw Data'!AE223,'Raw Data'!AG223,'Raw Data'!AI223),"")</f>
        <v/>
      </c>
      <c r="N236" s="17">
        <f>IF(L236&lt;&gt;"",L236-M236,"")</f>
        <v/>
      </c>
      <c r="O236" s="17">
        <f>IF('Raw Data'!A223&lt;&gt;"",AVERAGE('Raw Data'!AJ223,'Raw Data'!AL223,'Raw Data'!AN223,'Raw Data'!AP223,'Raw Data'!AR223),"")</f>
        <v/>
      </c>
      <c r="P236" s="17">
        <f>IF('Raw Data'!A223&lt;&gt;"",AVERAGE('Raw Data'!AK223,'Raw Data'!AM223,'Raw Data'!AO223,'Raw Data'!AQ223,'Raw Data'!AS223),"")</f>
        <v/>
      </c>
      <c r="Q236" s="17">
        <f>IF(O236&lt;&gt;"",O236-P236,"")</f>
        <v/>
      </c>
      <c r="R236" s="17">
        <f>IF('Raw Data'!A223&lt;&gt;"",AVERAGE('Raw Data'!AT223,'Raw Data'!AV223,'Raw Data'!AX223,'Raw Data'!AZ223,'Raw Data'!BB223),"")</f>
        <v/>
      </c>
      <c r="S236" s="17">
        <f>IF('Raw Data'!A223&lt;&gt;"",AVERAGE('Raw Data'!AU223,'Raw Data'!AW223,'Raw Data'!AY223,'Raw Data'!BA223,'Raw Data'!BC223),"")</f>
        <v/>
      </c>
      <c r="T236" s="17">
        <f>IF(R236&lt;&gt;"",R236-S236,"")</f>
        <v/>
      </c>
      <c r="U236" s="17">
        <f>IF('Raw Data'!A223&lt;&gt;"",AVERAGE('Raw Data'!BD223,'Raw Data'!BF223,'Raw Data'!BH223,'Raw Data'!BJ223,'Raw Data'!BL223),"")</f>
        <v/>
      </c>
      <c r="V236" s="17">
        <f>IF('Raw Data'!A223&lt;&gt;"",AVERAGE('Raw Data'!BE223,'Raw Data'!BG223,'Raw Data'!BI223,'Raw Data'!BK223,'Raw Data'!BM223),"")</f>
        <v/>
      </c>
      <c r="W236" s="17">
        <f>IF(U236&lt;&gt;"",U236-V236,"")</f>
        <v/>
      </c>
      <c r="X236" s="17">
        <f>IF(A236&lt;&gt;"",AVERAGE(F236,I236,L236,O236,R236,U236),"")</f>
        <v/>
      </c>
      <c r="Y236" s="17">
        <f>IF(A236&lt;&gt;"",AVERAGE(G236,J236,M236,P236,S236,V236),"")</f>
        <v/>
      </c>
      <c r="Z236" s="17">
        <f>IF(A236&lt;&gt;"",X236-Y236,"")</f>
        <v/>
      </c>
      <c r="AA236" s="18">
        <f>IF(A236&lt;&gt;"",ROUND(MIN(100,100*((MAX(0,K236)*0.25)+(MAX(0,Q236)*0.20)+(MAX(0,W236)*0.20)+(MAX(0,H236)*0.15)+(MAX(0,N236)*0.10)+(MAX(0,T236)*0.10))/9),1),"")</f>
        <v/>
      </c>
      <c r="AB236" s="29">
        <f>IF(A236&lt;&gt;"",MIN(1,(0.5*AA236/100)+(0.3*MAX(0,K236)/9)+(0.2*MAX(0,Q236)/9)),"")</f>
        <v/>
      </c>
    </row>
    <row r="237">
      <c r="A237" s="4">
        <f>IF('Raw Data'!A224&lt;&gt;"",'Raw Data'!A224,"")</f>
        <v/>
      </c>
      <c r="B237" s="4">
        <f>IF('Raw Data'!B224&lt;&gt;"",'Raw Data'!B224,"")</f>
        <v/>
      </c>
      <c r="C237" s="4">
        <f>IF('Raw Data'!C224&lt;&gt;"",'Raw Data'!C224,"")</f>
        <v/>
      </c>
      <c r="D237" s="4">
        <f>IF('Raw Data'!D224&lt;&gt;"",'Raw Data'!D224,"")</f>
        <v/>
      </c>
      <c r="E237" s="4">
        <f>IF('Raw Data'!E224&lt;&gt;"",'Raw Data'!E224,"")</f>
        <v/>
      </c>
      <c r="F237" s="14">
        <f>IF('Raw Data'!A224&lt;&gt;"",AVERAGE('Raw Data'!F224,'Raw Data'!H224,'Raw Data'!J224,'Raw Data'!L224,'Raw Data'!N224),"")</f>
        <v/>
      </c>
      <c r="G237" s="14">
        <f>IF('Raw Data'!A224&lt;&gt;"",AVERAGE('Raw Data'!G224,'Raw Data'!I224,'Raw Data'!K224,'Raw Data'!M224,'Raw Data'!O224),"")</f>
        <v/>
      </c>
      <c r="H237" s="14">
        <f>IF(F237&lt;&gt;"",F237-G237,"")</f>
        <v/>
      </c>
      <c r="I237" s="14">
        <f>IF('Raw Data'!A224&lt;&gt;"",AVERAGE('Raw Data'!P224,'Raw Data'!R224,'Raw Data'!T224,'Raw Data'!V224,'Raw Data'!X224),"")</f>
        <v/>
      </c>
      <c r="J237" s="14">
        <f>IF('Raw Data'!A224&lt;&gt;"",AVERAGE('Raw Data'!Q224,'Raw Data'!S224,'Raw Data'!U224,'Raw Data'!W224,'Raw Data'!Y224),"")</f>
        <v/>
      </c>
      <c r="K237" s="14">
        <f>IF(I237&lt;&gt;"",I237-J237,"")</f>
        <v/>
      </c>
      <c r="L237" s="14">
        <f>IF('Raw Data'!A224&lt;&gt;"",AVERAGE('Raw Data'!Z224,'Raw Data'!AB224,'Raw Data'!AD224,'Raw Data'!AF224,'Raw Data'!AH224),"")</f>
        <v/>
      </c>
      <c r="M237" s="14">
        <f>IF('Raw Data'!A224&lt;&gt;"",AVERAGE('Raw Data'!AA224,'Raw Data'!AC224,'Raw Data'!AE224,'Raw Data'!AG224,'Raw Data'!AI224),"")</f>
        <v/>
      </c>
      <c r="N237" s="14">
        <f>IF(L237&lt;&gt;"",L237-M237,"")</f>
        <v/>
      </c>
      <c r="O237" s="14">
        <f>IF('Raw Data'!A224&lt;&gt;"",AVERAGE('Raw Data'!AJ224,'Raw Data'!AL224,'Raw Data'!AN224,'Raw Data'!AP224,'Raw Data'!AR224),"")</f>
        <v/>
      </c>
      <c r="P237" s="14">
        <f>IF('Raw Data'!A224&lt;&gt;"",AVERAGE('Raw Data'!AK224,'Raw Data'!AM224,'Raw Data'!AO224,'Raw Data'!AQ224,'Raw Data'!AS224),"")</f>
        <v/>
      </c>
      <c r="Q237" s="14">
        <f>IF(O237&lt;&gt;"",O237-P237,"")</f>
        <v/>
      </c>
      <c r="R237" s="14">
        <f>IF('Raw Data'!A224&lt;&gt;"",AVERAGE('Raw Data'!AT224,'Raw Data'!AV224,'Raw Data'!AX224,'Raw Data'!AZ224,'Raw Data'!BB224),"")</f>
        <v/>
      </c>
      <c r="S237" s="14">
        <f>IF('Raw Data'!A224&lt;&gt;"",AVERAGE('Raw Data'!AU224,'Raw Data'!AW224,'Raw Data'!AY224,'Raw Data'!BA224,'Raw Data'!BC224),"")</f>
        <v/>
      </c>
      <c r="T237" s="14">
        <f>IF(R237&lt;&gt;"",R237-S237,"")</f>
        <v/>
      </c>
      <c r="U237" s="14">
        <f>IF('Raw Data'!A224&lt;&gt;"",AVERAGE('Raw Data'!BD224,'Raw Data'!BF224,'Raw Data'!BH224,'Raw Data'!BJ224,'Raw Data'!BL224),"")</f>
        <v/>
      </c>
      <c r="V237" s="14">
        <f>IF('Raw Data'!A224&lt;&gt;"",AVERAGE('Raw Data'!BE224,'Raw Data'!BG224,'Raw Data'!BI224,'Raw Data'!BK224,'Raw Data'!BM224),"")</f>
        <v/>
      </c>
      <c r="W237" s="14">
        <f>IF(U237&lt;&gt;"",U237-V237,"")</f>
        <v/>
      </c>
      <c r="X237" s="14">
        <f>IF(A237&lt;&gt;"",AVERAGE(F237,I237,L237,O237,R237,U237),"")</f>
        <v/>
      </c>
      <c r="Y237" s="14">
        <f>IF(A237&lt;&gt;"",AVERAGE(G237,J237,M237,P237,S237,V237),"")</f>
        <v/>
      </c>
      <c r="Z237" s="14">
        <f>IF(A237&lt;&gt;"",X237-Y237,"")</f>
        <v/>
      </c>
      <c r="AA237" s="15">
        <f>IF(A237&lt;&gt;"",ROUND(MIN(100,100*((MAX(0,K237)*0.25)+(MAX(0,Q237)*0.20)+(MAX(0,W237)*0.20)+(MAX(0,H237)*0.15)+(MAX(0,N237)*0.10)+(MAX(0,T237)*0.10))/9),1),"")</f>
        <v/>
      </c>
      <c r="AB237" s="28">
        <f>IF(A237&lt;&gt;"",MIN(1,(0.5*AA237/100)+(0.3*MAX(0,K237)/9)+(0.2*MAX(0,Q237)/9)),"")</f>
        <v/>
      </c>
    </row>
    <row r="238">
      <c r="A238" s="13">
        <f>IF('Raw Data'!A225&lt;&gt;"",'Raw Data'!A225,"")</f>
        <v/>
      </c>
      <c r="B238" s="13">
        <f>IF('Raw Data'!B225&lt;&gt;"",'Raw Data'!B225,"")</f>
        <v/>
      </c>
      <c r="C238" s="13">
        <f>IF('Raw Data'!C225&lt;&gt;"",'Raw Data'!C225,"")</f>
        <v/>
      </c>
      <c r="D238" s="13">
        <f>IF('Raw Data'!D225&lt;&gt;"",'Raw Data'!D225,"")</f>
        <v/>
      </c>
      <c r="E238" s="13">
        <f>IF('Raw Data'!E225&lt;&gt;"",'Raw Data'!E225,"")</f>
        <v/>
      </c>
      <c r="F238" s="17">
        <f>IF('Raw Data'!A225&lt;&gt;"",AVERAGE('Raw Data'!F225,'Raw Data'!H225,'Raw Data'!J225,'Raw Data'!L225,'Raw Data'!N225),"")</f>
        <v/>
      </c>
      <c r="G238" s="17">
        <f>IF('Raw Data'!A225&lt;&gt;"",AVERAGE('Raw Data'!G225,'Raw Data'!I225,'Raw Data'!K225,'Raw Data'!M225,'Raw Data'!O225),"")</f>
        <v/>
      </c>
      <c r="H238" s="17">
        <f>IF(F238&lt;&gt;"",F238-G238,"")</f>
        <v/>
      </c>
      <c r="I238" s="17">
        <f>IF('Raw Data'!A225&lt;&gt;"",AVERAGE('Raw Data'!P225,'Raw Data'!R225,'Raw Data'!T225,'Raw Data'!V225,'Raw Data'!X225),"")</f>
        <v/>
      </c>
      <c r="J238" s="17">
        <f>IF('Raw Data'!A225&lt;&gt;"",AVERAGE('Raw Data'!Q225,'Raw Data'!S225,'Raw Data'!U225,'Raw Data'!W225,'Raw Data'!Y225),"")</f>
        <v/>
      </c>
      <c r="K238" s="17">
        <f>IF(I238&lt;&gt;"",I238-J238,"")</f>
        <v/>
      </c>
      <c r="L238" s="17">
        <f>IF('Raw Data'!A225&lt;&gt;"",AVERAGE('Raw Data'!Z225,'Raw Data'!AB225,'Raw Data'!AD225,'Raw Data'!AF225,'Raw Data'!AH225),"")</f>
        <v/>
      </c>
      <c r="M238" s="17">
        <f>IF('Raw Data'!A225&lt;&gt;"",AVERAGE('Raw Data'!AA225,'Raw Data'!AC225,'Raw Data'!AE225,'Raw Data'!AG225,'Raw Data'!AI225),"")</f>
        <v/>
      </c>
      <c r="N238" s="17">
        <f>IF(L238&lt;&gt;"",L238-M238,"")</f>
        <v/>
      </c>
      <c r="O238" s="17">
        <f>IF('Raw Data'!A225&lt;&gt;"",AVERAGE('Raw Data'!AJ225,'Raw Data'!AL225,'Raw Data'!AN225,'Raw Data'!AP225,'Raw Data'!AR225),"")</f>
        <v/>
      </c>
      <c r="P238" s="17">
        <f>IF('Raw Data'!A225&lt;&gt;"",AVERAGE('Raw Data'!AK225,'Raw Data'!AM225,'Raw Data'!AO225,'Raw Data'!AQ225,'Raw Data'!AS225),"")</f>
        <v/>
      </c>
      <c r="Q238" s="17">
        <f>IF(O238&lt;&gt;"",O238-P238,"")</f>
        <v/>
      </c>
      <c r="R238" s="17">
        <f>IF('Raw Data'!A225&lt;&gt;"",AVERAGE('Raw Data'!AT225,'Raw Data'!AV225,'Raw Data'!AX225,'Raw Data'!AZ225,'Raw Data'!BB225),"")</f>
        <v/>
      </c>
      <c r="S238" s="17">
        <f>IF('Raw Data'!A225&lt;&gt;"",AVERAGE('Raw Data'!AU225,'Raw Data'!AW225,'Raw Data'!AY225,'Raw Data'!BA225,'Raw Data'!BC225),"")</f>
        <v/>
      </c>
      <c r="T238" s="17">
        <f>IF(R238&lt;&gt;"",R238-S238,"")</f>
        <v/>
      </c>
      <c r="U238" s="17">
        <f>IF('Raw Data'!A225&lt;&gt;"",AVERAGE('Raw Data'!BD225,'Raw Data'!BF225,'Raw Data'!BH225,'Raw Data'!BJ225,'Raw Data'!BL225),"")</f>
        <v/>
      </c>
      <c r="V238" s="17">
        <f>IF('Raw Data'!A225&lt;&gt;"",AVERAGE('Raw Data'!BE225,'Raw Data'!BG225,'Raw Data'!BI225,'Raw Data'!BK225,'Raw Data'!BM225),"")</f>
        <v/>
      </c>
      <c r="W238" s="17">
        <f>IF(U238&lt;&gt;"",U238-V238,"")</f>
        <v/>
      </c>
      <c r="X238" s="17">
        <f>IF(A238&lt;&gt;"",AVERAGE(F238,I238,L238,O238,R238,U238),"")</f>
        <v/>
      </c>
      <c r="Y238" s="17">
        <f>IF(A238&lt;&gt;"",AVERAGE(G238,J238,M238,P238,S238,V238),"")</f>
        <v/>
      </c>
      <c r="Z238" s="17">
        <f>IF(A238&lt;&gt;"",X238-Y238,"")</f>
        <v/>
      </c>
      <c r="AA238" s="18">
        <f>IF(A238&lt;&gt;"",ROUND(MIN(100,100*((MAX(0,K238)*0.25)+(MAX(0,Q238)*0.20)+(MAX(0,W238)*0.20)+(MAX(0,H238)*0.15)+(MAX(0,N238)*0.10)+(MAX(0,T238)*0.10))/9),1),"")</f>
        <v/>
      </c>
      <c r="AB238" s="29">
        <f>IF(A238&lt;&gt;"",MIN(1,(0.5*AA238/100)+(0.3*MAX(0,K238)/9)+(0.2*MAX(0,Q238)/9)),"")</f>
        <v/>
      </c>
    </row>
    <row r="239">
      <c r="A239" s="4">
        <f>IF('Raw Data'!A226&lt;&gt;"",'Raw Data'!A226,"")</f>
        <v/>
      </c>
      <c r="B239" s="4">
        <f>IF('Raw Data'!B226&lt;&gt;"",'Raw Data'!B226,"")</f>
        <v/>
      </c>
      <c r="C239" s="4">
        <f>IF('Raw Data'!C226&lt;&gt;"",'Raw Data'!C226,"")</f>
        <v/>
      </c>
      <c r="D239" s="4">
        <f>IF('Raw Data'!D226&lt;&gt;"",'Raw Data'!D226,"")</f>
        <v/>
      </c>
      <c r="E239" s="4">
        <f>IF('Raw Data'!E226&lt;&gt;"",'Raw Data'!E226,"")</f>
        <v/>
      </c>
      <c r="F239" s="14">
        <f>IF('Raw Data'!A226&lt;&gt;"",AVERAGE('Raw Data'!F226,'Raw Data'!H226,'Raw Data'!J226,'Raw Data'!L226,'Raw Data'!N226),"")</f>
        <v/>
      </c>
      <c r="G239" s="14">
        <f>IF('Raw Data'!A226&lt;&gt;"",AVERAGE('Raw Data'!G226,'Raw Data'!I226,'Raw Data'!K226,'Raw Data'!M226,'Raw Data'!O226),"")</f>
        <v/>
      </c>
      <c r="H239" s="14">
        <f>IF(F239&lt;&gt;"",F239-G239,"")</f>
        <v/>
      </c>
      <c r="I239" s="14">
        <f>IF('Raw Data'!A226&lt;&gt;"",AVERAGE('Raw Data'!P226,'Raw Data'!R226,'Raw Data'!T226,'Raw Data'!V226,'Raw Data'!X226),"")</f>
        <v/>
      </c>
      <c r="J239" s="14">
        <f>IF('Raw Data'!A226&lt;&gt;"",AVERAGE('Raw Data'!Q226,'Raw Data'!S226,'Raw Data'!U226,'Raw Data'!W226,'Raw Data'!Y226),"")</f>
        <v/>
      </c>
      <c r="K239" s="14">
        <f>IF(I239&lt;&gt;"",I239-J239,"")</f>
        <v/>
      </c>
      <c r="L239" s="14">
        <f>IF('Raw Data'!A226&lt;&gt;"",AVERAGE('Raw Data'!Z226,'Raw Data'!AB226,'Raw Data'!AD226,'Raw Data'!AF226,'Raw Data'!AH226),"")</f>
        <v/>
      </c>
      <c r="M239" s="14">
        <f>IF('Raw Data'!A226&lt;&gt;"",AVERAGE('Raw Data'!AA226,'Raw Data'!AC226,'Raw Data'!AE226,'Raw Data'!AG226,'Raw Data'!AI226),"")</f>
        <v/>
      </c>
      <c r="N239" s="14">
        <f>IF(L239&lt;&gt;"",L239-M239,"")</f>
        <v/>
      </c>
      <c r="O239" s="14">
        <f>IF('Raw Data'!A226&lt;&gt;"",AVERAGE('Raw Data'!AJ226,'Raw Data'!AL226,'Raw Data'!AN226,'Raw Data'!AP226,'Raw Data'!AR226),"")</f>
        <v/>
      </c>
      <c r="P239" s="14">
        <f>IF('Raw Data'!A226&lt;&gt;"",AVERAGE('Raw Data'!AK226,'Raw Data'!AM226,'Raw Data'!AO226,'Raw Data'!AQ226,'Raw Data'!AS226),"")</f>
        <v/>
      </c>
      <c r="Q239" s="14">
        <f>IF(O239&lt;&gt;"",O239-P239,"")</f>
        <v/>
      </c>
      <c r="R239" s="14">
        <f>IF('Raw Data'!A226&lt;&gt;"",AVERAGE('Raw Data'!AT226,'Raw Data'!AV226,'Raw Data'!AX226,'Raw Data'!AZ226,'Raw Data'!BB226),"")</f>
        <v/>
      </c>
      <c r="S239" s="14">
        <f>IF('Raw Data'!A226&lt;&gt;"",AVERAGE('Raw Data'!AU226,'Raw Data'!AW226,'Raw Data'!AY226,'Raw Data'!BA226,'Raw Data'!BC226),"")</f>
        <v/>
      </c>
      <c r="T239" s="14">
        <f>IF(R239&lt;&gt;"",R239-S239,"")</f>
        <v/>
      </c>
      <c r="U239" s="14">
        <f>IF('Raw Data'!A226&lt;&gt;"",AVERAGE('Raw Data'!BD226,'Raw Data'!BF226,'Raw Data'!BH226,'Raw Data'!BJ226,'Raw Data'!BL226),"")</f>
        <v/>
      </c>
      <c r="V239" s="14">
        <f>IF('Raw Data'!A226&lt;&gt;"",AVERAGE('Raw Data'!BE226,'Raw Data'!BG226,'Raw Data'!BI226,'Raw Data'!BK226,'Raw Data'!BM226),"")</f>
        <v/>
      </c>
      <c r="W239" s="14">
        <f>IF(U239&lt;&gt;"",U239-V239,"")</f>
        <v/>
      </c>
      <c r="X239" s="14">
        <f>IF(A239&lt;&gt;"",AVERAGE(F239,I239,L239,O239,R239,U239),"")</f>
        <v/>
      </c>
      <c r="Y239" s="14">
        <f>IF(A239&lt;&gt;"",AVERAGE(G239,J239,M239,P239,S239,V239),"")</f>
        <v/>
      </c>
      <c r="Z239" s="14">
        <f>IF(A239&lt;&gt;"",X239-Y239,"")</f>
        <v/>
      </c>
      <c r="AA239" s="15">
        <f>IF(A239&lt;&gt;"",ROUND(MIN(100,100*((MAX(0,K239)*0.25)+(MAX(0,Q239)*0.20)+(MAX(0,W239)*0.20)+(MAX(0,H239)*0.15)+(MAX(0,N239)*0.10)+(MAX(0,T239)*0.10))/9),1),"")</f>
        <v/>
      </c>
      <c r="AB239" s="28">
        <f>IF(A239&lt;&gt;"",MIN(1,(0.5*AA239/100)+(0.3*MAX(0,K239)/9)+(0.2*MAX(0,Q239)/9)),"")</f>
        <v/>
      </c>
    </row>
    <row r="240">
      <c r="A240" s="13">
        <f>IF('Raw Data'!A227&lt;&gt;"",'Raw Data'!A227,"")</f>
        <v/>
      </c>
      <c r="B240" s="13">
        <f>IF('Raw Data'!B227&lt;&gt;"",'Raw Data'!B227,"")</f>
        <v/>
      </c>
      <c r="C240" s="13">
        <f>IF('Raw Data'!C227&lt;&gt;"",'Raw Data'!C227,"")</f>
        <v/>
      </c>
      <c r="D240" s="13">
        <f>IF('Raw Data'!D227&lt;&gt;"",'Raw Data'!D227,"")</f>
        <v/>
      </c>
      <c r="E240" s="13">
        <f>IF('Raw Data'!E227&lt;&gt;"",'Raw Data'!E227,"")</f>
        <v/>
      </c>
      <c r="F240" s="17">
        <f>IF('Raw Data'!A227&lt;&gt;"",AVERAGE('Raw Data'!F227,'Raw Data'!H227,'Raw Data'!J227,'Raw Data'!L227,'Raw Data'!N227),"")</f>
        <v/>
      </c>
      <c r="G240" s="17">
        <f>IF('Raw Data'!A227&lt;&gt;"",AVERAGE('Raw Data'!G227,'Raw Data'!I227,'Raw Data'!K227,'Raw Data'!M227,'Raw Data'!O227),"")</f>
        <v/>
      </c>
      <c r="H240" s="17">
        <f>IF(F240&lt;&gt;"",F240-G240,"")</f>
        <v/>
      </c>
      <c r="I240" s="17">
        <f>IF('Raw Data'!A227&lt;&gt;"",AVERAGE('Raw Data'!P227,'Raw Data'!R227,'Raw Data'!T227,'Raw Data'!V227,'Raw Data'!X227),"")</f>
        <v/>
      </c>
      <c r="J240" s="17">
        <f>IF('Raw Data'!A227&lt;&gt;"",AVERAGE('Raw Data'!Q227,'Raw Data'!S227,'Raw Data'!U227,'Raw Data'!W227,'Raw Data'!Y227),"")</f>
        <v/>
      </c>
      <c r="K240" s="17">
        <f>IF(I240&lt;&gt;"",I240-J240,"")</f>
        <v/>
      </c>
      <c r="L240" s="17">
        <f>IF('Raw Data'!A227&lt;&gt;"",AVERAGE('Raw Data'!Z227,'Raw Data'!AB227,'Raw Data'!AD227,'Raw Data'!AF227,'Raw Data'!AH227),"")</f>
        <v/>
      </c>
      <c r="M240" s="17">
        <f>IF('Raw Data'!A227&lt;&gt;"",AVERAGE('Raw Data'!AA227,'Raw Data'!AC227,'Raw Data'!AE227,'Raw Data'!AG227,'Raw Data'!AI227),"")</f>
        <v/>
      </c>
      <c r="N240" s="17">
        <f>IF(L240&lt;&gt;"",L240-M240,"")</f>
        <v/>
      </c>
      <c r="O240" s="17">
        <f>IF('Raw Data'!A227&lt;&gt;"",AVERAGE('Raw Data'!AJ227,'Raw Data'!AL227,'Raw Data'!AN227,'Raw Data'!AP227,'Raw Data'!AR227),"")</f>
        <v/>
      </c>
      <c r="P240" s="17">
        <f>IF('Raw Data'!A227&lt;&gt;"",AVERAGE('Raw Data'!AK227,'Raw Data'!AM227,'Raw Data'!AO227,'Raw Data'!AQ227,'Raw Data'!AS227),"")</f>
        <v/>
      </c>
      <c r="Q240" s="17">
        <f>IF(O240&lt;&gt;"",O240-P240,"")</f>
        <v/>
      </c>
      <c r="R240" s="17">
        <f>IF('Raw Data'!A227&lt;&gt;"",AVERAGE('Raw Data'!AT227,'Raw Data'!AV227,'Raw Data'!AX227,'Raw Data'!AZ227,'Raw Data'!BB227),"")</f>
        <v/>
      </c>
      <c r="S240" s="17">
        <f>IF('Raw Data'!A227&lt;&gt;"",AVERAGE('Raw Data'!AU227,'Raw Data'!AW227,'Raw Data'!AY227,'Raw Data'!BA227,'Raw Data'!BC227),"")</f>
        <v/>
      </c>
      <c r="T240" s="17">
        <f>IF(R240&lt;&gt;"",R240-S240,"")</f>
        <v/>
      </c>
      <c r="U240" s="17">
        <f>IF('Raw Data'!A227&lt;&gt;"",AVERAGE('Raw Data'!BD227,'Raw Data'!BF227,'Raw Data'!BH227,'Raw Data'!BJ227,'Raw Data'!BL227),"")</f>
        <v/>
      </c>
      <c r="V240" s="17">
        <f>IF('Raw Data'!A227&lt;&gt;"",AVERAGE('Raw Data'!BE227,'Raw Data'!BG227,'Raw Data'!BI227,'Raw Data'!BK227,'Raw Data'!BM227),"")</f>
        <v/>
      </c>
      <c r="W240" s="17">
        <f>IF(U240&lt;&gt;"",U240-V240,"")</f>
        <v/>
      </c>
      <c r="X240" s="17">
        <f>IF(A240&lt;&gt;"",AVERAGE(F240,I240,L240,O240,R240,U240),"")</f>
        <v/>
      </c>
      <c r="Y240" s="17">
        <f>IF(A240&lt;&gt;"",AVERAGE(G240,J240,M240,P240,S240,V240),"")</f>
        <v/>
      </c>
      <c r="Z240" s="17">
        <f>IF(A240&lt;&gt;"",X240-Y240,"")</f>
        <v/>
      </c>
      <c r="AA240" s="18">
        <f>IF(A240&lt;&gt;"",ROUND(MIN(100,100*((MAX(0,K240)*0.25)+(MAX(0,Q240)*0.20)+(MAX(0,W240)*0.20)+(MAX(0,H240)*0.15)+(MAX(0,N240)*0.10)+(MAX(0,T240)*0.10))/9),1),"")</f>
        <v/>
      </c>
      <c r="AB240" s="29">
        <f>IF(A240&lt;&gt;"",MIN(1,(0.5*AA240/100)+(0.3*MAX(0,K240)/9)+(0.2*MAX(0,Q240)/9)),"")</f>
        <v/>
      </c>
    </row>
    <row r="241">
      <c r="A241" s="4">
        <f>IF('Raw Data'!A228&lt;&gt;"",'Raw Data'!A228,"")</f>
        <v/>
      </c>
      <c r="B241" s="4">
        <f>IF('Raw Data'!B228&lt;&gt;"",'Raw Data'!B228,"")</f>
        <v/>
      </c>
      <c r="C241" s="4">
        <f>IF('Raw Data'!C228&lt;&gt;"",'Raw Data'!C228,"")</f>
        <v/>
      </c>
      <c r="D241" s="4">
        <f>IF('Raw Data'!D228&lt;&gt;"",'Raw Data'!D228,"")</f>
        <v/>
      </c>
      <c r="E241" s="4">
        <f>IF('Raw Data'!E228&lt;&gt;"",'Raw Data'!E228,"")</f>
        <v/>
      </c>
      <c r="F241" s="14">
        <f>IF('Raw Data'!A228&lt;&gt;"",AVERAGE('Raw Data'!F228,'Raw Data'!H228,'Raw Data'!J228,'Raw Data'!L228,'Raw Data'!N228),"")</f>
        <v/>
      </c>
      <c r="G241" s="14">
        <f>IF('Raw Data'!A228&lt;&gt;"",AVERAGE('Raw Data'!G228,'Raw Data'!I228,'Raw Data'!K228,'Raw Data'!M228,'Raw Data'!O228),"")</f>
        <v/>
      </c>
      <c r="H241" s="14">
        <f>IF(F241&lt;&gt;"",F241-G241,"")</f>
        <v/>
      </c>
      <c r="I241" s="14">
        <f>IF('Raw Data'!A228&lt;&gt;"",AVERAGE('Raw Data'!P228,'Raw Data'!R228,'Raw Data'!T228,'Raw Data'!V228,'Raw Data'!X228),"")</f>
        <v/>
      </c>
      <c r="J241" s="14">
        <f>IF('Raw Data'!A228&lt;&gt;"",AVERAGE('Raw Data'!Q228,'Raw Data'!S228,'Raw Data'!U228,'Raw Data'!W228,'Raw Data'!Y228),"")</f>
        <v/>
      </c>
      <c r="K241" s="14">
        <f>IF(I241&lt;&gt;"",I241-J241,"")</f>
        <v/>
      </c>
      <c r="L241" s="14">
        <f>IF('Raw Data'!A228&lt;&gt;"",AVERAGE('Raw Data'!Z228,'Raw Data'!AB228,'Raw Data'!AD228,'Raw Data'!AF228,'Raw Data'!AH228),"")</f>
        <v/>
      </c>
      <c r="M241" s="14">
        <f>IF('Raw Data'!A228&lt;&gt;"",AVERAGE('Raw Data'!AA228,'Raw Data'!AC228,'Raw Data'!AE228,'Raw Data'!AG228,'Raw Data'!AI228),"")</f>
        <v/>
      </c>
      <c r="N241" s="14">
        <f>IF(L241&lt;&gt;"",L241-M241,"")</f>
        <v/>
      </c>
      <c r="O241" s="14">
        <f>IF('Raw Data'!A228&lt;&gt;"",AVERAGE('Raw Data'!AJ228,'Raw Data'!AL228,'Raw Data'!AN228,'Raw Data'!AP228,'Raw Data'!AR228),"")</f>
        <v/>
      </c>
      <c r="P241" s="14">
        <f>IF('Raw Data'!A228&lt;&gt;"",AVERAGE('Raw Data'!AK228,'Raw Data'!AM228,'Raw Data'!AO228,'Raw Data'!AQ228,'Raw Data'!AS228),"")</f>
        <v/>
      </c>
      <c r="Q241" s="14">
        <f>IF(O241&lt;&gt;"",O241-P241,"")</f>
        <v/>
      </c>
      <c r="R241" s="14">
        <f>IF('Raw Data'!A228&lt;&gt;"",AVERAGE('Raw Data'!AT228,'Raw Data'!AV228,'Raw Data'!AX228,'Raw Data'!AZ228,'Raw Data'!BB228),"")</f>
        <v/>
      </c>
      <c r="S241" s="14">
        <f>IF('Raw Data'!A228&lt;&gt;"",AVERAGE('Raw Data'!AU228,'Raw Data'!AW228,'Raw Data'!AY228,'Raw Data'!BA228,'Raw Data'!BC228),"")</f>
        <v/>
      </c>
      <c r="T241" s="14">
        <f>IF(R241&lt;&gt;"",R241-S241,"")</f>
        <v/>
      </c>
      <c r="U241" s="14">
        <f>IF('Raw Data'!A228&lt;&gt;"",AVERAGE('Raw Data'!BD228,'Raw Data'!BF228,'Raw Data'!BH228,'Raw Data'!BJ228,'Raw Data'!BL228),"")</f>
        <v/>
      </c>
      <c r="V241" s="14">
        <f>IF('Raw Data'!A228&lt;&gt;"",AVERAGE('Raw Data'!BE228,'Raw Data'!BG228,'Raw Data'!BI228,'Raw Data'!BK228,'Raw Data'!BM228),"")</f>
        <v/>
      </c>
      <c r="W241" s="14">
        <f>IF(U241&lt;&gt;"",U241-V241,"")</f>
        <v/>
      </c>
      <c r="X241" s="14">
        <f>IF(A241&lt;&gt;"",AVERAGE(F241,I241,L241,O241,R241,U241),"")</f>
        <v/>
      </c>
      <c r="Y241" s="14">
        <f>IF(A241&lt;&gt;"",AVERAGE(G241,J241,M241,P241,S241,V241),"")</f>
        <v/>
      </c>
      <c r="Z241" s="14">
        <f>IF(A241&lt;&gt;"",X241-Y241,"")</f>
        <v/>
      </c>
      <c r="AA241" s="15">
        <f>IF(A241&lt;&gt;"",ROUND(MIN(100,100*((MAX(0,K241)*0.25)+(MAX(0,Q241)*0.20)+(MAX(0,W241)*0.20)+(MAX(0,H241)*0.15)+(MAX(0,N241)*0.10)+(MAX(0,T241)*0.10))/9),1),"")</f>
        <v/>
      </c>
      <c r="AB241" s="28">
        <f>IF(A241&lt;&gt;"",MIN(1,(0.5*AA241/100)+(0.3*MAX(0,K241)/9)+(0.2*MAX(0,Q241)/9)),"")</f>
        <v/>
      </c>
    </row>
    <row r="242">
      <c r="A242" s="13">
        <f>IF('Raw Data'!A229&lt;&gt;"",'Raw Data'!A229,"")</f>
        <v/>
      </c>
      <c r="B242" s="13">
        <f>IF('Raw Data'!B229&lt;&gt;"",'Raw Data'!B229,"")</f>
        <v/>
      </c>
      <c r="C242" s="13">
        <f>IF('Raw Data'!C229&lt;&gt;"",'Raw Data'!C229,"")</f>
        <v/>
      </c>
      <c r="D242" s="13">
        <f>IF('Raw Data'!D229&lt;&gt;"",'Raw Data'!D229,"")</f>
        <v/>
      </c>
      <c r="E242" s="13">
        <f>IF('Raw Data'!E229&lt;&gt;"",'Raw Data'!E229,"")</f>
        <v/>
      </c>
      <c r="F242" s="17">
        <f>IF('Raw Data'!A229&lt;&gt;"",AVERAGE('Raw Data'!F229,'Raw Data'!H229,'Raw Data'!J229,'Raw Data'!L229,'Raw Data'!N229),"")</f>
        <v/>
      </c>
      <c r="G242" s="17">
        <f>IF('Raw Data'!A229&lt;&gt;"",AVERAGE('Raw Data'!G229,'Raw Data'!I229,'Raw Data'!K229,'Raw Data'!M229,'Raw Data'!O229),"")</f>
        <v/>
      </c>
      <c r="H242" s="17">
        <f>IF(F242&lt;&gt;"",F242-G242,"")</f>
        <v/>
      </c>
      <c r="I242" s="17">
        <f>IF('Raw Data'!A229&lt;&gt;"",AVERAGE('Raw Data'!P229,'Raw Data'!R229,'Raw Data'!T229,'Raw Data'!V229,'Raw Data'!X229),"")</f>
        <v/>
      </c>
      <c r="J242" s="17">
        <f>IF('Raw Data'!A229&lt;&gt;"",AVERAGE('Raw Data'!Q229,'Raw Data'!S229,'Raw Data'!U229,'Raw Data'!W229,'Raw Data'!Y229),"")</f>
        <v/>
      </c>
      <c r="K242" s="17">
        <f>IF(I242&lt;&gt;"",I242-J242,"")</f>
        <v/>
      </c>
      <c r="L242" s="17">
        <f>IF('Raw Data'!A229&lt;&gt;"",AVERAGE('Raw Data'!Z229,'Raw Data'!AB229,'Raw Data'!AD229,'Raw Data'!AF229,'Raw Data'!AH229),"")</f>
        <v/>
      </c>
      <c r="M242" s="17">
        <f>IF('Raw Data'!A229&lt;&gt;"",AVERAGE('Raw Data'!AA229,'Raw Data'!AC229,'Raw Data'!AE229,'Raw Data'!AG229,'Raw Data'!AI229),"")</f>
        <v/>
      </c>
      <c r="N242" s="17">
        <f>IF(L242&lt;&gt;"",L242-M242,"")</f>
        <v/>
      </c>
      <c r="O242" s="17">
        <f>IF('Raw Data'!A229&lt;&gt;"",AVERAGE('Raw Data'!AJ229,'Raw Data'!AL229,'Raw Data'!AN229,'Raw Data'!AP229,'Raw Data'!AR229),"")</f>
        <v/>
      </c>
      <c r="P242" s="17">
        <f>IF('Raw Data'!A229&lt;&gt;"",AVERAGE('Raw Data'!AK229,'Raw Data'!AM229,'Raw Data'!AO229,'Raw Data'!AQ229,'Raw Data'!AS229),"")</f>
        <v/>
      </c>
      <c r="Q242" s="17">
        <f>IF(O242&lt;&gt;"",O242-P242,"")</f>
        <v/>
      </c>
      <c r="R242" s="17">
        <f>IF('Raw Data'!A229&lt;&gt;"",AVERAGE('Raw Data'!AT229,'Raw Data'!AV229,'Raw Data'!AX229,'Raw Data'!AZ229,'Raw Data'!BB229),"")</f>
        <v/>
      </c>
      <c r="S242" s="17">
        <f>IF('Raw Data'!A229&lt;&gt;"",AVERAGE('Raw Data'!AU229,'Raw Data'!AW229,'Raw Data'!AY229,'Raw Data'!BA229,'Raw Data'!BC229),"")</f>
        <v/>
      </c>
      <c r="T242" s="17">
        <f>IF(R242&lt;&gt;"",R242-S242,"")</f>
        <v/>
      </c>
      <c r="U242" s="17">
        <f>IF('Raw Data'!A229&lt;&gt;"",AVERAGE('Raw Data'!BD229,'Raw Data'!BF229,'Raw Data'!BH229,'Raw Data'!BJ229,'Raw Data'!BL229),"")</f>
        <v/>
      </c>
      <c r="V242" s="17">
        <f>IF('Raw Data'!A229&lt;&gt;"",AVERAGE('Raw Data'!BE229,'Raw Data'!BG229,'Raw Data'!BI229,'Raw Data'!BK229,'Raw Data'!BM229),"")</f>
        <v/>
      </c>
      <c r="W242" s="17">
        <f>IF(U242&lt;&gt;"",U242-V242,"")</f>
        <v/>
      </c>
      <c r="X242" s="17">
        <f>IF(A242&lt;&gt;"",AVERAGE(F242,I242,L242,O242,R242,U242),"")</f>
        <v/>
      </c>
      <c r="Y242" s="17">
        <f>IF(A242&lt;&gt;"",AVERAGE(G242,J242,M242,P242,S242,V242),"")</f>
        <v/>
      </c>
      <c r="Z242" s="17">
        <f>IF(A242&lt;&gt;"",X242-Y242,"")</f>
        <v/>
      </c>
      <c r="AA242" s="18">
        <f>IF(A242&lt;&gt;"",ROUND(MIN(100,100*((MAX(0,K242)*0.25)+(MAX(0,Q242)*0.20)+(MAX(0,W242)*0.20)+(MAX(0,H242)*0.15)+(MAX(0,N242)*0.10)+(MAX(0,T242)*0.10))/9),1),"")</f>
        <v/>
      </c>
      <c r="AB242" s="29">
        <f>IF(A242&lt;&gt;"",MIN(1,(0.5*AA242/100)+(0.3*MAX(0,K242)/9)+(0.2*MAX(0,Q242)/9)),"")</f>
        <v/>
      </c>
    </row>
    <row r="243">
      <c r="A243" s="4">
        <f>IF('Raw Data'!A230&lt;&gt;"",'Raw Data'!A230,"")</f>
        <v/>
      </c>
      <c r="B243" s="4">
        <f>IF('Raw Data'!B230&lt;&gt;"",'Raw Data'!B230,"")</f>
        <v/>
      </c>
      <c r="C243" s="4">
        <f>IF('Raw Data'!C230&lt;&gt;"",'Raw Data'!C230,"")</f>
        <v/>
      </c>
      <c r="D243" s="4">
        <f>IF('Raw Data'!D230&lt;&gt;"",'Raw Data'!D230,"")</f>
        <v/>
      </c>
      <c r="E243" s="4">
        <f>IF('Raw Data'!E230&lt;&gt;"",'Raw Data'!E230,"")</f>
        <v/>
      </c>
      <c r="F243" s="14">
        <f>IF('Raw Data'!A230&lt;&gt;"",AVERAGE('Raw Data'!F230,'Raw Data'!H230,'Raw Data'!J230,'Raw Data'!L230,'Raw Data'!N230),"")</f>
        <v/>
      </c>
      <c r="G243" s="14">
        <f>IF('Raw Data'!A230&lt;&gt;"",AVERAGE('Raw Data'!G230,'Raw Data'!I230,'Raw Data'!K230,'Raw Data'!M230,'Raw Data'!O230),"")</f>
        <v/>
      </c>
      <c r="H243" s="14">
        <f>IF(F243&lt;&gt;"",F243-G243,"")</f>
        <v/>
      </c>
      <c r="I243" s="14">
        <f>IF('Raw Data'!A230&lt;&gt;"",AVERAGE('Raw Data'!P230,'Raw Data'!R230,'Raw Data'!T230,'Raw Data'!V230,'Raw Data'!X230),"")</f>
        <v/>
      </c>
      <c r="J243" s="14">
        <f>IF('Raw Data'!A230&lt;&gt;"",AVERAGE('Raw Data'!Q230,'Raw Data'!S230,'Raw Data'!U230,'Raw Data'!W230,'Raw Data'!Y230),"")</f>
        <v/>
      </c>
      <c r="K243" s="14">
        <f>IF(I243&lt;&gt;"",I243-J243,"")</f>
        <v/>
      </c>
      <c r="L243" s="14">
        <f>IF('Raw Data'!A230&lt;&gt;"",AVERAGE('Raw Data'!Z230,'Raw Data'!AB230,'Raw Data'!AD230,'Raw Data'!AF230,'Raw Data'!AH230),"")</f>
        <v/>
      </c>
      <c r="M243" s="14">
        <f>IF('Raw Data'!A230&lt;&gt;"",AVERAGE('Raw Data'!AA230,'Raw Data'!AC230,'Raw Data'!AE230,'Raw Data'!AG230,'Raw Data'!AI230),"")</f>
        <v/>
      </c>
      <c r="N243" s="14">
        <f>IF(L243&lt;&gt;"",L243-M243,"")</f>
        <v/>
      </c>
      <c r="O243" s="14">
        <f>IF('Raw Data'!A230&lt;&gt;"",AVERAGE('Raw Data'!AJ230,'Raw Data'!AL230,'Raw Data'!AN230,'Raw Data'!AP230,'Raw Data'!AR230),"")</f>
        <v/>
      </c>
      <c r="P243" s="14">
        <f>IF('Raw Data'!A230&lt;&gt;"",AVERAGE('Raw Data'!AK230,'Raw Data'!AM230,'Raw Data'!AO230,'Raw Data'!AQ230,'Raw Data'!AS230),"")</f>
        <v/>
      </c>
      <c r="Q243" s="14">
        <f>IF(O243&lt;&gt;"",O243-P243,"")</f>
        <v/>
      </c>
      <c r="R243" s="14">
        <f>IF('Raw Data'!A230&lt;&gt;"",AVERAGE('Raw Data'!AT230,'Raw Data'!AV230,'Raw Data'!AX230,'Raw Data'!AZ230,'Raw Data'!BB230),"")</f>
        <v/>
      </c>
      <c r="S243" s="14">
        <f>IF('Raw Data'!A230&lt;&gt;"",AVERAGE('Raw Data'!AU230,'Raw Data'!AW230,'Raw Data'!AY230,'Raw Data'!BA230,'Raw Data'!BC230),"")</f>
        <v/>
      </c>
      <c r="T243" s="14">
        <f>IF(R243&lt;&gt;"",R243-S243,"")</f>
        <v/>
      </c>
      <c r="U243" s="14">
        <f>IF('Raw Data'!A230&lt;&gt;"",AVERAGE('Raw Data'!BD230,'Raw Data'!BF230,'Raw Data'!BH230,'Raw Data'!BJ230,'Raw Data'!BL230),"")</f>
        <v/>
      </c>
      <c r="V243" s="14">
        <f>IF('Raw Data'!A230&lt;&gt;"",AVERAGE('Raw Data'!BE230,'Raw Data'!BG230,'Raw Data'!BI230,'Raw Data'!BK230,'Raw Data'!BM230),"")</f>
        <v/>
      </c>
      <c r="W243" s="14">
        <f>IF(U243&lt;&gt;"",U243-V243,"")</f>
        <v/>
      </c>
      <c r="X243" s="14">
        <f>IF(A243&lt;&gt;"",AVERAGE(F243,I243,L243,O243,R243,U243),"")</f>
        <v/>
      </c>
      <c r="Y243" s="14">
        <f>IF(A243&lt;&gt;"",AVERAGE(G243,J243,M243,P243,S243,V243),"")</f>
        <v/>
      </c>
      <c r="Z243" s="14">
        <f>IF(A243&lt;&gt;"",X243-Y243,"")</f>
        <v/>
      </c>
      <c r="AA243" s="15">
        <f>IF(A243&lt;&gt;"",ROUND(MIN(100,100*((MAX(0,K243)*0.25)+(MAX(0,Q243)*0.20)+(MAX(0,W243)*0.20)+(MAX(0,H243)*0.15)+(MAX(0,N243)*0.10)+(MAX(0,T243)*0.10))/9),1),"")</f>
        <v/>
      </c>
      <c r="AB243" s="28">
        <f>IF(A243&lt;&gt;"",MIN(1,(0.5*AA243/100)+(0.3*MAX(0,K243)/9)+(0.2*MAX(0,Q243)/9)),"")</f>
        <v/>
      </c>
    </row>
    <row r="244">
      <c r="A244" s="13">
        <f>IF('Raw Data'!A231&lt;&gt;"",'Raw Data'!A231,"")</f>
        <v/>
      </c>
      <c r="B244" s="13">
        <f>IF('Raw Data'!B231&lt;&gt;"",'Raw Data'!B231,"")</f>
        <v/>
      </c>
      <c r="C244" s="13">
        <f>IF('Raw Data'!C231&lt;&gt;"",'Raw Data'!C231,"")</f>
        <v/>
      </c>
      <c r="D244" s="13">
        <f>IF('Raw Data'!D231&lt;&gt;"",'Raw Data'!D231,"")</f>
        <v/>
      </c>
      <c r="E244" s="13">
        <f>IF('Raw Data'!E231&lt;&gt;"",'Raw Data'!E231,"")</f>
        <v/>
      </c>
      <c r="F244" s="17">
        <f>IF('Raw Data'!A231&lt;&gt;"",AVERAGE('Raw Data'!F231,'Raw Data'!H231,'Raw Data'!J231,'Raw Data'!L231,'Raw Data'!N231),"")</f>
        <v/>
      </c>
      <c r="G244" s="17">
        <f>IF('Raw Data'!A231&lt;&gt;"",AVERAGE('Raw Data'!G231,'Raw Data'!I231,'Raw Data'!K231,'Raw Data'!M231,'Raw Data'!O231),"")</f>
        <v/>
      </c>
      <c r="H244" s="17">
        <f>IF(F244&lt;&gt;"",F244-G244,"")</f>
        <v/>
      </c>
      <c r="I244" s="17">
        <f>IF('Raw Data'!A231&lt;&gt;"",AVERAGE('Raw Data'!P231,'Raw Data'!R231,'Raw Data'!T231,'Raw Data'!V231,'Raw Data'!X231),"")</f>
        <v/>
      </c>
      <c r="J244" s="17">
        <f>IF('Raw Data'!A231&lt;&gt;"",AVERAGE('Raw Data'!Q231,'Raw Data'!S231,'Raw Data'!U231,'Raw Data'!W231,'Raw Data'!Y231),"")</f>
        <v/>
      </c>
      <c r="K244" s="17">
        <f>IF(I244&lt;&gt;"",I244-J244,"")</f>
        <v/>
      </c>
      <c r="L244" s="17">
        <f>IF('Raw Data'!A231&lt;&gt;"",AVERAGE('Raw Data'!Z231,'Raw Data'!AB231,'Raw Data'!AD231,'Raw Data'!AF231,'Raw Data'!AH231),"")</f>
        <v/>
      </c>
      <c r="M244" s="17">
        <f>IF('Raw Data'!A231&lt;&gt;"",AVERAGE('Raw Data'!AA231,'Raw Data'!AC231,'Raw Data'!AE231,'Raw Data'!AG231,'Raw Data'!AI231),"")</f>
        <v/>
      </c>
      <c r="N244" s="17">
        <f>IF(L244&lt;&gt;"",L244-M244,"")</f>
        <v/>
      </c>
      <c r="O244" s="17">
        <f>IF('Raw Data'!A231&lt;&gt;"",AVERAGE('Raw Data'!AJ231,'Raw Data'!AL231,'Raw Data'!AN231,'Raw Data'!AP231,'Raw Data'!AR231),"")</f>
        <v/>
      </c>
      <c r="P244" s="17">
        <f>IF('Raw Data'!A231&lt;&gt;"",AVERAGE('Raw Data'!AK231,'Raw Data'!AM231,'Raw Data'!AO231,'Raw Data'!AQ231,'Raw Data'!AS231),"")</f>
        <v/>
      </c>
      <c r="Q244" s="17">
        <f>IF(O244&lt;&gt;"",O244-P244,"")</f>
        <v/>
      </c>
      <c r="R244" s="17">
        <f>IF('Raw Data'!A231&lt;&gt;"",AVERAGE('Raw Data'!AT231,'Raw Data'!AV231,'Raw Data'!AX231,'Raw Data'!AZ231,'Raw Data'!BB231),"")</f>
        <v/>
      </c>
      <c r="S244" s="17">
        <f>IF('Raw Data'!A231&lt;&gt;"",AVERAGE('Raw Data'!AU231,'Raw Data'!AW231,'Raw Data'!AY231,'Raw Data'!BA231,'Raw Data'!BC231),"")</f>
        <v/>
      </c>
      <c r="T244" s="17">
        <f>IF(R244&lt;&gt;"",R244-S244,"")</f>
        <v/>
      </c>
      <c r="U244" s="17">
        <f>IF('Raw Data'!A231&lt;&gt;"",AVERAGE('Raw Data'!BD231,'Raw Data'!BF231,'Raw Data'!BH231,'Raw Data'!BJ231,'Raw Data'!BL231),"")</f>
        <v/>
      </c>
      <c r="V244" s="17">
        <f>IF('Raw Data'!A231&lt;&gt;"",AVERAGE('Raw Data'!BE231,'Raw Data'!BG231,'Raw Data'!BI231,'Raw Data'!BK231,'Raw Data'!BM231),"")</f>
        <v/>
      </c>
      <c r="W244" s="17">
        <f>IF(U244&lt;&gt;"",U244-V244,"")</f>
        <v/>
      </c>
      <c r="X244" s="17">
        <f>IF(A244&lt;&gt;"",AVERAGE(F244,I244,L244,O244,R244,U244),"")</f>
        <v/>
      </c>
      <c r="Y244" s="17">
        <f>IF(A244&lt;&gt;"",AVERAGE(G244,J244,M244,P244,S244,V244),"")</f>
        <v/>
      </c>
      <c r="Z244" s="17">
        <f>IF(A244&lt;&gt;"",X244-Y244,"")</f>
        <v/>
      </c>
      <c r="AA244" s="18">
        <f>IF(A244&lt;&gt;"",ROUND(MIN(100,100*((MAX(0,K244)*0.25)+(MAX(0,Q244)*0.20)+(MAX(0,W244)*0.20)+(MAX(0,H244)*0.15)+(MAX(0,N244)*0.10)+(MAX(0,T244)*0.10))/9),1),"")</f>
        <v/>
      </c>
      <c r="AB244" s="29">
        <f>IF(A244&lt;&gt;"",MIN(1,(0.5*AA244/100)+(0.3*MAX(0,K244)/9)+(0.2*MAX(0,Q244)/9)),"")</f>
        <v/>
      </c>
    </row>
    <row r="245">
      <c r="A245" s="4">
        <f>IF('Raw Data'!A232&lt;&gt;"",'Raw Data'!A232,"")</f>
        <v/>
      </c>
      <c r="B245" s="4">
        <f>IF('Raw Data'!B232&lt;&gt;"",'Raw Data'!B232,"")</f>
        <v/>
      </c>
      <c r="C245" s="4">
        <f>IF('Raw Data'!C232&lt;&gt;"",'Raw Data'!C232,"")</f>
        <v/>
      </c>
      <c r="D245" s="4">
        <f>IF('Raw Data'!D232&lt;&gt;"",'Raw Data'!D232,"")</f>
        <v/>
      </c>
      <c r="E245" s="4">
        <f>IF('Raw Data'!E232&lt;&gt;"",'Raw Data'!E232,"")</f>
        <v/>
      </c>
      <c r="F245" s="14">
        <f>IF('Raw Data'!A232&lt;&gt;"",AVERAGE('Raw Data'!F232,'Raw Data'!H232,'Raw Data'!J232,'Raw Data'!L232,'Raw Data'!N232),"")</f>
        <v/>
      </c>
      <c r="G245" s="14">
        <f>IF('Raw Data'!A232&lt;&gt;"",AVERAGE('Raw Data'!G232,'Raw Data'!I232,'Raw Data'!K232,'Raw Data'!M232,'Raw Data'!O232),"")</f>
        <v/>
      </c>
      <c r="H245" s="14">
        <f>IF(F245&lt;&gt;"",F245-G245,"")</f>
        <v/>
      </c>
      <c r="I245" s="14">
        <f>IF('Raw Data'!A232&lt;&gt;"",AVERAGE('Raw Data'!P232,'Raw Data'!R232,'Raw Data'!T232,'Raw Data'!V232,'Raw Data'!X232),"")</f>
        <v/>
      </c>
      <c r="J245" s="14">
        <f>IF('Raw Data'!A232&lt;&gt;"",AVERAGE('Raw Data'!Q232,'Raw Data'!S232,'Raw Data'!U232,'Raw Data'!W232,'Raw Data'!Y232),"")</f>
        <v/>
      </c>
      <c r="K245" s="14">
        <f>IF(I245&lt;&gt;"",I245-J245,"")</f>
        <v/>
      </c>
      <c r="L245" s="14">
        <f>IF('Raw Data'!A232&lt;&gt;"",AVERAGE('Raw Data'!Z232,'Raw Data'!AB232,'Raw Data'!AD232,'Raw Data'!AF232,'Raw Data'!AH232),"")</f>
        <v/>
      </c>
      <c r="M245" s="14">
        <f>IF('Raw Data'!A232&lt;&gt;"",AVERAGE('Raw Data'!AA232,'Raw Data'!AC232,'Raw Data'!AE232,'Raw Data'!AG232,'Raw Data'!AI232),"")</f>
        <v/>
      </c>
      <c r="N245" s="14">
        <f>IF(L245&lt;&gt;"",L245-M245,"")</f>
        <v/>
      </c>
      <c r="O245" s="14">
        <f>IF('Raw Data'!A232&lt;&gt;"",AVERAGE('Raw Data'!AJ232,'Raw Data'!AL232,'Raw Data'!AN232,'Raw Data'!AP232,'Raw Data'!AR232),"")</f>
        <v/>
      </c>
      <c r="P245" s="14">
        <f>IF('Raw Data'!A232&lt;&gt;"",AVERAGE('Raw Data'!AK232,'Raw Data'!AM232,'Raw Data'!AO232,'Raw Data'!AQ232,'Raw Data'!AS232),"")</f>
        <v/>
      </c>
      <c r="Q245" s="14">
        <f>IF(O245&lt;&gt;"",O245-P245,"")</f>
        <v/>
      </c>
      <c r="R245" s="14">
        <f>IF('Raw Data'!A232&lt;&gt;"",AVERAGE('Raw Data'!AT232,'Raw Data'!AV232,'Raw Data'!AX232,'Raw Data'!AZ232,'Raw Data'!BB232),"")</f>
        <v/>
      </c>
      <c r="S245" s="14">
        <f>IF('Raw Data'!A232&lt;&gt;"",AVERAGE('Raw Data'!AU232,'Raw Data'!AW232,'Raw Data'!AY232,'Raw Data'!BA232,'Raw Data'!BC232),"")</f>
        <v/>
      </c>
      <c r="T245" s="14">
        <f>IF(R245&lt;&gt;"",R245-S245,"")</f>
        <v/>
      </c>
      <c r="U245" s="14">
        <f>IF('Raw Data'!A232&lt;&gt;"",AVERAGE('Raw Data'!BD232,'Raw Data'!BF232,'Raw Data'!BH232,'Raw Data'!BJ232,'Raw Data'!BL232),"")</f>
        <v/>
      </c>
      <c r="V245" s="14">
        <f>IF('Raw Data'!A232&lt;&gt;"",AVERAGE('Raw Data'!BE232,'Raw Data'!BG232,'Raw Data'!BI232,'Raw Data'!BK232,'Raw Data'!BM232),"")</f>
        <v/>
      </c>
      <c r="W245" s="14">
        <f>IF(U245&lt;&gt;"",U245-V245,"")</f>
        <v/>
      </c>
      <c r="X245" s="14">
        <f>IF(A245&lt;&gt;"",AVERAGE(F245,I245,L245,O245,R245,U245),"")</f>
        <v/>
      </c>
      <c r="Y245" s="14">
        <f>IF(A245&lt;&gt;"",AVERAGE(G245,J245,M245,P245,S245,V245),"")</f>
        <v/>
      </c>
      <c r="Z245" s="14">
        <f>IF(A245&lt;&gt;"",X245-Y245,"")</f>
        <v/>
      </c>
      <c r="AA245" s="15">
        <f>IF(A245&lt;&gt;"",ROUND(MIN(100,100*((MAX(0,K245)*0.25)+(MAX(0,Q245)*0.20)+(MAX(0,W245)*0.20)+(MAX(0,H245)*0.15)+(MAX(0,N245)*0.10)+(MAX(0,T245)*0.10))/9),1),"")</f>
        <v/>
      </c>
      <c r="AB245" s="28">
        <f>IF(A245&lt;&gt;"",MIN(1,(0.5*AA245/100)+(0.3*MAX(0,K245)/9)+(0.2*MAX(0,Q245)/9)),"")</f>
        <v/>
      </c>
    </row>
    <row r="246">
      <c r="A246" s="13">
        <f>IF('Raw Data'!A233&lt;&gt;"",'Raw Data'!A233,"")</f>
        <v/>
      </c>
      <c r="B246" s="13">
        <f>IF('Raw Data'!B233&lt;&gt;"",'Raw Data'!B233,"")</f>
        <v/>
      </c>
      <c r="C246" s="13">
        <f>IF('Raw Data'!C233&lt;&gt;"",'Raw Data'!C233,"")</f>
        <v/>
      </c>
      <c r="D246" s="13">
        <f>IF('Raw Data'!D233&lt;&gt;"",'Raw Data'!D233,"")</f>
        <v/>
      </c>
      <c r="E246" s="13">
        <f>IF('Raw Data'!E233&lt;&gt;"",'Raw Data'!E233,"")</f>
        <v/>
      </c>
      <c r="F246" s="17">
        <f>IF('Raw Data'!A233&lt;&gt;"",AVERAGE('Raw Data'!F233,'Raw Data'!H233,'Raw Data'!J233,'Raw Data'!L233,'Raw Data'!N233),"")</f>
        <v/>
      </c>
      <c r="G246" s="17">
        <f>IF('Raw Data'!A233&lt;&gt;"",AVERAGE('Raw Data'!G233,'Raw Data'!I233,'Raw Data'!K233,'Raw Data'!M233,'Raw Data'!O233),"")</f>
        <v/>
      </c>
      <c r="H246" s="17">
        <f>IF(F246&lt;&gt;"",F246-G246,"")</f>
        <v/>
      </c>
      <c r="I246" s="17">
        <f>IF('Raw Data'!A233&lt;&gt;"",AVERAGE('Raw Data'!P233,'Raw Data'!R233,'Raw Data'!T233,'Raw Data'!V233,'Raw Data'!X233),"")</f>
        <v/>
      </c>
      <c r="J246" s="17">
        <f>IF('Raw Data'!A233&lt;&gt;"",AVERAGE('Raw Data'!Q233,'Raw Data'!S233,'Raw Data'!U233,'Raw Data'!W233,'Raw Data'!Y233),"")</f>
        <v/>
      </c>
      <c r="K246" s="17">
        <f>IF(I246&lt;&gt;"",I246-J246,"")</f>
        <v/>
      </c>
      <c r="L246" s="17">
        <f>IF('Raw Data'!A233&lt;&gt;"",AVERAGE('Raw Data'!Z233,'Raw Data'!AB233,'Raw Data'!AD233,'Raw Data'!AF233,'Raw Data'!AH233),"")</f>
        <v/>
      </c>
      <c r="M246" s="17">
        <f>IF('Raw Data'!A233&lt;&gt;"",AVERAGE('Raw Data'!AA233,'Raw Data'!AC233,'Raw Data'!AE233,'Raw Data'!AG233,'Raw Data'!AI233),"")</f>
        <v/>
      </c>
      <c r="N246" s="17">
        <f>IF(L246&lt;&gt;"",L246-M246,"")</f>
        <v/>
      </c>
      <c r="O246" s="17">
        <f>IF('Raw Data'!A233&lt;&gt;"",AVERAGE('Raw Data'!AJ233,'Raw Data'!AL233,'Raw Data'!AN233,'Raw Data'!AP233,'Raw Data'!AR233),"")</f>
        <v/>
      </c>
      <c r="P246" s="17">
        <f>IF('Raw Data'!A233&lt;&gt;"",AVERAGE('Raw Data'!AK233,'Raw Data'!AM233,'Raw Data'!AO233,'Raw Data'!AQ233,'Raw Data'!AS233),"")</f>
        <v/>
      </c>
      <c r="Q246" s="17">
        <f>IF(O246&lt;&gt;"",O246-P246,"")</f>
        <v/>
      </c>
      <c r="R246" s="17">
        <f>IF('Raw Data'!A233&lt;&gt;"",AVERAGE('Raw Data'!AT233,'Raw Data'!AV233,'Raw Data'!AX233,'Raw Data'!AZ233,'Raw Data'!BB233),"")</f>
        <v/>
      </c>
      <c r="S246" s="17">
        <f>IF('Raw Data'!A233&lt;&gt;"",AVERAGE('Raw Data'!AU233,'Raw Data'!AW233,'Raw Data'!AY233,'Raw Data'!BA233,'Raw Data'!BC233),"")</f>
        <v/>
      </c>
      <c r="T246" s="17">
        <f>IF(R246&lt;&gt;"",R246-S246,"")</f>
        <v/>
      </c>
      <c r="U246" s="17">
        <f>IF('Raw Data'!A233&lt;&gt;"",AVERAGE('Raw Data'!BD233,'Raw Data'!BF233,'Raw Data'!BH233,'Raw Data'!BJ233,'Raw Data'!BL233),"")</f>
        <v/>
      </c>
      <c r="V246" s="17">
        <f>IF('Raw Data'!A233&lt;&gt;"",AVERAGE('Raw Data'!BE233,'Raw Data'!BG233,'Raw Data'!BI233,'Raw Data'!BK233,'Raw Data'!BM233),"")</f>
        <v/>
      </c>
      <c r="W246" s="17">
        <f>IF(U246&lt;&gt;"",U246-V246,"")</f>
        <v/>
      </c>
      <c r="X246" s="17">
        <f>IF(A246&lt;&gt;"",AVERAGE(F246,I246,L246,O246,R246,U246),"")</f>
        <v/>
      </c>
      <c r="Y246" s="17">
        <f>IF(A246&lt;&gt;"",AVERAGE(G246,J246,M246,P246,S246,V246),"")</f>
        <v/>
      </c>
      <c r="Z246" s="17">
        <f>IF(A246&lt;&gt;"",X246-Y246,"")</f>
        <v/>
      </c>
      <c r="AA246" s="18">
        <f>IF(A246&lt;&gt;"",ROUND(MIN(100,100*((MAX(0,K246)*0.25)+(MAX(0,Q246)*0.20)+(MAX(0,W246)*0.20)+(MAX(0,H246)*0.15)+(MAX(0,N246)*0.10)+(MAX(0,T246)*0.10))/9),1),"")</f>
        <v/>
      </c>
      <c r="AB246" s="29">
        <f>IF(A246&lt;&gt;"",MIN(1,(0.5*AA246/100)+(0.3*MAX(0,K246)/9)+(0.2*MAX(0,Q246)/9)),"")</f>
        <v/>
      </c>
    </row>
    <row r="247">
      <c r="A247" s="4">
        <f>IF('Raw Data'!A234&lt;&gt;"",'Raw Data'!A234,"")</f>
        <v/>
      </c>
      <c r="B247" s="4">
        <f>IF('Raw Data'!B234&lt;&gt;"",'Raw Data'!B234,"")</f>
        <v/>
      </c>
      <c r="C247" s="4">
        <f>IF('Raw Data'!C234&lt;&gt;"",'Raw Data'!C234,"")</f>
        <v/>
      </c>
      <c r="D247" s="4">
        <f>IF('Raw Data'!D234&lt;&gt;"",'Raw Data'!D234,"")</f>
        <v/>
      </c>
      <c r="E247" s="4">
        <f>IF('Raw Data'!E234&lt;&gt;"",'Raw Data'!E234,"")</f>
        <v/>
      </c>
      <c r="F247" s="14">
        <f>IF('Raw Data'!A234&lt;&gt;"",AVERAGE('Raw Data'!F234,'Raw Data'!H234,'Raw Data'!J234,'Raw Data'!L234,'Raw Data'!N234),"")</f>
        <v/>
      </c>
      <c r="G247" s="14">
        <f>IF('Raw Data'!A234&lt;&gt;"",AVERAGE('Raw Data'!G234,'Raw Data'!I234,'Raw Data'!K234,'Raw Data'!M234,'Raw Data'!O234),"")</f>
        <v/>
      </c>
      <c r="H247" s="14">
        <f>IF(F247&lt;&gt;"",F247-G247,"")</f>
        <v/>
      </c>
      <c r="I247" s="14">
        <f>IF('Raw Data'!A234&lt;&gt;"",AVERAGE('Raw Data'!P234,'Raw Data'!R234,'Raw Data'!T234,'Raw Data'!V234,'Raw Data'!X234),"")</f>
        <v/>
      </c>
      <c r="J247" s="14">
        <f>IF('Raw Data'!A234&lt;&gt;"",AVERAGE('Raw Data'!Q234,'Raw Data'!S234,'Raw Data'!U234,'Raw Data'!W234,'Raw Data'!Y234),"")</f>
        <v/>
      </c>
      <c r="K247" s="14">
        <f>IF(I247&lt;&gt;"",I247-J247,"")</f>
        <v/>
      </c>
      <c r="L247" s="14">
        <f>IF('Raw Data'!A234&lt;&gt;"",AVERAGE('Raw Data'!Z234,'Raw Data'!AB234,'Raw Data'!AD234,'Raw Data'!AF234,'Raw Data'!AH234),"")</f>
        <v/>
      </c>
      <c r="M247" s="14">
        <f>IF('Raw Data'!A234&lt;&gt;"",AVERAGE('Raw Data'!AA234,'Raw Data'!AC234,'Raw Data'!AE234,'Raw Data'!AG234,'Raw Data'!AI234),"")</f>
        <v/>
      </c>
      <c r="N247" s="14">
        <f>IF(L247&lt;&gt;"",L247-M247,"")</f>
        <v/>
      </c>
      <c r="O247" s="14">
        <f>IF('Raw Data'!A234&lt;&gt;"",AVERAGE('Raw Data'!AJ234,'Raw Data'!AL234,'Raw Data'!AN234,'Raw Data'!AP234,'Raw Data'!AR234),"")</f>
        <v/>
      </c>
      <c r="P247" s="14">
        <f>IF('Raw Data'!A234&lt;&gt;"",AVERAGE('Raw Data'!AK234,'Raw Data'!AM234,'Raw Data'!AO234,'Raw Data'!AQ234,'Raw Data'!AS234),"")</f>
        <v/>
      </c>
      <c r="Q247" s="14">
        <f>IF(O247&lt;&gt;"",O247-P247,"")</f>
        <v/>
      </c>
      <c r="R247" s="14">
        <f>IF('Raw Data'!A234&lt;&gt;"",AVERAGE('Raw Data'!AT234,'Raw Data'!AV234,'Raw Data'!AX234,'Raw Data'!AZ234,'Raw Data'!BB234),"")</f>
        <v/>
      </c>
      <c r="S247" s="14">
        <f>IF('Raw Data'!A234&lt;&gt;"",AVERAGE('Raw Data'!AU234,'Raw Data'!AW234,'Raw Data'!AY234,'Raw Data'!BA234,'Raw Data'!BC234),"")</f>
        <v/>
      </c>
      <c r="T247" s="14">
        <f>IF(R247&lt;&gt;"",R247-S247,"")</f>
        <v/>
      </c>
      <c r="U247" s="14">
        <f>IF('Raw Data'!A234&lt;&gt;"",AVERAGE('Raw Data'!BD234,'Raw Data'!BF234,'Raw Data'!BH234,'Raw Data'!BJ234,'Raw Data'!BL234),"")</f>
        <v/>
      </c>
      <c r="V247" s="14">
        <f>IF('Raw Data'!A234&lt;&gt;"",AVERAGE('Raw Data'!BE234,'Raw Data'!BG234,'Raw Data'!BI234,'Raw Data'!BK234,'Raw Data'!BM234),"")</f>
        <v/>
      </c>
      <c r="W247" s="14">
        <f>IF(U247&lt;&gt;"",U247-V247,"")</f>
        <v/>
      </c>
      <c r="X247" s="14">
        <f>IF(A247&lt;&gt;"",AVERAGE(F247,I247,L247,O247,R247,U247),"")</f>
        <v/>
      </c>
      <c r="Y247" s="14">
        <f>IF(A247&lt;&gt;"",AVERAGE(G247,J247,M247,P247,S247,V247),"")</f>
        <v/>
      </c>
      <c r="Z247" s="14">
        <f>IF(A247&lt;&gt;"",X247-Y247,"")</f>
        <v/>
      </c>
      <c r="AA247" s="15">
        <f>IF(A247&lt;&gt;"",ROUND(MIN(100,100*((MAX(0,K247)*0.25)+(MAX(0,Q247)*0.20)+(MAX(0,W247)*0.20)+(MAX(0,H247)*0.15)+(MAX(0,N247)*0.10)+(MAX(0,T247)*0.10))/9),1),"")</f>
        <v/>
      </c>
      <c r="AB247" s="28">
        <f>IF(A247&lt;&gt;"",MIN(1,(0.5*AA247/100)+(0.3*MAX(0,K247)/9)+(0.2*MAX(0,Q247)/9)),"")</f>
        <v/>
      </c>
    </row>
    <row r="248">
      <c r="A248" s="13">
        <f>IF('Raw Data'!A235&lt;&gt;"",'Raw Data'!A235,"")</f>
        <v/>
      </c>
      <c r="B248" s="13">
        <f>IF('Raw Data'!B235&lt;&gt;"",'Raw Data'!B235,"")</f>
        <v/>
      </c>
      <c r="C248" s="13">
        <f>IF('Raw Data'!C235&lt;&gt;"",'Raw Data'!C235,"")</f>
        <v/>
      </c>
      <c r="D248" s="13">
        <f>IF('Raw Data'!D235&lt;&gt;"",'Raw Data'!D235,"")</f>
        <v/>
      </c>
      <c r="E248" s="13">
        <f>IF('Raw Data'!E235&lt;&gt;"",'Raw Data'!E235,"")</f>
        <v/>
      </c>
      <c r="F248" s="17">
        <f>IF('Raw Data'!A235&lt;&gt;"",AVERAGE('Raw Data'!F235,'Raw Data'!H235,'Raw Data'!J235,'Raw Data'!L235,'Raw Data'!N235),"")</f>
        <v/>
      </c>
      <c r="G248" s="17">
        <f>IF('Raw Data'!A235&lt;&gt;"",AVERAGE('Raw Data'!G235,'Raw Data'!I235,'Raw Data'!K235,'Raw Data'!M235,'Raw Data'!O235),"")</f>
        <v/>
      </c>
      <c r="H248" s="17">
        <f>IF(F248&lt;&gt;"",F248-G248,"")</f>
        <v/>
      </c>
      <c r="I248" s="17">
        <f>IF('Raw Data'!A235&lt;&gt;"",AVERAGE('Raw Data'!P235,'Raw Data'!R235,'Raw Data'!T235,'Raw Data'!V235,'Raw Data'!X235),"")</f>
        <v/>
      </c>
      <c r="J248" s="17">
        <f>IF('Raw Data'!A235&lt;&gt;"",AVERAGE('Raw Data'!Q235,'Raw Data'!S235,'Raw Data'!U235,'Raw Data'!W235,'Raw Data'!Y235),"")</f>
        <v/>
      </c>
      <c r="K248" s="17">
        <f>IF(I248&lt;&gt;"",I248-J248,"")</f>
        <v/>
      </c>
      <c r="L248" s="17">
        <f>IF('Raw Data'!A235&lt;&gt;"",AVERAGE('Raw Data'!Z235,'Raw Data'!AB235,'Raw Data'!AD235,'Raw Data'!AF235,'Raw Data'!AH235),"")</f>
        <v/>
      </c>
      <c r="M248" s="17">
        <f>IF('Raw Data'!A235&lt;&gt;"",AVERAGE('Raw Data'!AA235,'Raw Data'!AC235,'Raw Data'!AE235,'Raw Data'!AG235,'Raw Data'!AI235),"")</f>
        <v/>
      </c>
      <c r="N248" s="17">
        <f>IF(L248&lt;&gt;"",L248-M248,"")</f>
        <v/>
      </c>
      <c r="O248" s="17">
        <f>IF('Raw Data'!A235&lt;&gt;"",AVERAGE('Raw Data'!AJ235,'Raw Data'!AL235,'Raw Data'!AN235,'Raw Data'!AP235,'Raw Data'!AR235),"")</f>
        <v/>
      </c>
      <c r="P248" s="17">
        <f>IF('Raw Data'!A235&lt;&gt;"",AVERAGE('Raw Data'!AK235,'Raw Data'!AM235,'Raw Data'!AO235,'Raw Data'!AQ235,'Raw Data'!AS235),"")</f>
        <v/>
      </c>
      <c r="Q248" s="17">
        <f>IF(O248&lt;&gt;"",O248-P248,"")</f>
        <v/>
      </c>
      <c r="R248" s="17">
        <f>IF('Raw Data'!A235&lt;&gt;"",AVERAGE('Raw Data'!AT235,'Raw Data'!AV235,'Raw Data'!AX235,'Raw Data'!AZ235,'Raw Data'!BB235),"")</f>
        <v/>
      </c>
      <c r="S248" s="17">
        <f>IF('Raw Data'!A235&lt;&gt;"",AVERAGE('Raw Data'!AU235,'Raw Data'!AW235,'Raw Data'!AY235,'Raw Data'!BA235,'Raw Data'!BC235),"")</f>
        <v/>
      </c>
      <c r="T248" s="17">
        <f>IF(R248&lt;&gt;"",R248-S248,"")</f>
        <v/>
      </c>
      <c r="U248" s="17">
        <f>IF('Raw Data'!A235&lt;&gt;"",AVERAGE('Raw Data'!BD235,'Raw Data'!BF235,'Raw Data'!BH235,'Raw Data'!BJ235,'Raw Data'!BL235),"")</f>
        <v/>
      </c>
      <c r="V248" s="17">
        <f>IF('Raw Data'!A235&lt;&gt;"",AVERAGE('Raw Data'!BE235,'Raw Data'!BG235,'Raw Data'!BI235,'Raw Data'!BK235,'Raw Data'!BM235),"")</f>
        <v/>
      </c>
      <c r="W248" s="17">
        <f>IF(U248&lt;&gt;"",U248-V248,"")</f>
        <v/>
      </c>
      <c r="X248" s="17">
        <f>IF(A248&lt;&gt;"",AVERAGE(F248,I248,L248,O248,R248,U248),"")</f>
        <v/>
      </c>
      <c r="Y248" s="17">
        <f>IF(A248&lt;&gt;"",AVERAGE(G248,J248,M248,P248,S248,V248),"")</f>
        <v/>
      </c>
      <c r="Z248" s="17">
        <f>IF(A248&lt;&gt;"",X248-Y248,"")</f>
        <v/>
      </c>
      <c r="AA248" s="18">
        <f>IF(A248&lt;&gt;"",ROUND(MIN(100,100*((MAX(0,K248)*0.25)+(MAX(0,Q248)*0.20)+(MAX(0,W248)*0.20)+(MAX(0,H248)*0.15)+(MAX(0,N248)*0.10)+(MAX(0,T248)*0.10))/9),1),"")</f>
        <v/>
      </c>
      <c r="AB248" s="29">
        <f>IF(A248&lt;&gt;"",MIN(1,(0.5*AA248/100)+(0.3*MAX(0,K248)/9)+(0.2*MAX(0,Q248)/9)),"")</f>
        <v/>
      </c>
    </row>
    <row r="249">
      <c r="A249" s="4">
        <f>IF('Raw Data'!A236&lt;&gt;"",'Raw Data'!A236,"")</f>
        <v/>
      </c>
      <c r="B249" s="4">
        <f>IF('Raw Data'!B236&lt;&gt;"",'Raw Data'!B236,"")</f>
        <v/>
      </c>
      <c r="C249" s="4">
        <f>IF('Raw Data'!C236&lt;&gt;"",'Raw Data'!C236,"")</f>
        <v/>
      </c>
      <c r="D249" s="4">
        <f>IF('Raw Data'!D236&lt;&gt;"",'Raw Data'!D236,"")</f>
        <v/>
      </c>
      <c r="E249" s="4">
        <f>IF('Raw Data'!E236&lt;&gt;"",'Raw Data'!E236,"")</f>
        <v/>
      </c>
      <c r="F249" s="14">
        <f>IF('Raw Data'!A236&lt;&gt;"",AVERAGE('Raw Data'!F236,'Raw Data'!H236,'Raw Data'!J236,'Raw Data'!L236,'Raw Data'!N236),"")</f>
        <v/>
      </c>
      <c r="G249" s="14">
        <f>IF('Raw Data'!A236&lt;&gt;"",AVERAGE('Raw Data'!G236,'Raw Data'!I236,'Raw Data'!K236,'Raw Data'!M236,'Raw Data'!O236),"")</f>
        <v/>
      </c>
      <c r="H249" s="14">
        <f>IF(F249&lt;&gt;"",F249-G249,"")</f>
        <v/>
      </c>
      <c r="I249" s="14">
        <f>IF('Raw Data'!A236&lt;&gt;"",AVERAGE('Raw Data'!P236,'Raw Data'!R236,'Raw Data'!T236,'Raw Data'!V236,'Raw Data'!X236),"")</f>
        <v/>
      </c>
      <c r="J249" s="14">
        <f>IF('Raw Data'!A236&lt;&gt;"",AVERAGE('Raw Data'!Q236,'Raw Data'!S236,'Raw Data'!U236,'Raw Data'!W236,'Raw Data'!Y236),"")</f>
        <v/>
      </c>
      <c r="K249" s="14">
        <f>IF(I249&lt;&gt;"",I249-J249,"")</f>
        <v/>
      </c>
      <c r="L249" s="14">
        <f>IF('Raw Data'!A236&lt;&gt;"",AVERAGE('Raw Data'!Z236,'Raw Data'!AB236,'Raw Data'!AD236,'Raw Data'!AF236,'Raw Data'!AH236),"")</f>
        <v/>
      </c>
      <c r="M249" s="14">
        <f>IF('Raw Data'!A236&lt;&gt;"",AVERAGE('Raw Data'!AA236,'Raw Data'!AC236,'Raw Data'!AE236,'Raw Data'!AG236,'Raw Data'!AI236),"")</f>
        <v/>
      </c>
      <c r="N249" s="14">
        <f>IF(L249&lt;&gt;"",L249-M249,"")</f>
        <v/>
      </c>
      <c r="O249" s="14">
        <f>IF('Raw Data'!A236&lt;&gt;"",AVERAGE('Raw Data'!AJ236,'Raw Data'!AL236,'Raw Data'!AN236,'Raw Data'!AP236,'Raw Data'!AR236),"")</f>
        <v/>
      </c>
      <c r="P249" s="14">
        <f>IF('Raw Data'!A236&lt;&gt;"",AVERAGE('Raw Data'!AK236,'Raw Data'!AM236,'Raw Data'!AO236,'Raw Data'!AQ236,'Raw Data'!AS236),"")</f>
        <v/>
      </c>
      <c r="Q249" s="14">
        <f>IF(O249&lt;&gt;"",O249-P249,"")</f>
        <v/>
      </c>
      <c r="R249" s="14">
        <f>IF('Raw Data'!A236&lt;&gt;"",AVERAGE('Raw Data'!AT236,'Raw Data'!AV236,'Raw Data'!AX236,'Raw Data'!AZ236,'Raw Data'!BB236),"")</f>
        <v/>
      </c>
      <c r="S249" s="14">
        <f>IF('Raw Data'!A236&lt;&gt;"",AVERAGE('Raw Data'!AU236,'Raw Data'!AW236,'Raw Data'!AY236,'Raw Data'!BA236,'Raw Data'!BC236),"")</f>
        <v/>
      </c>
      <c r="T249" s="14">
        <f>IF(R249&lt;&gt;"",R249-S249,"")</f>
        <v/>
      </c>
      <c r="U249" s="14">
        <f>IF('Raw Data'!A236&lt;&gt;"",AVERAGE('Raw Data'!BD236,'Raw Data'!BF236,'Raw Data'!BH236,'Raw Data'!BJ236,'Raw Data'!BL236),"")</f>
        <v/>
      </c>
      <c r="V249" s="14">
        <f>IF('Raw Data'!A236&lt;&gt;"",AVERAGE('Raw Data'!BE236,'Raw Data'!BG236,'Raw Data'!BI236,'Raw Data'!BK236,'Raw Data'!BM236),"")</f>
        <v/>
      </c>
      <c r="W249" s="14">
        <f>IF(U249&lt;&gt;"",U249-V249,"")</f>
        <v/>
      </c>
      <c r="X249" s="14">
        <f>IF(A249&lt;&gt;"",AVERAGE(F249,I249,L249,O249,R249,U249),"")</f>
        <v/>
      </c>
      <c r="Y249" s="14">
        <f>IF(A249&lt;&gt;"",AVERAGE(G249,J249,M249,P249,S249,V249),"")</f>
        <v/>
      </c>
      <c r="Z249" s="14">
        <f>IF(A249&lt;&gt;"",X249-Y249,"")</f>
        <v/>
      </c>
      <c r="AA249" s="15">
        <f>IF(A249&lt;&gt;"",ROUND(MIN(100,100*((MAX(0,K249)*0.25)+(MAX(0,Q249)*0.20)+(MAX(0,W249)*0.20)+(MAX(0,H249)*0.15)+(MAX(0,N249)*0.10)+(MAX(0,T249)*0.10))/9),1),"")</f>
        <v/>
      </c>
      <c r="AB249" s="28">
        <f>IF(A249&lt;&gt;"",MIN(1,(0.5*AA249/100)+(0.3*MAX(0,K249)/9)+(0.2*MAX(0,Q249)/9)),"")</f>
        <v/>
      </c>
    </row>
    <row r="250">
      <c r="A250" s="13">
        <f>IF('Raw Data'!A237&lt;&gt;"",'Raw Data'!A237,"")</f>
        <v/>
      </c>
      <c r="B250" s="13">
        <f>IF('Raw Data'!B237&lt;&gt;"",'Raw Data'!B237,"")</f>
        <v/>
      </c>
      <c r="C250" s="13">
        <f>IF('Raw Data'!C237&lt;&gt;"",'Raw Data'!C237,"")</f>
        <v/>
      </c>
      <c r="D250" s="13">
        <f>IF('Raw Data'!D237&lt;&gt;"",'Raw Data'!D237,"")</f>
        <v/>
      </c>
      <c r="E250" s="13">
        <f>IF('Raw Data'!E237&lt;&gt;"",'Raw Data'!E237,"")</f>
        <v/>
      </c>
      <c r="F250" s="17">
        <f>IF('Raw Data'!A237&lt;&gt;"",AVERAGE('Raw Data'!F237,'Raw Data'!H237,'Raw Data'!J237,'Raw Data'!L237,'Raw Data'!N237),"")</f>
        <v/>
      </c>
      <c r="G250" s="17">
        <f>IF('Raw Data'!A237&lt;&gt;"",AVERAGE('Raw Data'!G237,'Raw Data'!I237,'Raw Data'!K237,'Raw Data'!M237,'Raw Data'!O237),"")</f>
        <v/>
      </c>
      <c r="H250" s="17">
        <f>IF(F250&lt;&gt;"",F250-G250,"")</f>
        <v/>
      </c>
      <c r="I250" s="17">
        <f>IF('Raw Data'!A237&lt;&gt;"",AVERAGE('Raw Data'!P237,'Raw Data'!R237,'Raw Data'!T237,'Raw Data'!V237,'Raw Data'!X237),"")</f>
        <v/>
      </c>
      <c r="J250" s="17">
        <f>IF('Raw Data'!A237&lt;&gt;"",AVERAGE('Raw Data'!Q237,'Raw Data'!S237,'Raw Data'!U237,'Raw Data'!W237,'Raw Data'!Y237),"")</f>
        <v/>
      </c>
      <c r="K250" s="17">
        <f>IF(I250&lt;&gt;"",I250-J250,"")</f>
        <v/>
      </c>
      <c r="L250" s="17">
        <f>IF('Raw Data'!A237&lt;&gt;"",AVERAGE('Raw Data'!Z237,'Raw Data'!AB237,'Raw Data'!AD237,'Raw Data'!AF237,'Raw Data'!AH237),"")</f>
        <v/>
      </c>
      <c r="M250" s="17">
        <f>IF('Raw Data'!A237&lt;&gt;"",AVERAGE('Raw Data'!AA237,'Raw Data'!AC237,'Raw Data'!AE237,'Raw Data'!AG237,'Raw Data'!AI237),"")</f>
        <v/>
      </c>
      <c r="N250" s="17">
        <f>IF(L250&lt;&gt;"",L250-M250,"")</f>
        <v/>
      </c>
      <c r="O250" s="17">
        <f>IF('Raw Data'!A237&lt;&gt;"",AVERAGE('Raw Data'!AJ237,'Raw Data'!AL237,'Raw Data'!AN237,'Raw Data'!AP237,'Raw Data'!AR237),"")</f>
        <v/>
      </c>
      <c r="P250" s="17">
        <f>IF('Raw Data'!A237&lt;&gt;"",AVERAGE('Raw Data'!AK237,'Raw Data'!AM237,'Raw Data'!AO237,'Raw Data'!AQ237,'Raw Data'!AS237),"")</f>
        <v/>
      </c>
      <c r="Q250" s="17">
        <f>IF(O250&lt;&gt;"",O250-P250,"")</f>
        <v/>
      </c>
      <c r="R250" s="17">
        <f>IF('Raw Data'!A237&lt;&gt;"",AVERAGE('Raw Data'!AT237,'Raw Data'!AV237,'Raw Data'!AX237,'Raw Data'!AZ237,'Raw Data'!BB237),"")</f>
        <v/>
      </c>
      <c r="S250" s="17">
        <f>IF('Raw Data'!A237&lt;&gt;"",AVERAGE('Raw Data'!AU237,'Raw Data'!AW237,'Raw Data'!AY237,'Raw Data'!BA237,'Raw Data'!BC237),"")</f>
        <v/>
      </c>
      <c r="T250" s="17">
        <f>IF(R250&lt;&gt;"",R250-S250,"")</f>
        <v/>
      </c>
      <c r="U250" s="17">
        <f>IF('Raw Data'!A237&lt;&gt;"",AVERAGE('Raw Data'!BD237,'Raw Data'!BF237,'Raw Data'!BH237,'Raw Data'!BJ237,'Raw Data'!BL237),"")</f>
        <v/>
      </c>
      <c r="V250" s="17">
        <f>IF('Raw Data'!A237&lt;&gt;"",AVERAGE('Raw Data'!BE237,'Raw Data'!BG237,'Raw Data'!BI237,'Raw Data'!BK237,'Raw Data'!BM237),"")</f>
        <v/>
      </c>
      <c r="W250" s="17">
        <f>IF(U250&lt;&gt;"",U250-V250,"")</f>
        <v/>
      </c>
      <c r="X250" s="17">
        <f>IF(A250&lt;&gt;"",AVERAGE(F250,I250,L250,O250,R250,U250),"")</f>
        <v/>
      </c>
      <c r="Y250" s="17">
        <f>IF(A250&lt;&gt;"",AVERAGE(G250,J250,M250,P250,S250,V250),"")</f>
        <v/>
      </c>
      <c r="Z250" s="17">
        <f>IF(A250&lt;&gt;"",X250-Y250,"")</f>
        <v/>
      </c>
      <c r="AA250" s="18">
        <f>IF(A250&lt;&gt;"",ROUND(MIN(100,100*((MAX(0,K250)*0.25)+(MAX(0,Q250)*0.20)+(MAX(0,W250)*0.20)+(MAX(0,H250)*0.15)+(MAX(0,N250)*0.10)+(MAX(0,T250)*0.10))/9),1),"")</f>
        <v/>
      </c>
      <c r="AB250" s="29">
        <f>IF(A250&lt;&gt;"",MIN(1,(0.5*AA250/100)+(0.3*MAX(0,K250)/9)+(0.2*MAX(0,Q250)/9)),"")</f>
        <v/>
      </c>
    </row>
    <row r="251">
      <c r="A251" s="4">
        <f>IF('Raw Data'!A238&lt;&gt;"",'Raw Data'!A238,"")</f>
        <v/>
      </c>
      <c r="B251" s="4">
        <f>IF('Raw Data'!B238&lt;&gt;"",'Raw Data'!B238,"")</f>
        <v/>
      </c>
      <c r="C251" s="4">
        <f>IF('Raw Data'!C238&lt;&gt;"",'Raw Data'!C238,"")</f>
        <v/>
      </c>
      <c r="D251" s="4">
        <f>IF('Raw Data'!D238&lt;&gt;"",'Raw Data'!D238,"")</f>
        <v/>
      </c>
      <c r="E251" s="4">
        <f>IF('Raw Data'!E238&lt;&gt;"",'Raw Data'!E238,"")</f>
        <v/>
      </c>
      <c r="F251" s="14">
        <f>IF('Raw Data'!A238&lt;&gt;"",AVERAGE('Raw Data'!F238,'Raw Data'!H238,'Raw Data'!J238,'Raw Data'!L238,'Raw Data'!N238),"")</f>
        <v/>
      </c>
      <c r="G251" s="14">
        <f>IF('Raw Data'!A238&lt;&gt;"",AVERAGE('Raw Data'!G238,'Raw Data'!I238,'Raw Data'!K238,'Raw Data'!M238,'Raw Data'!O238),"")</f>
        <v/>
      </c>
      <c r="H251" s="14">
        <f>IF(F251&lt;&gt;"",F251-G251,"")</f>
        <v/>
      </c>
      <c r="I251" s="14">
        <f>IF('Raw Data'!A238&lt;&gt;"",AVERAGE('Raw Data'!P238,'Raw Data'!R238,'Raw Data'!T238,'Raw Data'!V238,'Raw Data'!X238),"")</f>
        <v/>
      </c>
      <c r="J251" s="14">
        <f>IF('Raw Data'!A238&lt;&gt;"",AVERAGE('Raw Data'!Q238,'Raw Data'!S238,'Raw Data'!U238,'Raw Data'!W238,'Raw Data'!Y238),"")</f>
        <v/>
      </c>
      <c r="K251" s="14">
        <f>IF(I251&lt;&gt;"",I251-J251,"")</f>
        <v/>
      </c>
      <c r="L251" s="14">
        <f>IF('Raw Data'!A238&lt;&gt;"",AVERAGE('Raw Data'!Z238,'Raw Data'!AB238,'Raw Data'!AD238,'Raw Data'!AF238,'Raw Data'!AH238),"")</f>
        <v/>
      </c>
      <c r="M251" s="14">
        <f>IF('Raw Data'!A238&lt;&gt;"",AVERAGE('Raw Data'!AA238,'Raw Data'!AC238,'Raw Data'!AE238,'Raw Data'!AG238,'Raw Data'!AI238),"")</f>
        <v/>
      </c>
      <c r="N251" s="14">
        <f>IF(L251&lt;&gt;"",L251-M251,"")</f>
        <v/>
      </c>
      <c r="O251" s="14">
        <f>IF('Raw Data'!A238&lt;&gt;"",AVERAGE('Raw Data'!AJ238,'Raw Data'!AL238,'Raw Data'!AN238,'Raw Data'!AP238,'Raw Data'!AR238),"")</f>
        <v/>
      </c>
      <c r="P251" s="14">
        <f>IF('Raw Data'!A238&lt;&gt;"",AVERAGE('Raw Data'!AK238,'Raw Data'!AM238,'Raw Data'!AO238,'Raw Data'!AQ238,'Raw Data'!AS238),"")</f>
        <v/>
      </c>
      <c r="Q251" s="14">
        <f>IF(O251&lt;&gt;"",O251-P251,"")</f>
        <v/>
      </c>
      <c r="R251" s="14">
        <f>IF('Raw Data'!A238&lt;&gt;"",AVERAGE('Raw Data'!AT238,'Raw Data'!AV238,'Raw Data'!AX238,'Raw Data'!AZ238,'Raw Data'!BB238),"")</f>
        <v/>
      </c>
      <c r="S251" s="14">
        <f>IF('Raw Data'!A238&lt;&gt;"",AVERAGE('Raw Data'!AU238,'Raw Data'!AW238,'Raw Data'!AY238,'Raw Data'!BA238,'Raw Data'!BC238),"")</f>
        <v/>
      </c>
      <c r="T251" s="14">
        <f>IF(R251&lt;&gt;"",R251-S251,"")</f>
        <v/>
      </c>
      <c r="U251" s="14">
        <f>IF('Raw Data'!A238&lt;&gt;"",AVERAGE('Raw Data'!BD238,'Raw Data'!BF238,'Raw Data'!BH238,'Raw Data'!BJ238,'Raw Data'!BL238),"")</f>
        <v/>
      </c>
      <c r="V251" s="14">
        <f>IF('Raw Data'!A238&lt;&gt;"",AVERAGE('Raw Data'!BE238,'Raw Data'!BG238,'Raw Data'!BI238,'Raw Data'!BK238,'Raw Data'!BM238),"")</f>
        <v/>
      </c>
      <c r="W251" s="14">
        <f>IF(U251&lt;&gt;"",U251-V251,"")</f>
        <v/>
      </c>
      <c r="X251" s="14">
        <f>IF(A251&lt;&gt;"",AVERAGE(F251,I251,L251,O251,R251,U251),"")</f>
        <v/>
      </c>
      <c r="Y251" s="14">
        <f>IF(A251&lt;&gt;"",AVERAGE(G251,J251,M251,P251,S251,V251),"")</f>
        <v/>
      </c>
      <c r="Z251" s="14">
        <f>IF(A251&lt;&gt;"",X251-Y251,"")</f>
        <v/>
      </c>
      <c r="AA251" s="15">
        <f>IF(A251&lt;&gt;"",ROUND(MIN(100,100*((MAX(0,K251)*0.25)+(MAX(0,Q251)*0.20)+(MAX(0,W251)*0.20)+(MAX(0,H251)*0.15)+(MAX(0,N251)*0.10)+(MAX(0,T251)*0.10))/9),1),"")</f>
        <v/>
      </c>
      <c r="AB251" s="28">
        <f>IF(A251&lt;&gt;"",MIN(1,(0.5*AA251/100)+(0.3*MAX(0,K251)/9)+(0.2*MAX(0,Q251)/9)),"")</f>
        <v/>
      </c>
    </row>
    <row r="252">
      <c r="A252" s="13">
        <f>IF('Raw Data'!A239&lt;&gt;"",'Raw Data'!A239,"")</f>
        <v/>
      </c>
      <c r="B252" s="13">
        <f>IF('Raw Data'!B239&lt;&gt;"",'Raw Data'!B239,"")</f>
        <v/>
      </c>
      <c r="C252" s="13">
        <f>IF('Raw Data'!C239&lt;&gt;"",'Raw Data'!C239,"")</f>
        <v/>
      </c>
      <c r="D252" s="13">
        <f>IF('Raw Data'!D239&lt;&gt;"",'Raw Data'!D239,"")</f>
        <v/>
      </c>
      <c r="E252" s="13">
        <f>IF('Raw Data'!E239&lt;&gt;"",'Raw Data'!E239,"")</f>
        <v/>
      </c>
      <c r="F252" s="17">
        <f>IF('Raw Data'!A239&lt;&gt;"",AVERAGE('Raw Data'!F239,'Raw Data'!H239,'Raw Data'!J239,'Raw Data'!L239,'Raw Data'!N239),"")</f>
        <v/>
      </c>
      <c r="G252" s="17">
        <f>IF('Raw Data'!A239&lt;&gt;"",AVERAGE('Raw Data'!G239,'Raw Data'!I239,'Raw Data'!K239,'Raw Data'!M239,'Raw Data'!O239),"")</f>
        <v/>
      </c>
      <c r="H252" s="17">
        <f>IF(F252&lt;&gt;"",F252-G252,"")</f>
        <v/>
      </c>
      <c r="I252" s="17">
        <f>IF('Raw Data'!A239&lt;&gt;"",AVERAGE('Raw Data'!P239,'Raw Data'!R239,'Raw Data'!T239,'Raw Data'!V239,'Raw Data'!X239),"")</f>
        <v/>
      </c>
      <c r="J252" s="17">
        <f>IF('Raw Data'!A239&lt;&gt;"",AVERAGE('Raw Data'!Q239,'Raw Data'!S239,'Raw Data'!U239,'Raw Data'!W239,'Raw Data'!Y239),"")</f>
        <v/>
      </c>
      <c r="K252" s="17">
        <f>IF(I252&lt;&gt;"",I252-J252,"")</f>
        <v/>
      </c>
      <c r="L252" s="17">
        <f>IF('Raw Data'!A239&lt;&gt;"",AVERAGE('Raw Data'!Z239,'Raw Data'!AB239,'Raw Data'!AD239,'Raw Data'!AF239,'Raw Data'!AH239),"")</f>
        <v/>
      </c>
      <c r="M252" s="17">
        <f>IF('Raw Data'!A239&lt;&gt;"",AVERAGE('Raw Data'!AA239,'Raw Data'!AC239,'Raw Data'!AE239,'Raw Data'!AG239,'Raw Data'!AI239),"")</f>
        <v/>
      </c>
      <c r="N252" s="17">
        <f>IF(L252&lt;&gt;"",L252-M252,"")</f>
        <v/>
      </c>
      <c r="O252" s="17">
        <f>IF('Raw Data'!A239&lt;&gt;"",AVERAGE('Raw Data'!AJ239,'Raw Data'!AL239,'Raw Data'!AN239,'Raw Data'!AP239,'Raw Data'!AR239),"")</f>
        <v/>
      </c>
      <c r="P252" s="17">
        <f>IF('Raw Data'!A239&lt;&gt;"",AVERAGE('Raw Data'!AK239,'Raw Data'!AM239,'Raw Data'!AO239,'Raw Data'!AQ239,'Raw Data'!AS239),"")</f>
        <v/>
      </c>
      <c r="Q252" s="17">
        <f>IF(O252&lt;&gt;"",O252-P252,"")</f>
        <v/>
      </c>
      <c r="R252" s="17">
        <f>IF('Raw Data'!A239&lt;&gt;"",AVERAGE('Raw Data'!AT239,'Raw Data'!AV239,'Raw Data'!AX239,'Raw Data'!AZ239,'Raw Data'!BB239),"")</f>
        <v/>
      </c>
      <c r="S252" s="17">
        <f>IF('Raw Data'!A239&lt;&gt;"",AVERAGE('Raw Data'!AU239,'Raw Data'!AW239,'Raw Data'!AY239,'Raw Data'!BA239,'Raw Data'!BC239),"")</f>
        <v/>
      </c>
      <c r="T252" s="17">
        <f>IF(R252&lt;&gt;"",R252-S252,"")</f>
        <v/>
      </c>
      <c r="U252" s="17">
        <f>IF('Raw Data'!A239&lt;&gt;"",AVERAGE('Raw Data'!BD239,'Raw Data'!BF239,'Raw Data'!BH239,'Raw Data'!BJ239,'Raw Data'!BL239),"")</f>
        <v/>
      </c>
      <c r="V252" s="17">
        <f>IF('Raw Data'!A239&lt;&gt;"",AVERAGE('Raw Data'!BE239,'Raw Data'!BG239,'Raw Data'!BI239,'Raw Data'!BK239,'Raw Data'!BM239),"")</f>
        <v/>
      </c>
      <c r="W252" s="17">
        <f>IF(U252&lt;&gt;"",U252-V252,"")</f>
        <v/>
      </c>
      <c r="X252" s="17">
        <f>IF(A252&lt;&gt;"",AVERAGE(F252,I252,L252,O252,R252,U252),"")</f>
        <v/>
      </c>
      <c r="Y252" s="17">
        <f>IF(A252&lt;&gt;"",AVERAGE(G252,J252,M252,P252,S252,V252),"")</f>
        <v/>
      </c>
      <c r="Z252" s="17">
        <f>IF(A252&lt;&gt;"",X252-Y252,"")</f>
        <v/>
      </c>
      <c r="AA252" s="18">
        <f>IF(A252&lt;&gt;"",ROUND(MIN(100,100*((MAX(0,K252)*0.25)+(MAX(0,Q252)*0.20)+(MAX(0,W252)*0.20)+(MAX(0,H252)*0.15)+(MAX(0,N252)*0.10)+(MAX(0,T252)*0.10))/9),1),"")</f>
        <v/>
      </c>
      <c r="AB252" s="29">
        <f>IF(A252&lt;&gt;"",MIN(1,(0.5*AA252/100)+(0.3*MAX(0,K252)/9)+(0.2*MAX(0,Q252)/9)),"")</f>
        <v/>
      </c>
    </row>
    <row r="253">
      <c r="A253" s="4">
        <f>IF('Raw Data'!A240&lt;&gt;"",'Raw Data'!A240,"")</f>
        <v/>
      </c>
      <c r="B253" s="4">
        <f>IF('Raw Data'!B240&lt;&gt;"",'Raw Data'!B240,"")</f>
        <v/>
      </c>
      <c r="C253" s="4">
        <f>IF('Raw Data'!C240&lt;&gt;"",'Raw Data'!C240,"")</f>
        <v/>
      </c>
      <c r="D253" s="4">
        <f>IF('Raw Data'!D240&lt;&gt;"",'Raw Data'!D240,"")</f>
        <v/>
      </c>
      <c r="E253" s="4">
        <f>IF('Raw Data'!E240&lt;&gt;"",'Raw Data'!E240,"")</f>
        <v/>
      </c>
      <c r="F253" s="14">
        <f>IF('Raw Data'!A240&lt;&gt;"",AVERAGE('Raw Data'!F240,'Raw Data'!H240,'Raw Data'!J240,'Raw Data'!L240,'Raw Data'!N240),"")</f>
        <v/>
      </c>
      <c r="G253" s="14">
        <f>IF('Raw Data'!A240&lt;&gt;"",AVERAGE('Raw Data'!G240,'Raw Data'!I240,'Raw Data'!K240,'Raw Data'!M240,'Raw Data'!O240),"")</f>
        <v/>
      </c>
      <c r="H253" s="14">
        <f>IF(F253&lt;&gt;"",F253-G253,"")</f>
        <v/>
      </c>
      <c r="I253" s="14">
        <f>IF('Raw Data'!A240&lt;&gt;"",AVERAGE('Raw Data'!P240,'Raw Data'!R240,'Raw Data'!T240,'Raw Data'!V240,'Raw Data'!X240),"")</f>
        <v/>
      </c>
      <c r="J253" s="14">
        <f>IF('Raw Data'!A240&lt;&gt;"",AVERAGE('Raw Data'!Q240,'Raw Data'!S240,'Raw Data'!U240,'Raw Data'!W240,'Raw Data'!Y240),"")</f>
        <v/>
      </c>
      <c r="K253" s="14">
        <f>IF(I253&lt;&gt;"",I253-J253,"")</f>
        <v/>
      </c>
      <c r="L253" s="14">
        <f>IF('Raw Data'!A240&lt;&gt;"",AVERAGE('Raw Data'!Z240,'Raw Data'!AB240,'Raw Data'!AD240,'Raw Data'!AF240,'Raw Data'!AH240),"")</f>
        <v/>
      </c>
      <c r="M253" s="14">
        <f>IF('Raw Data'!A240&lt;&gt;"",AVERAGE('Raw Data'!AA240,'Raw Data'!AC240,'Raw Data'!AE240,'Raw Data'!AG240,'Raw Data'!AI240),"")</f>
        <v/>
      </c>
      <c r="N253" s="14">
        <f>IF(L253&lt;&gt;"",L253-M253,"")</f>
        <v/>
      </c>
      <c r="O253" s="14">
        <f>IF('Raw Data'!A240&lt;&gt;"",AVERAGE('Raw Data'!AJ240,'Raw Data'!AL240,'Raw Data'!AN240,'Raw Data'!AP240,'Raw Data'!AR240),"")</f>
        <v/>
      </c>
      <c r="P253" s="14">
        <f>IF('Raw Data'!A240&lt;&gt;"",AVERAGE('Raw Data'!AK240,'Raw Data'!AM240,'Raw Data'!AO240,'Raw Data'!AQ240,'Raw Data'!AS240),"")</f>
        <v/>
      </c>
      <c r="Q253" s="14">
        <f>IF(O253&lt;&gt;"",O253-P253,"")</f>
        <v/>
      </c>
      <c r="R253" s="14">
        <f>IF('Raw Data'!A240&lt;&gt;"",AVERAGE('Raw Data'!AT240,'Raw Data'!AV240,'Raw Data'!AX240,'Raw Data'!AZ240,'Raw Data'!BB240),"")</f>
        <v/>
      </c>
      <c r="S253" s="14">
        <f>IF('Raw Data'!A240&lt;&gt;"",AVERAGE('Raw Data'!AU240,'Raw Data'!AW240,'Raw Data'!AY240,'Raw Data'!BA240,'Raw Data'!BC240),"")</f>
        <v/>
      </c>
      <c r="T253" s="14">
        <f>IF(R253&lt;&gt;"",R253-S253,"")</f>
        <v/>
      </c>
      <c r="U253" s="14">
        <f>IF('Raw Data'!A240&lt;&gt;"",AVERAGE('Raw Data'!BD240,'Raw Data'!BF240,'Raw Data'!BH240,'Raw Data'!BJ240,'Raw Data'!BL240),"")</f>
        <v/>
      </c>
      <c r="V253" s="14">
        <f>IF('Raw Data'!A240&lt;&gt;"",AVERAGE('Raw Data'!BE240,'Raw Data'!BG240,'Raw Data'!BI240,'Raw Data'!BK240,'Raw Data'!BM240),"")</f>
        <v/>
      </c>
      <c r="W253" s="14">
        <f>IF(U253&lt;&gt;"",U253-V253,"")</f>
        <v/>
      </c>
      <c r="X253" s="14">
        <f>IF(A253&lt;&gt;"",AVERAGE(F253,I253,L253,O253,R253,U253),"")</f>
        <v/>
      </c>
      <c r="Y253" s="14">
        <f>IF(A253&lt;&gt;"",AVERAGE(G253,J253,M253,P253,S253,V253),"")</f>
        <v/>
      </c>
      <c r="Z253" s="14">
        <f>IF(A253&lt;&gt;"",X253-Y253,"")</f>
        <v/>
      </c>
      <c r="AA253" s="15">
        <f>IF(A253&lt;&gt;"",ROUND(MIN(100,100*((MAX(0,K253)*0.25)+(MAX(0,Q253)*0.20)+(MAX(0,W253)*0.20)+(MAX(0,H253)*0.15)+(MAX(0,N253)*0.10)+(MAX(0,T253)*0.10))/9),1),"")</f>
        <v/>
      </c>
      <c r="AB253" s="28">
        <f>IF(A253&lt;&gt;"",MIN(1,(0.5*AA253/100)+(0.3*MAX(0,K253)/9)+(0.2*MAX(0,Q253)/9)),"")</f>
        <v/>
      </c>
    </row>
    <row r="254">
      <c r="A254" s="13">
        <f>IF('Raw Data'!A241&lt;&gt;"",'Raw Data'!A241,"")</f>
        <v/>
      </c>
      <c r="B254" s="13">
        <f>IF('Raw Data'!B241&lt;&gt;"",'Raw Data'!B241,"")</f>
        <v/>
      </c>
      <c r="C254" s="13">
        <f>IF('Raw Data'!C241&lt;&gt;"",'Raw Data'!C241,"")</f>
        <v/>
      </c>
      <c r="D254" s="13">
        <f>IF('Raw Data'!D241&lt;&gt;"",'Raw Data'!D241,"")</f>
        <v/>
      </c>
      <c r="E254" s="13">
        <f>IF('Raw Data'!E241&lt;&gt;"",'Raw Data'!E241,"")</f>
        <v/>
      </c>
      <c r="F254" s="17">
        <f>IF('Raw Data'!A241&lt;&gt;"",AVERAGE('Raw Data'!F241,'Raw Data'!H241,'Raw Data'!J241,'Raw Data'!L241,'Raw Data'!N241),"")</f>
        <v/>
      </c>
      <c r="G254" s="17">
        <f>IF('Raw Data'!A241&lt;&gt;"",AVERAGE('Raw Data'!G241,'Raw Data'!I241,'Raw Data'!K241,'Raw Data'!M241,'Raw Data'!O241),"")</f>
        <v/>
      </c>
      <c r="H254" s="17">
        <f>IF(F254&lt;&gt;"",F254-G254,"")</f>
        <v/>
      </c>
      <c r="I254" s="17">
        <f>IF('Raw Data'!A241&lt;&gt;"",AVERAGE('Raw Data'!P241,'Raw Data'!R241,'Raw Data'!T241,'Raw Data'!V241,'Raw Data'!X241),"")</f>
        <v/>
      </c>
      <c r="J254" s="17">
        <f>IF('Raw Data'!A241&lt;&gt;"",AVERAGE('Raw Data'!Q241,'Raw Data'!S241,'Raw Data'!U241,'Raw Data'!W241,'Raw Data'!Y241),"")</f>
        <v/>
      </c>
      <c r="K254" s="17">
        <f>IF(I254&lt;&gt;"",I254-J254,"")</f>
        <v/>
      </c>
      <c r="L254" s="17">
        <f>IF('Raw Data'!A241&lt;&gt;"",AVERAGE('Raw Data'!Z241,'Raw Data'!AB241,'Raw Data'!AD241,'Raw Data'!AF241,'Raw Data'!AH241),"")</f>
        <v/>
      </c>
      <c r="M254" s="17">
        <f>IF('Raw Data'!A241&lt;&gt;"",AVERAGE('Raw Data'!AA241,'Raw Data'!AC241,'Raw Data'!AE241,'Raw Data'!AG241,'Raw Data'!AI241),"")</f>
        <v/>
      </c>
      <c r="N254" s="17">
        <f>IF(L254&lt;&gt;"",L254-M254,"")</f>
        <v/>
      </c>
      <c r="O254" s="17">
        <f>IF('Raw Data'!A241&lt;&gt;"",AVERAGE('Raw Data'!AJ241,'Raw Data'!AL241,'Raw Data'!AN241,'Raw Data'!AP241,'Raw Data'!AR241),"")</f>
        <v/>
      </c>
      <c r="P254" s="17">
        <f>IF('Raw Data'!A241&lt;&gt;"",AVERAGE('Raw Data'!AK241,'Raw Data'!AM241,'Raw Data'!AO241,'Raw Data'!AQ241,'Raw Data'!AS241),"")</f>
        <v/>
      </c>
      <c r="Q254" s="17">
        <f>IF(O254&lt;&gt;"",O254-P254,"")</f>
        <v/>
      </c>
      <c r="R254" s="17">
        <f>IF('Raw Data'!A241&lt;&gt;"",AVERAGE('Raw Data'!AT241,'Raw Data'!AV241,'Raw Data'!AX241,'Raw Data'!AZ241,'Raw Data'!BB241),"")</f>
        <v/>
      </c>
      <c r="S254" s="17">
        <f>IF('Raw Data'!A241&lt;&gt;"",AVERAGE('Raw Data'!AU241,'Raw Data'!AW241,'Raw Data'!AY241,'Raw Data'!BA241,'Raw Data'!BC241),"")</f>
        <v/>
      </c>
      <c r="T254" s="17">
        <f>IF(R254&lt;&gt;"",R254-S254,"")</f>
        <v/>
      </c>
      <c r="U254" s="17">
        <f>IF('Raw Data'!A241&lt;&gt;"",AVERAGE('Raw Data'!BD241,'Raw Data'!BF241,'Raw Data'!BH241,'Raw Data'!BJ241,'Raw Data'!BL241),"")</f>
        <v/>
      </c>
      <c r="V254" s="17">
        <f>IF('Raw Data'!A241&lt;&gt;"",AVERAGE('Raw Data'!BE241,'Raw Data'!BG241,'Raw Data'!BI241,'Raw Data'!BK241,'Raw Data'!BM241),"")</f>
        <v/>
      </c>
      <c r="W254" s="17">
        <f>IF(U254&lt;&gt;"",U254-V254,"")</f>
        <v/>
      </c>
      <c r="X254" s="17">
        <f>IF(A254&lt;&gt;"",AVERAGE(F254,I254,L254,O254,R254,U254),"")</f>
        <v/>
      </c>
      <c r="Y254" s="17">
        <f>IF(A254&lt;&gt;"",AVERAGE(G254,J254,M254,P254,S254,V254),"")</f>
        <v/>
      </c>
      <c r="Z254" s="17">
        <f>IF(A254&lt;&gt;"",X254-Y254,"")</f>
        <v/>
      </c>
      <c r="AA254" s="18">
        <f>IF(A254&lt;&gt;"",ROUND(MIN(100,100*((MAX(0,K254)*0.25)+(MAX(0,Q254)*0.20)+(MAX(0,W254)*0.20)+(MAX(0,H254)*0.15)+(MAX(0,N254)*0.10)+(MAX(0,T254)*0.10))/9),1),"")</f>
        <v/>
      </c>
      <c r="AB254" s="29">
        <f>IF(A254&lt;&gt;"",MIN(1,(0.5*AA254/100)+(0.3*MAX(0,K254)/9)+(0.2*MAX(0,Q254)/9)),"")</f>
        <v/>
      </c>
    </row>
    <row r="255">
      <c r="A255" s="4">
        <f>IF('Raw Data'!A242&lt;&gt;"",'Raw Data'!A242,"")</f>
        <v/>
      </c>
      <c r="B255" s="4">
        <f>IF('Raw Data'!B242&lt;&gt;"",'Raw Data'!B242,"")</f>
        <v/>
      </c>
      <c r="C255" s="4">
        <f>IF('Raw Data'!C242&lt;&gt;"",'Raw Data'!C242,"")</f>
        <v/>
      </c>
      <c r="D255" s="4">
        <f>IF('Raw Data'!D242&lt;&gt;"",'Raw Data'!D242,"")</f>
        <v/>
      </c>
      <c r="E255" s="4">
        <f>IF('Raw Data'!E242&lt;&gt;"",'Raw Data'!E242,"")</f>
        <v/>
      </c>
      <c r="F255" s="14">
        <f>IF('Raw Data'!A242&lt;&gt;"",AVERAGE('Raw Data'!F242,'Raw Data'!H242,'Raw Data'!J242,'Raw Data'!L242,'Raw Data'!N242),"")</f>
        <v/>
      </c>
      <c r="G255" s="14">
        <f>IF('Raw Data'!A242&lt;&gt;"",AVERAGE('Raw Data'!G242,'Raw Data'!I242,'Raw Data'!K242,'Raw Data'!M242,'Raw Data'!O242),"")</f>
        <v/>
      </c>
      <c r="H255" s="14">
        <f>IF(F255&lt;&gt;"",F255-G255,"")</f>
        <v/>
      </c>
      <c r="I255" s="14">
        <f>IF('Raw Data'!A242&lt;&gt;"",AVERAGE('Raw Data'!P242,'Raw Data'!R242,'Raw Data'!T242,'Raw Data'!V242,'Raw Data'!X242),"")</f>
        <v/>
      </c>
      <c r="J255" s="14">
        <f>IF('Raw Data'!A242&lt;&gt;"",AVERAGE('Raw Data'!Q242,'Raw Data'!S242,'Raw Data'!U242,'Raw Data'!W242,'Raw Data'!Y242),"")</f>
        <v/>
      </c>
      <c r="K255" s="14">
        <f>IF(I255&lt;&gt;"",I255-J255,"")</f>
        <v/>
      </c>
      <c r="L255" s="14">
        <f>IF('Raw Data'!A242&lt;&gt;"",AVERAGE('Raw Data'!Z242,'Raw Data'!AB242,'Raw Data'!AD242,'Raw Data'!AF242,'Raw Data'!AH242),"")</f>
        <v/>
      </c>
      <c r="M255" s="14">
        <f>IF('Raw Data'!A242&lt;&gt;"",AVERAGE('Raw Data'!AA242,'Raw Data'!AC242,'Raw Data'!AE242,'Raw Data'!AG242,'Raw Data'!AI242),"")</f>
        <v/>
      </c>
      <c r="N255" s="14">
        <f>IF(L255&lt;&gt;"",L255-M255,"")</f>
        <v/>
      </c>
      <c r="O255" s="14">
        <f>IF('Raw Data'!A242&lt;&gt;"",AVERAGE('Raw Data'!AJ242,'Raw Data'!AL242,'Raw Data'!AN242,'Raw Data'!AP242,'Raw Data'!AR242),"")</f>
        <v/>
      </c>
      <c r="P255" s="14">
        <f>IF('Raw Data'!A242&lt;&gt;"",AVERAGE('Raw Data'!AK242,'Raw Data'!AM242,'Raw Data'!AO242,'Raw Data'!AQ242,'Raw Data'!AS242),"")</f>
        <v/>
      </c>
      <c r="Q255" s="14">
        <f>IF(O255&lt;&gt;"",O255-P255,"")</f>
        <v/>
      </c>
      <c r="R255" s="14">
        <f>IF('Raw Data'!A242&lt;&gt;"",AVERAGE('Raw Data'!AT242,'Raw Data'!AV242,'Raw Data'!AX242,'Raw Data'!AZ242,'Raw Data'!BB242),"")</f>
        <v/>
      </c>
      <c r="S255" s="14">
        <f>IF('Raw Data'!A242&lt;&gt;"",AVERAGE('Raw Data'!AU242,'Raw Data'!AW242,'Raw Data'!AY242,'Raw Data'!BA242,'Raw Data'!BC242),"")</f>
        <v/>
      </c>
      <c r="T255" s="14">
        <f>IF(R255&lt;&gt;"",R255-S255,"")</f>
        <v/>
      </c>
      <c r="U255" s="14">
        <f>IF('Raw Data'!A242&lt;&gt;"",AVERAGE('Raw Data'!BD242,'Raw Data'!BF242,'Raw Data'!BH242,'Raw Data'!BJ242,'Raw Data'!BL242),"")</f>
        <v/>
      </c>
      <c r="V255" s="14">
        <f>IF('Raw Data'!A242&lt;&gt;"",AVERAGE('Raw Data'!BE242,'Raw Data'!BG242,'Raw Data'!BI242,'Raw Data'!BK242,'Raw Data'!BM242),"")</f>
        <v/>
      </c>
      <c r="W255" s="14">
        <f>IF(U255&lt;&gt;"",U255-V255,"")</f>
        <v/>
      </c>
      <c r="X255" s="14">
        <f>IF(A255&lt;&gt;"",AVERAGE(F255,I255,L255,O255,R255,U255),"")</f>
        <v/>
      </c>
      <c r="Y255" s="14">
        <f>IF(A255&lt;&gt;"",AVERAGE(G255,J255,M255,P255,S255,V255),"")</f>
        <v/>
      </c>
      <c r="Z255" s="14">
        <f>IF(A255&lt;&gt;"",X255-Y255,"")</f>
        <v/>
      </c>
      <c r="AA255" s="15">
        <f>IF(A255&lt;&gt;"",ROUND(MIN(100,100*((MAX(0,K255)*0.25)+(MAX(0,Q255)*0.20)+(MAX(0,W255)*0.20)+(MAX(0,H255)*0.15)+(MAX(0,N255)*0.10)+(MAX(0,T255)*0.10))/9),1),"")</f>
        <v/>
      </c>
      <c r="AB255" s="28">
        <f>IF(A255&lt;&gt;"",MIN(1,(0.5*AA255/100)+(0.3*MAX(0,K255)/9)+(0.2*MAX(0,Q255)/9)),"")</f>
        <v/>
      </c>
    </row>
    <row r="256">
      <c r="A256" s="13">
        <f>IF('Raw Data'!A243&lt;&gt;"",'Raw Data'!A243,"")</f>
        <v/>
      </c>
      <c r="B256" s="13">
        <f>IF('Raw Data'!B243&lt;&gt;"",'Raw Data'!B243,"")</f>
        <v/>
      </c>
      <c r="C256" s="13">
        <f>IF('Raw Data'!C243&lt;&gt;"",'Raw Data'!C243,"")</f>
        <v/>
      </c>
      <c r="D256" s="13">
        <f>IF('Raw Data'!D243&lt;&gt;"",'Raw Data'!D243,"")</f>
        <v/>
      </c>
      <c r="E256" s="13">
        <f>IF('Raw Data'!E243&lt;&gt;"",'Raw Data'!E243,"")</f>
        <v/>
      </c>
      <c r="F256" s="17">
        <f>IF('Raw Data'!A243&lt;&gt;"",AVERAGE('Raw Data'!F243,'Raw Data'!H243,'Raw Data'!J243,'Raw Data'!L243,'Raw Data'!N243),"")</f>
        <v/>
      </c>
      <c r="G256" s="17">
        <f>IF('Raw Data'!A243&lt;&gt;"",AVERAGE('Raw Data'!G243,'Raw Data'!I243,'Raw Data'!K243,'Raw Data'!M243,'Raw Data'!O243),"")</f>
        <v/>
      </c>
      <c r="H256" s="17">
        <f>IF(F256&lt;&gt;"",F256-G256,"")</f>
        <v/>
      </c>
      <c r="I256" s="17">
        <f>IF('Raw Data'!A243&lt;&gt;"",AVERAGE('Raw Data'!P243,'Raw Data'!R243,'Raw Data'!T243,'Raw Data'!V243,'Raw Data'!X243),"")</f>
        <v/>
      </c>
      <c r="J256" s="17">
        <f>IF('Raw Data'!A243&lt;&gt;"",AVERAGE('Raw Data'!Q243,'Raw Data'!S243,'Raw Data'!U243,'Raw Data'!W243,'Raw Data'!Y243),"")</f>
        <v/>
      </c>
      <c r="K256" s="17">
        <f>IF(I256&lt;&gt;"",I256-J256,"")</f>
        <v/>
      </c>
      <c r="L256" s="17">
        <f>IF('Raw Data'!A243&lt;&gt;"",AVERAGE('Raw Data'!Z243,'Raw Data'!AB243,'Raw Data'!AD243,'Raw Data'!AF243,'Raw Data'!AH243),"")</f>
        <v/>
      </c>
      <c r="M256" s="17">
        <f>IF('Raw Data'!A243&lt;&gt;"",AVERAGE('Raw Data'!AA243,'Raw Data'!AC243,'Raw Data'!AE243,'Raw Data'!AG243,'Raw Data'!AI243),"")</f>
        <v/>
      </c>
      <c r="N256" s="17">
        <f>IF(L256&lt;&gt;"",L256-M256,"")</f>
        <v/>
      </c>
      <c r="O256" s="17">
        <f>IF('Raw Data'!A243&lt;&gt;"",AVERAGE('Raw Data'!AJ243,'Raw Data'!AL243,'Raw Data'!AN243,'Raw Data'!AP243,'Raw Data'!AR243),"")</f>
        <v/>
      </c>
      <c r="P256" s="17">
        <f>IF('Raw Data'!A243&lt;&gt;"",AVERAGE('Raw Data'!AK243,'Raw Data'!AM243,'Raw Data'!AO243,'Raw Data'!AQ243,'Raw Data'!AS243),"")</f>
        <v/>
      </c>
      <c r="Q256" s="17">
        <f>IF(O256&lt;&gt;"",O256-P256,"")</f>
        <v/>
      </c>
      <c r="R256" s="17">
        <f>IF('Raw Data'!A243&lt;&gt;"",AVERAGE('Raw Data'!AT243,'Raw Data'!AV243,'Raw Data'!AX243,'Raw Data'!AZ243,'Raw Data'!BB243),"")</f>
        <v/>
      </c>
      <c r="S256" s="17">
        <f>IF('Raw Data'!A243&lt;&gt;"",AVERAGE('Raw Data'!AU243,'Raw Data'!AW243,'Raw Data'!AY243,'Raw Data'!BA243,'Raw Data'!BC243),"")</f>
        <v/>
      </c>
      <c r="T256" s="17">
        <f>IF(R256&lt;&gt;"",R256-S256,"")</f>
        <v/>
      </c>
      <c r="U256" s="17">
        <f>IF('Raw Data'!A243&lt;&gt;"",AVERAGE('Raw Data'!BD243,'Raw Data'!BF243,'Raw Data'!BH243,'Raw Data'!BJ243,'Raw Data'!BL243),"")</f>
        <v/>
      </c>
      <c r="V256" s="17">
        <f>IF('Raw Data'!A243&lt;&gt;"",AVERAGE('Raw Data'!BE243,'Raw Data'!BG243,'Raw Data'!BI243,'Raw Data'!BK243,'Raw Data'!BM243),"")</f>
        <v/>
      </c>
      <c r="W256" s="17">
        <f>IF(U256&lt;&gt;"",U256-V256,"")</f>
        <v/>
      </c>
      <c r="X256" s="17">
        <f>IF(A256&lt;&gt;"",AVERAGE(F256,I256,L256,O256,R256,U256),"")</f>
        <v/>
      </c>
      <c r="Y256" s="17">
        <f>IF(A256&lt;&gt;"",AVERAGE(G256,J256,M256,P256,S256,V256),"")</f>
        <v/>
      </c>
      <c r="Z256" s="17">
        <f>IF(A256&lt;&gt;"",X256-Y256,"")</f>
        <v/>
      </c>
      <c r="AA256" s="18">
        <f>IF(A256&lt;&gt;"",ROUND(MIN(100,100*((MAX(0,K256)*0.25)+(MAX(0,Q256)*0.20)+(MAX(0,W256)*0.20)+(MAX(0,H256)*0.15)+(MAX(0,N256)*0.10)+(MAX(0,T256)*0.10))/9),1),"")</f>
        <v/>
      </c>
      <c r="AB256" s="29">
        <f>IF(A256&lt;&gt;"",MIN(1,(0.5*AA256/100)+(0.3*MAX(0,K256)/9)+(0.2*MAX(0,Q256)/9)),"")</f>
        <v/>
      </c>
    </row>
    <row r="257">
      <c r="A257" s="4">
        <f>IF('Raw Data'!A244&lt;&gt;"",'Raw Data'!A244,"")</f>
        <v/>
      </c>
      <c r="B257" s="4">
        <f>IF('Raw Data'!B244&lt;&gt;"",'Raw Data'!B244,"")</f>
        <v/>
      </c>
      <c r="C257" s="4">
        <f>IF('Raw Data'!C244&lt;&gt;"",'Raw Data'!C244,"")</f>
        <v/>
      </c>
      <c r="D257" s="4">
        <f>IF('Raw Data'!D244&lt;&gt;"",'Raw Data'!D244,"")</f>
        <v/>
      </c>
      <c r="E257" s="4">
        <f>IF('Raw Data'!E244&lt;&gt;"",'Raw Data'!E244,"")</f>
        <v/>
      </c>
      <c r="F257" s="14">
        <f>IF('Raw Data'!A244&lt;&gt;"",AVERAGE('Raw Data'!F244,'Raw Data'!H244,'Raw Data'!J244,'Raw Data'!L244,'Raw Data'!N244),"")</f>
        <v/>
      </c>
      <c r="G257" s="14">
        <f>IF('Raw Data'!A244&lt;&gt;"",AVERAGE('Raw Data'!G244,'Raw Data'!I244,'Raw Data'!K244,'Raw Data'!M244,'Raw Data'!O244),"")</f>
        <v/>
      </c>
      <c r="H257" s="14">
        <f>IF(F257&lt;&gt;"",F257-G257,"")</f>
        <v/>
      </c>
      <c r="I257" s="14">
        <f>IF('Raw Data'!A244&lt;&gt;"",AVERAGE('Raw Data'!P244,'Raw Data'!R244,'Raw Data'!T244,'Raw Data'!V244,'Raw Data'!X244),"")</f>
        <v/>
      </c>
      <c r="J257" s="14">
        <f>IF('Raw Data'!A244&lt;&gt;"",AVERAGE('Raw Data'!Q244,'Raw Data'!S244,'Raw Data'!U244,'Raw Data'!W244,'Raw Data'!Y244),"")</f>
        <v/>
      </c>
      <c r="K257" s="14">
        <f>IF(I257&lt;&gt;"",I257-J257,"")</f>
        <v/>
      </c>
      <c r="L257" s="14">
        <f>IF('Raw Data'!A244&lt;&gt;"",AVERAGE('Raw Data'!Z244,'Raw Data'!AB244,'Raw Data'!AD244,'Raw Data'!AF244,'Raw Data'!AH244),"")</f>
        <v/>
      </c>
      <c r="M257" s="14">
        <f>IF('Raw Data'!A244&lt;&gt;"",AVERAGE('Raw Data'!AA244,'Raw Data'!AC244,'Raw Data'!AE244,'Raw Data'!AG244,'Raw Data'!AI244),"")</f>
        <v/>
      </c>
      <c r="N257" s="14">
        <f>IF(L257&lt;&gt;"",L257-M257,"")</f>
        <v/>
      </c>
      <c r="O257" s="14">
        <f>IF('Raw Data'!A244&lt;&gt;"",AVERAGE('Raw Data'!AJ244,'Raw Data'!AL244,'Raw Data'!AN244,'Raw Data'!AP244,'Raw Data'!AR244),"")</f>
        <v/>
      </c>
      <c r="P257" s="14">
        <f>IF('Raw Data'!A244&lt;&gt;"",AVERAGE('Raw Data'!AK244,'Raw Data'!AM244,'Raw Data'!AO244,'Raw Data'!AQ244,'Raw Data'!AS244),"")</f>
        <v/>
      </c>
      <c r="Q257" s="14">
        <f>IF(O257&lt;&gt;"",O257-P257,"")</f>
        <v/>
      </c>
      <c r="R257" s="14">
        <f>IF('Raw Data'!A244&lt;&gt;"",AVERAGE('Raw Data'!AT244,'Raw Data'!AV244,'Raw Data'!AX244,'Raw Data'!AZ244,'Raw Data'!BB244),"")</f>
        <v/>
      </c>
      <c r="S257" s="14">
        <f>IF('Raw Data'!A244&lt;&gt;"",AVERAGE('Raw Data'!AU244,'Raw Data'!AW244,'Raw Data'!AY244,'Raw Data'!BA244,'Raw Data'!BC244),"")</f>
        <v/>
      </c>
      <c r="T257" s="14">
        <f>IF(R257&lt;&gt;"",R257-S257,"")</f>
        <v/>
      </c>
      <c r="U257" s="14">
        <f>IF('Raw Data'!A244&lt;&gt;"",AVERAGE('Raw Data'!BD244,'Raw Data'!BF244,'Raw Data'!BH244,'Raw Data'!BJ244,'Raw Data'!BL244),"")</f>
        <v/>
      </c>
      <c r="V257" s="14">
        <f>IF('Raw Data'!A244&lt;&gt;"",AVERAGE('Raw Data'!BE244,'Raw Data'!BG244,'Raw Data'!BI244,'Raw Data'!BK244,'Raw Data'!BM244),"")</f>
        <v/>
      </c>
      <c r="W257" s="14">
        <f>IF(U257&lt;&gt;"",U257-V257,"")</f>
        <v/>
      </c>
      <c r="X257" s="14">
        <f>IF(A257&lt;&gt;"",AVERAGE(F257,I257,L257,O257,R257,U257),"")</f>
        <v/>
      </c>
      <c r="Y257" s="14">
        <f>IF(A257&lt;&gt;"",AVERAGE(G257,J257,M257,P257,S257,V257),"")</f>
        <v/>
      </c>
      <c r="Z257" s="14">
        <f>IF(A257&lt;&gt;"",X257-Y257,"")</f>
        <v/>
      </c>
      <c r="AA257" s="15">
        <f>IF(A257&lt;&gt;"",ROUND(MIN(100,100*((MAX(0,K257)*0.25)+(MAX(0,Q257)*0.20)+(MAX(0,W257)*0.20)+(MAX(0,H257)*0.15)+(MAX(0,N257)*0.10)+(MAX(0,T257)*0.10))/9),1),"")</f>
        <v/>
      </c>
      <c r="AB257" s="28">
        <f>IF(A257&lt;&gt;"",MIN(1,(0.5*AA257/100)+(0.3*MAX(0,K257)/9)+(0.2*MAX(0,Q257)/9)),"")</f>
        <v/>
      </c>
    </row>
    <row r="258">
      <c r="A258" s="13">
        <f>IF('Raw Data'!A245&lt;&gt;"",'Raw Data'!A245,"")</f>
        <v/>
      </c>
      <c r="B258" s="13">
        <f>IF('Raw Data'!B245&lt;&gt;"",'Raw Data'!B245,"")</f>
        <v/>
      </c>
      <c r="C258" s="13">
        <f>IF('Raw Data'!C245&lt;&gt;"",'Raw Data'!C245,"")</f>
        <v/>
      </c>
      <c r="D258" s="13">
        <f>IF('Raw Data'!D245&lt;&gt;"",'Raw Data'!D245,"")</f>
        <v/>
      </c>
      <c r="E258" s="13">
        <f>IF('Raw Data'!E245&lt;&gt;"",'Raw Data'!E245,"")</f>
        <v/>
      </c>
      <c r="F258" s="17">
        <f>IF('Raw Data'!A245&lt;&gt;"",AVERAGE('Raw Data'!F245,'Raw Data'!H245,'Raw Data'!J245,'Raw Data'!L245,'Raw Data'!N245),"")</f>
        <v/>
      </c>
      <c r="G258" s="17">
        <f>IF('Raw Data'!A245&lt;&gt;"",AVERAGE('Raw Data'!G245,'Raw Data'!I245,'Raw Data'!K245,'Raw Data'!M245,'Raw Data'!O245),"")</f>
        <v/>
      </c>
      <c r="H258" s="17">
        <f>IF(F258&lt;&gt;"",F258-G258,"")</f>
        <v/>
      </c>
      <c r="I258" s="17">
        <f>IF('Raw Data'!A245&lt;&gt;"",AVERAGE('Raw Data'!P245,'Raw Data'!R245,'Raw Data'!T245,'Raw Data'!V245,'Raw Data'!X245),"")</f>
        <v/>
      </c>
      <c r="J258" s="17">
        <f>IF('Raw Data'!A245&lt;&gt;"",AVERAGE('Raw Data'!Q245,'Raw Data'!S245,'Raw Data'!U245,'Raw Data'!W245,'Raw Data'!Y245),"")</f>
        <v/>
      </c>
      <c r="K258" s="17">
        <f>IF(I258&lt;&gt;"",I258-J258,"")</f>
        <v/>
      </c>
      <c r="L258" s="17">
        <f>IF('Raw Data'!A245&lt;&gt;"",AVERAGE('Raw Data'!Z245,'Raw Data'!AB245,'Raw Data'!AD245,'Raw Data'!AF245,'Raw Data'!AH245),"")</f>
        <v/>
      </c>
      <c r="M258" s="17">
        <f>IF('Raw Data'!A245&lt;&gt;"",AVERAGE('Raw Data'!AA245,'Raw Data'!AC245,'Raw Data'!AE245,'Raw Data'!AG245,'Raw Data'!AI245),"")</f>
        <v/>
      </c>
      <c r="N258" s="17">
        <f>IF(L258&lt;&gt;"",L258-M258,"")</f>
        <v/>
      </c>
      <c r="O258" s="17">
        <f>IF('Raw Data'!A245&lt;&gt;"",AVERAGE('Raw Data'!AJ245,'Raw Data'!AL245,'Raw Data'!AN245,'Raw Data'!AP245,'Raw Data'!AR245),"")</f>
        <v/>
      </c>
      <c r="P258" s="17">
        <f>IF('Raw Data'!A245&lt;&gt;"",AVERAGE('Raw Data'!AK245,'Raw Data'!AM245,'Raw Data'!AO245,'Raw Data'!AQ245,'Raw Data'!AS245),"")</f>
        <v/>
      </c>
      <c r="Q258" s="17">
        <f>IF(O258&lt;&gt;"",O258-P258,"")</f>
        <v/>
      </c>
      <c r="R258" s="17">
        <f>IF('Raw Data'!A245&lt;&gt;"",AVERAGE('Raw Data'!AT245,'Raw Data'!AV245,'Raw Data'!AX245,'Raw Data'!AZ245,'Raw Data'!BB245),"")</f>
        <v/>
      </c>
      <c r="S258" s="17">
        <f>IF('Raw Data'!A245&lt;&gt;"",AVERAGE('Raw Data'!AU245,'Raw Data'!AW245,'Raw Data'!AY245,'Raw Data'!BA245,'Raw Data'!BC245),"")</f>
        <v/>
      </c>
      <c r="T258" s="17">
        <f>IF(R258&lt;&gt;"",R258-S258,"")</f>
        <v/>
      </c>
      <c r="U258" s="17">
        <f>IF('Raw Data'!A245&lt;&gt;"",AVERAGE('Raw Data'!BD245,'Raw Data'!BF245,'Raw Data'!BH245,'Raw Data'!BJ245,'Raw Data'!BL245),"")</f>
        <v/>
      </c>
      <c r="V258" s="17">
        <f>IF('Raw Data'!A245&lt;&gt;"",AVERAGE('Raw Data'!BE245,'Raw Data'!BG245,'Raw Data'!BI245,'Raw Data'!BK245,'Raw Data'!BM245),"")</f>
        <v/>
      </c>
      <c r="W258" s="17">
        <f>IF(U258&lt;&gt;"",U258-V258,"")</f>
        <v/>
      </c>
      <c r="X258" s="17">
        <f>IF(A258&lt;&gt;"",AVERAGE(F258,I258,L258,O258,R258,U258),"")</f>
        <v/>
      </c>
      <c r="Y258" s="17">
        <f>IF(A258&lt;&gt;"",AVERAGE(G258,J258,M258,P258,S258,V258),"")</f>
        <v/>
      </c>
      <c r="Z258" s="17">
        <f>IF(A258&lt;&gt;"",X258-Y258,"")</f>
        <v/>
      </c>
      <c r="AA258" s="18">
        <f>IF(A258&lt;&gt;"",ROUND(MIN(100,100*((MAX(0,K258)*0.25)+(MAX(0,Q258)*0.20)+(MAX(0,W258)*0.20)+(MAX(0,H258)*0.15)+(MAX(0,N258)*0.10)+(MAX(0,T258)*0.10))/9),1),"")</f>
        <v/>
      </c>
      <c r="AB258" s="29">
        <f>IF(A258&lt;&gt;"",MIN(1,(0.5*AA258/100)+(0.3*MAX(0,K258)/9)+(0.2*MAX(0,Q258)/9)),"")</f>
        <v/>
      </c>
    </row>
    <row r="259">
      <c r="A259" s="4">
        <f>IF('Raw Data'!A246&lt;&gt;"",'Raw Data'!A246,"")</f>
        <v/>
      </c>
      <c r="B259" s="4">
        <f>IF('Raw Data'!B246&lt;&gt;"",'Raw Data'!B246,"")</f>
        <v/>
      </c>
      <c r="C259" s="4">
        <f>IF('Raw Data'!C246&lt;&gt;"",'Raw Data'!C246,"")</f>
        <v/>
      </c>
      <c r="D259" s="4">
        <f>IF('Raw Data'!D246&lt;&gt;"",'Raw Data'!D246,"")</f>
        <v/>
      </c>
      <c r="E259" s="4">
        <f>IF('Raw Data'!E246&lt;&gt;"",'Raw Data'!E246,"")</f>
        <v/>
      </c>
      <c r="F259" s="14">
        <f>IF('Raw Data'!A246&lt;&gt;"",AVERAGE('Raw Data'!F246,'Raw Data'!H246,'Raw Data'!J246,'Raw Data'!L246,'Raw Data'!N246),"")</f>
        <v/>
      </c>
      <c r="G259" s="14">
        <f>IF('Raw Data'!A246&lt;&gt;"",AVERAGE('Raw Data'!G246,'Raw Data'!I246,'Raw Data'!K246,'Raw Data'!M246,'Raw Data'!O246),"")</f>
        <v/>
      </c>
      <c r="H259" s="14">
        <f>IF(F259&lt;&gt;"",F259-G259,"")</f>
        <v/>
      </c>
      <c r="I259" s="14">
        <f>IF('Raw Data'!A246&lt;&gt;"",AVERAGE('Raw Data'!P246,'Raw Data'!R246,'Raw Data'!T246,'Raw Data'!V246,'Raw Data'!X246),"")</f>
        <v/>
      </c>
      <c r="J259" s="14">
        <f>IF('Raw Data'!A246&lt;&gt;"",AVERAGE('Raw Data'!Q246,'Raw Data'!S246,'Raw Data'!U246,'Raw Data'!W246,'Raw Data'!Y246),"")</f>
        <v/>
      </c>
      <c r="K259" s="14">
        <f>IF(I259&lt;&gt;"",I259-J259,"")</f>
        <v/>
      </c>
      <c r="L259" s="14">
        <f>IF('Raw Data'!A246&lt;&gt;"",AVERAGE('Raw Data'!Z246,'Raw Data'!AB246,'Raw Data'!AD246,'Raw Data'!AF246,'Raw Data'!AH246),"")</f>
        <v/>
      </c>
      <c r="M259" s="14">
        <f>IF('Raw Data'!A246&lt;&gt;"",AVERAGE('Raw Data'!AA246,'Raw Data'!AC246,'Raw Data'!AE246,'Raw Data'!AG246,'Raw Data'!AI246),"")</f>
        <v/>
      </c>
      <c r="N259" s="14">
        <f>IF(L259&lt;&gt;"",L259-M259,"")</f>
        <v/>
      </c>
      <c r="O259" s="14">
        <f>IF('Raw Data'!A246&lt;&gt;"",AVERAGE('Raw Data'!AJ246,'Raw Data'!AL246,'Raw Data'!AN246,'Raw Data'!AP246,'Raw Data'!AR246),"")</f>
        <v/>
      </c>
      <c r="P259" s="14">
        <f>IF('Raw Data'!A246&lt;&gt;"",AVERAGE('Raw Data'!AK246,'Raw Data'!AM246,'Raw Data'!AO246,'Raw Data'!AQ246,'Raw Data'!AS246),"")</f>
        <v/>
      </c>
      <c r="Q259" s="14">
        <f>IF(O259&lt;&gt;"",O259-P259,"")</f>
        <v/>
      </c>
      <c r="R259" s="14">
        <f>IF('Raw Data'!A246&lt;&gt;"",AVERAGE('Raw Data'!AT246,'Raw Data'!AV246,'Raw Data'!AX246,'Raw Data'!AZ246,'Raw Data'!BB246),"")</f>
        <v/>
      </c>
      <c r="S259" s="14">
        <f>IF('Raw Data'!A246&lt;&gt;"",AVERAGE('Raw Data'!AU246,'Raw Data'!AW246,'Raw Data'!AY246,'Raw Data'!BA246,'Raw Data'!BC246),"")</f>
        <v/>
      </c>
      <c r="T259" s="14">
        <f>IF(R259&lt;&gt;"",R259-S259,"")</f>
        <v/>
      </c>
      <c r="U259" s="14">
        <f>IF('Raw Data'!A246&lt;&gt;"",AVERAGE('Raw Data'!BD246,'Raw Data'!BF246,'Raw Data'!BH246,'Raw Data'!BJ246,'Raw Data'!BL246),"")</f>
        <v/>
      </c>
      <c r="V259" s="14">
        <f>IF('Raw Data'!A246&lt;&gt;"",AVERAGE('Raw Data'!BE246,'Raw Data'!BG246,'Raw Data'!BI246,'Raw Data'!BK246,'Raw Data'!BM246),"")</f>
        <v/>
      </c>
      <c r="W259" s="14">
        <f>IF(U259&lt;&gt;"",U259-V259,"")</f>
        <v/>
      </c>
      <c r="X259" s="14">
        <f>IF(A259&lt;&gt;"",AVERAGE(F259,I259,L259,O259,R259,U259),"")</f>
        <v/>
      </c>
      <c r="Y259" s="14">
        <f>IF(A259&lt;&gt;"",AVERAGE(G259,J259,M259,P259,S259,V259),"")</f>
        <v/>
      </c>
      <c r="Z259" s="14">
        <f>IF(A259&lt;&gt;"",X259-Y259,"")</f>
        <v/>
      </c>
      <c r="AA259" s="15">
        <f>IF(A259&lt;&gt;"",ROUND(MIN(100,100*((MAX(0,K259)*0.25)+(MAX(0,Q259)*0.20)+(MAX(0,W259)*0.20)+(MAX(0,H259)*0.15)+(MAX(0,N259)*0.10)+(MAX(0,T259)*0.10))/9),1),"")</f>
        <v/>
      </c>
      <c r="AB259" s="28">
        <f>IF(A259&lt;&gt;"",MIN(1,(0.5*AA259/100)+(0.3*MAX(0,K259)/9)+(0.2*MAX(0,Q259)/9)),"")</f>
        <v/>
      </c>
    </row>
    <row r="260">
      <c r="A260" s="13">
        <f>IF('Raw Data'!A247&lt;&gt;"",'Raw Data'!A247,"")</f>
        <v/>
      </c>
      <c r="B260" s="13">
        <f>IF('Raw Data'!B247&lt;&gt;"",'Raw Data'!B247,"")</f>
        <v/>
      </c>
      <c r="C260" s="13">
        <f>IF('Raw Data'!C247&lt;&gt;"",'Raw Data'!C247,"")</f>
        <v/>
      </c>
      <c r="D260" s="13">
        <f>IF('Raw Data'!D247&lt;&gt;"",'Raw Data'!D247,"")</f>
        <v/>
      </c>
      <c r="E260" s="13">
        <f>IF('Raw Data'!E247&lt;&gt;"",'Raw Data'!E247,"")</f>
        <v/>
      </c>
      <c r="F260" s="17">
        <f>IF('Raw Data'!A247&lt;&gt;"",AVERAGE('Raw Data'!F247,'Raw Data'!H247,'Raw Data'!J247,'Raw Data'!L247,'Raw Data'!N247),"")</f>
        <v/>
      </c>
      <c r="G260" s="17">
        <f>IF('Raw Data'!A247&lt;&gt;"",AVERAGE('Raw Data'!G247,'Raw Data'!I247,'Raw Data'!K247,'Raw Data'!M247,'Raw Data'!O247),"")</f>
        <v/>
      </c>
      <c r="H260" s="17">
        <f>IF(F260&lt;&gt;"",F260-G260,"")</f>
        <v/>
      </c>
      <c r="I260" s="17">
        <f>IF('Raw Data'!A247&lt;&gt;"",AVERAGE('Raw Data'!P247,'Raw Data'!R247,'Raw Data'!T247,'Raw Data'!V247,'Raw Data'!X247),"")</f>
        <v/>
      </c>
      <c r="J260" s="17">
        <f>IF('Raw Data'!A247&lt;&gt;"",AVERAGE('Raw Data'!Q247,'Raw Data'!S247,'Raw Data'!U247,'Raw Data'!W247,'Raw Data'!Y247),"")</f>
        <v/>
      </c>
      <c r="K260" s="17">
        <f>IF(I260&lt;&gt;"",I260-J260,"")</f>
        <v/>
      </c>
      <c r="L260" s="17">
        <f>IF('Raw Data'!A247&lt;&gt;"",AVERAGE('Raw Data'!Z247,'Raw Data'!AB247,'Raw Data'!AD247,'Raw Data'!AF247,'Raw Data'!AH247),"")</f>
        <v/>
      </c>
      <c r="M260" s="17">
        <f>IF('Raw Data'!A247&lt;&gt;"",AVERAGE('Raw Data'!AA247,'Raw Data'!AC247,'Raw Data'!AE247,'Raw Data'!AG247,'Raw Data'!AI247),"")</f>
        <v/>
      </c>
      <c r="N260" s="17">
        <f>IF(L260&lt;&gt;"",L260-M260,"")</f>
        <v/>
      </c>
      <c r="O260" s="17">
        <f>IF('Raw Data'!A247&lt;&gt;"",AVERAGE('Raw Data'!AJ247,'Raw Data'!AL247,'Raw Data'!AN247,'Raw Data'!AP247,'Raw Data'!AR247),"")</f>
        <v/>
      </c>
      <c r="P260" s="17">
        <f>IF('Raw Data'!A247&lt;&gt;"",AVERAGE('Raw Data'!AK247,'Raw Data'!AM247,'Raw Data'!AO247,'Raw Data'!AQ247,'Raw Data'!AS247),"")</f>
        <v/>
      </c>
      <c r="Q260" s="17">
        <f>IF(O260&lt;&gt;"",O260-P260,"")</f>
        <v/>
      </c>
      <c r="R260" s="17">
        <f>IF('Raw Data'!A247&lt;&gt;"",AVERAGE('Raw Data'!AT247,'Raw Data'!AV247,'Raw Data'!AX247,'Raw Data'!AZ247,'Raw Data'!BB247),"")</f>
        <v/>
      </c>
      <c r="S260" s="17">
        <f>IF('Raw Data'!A247&lt;&gt;"",AVERAGE('Raw Data'!AU247,'Raw Data'!AW247,'Raw Data'!AY247,'Raw Data'!BA247,'Raw Data'!BC247),"")</f>
        <v/>
      </c>
      <c r="T260" s="17">
        <f>IF(R260&lt;&gt;"",R260-S260,"")</f>
        <v/>
      </c>
      <c r="U260" s="17">
        <f>IF('Raw Data'!A247&lt;&gt;"",AVERAGE('Raw Data'!BD247,'Raw Data'!BF247,'Raw Data'!BH247,'Raw Data'!BJ247,'Raw Data'!BL247),"")</f>
        <v/>
      </c>
      <c r="V260" s="17">
        <f>IF('Raw Data'!A247&lt;&gt;"",AVERAGE('Raw Data'!BE247,'Raw Data'!BG247,'Raw Data'!BI247,'Raw Data'!BK247,'Raw Data'!BM247),"")</f>
        <v/>
      </c>
      <c r="W260" s="17">
        <f>IF(U260&lt;&gt;"",U260-V260,"")</f>
        <v/>
      </c>
      <c r="X260" s="17">
        <f>IF(A260&lt;&gt;"",AVERAGE(F260,I260,L260,O260,R260,U260),"")</f>
        <v/>
      </c>
      <c r="Y260" s="17">
        <f>IF(A260&lt;&gt;"",AVERAGE(G260,J260,M260,P260,S260,V260),"")</f>
        <v/>
      </c>
      <c r="Z260" s="17">
        <f>IF(A260&lt;&gt;"",X260-Y260,"")</f>
        <v/>
      </c>
      <c r="AA260" s="18">
        <f>IF(A260&lt;&gt;"",ROUND(MIN(100,100*((MAX(0,K260)*0.25)+(MAX(0,Q260)*0.20)+(MAX(0,W260)*0.20)+(MAX(0,H260)*0.15)+(MAX(0,N260)*0.10)+(MAX(0,T260)*0.10))/9),1),"")</f>
        <v/>
      </c>
      <c r="AB260" s="29">
        <f>IF(A260&lt;&gt;"",MIN(1,(0.5*AA260/100)+(0.3*MAX(0,K260)/9)+(0.2*MAX(0,Q260)/9)),"")</f>
        <v/>
      </c>
    </row>
    <row r="261">
      <c r="A261" s="4">
        <f>IF('Raw Data'!A248&lt;&gt;"",'Raw Data'!A248,"")</f>
        <v/>
      </c>
      <c r="B261" s="4">
        <f>IF('Raw Data'!B248&lt;&gt;"",'Raw Data'!B248,"")</f>
        <v/>
      </c>
      <c r="C261" s="4">
        <f>IF('Raw Data'!C248&lt;&gt;"",'Raw Data'!C248,"")</f>
        <v/>
      </c>
      <c r="D261" s="4">
        <f>IF('Raw Data'!D248&lt;&gt;"",'Raw Data'!D248,"")</f>
        <v/>
      </c>
      <c r="E261" s="4">
        <f>IF('Raw Data'!E248&lt;&gt;"",'Raw Data'!E248,"")</f>
        <v/>
      </c>
      <c r="F261" s="14">
        <f>IF('Raw Data'!A248&lt;&gt;"",AVERAGE('Raw Data'!F248,'Raw Data'!H248,'Raw Data'!J248,'Raw Data'!L248,'Raw Data'!N248),"")</f>
        <v/>
      </c>
      <c r="G261" s="14">
        <f>IF('Raw Data'!A248&lt;&gt;"",AVERAGE('Raw Data'!G248,'Raw Data'!I248,'Raw Data'!K248,'Raw Data'!M248,'Raw Data'!O248),"")</f>
        <v/>
      </c>
      <c r="H261" s="14">
        <f>IF(F261&lt;&gt;"",F261-G261,"")</f>
        <v/>
      </c>
      <c r="I261" s="14">
        <f>IF('Raw Data'!A248&lt;&gt;"",AVERAGE('Raw Data'!P248,'Raw Data'!R248,'Raw Data'!T248,'Raw Data'!V248,'Raw Data'!X248),"")</f>
        <v/>
      </c>
      <c r="J261" s="14">
        <f>IF('Raw Data'!A248&lt;&gt;"",AVERAGE('Raw Data'!Q248,'Raw Data'!S248,'Raw Data'!U248,'Raw Data'!W248,'Raw Data'!Y248),"")</f>
        <v/>
      </c>
      <c r="K261" s="14">
        <f>IF(I261&lt;&gt;"",I261-J261,"")</f>
        <v/>
      </c>
      <c r="L261" s="14">
        <f>IF('Raw Data'!A248&lt;&gt;"",AVERAGE('Raw Data'!Z248,'Raw Data'!AB248,'Raw Data'!AD248,'Raw Data'!AF248,'Raw Data'!AH248),"")</f>
        <v/>
      </c>
      <c r="M261" s="14">
        <f>IF('Raw Data'!A248&lt;&gt;"",AVERAGE('Raw Data'!AA248,'Raw Data'!AC248,'Raw Data'!AE248,'Raw Data'!AG248,'Raw Data'!AI248),"")</f>
        <v/>
      </c>
      <c r="N261" s="14">
        <f>IF(L261&lt;&gt;"",L261-M261,"")</f>
        <v/>
      </c>
      <c r="O261" s="14">
        <f>IF('Raw Data'!A248&lt;&gt;"",AVERAGE('Raw Data'!AJ248,'Raw Data'!AL248,'Raw Data'!AN248,'Raw Data'!AP248,'Raw Data'!AR248),"")</f>
        <v/>
      </c>
      <c r="P261" s="14">
        <f>IF('Raw Data'!A248&lt;&gt;"",AVERAGE('Raw Data'!AK248,'Raw Data'!AM248,'Raw Data'!AO248,'Raw Data'!AQ248,'Raw Data'!AS248),"")</f>
        <v/>
      </c>
      <c r="Q261" s="14">
        <f>IF(O261&lt;&gt;"",O261-P261,"")</f>
        <v/>
      </c>
      <c r="R261" s="14">
        <f>IF('Raw Data'!A248&lt;&gt;"",AVERAGE('Raw Data'!AT248,'Raw Data'!AV248,'Raw Data'!AX248,'Raw Data'!AZ248,'Raw Data'!BB248),"")</f>
        <v/>
      </c>
      <c r="S261" s="14">
        <f>IF('Raw Data'!A248&lt;&gt;"",AVERAGE('Raw Data'!AU248,'Raw Data'!AW248,'Raw Data'!AY248,'Raw Data'!BA248,'Raw Data'!BC248),"")</f>
        <v/>
      </c>
      <c r="T261" s="14">
        <f>IF(R261&lt;&gt;"",R261-S261,"")</f>
        <v/>
      </c>
      <c r="U261" s="14">
        <f>IF('Raw Data'!A248&lt;&gt;"",AVERAGE('Raw Data'!BD248,'Raw Data'!BF248,'Raw Data'!BH248,'Raw Data'!BJ248,'Raw Data'!BL248),"")</f>
        <v/>
      </c>
      <c r="V261" s="14">
        <f>IF('Raw Data'!A248&lt;&gt;"",AVERAGE('Raw Data'!BE248,'Raw Data'!BG248,'Raw Data'!BI248,'Raw Data'!BK248,'Raw Data'!BM248),"")</f>
        <v/>
      </c>
      <c r="W261" s="14">
        <f>IF(U261&lt;&gt;"",U261-V261,"")</f>
        <v/>
      </c>
      <c r="X261" s="14">
        <f>IF(A261&lt;&gt;"",AVERAGE(F261,I261,L261,O261,R261,U261),"")</f>
        <v/>
      </c>
      <c r="Y261" s="14">
        <f>IF(A261&lt;&gt;"",AVERAGE(G261,J261,M261,P261,S261,V261),"")</f>
        <v/>
      </c>
      <c r="Z261" s="14">
        <f>IF(A261&lt;&gt;"",X261-Y261,"")</f>
        <v/>
      </c>
      <c r="AA261" s="15">
        <f>IF(A261&lt;&gt;"",ROUND(MIN(100,100*((MAX(0,K261)*0.25)+(MAX(0,Q261)*0.20)+(MAX(0,W261)*0.20)+(MAX(0,H261)*0.15)+(MAX(0,N261)*0.10)+(MAX(0,T261)*0.10))/9),1),"")</f>
        <v/>
      </c>
      <c r="AB261" s="28">
        <f>IF(A261&lt;&gt;"",MIN(1,(0.5*AA261/100)+(0.3*MAX(0,K261)/9)+(0.2*MAX(0,Q261)/9)),"")</f>
        <v/>
      </c>
    </row>
    <row r="262">
      <c r="A262" s="13">
        <f>IF('Raw Data'!A249&lt;&gt;"",'Raw Data'!A249,"")</f>
        <v/>
      </c>
      <c r="B262" s="13">
        <f>IF('Raw Data'!B249&lt;&gt;"",'Raw Data'!B249,"")</f>
        <v/>
      </c>
      <c r="C262" s="13">
        <f>IF('Raw Data'!C249&lt;&gt;"",'Raw Data'!C249,"")</f>
        <v/>
      </c>
      <c r="D262" s="13">
        <f>IF('Raw Data'!D249&lt;&gt;"",'Raw Data'!D249,"")</f>
        <v/>
      </c>
      <c r="E262" s="13">
        <f>IF('Raw Data'!E249&lt;&gt;"",'Raw Data'!E249,"")</f>
        <v/>
      </c>
      <c r="F262" s="17">
        <f>IF('Raw Data'!A249&lt;&gt;"",AVERAGE('Raw Data'!F249,'Raw Data'!H249,'Raw Data'!J249,'Raw Data'!L249,'Raw Data'!N249),"")</f>
        <v/>
      </c>
      <c r="G262" s="17">
        <f>IF('Raw Data'!A249&lt;&gt;"",AVERAGE('Raw Data'!G249,'Raw Data'!I249,'Raw Data'!K249,'Raw Data'!M249,'Raw Data'!O249),"")</f>
        <v/>
      </c>
      <c r="H262" s="17">
        <f>IF(F262&lt;&gt;"",F262-G262,"")</f>
        <v/>
      </c>
      <c r="I262" s="17">
        <f>IF('Raw Data'!A249&lt;&gt;"",AVERAGE('Raw Data'!P249,'Raw Data'!R249,'Raw Data'!T249,'Raw Data'!V249,'Raw Data'!X249),"")</f>
        <v/>
      </c>
      <c r="J262" s="17">
        <f>IF('Raw Data'!A249&lt;&gt;"",AVERAGE('Raw Data'!Q249,'Raw Data'!S249,'Raw Data'!U249,'Raw Data'!W249,'Raw Data'!Y249),"")</f>
        <v/>
      </c>
      <c r="K262" s="17">
        <f>IF(I262&lt;&gt;"",I262-J262,"")</f>
        <v/>
      </c>
      <c r="L262" s="17">
        <f>IF('Raw Data'!A249&lt;&gt;"",AVERAGE('Raw Data'!Z249,'Raw Data'!AB249,'Raw Data'!AD249,'Raw Data'!AF249,'Raw Data'!AH249),"")</f>
        <v/>
      </c>
      <c r="M262" s="17">
        <f>IF('Raw Data'!A249&lt;&gt;"",AVERAGE('Raw Data'!AA249,'Raw Data'!AC249,'Raw Data'!AE249,'Raw Data'!AG249,'Raw Data'!AI249),"")</f>
        <v/>
      </c>
      <c r="N262" s="17">
        <f>IF(L262&lt;&gt;"",L262-M262,"")</f>
        <v/>
      </c>
      <c r="O262" s="17">
        <f>IF('Raw Data'!A249&lt;&gt;"",AVERAGE('Raw Data'!AJ249,'Raw Data'!AL249,'Raw Data'!AN249,'Raw Data'!AP249,'Raw Data'!AR249),"")</f>
        <v/>
      </c>
      <c r="P262" s="17">
        <f>IF('Raw Data'!A249&lt;&gt;"",AVERAGE('Raw Data'!AK249,'Raw Data'!AM249,'Raw Data'!AO249,'Raw Data'!AQ249,'Raw Data'!AS249),"")</f>
        <v/>
      </c>
      <c r="Q262" s="17">
        <f>IF(O262&lt;&gt;"",O262-P262,"")</f>
        <v/>
      </c>
      <c r="R262" s="17">
        <f>IF('Raw Data'!A249&lt;&gt;"",AVERAGE('Raw Data'!AT249,'Raw Data'!AV249,'Raw Data'!AX249,'Raw Data'!AZ249,'Raw Data'!BB249),"")</f>
        <v/>
      </c>
      <c r="S262" s="17">
        <f>IF('Raw Data'!A249&lt;&gt;"",AVERAGE('Raw Data'!AU249,'Raw Data'!AW249,'Raw Data'!AY249,'Raw Data'!BA249,'Raw Data'!BC249),"")</f>
        <v/>
      </c>
      <c r="T262" s="17">
        <f>IF(R262&lt;&gt;"",R262-S262,"")</f>
        <v/>
      </c>
      <c r="U262" s="17">
        <f>IF('Raw Data'!A249&lt;&gt;"",AVERAGE('Raw Data'!BD249,'Raw Data'!BF249,'Raw Data'!BH249,'Raw Data'!BJ249,'Raw Data'!BL249),"")</f>
        <v/>
      </c>
      <c r="V262" s="17">
        <f>IF('Raw Data'!A249&lt;&gt;"",AVERAGE('Raw Data'!BE249,'Raw Data'!BG249,'Raw Data'!BI249,'Raw Data'!BK249,'Raw Data'!BM249),"")</f>
        <v/>
      </c>
      <c r="W262" s="17">
        <f>IF(U262&lt;&gt;"",U262-V262,"")</f>
        <v/>
      </c>
      <c r="X262" s="17">
        <f>IF(A262&lt;&gt;"",AVERAGE(F262,I262,L262,O262,R262,U262),"")</f>
        <v/>
      </c>
      <c r="Y262" s="17">
        <f>IF(A262&lt;&gt;"",AVERAGE(G262,J262,M262,P262,S262,V262),"")</f>
        <v/>
      </c>
      <c r="Z262" s="17">
        <f>IF(A262&lt;&gt;"",X262-Y262,"")</f>
        <v/>
      </c>
      <c r="AA262" s="18">
        <f>IF(A262&lt;&gt;"",ROUND(MIN(100,100*((MAX(0,K262)*0.25)+(MAX(0,Q262)*0.20)+(MAX(0,W262)*0.20)+(MAX(0,H262)*0.15)+(MAX(0,N262)*0.10)+(MAX(0,T262)*0.10))/9),1),"")</f>
        <v/>
      </c>
      <c r="AB262" s="29">
        <f>IF(A262&lt;&gt;"",MIN(1,(0.5*AA262/100)+(0.3*MAX(0,K262)/9)+(0.2*MAX(0,Q262)/9)),"")</f>
        <v/>
      </c>
    </row>
    <row r="263">
      <c r="A263" s="4">
        <f>IF('Raw Data'!A250&lt;&gt;"",'Raw Data'!A250,"")</f>
        <v/>
      </c>
      <c r="B263" s="4">
        <f>IF('Raw Data'!B250&lt;&gt;"",'Raw Data'!B250,"")</f>
        <v/>
      </c>
      <c r="C263" s="4">
        <f>IF('Raw Data'!C250&lt;&gt;"",'Raw Data'!C250,"")</f>
        <v/>
      </c>
      <c r="D263" s="4">
        <f>IF('Raw Data'!D250&lt;&gt;"",'Raw Data'!D250,"")</f>
        <v/>
      </c>
      <c r="E263" s="4">
        <f>IF('Raw Data'!E250&lt;&gt;"",'Raw Data'!E250,"")</f>
        <v/>
      </c>
      <c r="F263" s="14">
        <f>IF('Raw Data'!A250&lt;&gt;"",AVERAGE('Raw Data'!F250,'Raw Data'!H250,'Raw Data'!J250,'Raw Data'!L250,'Raw Data'!N250),"")</f>
        <v/>
      </c>
      <c r="G263" s="14">
        <f>IF('Raw Data'!A250&lt;&gt;"",AVERAGE('Raw Data'!G250,'Raw Data'!I250,'Raw Data'!K250,'Raw Data'!M250,'Raw Data'!O250),"")</f>
        <v/>
      </c>
      <c r="H263" s="14">
        <f>IF(F263&lt;&gt;"",F263-G263,"")</f>
        <v/>
      </c>
      <c r="I263" s="14">
        <f>IF('Raw Data'!A250&lt;&gt;"",AVERAGE('Raw Data'!P250,'Raw Data'!R250,'Raw Data'!T250,'Raw Data'!V250,'Raw Data'!X250),"")</f>
        <v/>
      </c>
      <c r="J263" s="14">
        <f>IF('Raw Data'!A250&lt;&gt;"",AVERAGE('Raw Data'!Q250,'Raw Data'!S250,'Raw Data'!U250,'Raw Data'!W250,'Raw Data'!Y250),"")</f>
        <v/>
      </c>
      <c r="K263" s="14">
        <f>IF(I263&lt;&gt;"",I263-J263,"")</f>
        <v/>
      </c>
      <c r="L263" s="14">
        <f>IF('Raw Data'!A250&lt;&gt;"",AVERAGE('Raw Data'!Z250,'Raw Data'!AB250,'Raw Data'!AD250,'Raw Data'!AF250,'Raw Data'!AH250),"")</f>
        <v/>
      </c>
      <c r="M263" s="14">
        <f>IF('Raw Data'!A250&lt;&gt;"",AVERAGE('Raw Data'!AA250,'Raw Data'!AC250,'Raw Data'!AE250,'Raw Data'!AG250,'Raw Data'!AI250),"")</f>
        <v/>
      </c>
      <c r="N263" s="14">
        <f>IF(L263&lt;&gt;"",L263-M263,"")</f>
        <v/>
      </c>
      <c r="O263" s="14">
        <f>IF('Raw Data'!A250&lt;&gt;"",AVERAGE('Raw Data'!AJ250,'Raw Data'!AL250,'Raw Data'!AN250,'Raw Data'!AP250,'Raw Data'!AR250),"")</f>
        <v/>
      </c>
      <c r="P263" s="14">
        <f>IF('Raw Data'!A250&lt;&gt;"",AVERAGE('Raw Data'!AK250,'Raw Data'!AM250,'Raw Data'!AO250,'Raw Data'!AQ250,'Raw Data'!AS250),"")</f>
        <v/>
      </c>
      <c r="Q263" s="14">
        <f>IF(O263&lt;&gt;"",O263-P263,"")</f>
        <v/>
      </c>
      <c r="R263" s="14">
        <f>IF('Raw Data'!A250&lt;&gt;"",AVERAGE('Raw Data'!AT250,'Raw Data'!AV250,'Raw Data'!AX250,'Raw Data'!AZ250,'Raw Data'!BB250),"")</f>
        <v/>
      </c>
      <c r="S263" s="14">
        <f>IF('Raw Data'!A250&lt;&gt;"",AVERAGE('Raw Data'!AU250,'Raw Data'!AW250,'Raw Data'!AY250,'Raw Data'!BA250,'Raw Data'!BC250),"")</f>
        <v/>
      </c>
      <c r="T263" s="14">
        <f>IF(R263&lt;&gt;"",R263-S263,"")</f>
        <v/>
      </c>
      <c r="U263" s="14">
        <f>IF('Raw Data'!A250&lt;&gt;"",AVERAGE('Raw Data'!BD250,'Raw Data'!BF250,'Raw Data'!BH250,'Raw Data'!BJ250,'Raw Data'!BL250),"")</f>
        <v/>
      </c>
      <c r="V263" s="14">
        <f>IF('Raw Data'!A250&lt;&gt;"",AVERAGE('Raw Data'!BE250,'Raw Data'!BG250,'Raw Data'!BI250,'Raw Data'!BK250,'Raw Data'!BM250),"")</f>
        <v/>
      </c>
      <c r="W263" s="14">
        <f>IF(U263&lt;&gt;"",U263-V263,"")</f>
        <v/>
      </c>
      <c r="X263" s="14">
        <f>IF(A263&lt;&gt;"",AVERAGE(F263,I263,L263,O263,R263,U263),"")</f>
        <v/>
      </c>
      <c r="Y263" s="14">
        <f>IF(A263&lt;&gt;"",AVERAGE(G263,J263,M263,P263,S263,V263),"")</f>
        <v/>
      </c>
      <c r="Z263" s="14">
        <f>IF(A263&lt;&gt;"",X263-Y263,"")</f>
        <v/>
      </c>
      <c r="AA263" s="15">
        <f>IF(A263&lt;&gt;"",ROUND(MIN(100,100*((MAX(0,K263)*0.25)+(MAX(0,Q263)*0.20)+(MAX(0,W263)*0.20)+(MAX(0,H263)*0.15)+(MAX(0,N263)*0.10)+(MAX(0,T263)*0.10))/9),1),"")</f>
        <v/>
      </c>
      <c r="AB263" s="28">
        <f>IF(A263&lt;&gt;"",MIN(1,(0.5*AA263/100)+(0.3*MAX(0,K263)/9)+(0.2*MAX(0,Q263)/9)),"")</f>
        <v/>
      </c>
    </row>
    <row r="264">
      <c r="A264" s="13">
        <f>IF('Raw Data'!A251&lt;&gt;"",'Raw Data'!A251,"")</f>
        <v/>
      </c>
      <c r="B264" s="13">
        <f>IF('Raw Data'!B251&lt;&gt;"",'Raw Data'!B251,"")</f>
        <v/>
      </c>
      <c r="C264" s="13">
        <f>IF('Raw Data'!C251&lt;&gt;"",'Raw Data'!C251,"")</f>
        <v/>
      </c>
      <c r="D264" s="13">
        <f>IF('Raw Data'!D251&lt;&gt;"",'Raw Data'!D251,"")</f>
        <v/>
      </c>
      <c r="E264" s="13">
        <f>IF('Raw Data'!E251&lt;&gt;"",'Raw Data'!E251,"")</f>
        <v/>
      </c>
      <c r="F264" s="17">
        <f>IF('Raw Data'!A251&lt;&gt;"",AVERAGE('Raw Data'!F251,'Raw Data'!H251,'Raw Data'!J251,'Raw Data'!L251,'Raw Data'!N251),"")</f>
        <v/>
      </c>
      <c r="G264" s="17">
        <f>IF('Raw Data'!A251&lt;&gt;"",AVERAGE('Raw Data'!G251,'Raw Data'!I251,'Raw Data'!K251,'Raw Data'!M251,'Raw Data'!O251),"")</f>
        <v/>
      </c>
      <c r="H264" s="17">
        <f>IF(F264&lt;&gt;"",F264-G264,"")</f>
        <v/>
      </c>
      <c r="I264" s="17">
        <f>IF('Raw Data'!A251&lt;&gt;"",AVERAGE('Raw Data'!P251,'Raw Data'!R251,'Raw Data'!T251,'Raw Data'!V251,'Raw Data'!X251),"")</f>
        <v/>
      </c>
      <c r="J264" s="17">
        <f>IF('Raw Data'!A251&lt;&gt;"",AVERAGE('Raw Data'!Q251,'Raw Data'!S251,'Raw Data'!U251,'Raw Data'!W251,'Raw Data'!Y251),"")</f>
        <v/>
      </c>
      <c r="K264" s="17">
        <f>IF(I264&lt;&gt;"",I264-J264,"")</f>
        <v/>
      </c>
      <c r="L264" s="17">
        <f>IF('Raw Data'!A251&lt;&gt;"",AVERAGE('Raw Data'!Z251,'Raw Data'!AB251,'Raw Data'!AD251,'Raw Data'!AF251,'Raw Data'!AH251),"")</f>
        <v/>
      </c>
      <c r="M264" s="17">
        <f>IF('Raw Data'!A251&lt;&gt;"",AVERAGE('Raw Data'!AA251,'Raw Data'!AC251,'Raw Data'!AE251,'Raw Data'!AG251,'Raw Data'!AI251),"")</f>
        <v/>
      </c>
      <c r="N264" s="17">
        <f>IF(L264&lt;&gt;"",L264-M264,"")</f>
        <v/>
      </c>
      <c r="O264" s="17">
        <f>IF('Raw Data'!A251&lt;&gt;"",AVERAGE('Raw Data'!AJ251,'Raw Data'!AL251,'Raw Data'!AN251,'Raw Data'!AP251,'Raw Data'!AR251),"")</f>
        <v/>
      </c>
      <c r="P264" s="17">
        <f>IF('Raw Data'!A251&lt;&gt;"",AVERAGE('Raw Data'!AK251,'Raw Data'!AM251,'Raw Data'!AO251,'Raw Data'!AQ251,'Raw Data'!AS251),"")</f>
        <v/>
      </c>
      <c r="Q264" s="17">
        <f>IF(O264&lt;&gt;"",O264-P264,"")</f>
        <v/>
      </c>
      <c r="R264" s="17">
        <f>IF('Raw Data'!A251&lt;&gt;"",AVERAGE('Raw Data'!AT251,'Raw Data'!AV251,'Raw Data'!AX251,'Raw Data'!AZ251,'Raw Data'!BB251),"")</f>
        <v/>
      </c>
      <c r="S264" s="17">
        <f>IF('Raw Data'!A251&lt;&gt;"",AVERAGE('Raw Data'!AU251,'Raw Data'!AW251,'Raw Data'!AY251,'Raw Data'!BA251,'Raw Data'!BC251),"")</f>
        <v/>
      </c>
      <c r="T264" s="17">
        <f>IF(R264&lt;&gt;"",R264-S264,"")</f>
        <v/>
      </c>
      <c r="U264" s="17">
        <f>IF('Raw Data'!A251&lt;&gt;"",AVERAGE('Raw Data'!BD251,'Raw Data'!BF251,'Raw Data'!BH251,'Raw Data'!BJ251,'Raw Data'!BL251),"")</f>
        <v/>
      </c>
      <c r="V264" s="17">
        <f>IF('Raw Data'!A251&lt;&gt;"",AVERAGE('Raw Data'!BE251,'Raw Data'!BG251,'Raw Data'!BI251,'Raw Data'!BK251,'Raw Data'!BM251),"")</f>
        <v/>
      </c>
      <c r="W264" s="17">
        <f>IF(U264&lt;&gt;"",U264-V264,"")</f>
        <v/>
      </c>
      <c r="X264" s="17">
        <f>IF(A264&lt;&gt;"",AVERAGE(F264,I264,L264,O264,R264,U264),"")</f>
        <v/>
      </c>
      <c r="Y264" s="17">
        <f>IF(A264&lt;&gt;"",AVERAGE(G264,J264,M264,P264,S264,V264),"")</f>
        <v/>
      </c>
      <c r="Z264" s="17">
        <f>IF(A264&lt;&gt;"",X264-Y264,"")</f>
        <v/>
      </c>
      <c r="AA264" s="18">
        <f>IF(A264&lt;&gt;"",ROUND(MIN(100,100*((MAX(0,K264)*0.25)+(MAX(0,Q264)*0.20)+(MAX(0,W264)*0.20)+(MAX(0,H264)*0.15)+(MAX(0,N264)*0.10)+(MAX(0,T264)*0.10))/9),1),"")</f>
        <v/>
      </c>
      <c r="AB264" s="29">
        <f>IF(A264&lt;&gt;"",MIN(1,(0.5*AA264/100)+(0.3*MAX(0,K264)/9)+(0.2*MAX(0,Q264)/9)),"")</f>
        <v/>
      </c>
    </row>
    <row r="265">
      <c r="A265" s="4">
        <f>IF('Raw Data'!A252&lt;&gt;"",'Raw Data'!A252,"")</f>
        <v/>
      </c>
      <c r="B265" s="4">
        <f>IF('Raw Data'!B252&lt;&gt;"",'Raw Data'!B252,"")</f>
        <v/>
      </c>
      <c r="C265" s="4">
        <f>IF('Raw Data'!C252&lt;&gt;"",'Raw Data'!C252,"")</f>
        <v/>
      </c>
      <c r="D265" s="4">
        <f>IF('Raw Data'!D252&lt;&gt;"",'Raw Data'!D252,"")</f>
        <v/>
      </c>
      <c r="E265" s="4">
        <f>IF('Raw Data'!E252&lt;&gt;"",'Raw Data'!E252,"")</f>
        <v/>
      </c>
      <c r="F265" s="14">
        <f>IF('Raw Data'!A252&lt;&gt;"",AVERAGE('Raw Data'!F252,'Raw Data'!H252,'Raw Data'!J252,'Raw Data'!L252,'Raw Data'!N252),"")</f>
        <v/>
      </c>
      <c r="G265" s="14">
        <f>IF('Raw Data'!A252&lt;&gt;"",AVERAGE('Raw Data'!G252,'Raw Data'!I252,'Raw Data'!K252,'Raw Data'!M252,'Raw Data'!O252),"")</f>
        <v/>
      </c>
      <c r="H265" s="14">
        <f>IF(F265&lt;&gt;"",F265-G265,"")</f>
        <v/>
      </c>
      <c r="I265" s="14">
        <f>IF('Raw Data'!A252&lt;&gt;"",AVERAGE('Raw Data'!P252,'Raw Data'!R252,'Raw Data'!T252,'Raw Data'!V252,'Raw Data'!X252),"")</f>
        <v/>
      </c>
      <c r="J265" s="14">
        <f>IF('Raw Data'!A252&lt;&gt;"",AVERAGE('Raw Data'!Q252,'Raw Data'!S252,'Raw Data'!U252,'Raw Data'!W252,'Raw Data'!Y252),"")</f>
        <v/>
      </c>
      <c r="K265" s="14">
        <f>IF(I265&lt;&gt;"",I265-J265,"")</f>
        <v/>
      </c>
      <c r="L265" s="14">
        <f>IF('Raw Data'!A252&lt;&gt;"",AVERAGE('Raw Data'!Z252,'Raw Data'!AB252,'Raw Data'!AD252,'Raw Data'!AF252,'Raw Data'!AH252),"")</f>
        <v/>
      </c>
      <c r="M265" s="14">
        <f>IF('Raw Data'!A252&lt;&gt;"",AVERAGE('Raw Data'!AA252,'Raw Data'!AC252,'Raw Data'!AE252,'Raw Data'!AG252,'Raw Data'!AI252),"")</f>
        <v/>
      </c>
      <c r="N265" s="14">
        <f>IF(L265&lt;&gt;"",L265-M265,"")</f>
        <v/>
      </c>
      <c r="O265" s="14">
        <f>IF('Raw Data'!A252&lt;&gt;"",AVERAGE('Raw Data'!AJ252,'Raw Data'!AL252,'Raw Data'!AN252,'Raw Data'!AP252,'Raw Data'!AR252),"")</f>
        <v/>
      </c>
      <c r="P265" s="14">
        <f>IF('Raw Data'!A252&lt;&gt;"",AVERAGE('Raw Data'!AK252,'Raw Data'!AM252,'Raw Data'!AO252,'Raw Data'!AQ252,'Raw Data'!AS252),"")</f>
        <v/>
      </c>
      <c r="Q265" s="14">
        <f>IF(O265&lt;&gt;"",O265-P265,"")</f>
        <v/>
      </c>
      <c r="R265" s="14">
        <f>IF('Raw Data'!A252&lt;&gt;"",AVERAGE('Raw Data'!AT252,'Raw Data'!AV252,'Raw Data'!AX252,'Raw Data'!AZ252,'Raw Data'!BB252),"")</f>
        <v/>
      </c>
      <c r="S265" s="14">
        <f>IF('Raw Data'!A252&lt;&gt;"",AVERAGE('Raw Data'!AU252,'Raw Data'!AW252,'Raw Data'!AY252,'Raw Data'!BA252,'Raw Data'!BC252),"")</f>
        <v/>
      </c>
      <c r="T265" s="14">
        <f>IF(R265&lt;&gt;"",R265-S265,"")</f>
        <v/>
      </c>
      <c r="U265" s="14">
        <f>IF('Raw Data'!A252&lt;&gt;"",AVERAGE('Raw Data'!BD252,'Raw Data'!BF252,'Raw Data'!BH252,'Raw Data'!BJ252,'Raw Data'!BL252),"")</f>
        <v/>
      </c>
      <c r="V265" s="14">
        <f>IF('Raw Data'!A252&lt;&gt;"",AVERAGE('Raw Data'!BE252,'Raw Data'!BG252,'Raw Data'!BI252,'Raw Data'!BK252,'Raw Data'!BM252),"")</f>
        <v/>
      </c>
      <c r="W265" s="14">
        <f>IF(U265&lt;&gt;"",U265-V265,"")</f>
        <v/>
      </c>
      <c r="X265" s="14">
        <f>IF(A265&lt;&gt;"",AVERAGE(F265,I265,L265,O265,R265,U265),"")</f>
        <v/>
      </c>
      <c r="Y265" s="14">
        <f>IF(A265&lt;&gt;"",AVERAGE(G265,J265,M265,P265,S265,V265),"")</f>
        <v/>
      </c>
      <c r="Z265" s="14">
        <f>IF(A265&lt;&gt;"",X265-Y265,"")</f>
        <v/>
      </c>
      <c r="AA265" s="15">
        <f>IF(A265&lt;&gt;"",ROUND(MIN(100,100*((MAX(0,K265)*0.25)+(MAX(0,Q265)*0.20)+(MAX(0,W265)*0.20)+(MAX(0,H265)*0.15)+(MAX(0,N265)*0.10)+(MAX(0,T265)*0.10))/9),1),"")</f>
        <v/>
      </c>
      <c r="AB265" s="28">
        <f>IF(A265&lt;&gt;"",MIN(1,(0.5*AA265/100)+(0.3*MAX(0,K265)/9)+(0.2*MAX(0,Q265)/9)),"")</f>
        <v/>
      </c>
    </row>
    <row r="266">
      <c r="A266" s="13">
        <f>IF('Raw Data'!A253&lt;&gt;"",'Raw Data'!A253,"")</f>
        <v/>
      </c>
      <c r="B266" s="13">
        <f>IF('Raw Data'!B253&lt;&gt;"",'Raw Data'!B253,"")</f>
        <v/>
      </c>
      <c r="C266" s="13">
        <f>IF('Raw Data'!C253&lt;&gt;"",'Raw Data'!C253,"")</f>
        <v/>
      </c>
      <c r="D266" s="13">
        <f>IF('Raw Data'!D253&lt;&gt;"",'Raw Data'!D253,"")</f>
        <v/>
      </c>
      <c r="E266" s="13">
        <f>IF('Raw Data'!E253&lt;&gt;"",'Raw Data'!E253,"")</f>
        <v/>
      </c>
      <c r="F266" s="17">
        <f>IF('Raw Data'!A253&lt;&gt;"",AVERAGE('Raw Data'!F253,'Raw Data'!H253,'Raw Data'!J253,'Raw Data'!L253,'Raw Data'!N253),"")</f>
        <v/>
      </c>
      <c r="G266" s="17">
        <f>IF('Raw Data'!A253&lt;&gt;"",AVERAGE('Raw Data'!G253,'Raw Data'!I253,'Raw Data'!K253,'Raw Data'!M253,'Raw Data'!O253),"")</f>
        <v/>
      </c>
      <c r="H266" s="17">
        <f>IF(F266&lt;&gt;"",F266-G266,"")</f>
        <v/>
      </c>
      <c r="I266" s="17">
        <f>IF('Raw Data'!A253&lt;&gt;"",AVERAGE('Raw Data'!P253,'Raw Data'!R253,'Raw Data'!T253,'Raw Data'!V253,'Raw Data'!X253),"")</f>
        <v/>
      </c>
      <c r="J266" s="17">
        <f>IF('Raw Data'!A253&lt;&gt;"",AVERAGE('Raw Data'!Q253,'Raw Data'!S253,'Raw Data'!U253,'Raw Data'!W253,'Raw Data'!Y253),"")</f>
        <v/>
      </c>
      <c r="K266" s="17">
        <f>IF(I266&lt;&gt;"",I266-J266,"")</f>
        <v/>
      </c>
      <c r="L266" s="17">
        <f>IF('Raw Data'!A253&lt;&gt;"",AVERAGE('Raw Data'!Z253,'Raw Data'!AB253,'Raw Data'!AD253,'Raw Data'!AF253,'Raw Data'!AH253),"")</f>
        <v/>
      </c>
      <c r="M266" s="17">
        <f>IF('Raw Data'!A253&lt;&gt;"",AVERAGE('Raw Data'!AA253,'Raw Data'!AC253,'Raw Data'!AE253,'Raw Data'!AG253,'Raw Data'!AI253),"")</f>
        <v/>
      </c>
      <c r="N266" s="17">
        <f>IF(L266&lt;&gt;"",L266-M266,"")</f>
        <v/>
      </c>
      <c r="O266" s="17">
        <f>IF('Raw Data'!A253&lt;&gt;"",AVERAGE('Raw Data'!AJ253,'Raw Data'!AL253,'Raw Data'!AN253,'Raw Data'!AP253,'Raw Data'!AR253),"")</f>
        <v/>
      </c>
      <c r="P266" s="17">
        <f>IF('Raw Data'!A253&lt;&gt;"",AVERAGE('Raw Data'!AK253,'Raw Data'!AM253,'Raw Data'!AO253,'Raw Data'!AQ253,'Raw Data'!AS253),"")</f>
        <v/>
      </c>
      <c r="Q266" s="17">
        <f>IF(O266&lt;&gt;"",O266-P266,"")</f>
        <v/>
      </c>
      <c r="R266" s="17">
        <f>IF('Raw Data'!A253&lt;&gt;"",AVERAGE('Raw Data'!AT253,'Raw Data'!AV253,'Raw Data'!AX253,'Raw Data'!AZ253,'Raw Data'!BB253),"")</f>
        <v/>
      </c>
      <c r="S266" s="17">
        <f>IF('Raw Data'!A253&lt;&gt;"",AVERAGE('Raw Data'!AU253,'Raw Data'!AW253,'Raw Data'!AY253,'Raw Data'!BA253,'Raw Data'!BC253),"")</f>
        <v/>
      </c>
      <c r="T266" s="17">
        <f>IF(R266&lt;&gt;"",R266-S266,"")</f>
        <v/>
      </c>
      <c r="U266" s="17">
        <f>IF('Raw Data'!A253&lt;&gt;"",AVERAGE('Raw Data'!BD253,'Raw Data'!BF253,'Raw Data'!BH253,'Raw Data'!BJ253,'Raw Data'!BL253),"")</f>
        <v/>
      </c>
      <c r="V266" s="17">
        <f>IF('Raw Data'!A253&lt;&gt;"",AVERAGE('Raw Data'!BE253,'Raw Data'!BG253,'Raw Data'!BI253,'Raw Data'!BK253,'Raw Data'!BM253),"")</f>
        <v/>
      </c>
      <c r="W266" s="17">
        <f>IF(U266&lt;&gt;"",U266-V266,"")</f>
        <v/>
      </c>
      <c r="X266" s="17">
        <f>IF(A266&lt;&gt;"",AVERAGE(F266,I266,L266,O266,R266,U266),"")</f>
        <v/>
      </c>
      <c r="Y266" s="17">
        <f>IF(A266&lt;&gt;"",AVERAGE(G266,J266,M266,P266,S266,V266),"")</f>
        <v/>
      </c>
      <c r="Z266" s="17">
        <f>IF(A266&lt;&gt;"",X266-Y266,"")</f>
        <v/>
      </c>
      <c r="AA266" s="18">
        <f>IF(A266&lt;&gt;"",ROUND(MIN(100,100*((MAX(0,K266)*0.25)+(MAX(0,Q266)*0.20)+(MAX(0,W266)*0.20)+(MAX(0,H266)*0.15)+(MAX(0,N266)*0.10)+(MAX(0,T266)*0.10))/9),1),"")</f>
        <v/>
      </c>
      <c r="AB266" s="29">
        <f>IF(A266&lt;&gt;"",MIN(1,(0.5*AA266/100)+(0.3*MAX(0,K266)/9)+(0.2*MAX(0,Q266)/9)),"")</f>
        <v/>
      </c>
    </row>
    <row r="267">
      <c r="A267" s="4">
        <f>IF('Raw Data'!A254&lt;&gt;"",'Raw Data'!A254,"")</f>
        <v/>
      </c>
      <c r="B267" s="4">
        <f>IF('Raw Data'!B254&lt;&gt;"",'Raw Data'!B254,"")</f>
        <v/>
      </c>
      <c r="C267" s="4">
        <f>IF('Raw Data'!C254&lt;&gt;"",'Raw Data'!C254,"")</f>
        <v/>
      </c>
      <c r="D267" s="4">
        <f>IF('Raw Data'!D254&lt;&gt;"",'Raw Data'!D254,"")</f>
        <v/>
      </c>
      <c r="E267" s="4">
        <f>IF('Raw Data'!E254&lt;&gt;"",'Raw Data'!E254,"")</f>
        <v/>
      </c>
      <c r="F267" s="14">
        <f>IF('Raw Data'!A254&lt;&gt;"",AVERAGE('Raw Data'!F254,'Raw Data'!H254,'Raw Data'!J254,'Raw Data'!L254,'Raw Data'!N254),"")</f>
        <v/>
      </c>
      <c r="G267" s="14">
        <f>IF('Raw Data'!A254&lt;&gt;"",AVERAGE('Raw Data'!G254,'Raw Data'!I254,'Raw Data'!K254,'Raw Data'!M254,'Raw Data'!O254),"")</f>
        <v/>
      </c>
      <c r="H267" s="14">
        <f>IF(F267&lt;&gt;"",F267-G267,"")</f>
        <v/>
      </c>
      <c r="I267" s="14">
        <f>IF('Raw Data'!A254&lt;&gt;"",AVERAGE('Raw Data'!P254,'Raw Data'!R254,'Raw Data'!T254,'Raw Data'!V254,'Raw Data'!X254),"")</f>
        <v/>
      </c>
      <c r="J267" s="14">
        <f>IF('Raw Data'!A254&lt;&gt;"",AVERAGE('Raw Data'!Q254,'Raw Data'!S254,'Raw Data'!U254,'Raw Data'!W254,'Raw Data'!Y254),"")</f>
        <v/>
      </c>
      <c r="K267" s="14">
        <f>IF(I267&lt;&gt;"",I267-J267,"")</f>
        <v/>
      </c>
      <c r="L267" s="14">
        <f>IF('Raw Data'!A254&lt;&gt;"",AVERAGE('Raw Data'!Z254,'Raw Data'!AB254,'Raw Data'!AD254,'Raw Data'!AF254,'Raw Data'!AH254),"")</f>
        <v/>
      </c>
      <c r="M267" s="14">
        <f>IF('Raw Data'!A254&lt;&gt;"",AVERAGE('Raw Data'!AA254,'Raw Data'!AC254,'Raw Data'!AE254,'Raw Data'!AG254,'Raw Data'!AI254),"")</f>
        <v/>
      </c>
      <c r="N267" s="14">
        <f>IF(L267&lt;&gt;"",L267-M267,"")</f>
        <v/>
      </c>
      <c r="O267" s="14">
        <f>IF('Raw Data'!A254&lt;&gt;"",AVERAGE('Raw Data'!AJ254,'Raw Data'!AL254,'Raw Data'!AN254,'Raw Data'!AP254,'Raw Data'!AR254),"")</f>
        <v/>
      </c>
      <c r="P267" s="14">
        <f>IF('Raw Data'!A254&lt;&gt;"",AVERAGE('Raw Data'!AK254,'Raw Data'!AM254,'Raw Data'!AO254,'Raw Data'!AQ254,'Raw Data'!AS254),"")</f>
        <v/>
      </c>
      <c r="Q267" s="14">
        <f>IF(O267&lt;&gt;"",O267-P267,"")</f>
        <v/>
      </c>
      <c r="R267" s="14">
        <f>IF('Raw Data'!A254&lt;&gt;"",AVERAGE('Raw Data'!AT254,'Raw Data'!AV254,'Raw Data'!AX254,'Raw Data'!AZ254,'Raw Data'!BB254),"")</f>
        <v/>
      </c>
      <c r="S267" s="14">
        <f>IF('Raw Data'!A254&lt;&gt;"",AVERAGE('Raw Data'!AU254,'Raw Data'!AW254,'Raw Data'!AY254,'Raw Data'!BA254,'Raw Data'!BC254),"")</f>
        <v/>
      </c>
      <c r="T267" s="14">
        <f>IF(R267&lt;&gt;"",R267-S267,"")</f>
        <v/>
      </c>
      <c r="U267" s="14">
        <f>IF('Raw Data'!A254&lt;&gt;"",AVERAGE('Raw Data'!BD254,'Raw Data'!BF254,'Raw Data'!BH254,'Raw Data'!BJ254,'Raw Data'!BL254),"")</f>
        <v/>
      </c>
      <c r="V267" s="14">
        <f>IF('Raw Data'!A254&lt;&gt;"",AVERAGE('Raw Data'!BE254,'Raw Data'!BG254,'Raw Data'!BI254,'Raw Data'!BK254,'Raw Data'!BM254),"")</f>
        <v/>
      </c>
      <c r="W267" s="14">
        <f>IF(U267&lt;&gt;"",U267-V267,"")</f>
        <v/>
      </c>
      <c r="X267" s="14">
        <f>IF(A267&lt;&gt;"",AVERAGE(F267,I267,L267,O267,R267,U267),"")</f>
        <v/>
      </c>
      <c r="Y267" s="14">
        <f>IF(A267&lt;&gt;"",AVERAGE(G267,J267,M267,P267,S267,V267),"")</f>
        <v/>
      </c>
      <c r="Z267" s="14">
        <f>IF(A267&lt;&gt;"",X267-Y267,"")</f>
        <v/>
      </c>
      <c r="AA267" s="15">
        <f>IF(A267&lt;&gt;"",ROUND(MIN(100,100*((MAX(0,K267)*0.25)+(MAX(0,Q267)*0.20)+(MAX(0,W267)*0.20)+(MAX(0,H267)*0.15)+(MAX(0,N267)*0.10)+(MAX(0,T267)*0.10))/9),1),"")</f>
        <v/>
      </c>
      <c r="AB267" s="28">
        <f>IF(A267&lt;&gt;"",MIN(1,(0.5*AA267/100)+(0.3*MAX(0,K267)/9)+(0.2*MAX(0,Q267)/9)),"")</f>
        <v/>
      </c>
    </row>
    <row r="268">
      <c r="A268" s="13">
        <f>IF('Raw Data'!A255&lt;&gt;"",'Raw Data'!A255,"")</f>
        <v/>
      </c>
      <c r="B268" s="13">
        <f>IF('Raw Data'!B255&lt;&gt;"",'Raw Data'!B255,"")</f>
        <v/>
      </c>
      <c r="C268" s="13">
        <f>IF('Raw Data'!C255&lt;&gt;"",'Raw Data'!C255,"")</f>
        <v/>
      </c>
      <c r="D268" s="13">
        <f>IF('Raw Data'!D255&lt;&gt;"",'Raw Data'!D255,"")</f>
        <v/>
      </c>
      <c r="E268" s="13">
        <f>IF('Raw Data'!E255&lt;&gt;"",'Raw Data'!E255,"")</f>
        <v/>
      </c>
      <c r="F268" s="17">
        <f>IF('Raw Data'!A255&lt;&gt;"",AVERAGE('Raw Data'!F255,'Raw Data'!H255,'Raw Data'!J255,'Raw Data'!L255,'Raw Data'!N255),"")</f>
        <v/>
      </c>
      <c r="G268" s="17">
        <f>IF('Raw Data'!A255&lt;&gt;"",AVERAGE('Raw Data'!G255,'Raw Data'!I255,'Raw Data'!K255,'Raw Data'!M255,'Raw Data'!O255),"")</f>
        <v/>
      </c>
      <c r="H268" s="17">
        <f>IF(F268&lt;&gt;"",F268-G268,"")</f>
        <v/>
      </c>
      <c r="I268" s="17">
        <f>IF('Raw Data'!A255&lt;&gt;"",AVERAGE('Raw Data'!P255,'Raw Data'!R255,'Raw Data'!T255,'Raw Data'!V255,'Raw Data'!X255),"")</f>
        <v/>
      </c>
      <c r="J268" s="17">
        <f>IF('Raw Data'!A255&lt;&gt;"",AVERAGE('Raw Data'!Q255,'Raw Data'!S255,'Raw Data'!U255,'Raw Data'!W255,'Raw Data'!Y255),"")</f>
        <v/>
      </c>
      <c r="K268" s="17">
        <f>IF(I268&lt;&gt;"",I268-J268,"")</f>
        <v/>
      </c>
      <c r="L268" s="17">
        <f>IF('Raw Data'!A255&lt;&gt;"",AVERAGE('Raw Data'!Z255,'Raw Data'!AB255,'Raw Data'!AD255,'Raw Data'!AF255,'Raw Data'!AH255),"")</f>
        <v/>
      </c>
      <c r="M268" s="17">
        <f>IF('Raw Data'!A255&lt;&gt;"",AVERAGE('Raw Data'!AA255,'Raw Data'!AC255,'Raw Data'!AE255,'Raw Data'!AG255,'Raw Data'!AI255),"")</f>
        <v/>
      </c>
      <c r="N268" s="17">
        <f>IF(L268&lt;&gt;"",L268-M268,"")</f>
        <v/>
      </c>
      <c r="O268" s="17">
        <f>IF('Raw Data'!A255&lt;&gt;"",AVERAGE('Raw Data'!AJ255,'Raw Data'!AL255,'Raw Data'!AN255,'Raw Data'!AP255,'Raw Data'!AR255),"")</f>
        <v/>
      </c>
      <c r="P268" s="17">
        <f>IF('Raw Data'!A255&lt;&gt;"",AVERAGE('Raw Data'!AK255,'Raw Data'!AM255,'Raw Data'!AO255,'Raw Data'!AQ255,'Raw Data'!AS255),"")</f>
        <v/>
      </c>
      <c r="Q268" s="17">
        <f>IF(O268&lt;&gt;"",O268-P268,"")</f>
        <v/>
      </c>
      <c r="R268" s="17">
        <f>IF('Raw Data'!A255&lt;&gt;"",AVERAGE('Raw Data'!AT255,'Raw Data'!AV255,'Raw Data'!AX255,'Raw Data'!AZ255,'Raw Data'!BB255),"")</f>
        <v/>
      </c>
      <c r="S268" s="17">
        <f>IF('Raw Data'!A255&lt;&gt;"",AVERAGE('Raw Data'!AU255,'Raw Data'!AW255,'Raw Data'!AY255,'Raw Data'!BA255,'Raw Data'!BC255),"")</f>
        <v/>
      </c>
      <c r="T268" s="17">
        <f>IF(R268&lt;&gt;"",R268-S268,"")</f>
        <v/>
      </c>
      <c r="U268" s="17">
        <f>IF('Raw Data'!A255&lt;&gt;"",AVERAGE('Raw Data'!BD255,'Raw Data'!BF255,'Raw Data'!BH255,'Raw Data'!BJ255,'Raw Data'!BL255),"")</f>
        <v/>
      </c>
      <c r="V268" s="17">
        <f>IF('Raw Data'!A255&lt;&gt;"",AVERAGE('Raw Data'!BE255,'Raw Data'!BG255,'Raw Data'!BI255,'Raw Data'!BK255,'Raw Data'!BM255),"")</f>
        <v/>
      </c>
      <c r="W268" s="17">
        <f>IF(U268&lt;&gt;"",U268-V268,"")</f>
        <v/>
      </c>
      <c r="X268" s="17">
        <f>IF(A268&lt;&gt;"",AVERAGE(F268,I268,L268,O268,R268,U268),"")</f>
        <v/>
      </c>
      <c r="Y268" s="17">
        <f>IF(A268&lt;&gt;"",AVERAGE(G268,J268,M268,P268,S268,V268),"")</f>
        <v/>
      </c>
      <c r="Z268" s="17">
        <f>IF(A268&lt;&gt;"",X268-Y268,"")</f>
        <v/>
      </c>
      <c r="AA268" s="18">
        <f>IF(A268&lt;&gt;"",ROUND(MIN(100,100*((MAX(0,K268)*0.25)+(MAX(0,Q268)*0.20)+(MAX(0,W268)*0.20)+(MAX(0,H268)*0.15)+(MAX(0,N268)*0.10)+(MAX(0,T268)*0.10))/9),1),"")</f>
        <v/>
      </c>
      <c r="AB268" s="29">
        <f>IF(A268&lt;&gt;"",MIN(1,(0.5*AA268/100)+(0.3*MAX(0,K268)/9)+(0.2*MAX(0,Q268)/9)),"")</f>
        <v/>
      </c>
    </row>
    <row r="269">
      <c r="A269" s="4">
        <f>IF('Raw Data'!A256&lt;&gt;"",'Raw Data'!A256,"")</f>
        <v/>
      </c>
      <c r="B269" s="4">
        <f>IF('Raw Data'!B256&lt;&gt;"",'Raw Data'!B256,"")</f>
        <v/>
      </c>
      <c r="C269" s="4">
        <f>IF('Raw Data'!C256&lt;&gt;"",'Raw Data'!C256,"")</f>
        <v/>
      </c>
      <c r="D269" s="4">
        <f>IF('Raw Data'!D256&lt;&gt;"",'Raw Data'!D256,"")</f>
        <v/>
      </c>
      <c r="E269" s="4">
        <f>IF('Raw Data'!E256&lt;&gt;"",'Raw Data'!E256,"")</f>
        <v/>
      </c>
      <c r="F269" s="14">
        <f>IF('Raw Data'!A256&lt;&gt;"",AVERAGE('Raw Data'!F256,'Raw Data'!H256,'Raw Data'!J256,'Raw Data'!L256,'Raw Data'!N256),"")</f>
        <v/>
      </c>
      <c r="G269" s="14">
        <f>IF('Raw Data'!A256&lt;&gt;"",AVERAGE('Raw Data'!G256,'Raw Data'!I256,'Raw Data'!K256,'Raw Data'!M256,'Raw Data'!O256),"")</f>
        <v/>
      </c>
      <c r="H269" s="14">
        <f>IF(F269&lt;&gt;"",F269-G269,"")</f>
        <v/>
      </c>
      <c r="I269" s="14">
        <f>IF('Raw Data'!A256&lt;&gt;"",AVERAGE('Raw Data'!P256,'Raw Data'!R256,'Raw Data'!T256,'Raw Data'!V256,'Raw Data'!X256),"")</f>
        <v/>
      </c>
      <c r="J269" s="14">
        <f>IF('Raw Data'!A256&lt;&gt;"",AVERAGE('Raw Data'!Q256,'Raw Data'!S256,'Raw Data'!U256,'Raw Data'!W256,'Raw Data'!Y256),"")</f>
        <v/>
      </c>
      <c r="K269" s="14">
        <f>IF(I269&lt;&gt;"",I269-J269,"")</f>
        <v/>
      </c>
      <c r="L269" s="14">
        <f>IF('Raw Data'!A256&lt;&gt;"",AVERAGE('Raw Data'!Z256,'Raw Data'!AB256,'Raw Data'!AD256,'Raw Data'!AF256,'Raw Data'!AH256),"")</f>
        <v/>
      </c>
      <c r="M269" s="14">
        <f>IF('Raw Data'!A256&lt;&gt;"",AVERAGE('Raw Data'!AA256,'Raw Data'!AC256,'Raw Data'!AE256,'Raw Data'!AG256,'Raw Data'!AI256),"")</f>
        <v/>
      </c>
      <c r="N269" s="14">
        <f>IF(L269&lt;&gt;"",L269-M269,"")</f>
        <v/>
      </c>
      <c r="O269" s="14">
        <f>IF('Raw Data'!A256&lt;&gt;"",AVERAGE('Raw Data'!AJ256,'Raw Data'!AL256,'Raw Data'!AN256,'Raw Data'!AP256,'Raw Data'!AR256),"")</f>
        <v/>
      </c>
      <c r="P269" s="14">
        <f>IF('Raw Data'!A256&lt;&gt;"",AVERAGE('Raw Data'!AK256,'Raw Data'!AM256,'Raw Data'!AO256,'Raw Data'!AQ256,'Raw Data'!AS256),"")</f>
        <v/>
      </c>
      <c r="Q269" s="14">
        <f>IF(O269&lt;&gt;"",O269-P269,"")</f>
        <v/>
      </c>
      <c r="R269" s="14">
        <f>IF('Raw Data'!A256&lt;&gt;"",AVERAGE('Raw Data'!AT256,'Raw Data'!AV256,'Raw Data'!AX256,'Raw Data'!AZ256,'Raw Data'!BB256),"")</f>
        <v/>
      </c>
      <c r="S269" s="14">
        <f>IF('Raw Data'!A256&lt;&gt;"",AVERAGE('Raw Data'!AU256,'Raw Data'!AW256,'Raw Data'!AY256,'Raw Data'!BA256,'Raw Data'!BC256),"")</f>
        <v/>
      </c>
      <c r="T269" s="14">
        <f>IF(R269&lt;&gt;"",R269-S269,"")</f>
        <v/>
      </c>
      <c r="U269" s="14">
        <f>IF('Raw Data'!A256&lt;&gt;"",AVERAGE('Raw Data'!BD256,'Raw Data'!BF256,'Raw Data'!BH256,'Raw Data'!BJ256,'Raw Data'!BL256),"")</f>
        <v/>
      </c>
      <c r="V269" s="14">
        <f>IF('Raw Data'!A256&lt;&gt;"",AVERAGE('Raw Data'!BE256,'Raw Data'!BG256,'Raw Data'!BI256,'Raw Data'!BK256,'Raw Data'!BM256),"")</f>
        <v/>
      </c>
      <c r="W269" s="14">
        <f>IF(U269&lt;&gt;"",U269-V269,"")</f>
        <v/>
      </c>
      <c r="X269" s="14">
        <f>IF(A269&lt;&gt;"",AVERAGE(F269,I269,L269,O269,R269,U269),"")</f>
        <v/>
      </c>
      <c r="Y269" s="14">
        <f>IF(A269&lt;&gt;"",AVERAGE(G269,J269,M269,P269,S269,V269),"")</f>
        <v/>
      </c>
      <c r="Z269" s="14">
        <f>IF(A269&lt;&gt;"",X269-Y269,"")</f>
        <v/>
      </c>
      <c r="AA269" s="15">
        <f>IF(A269&lt;&gt;"",ROUND(MIN(100,100*((MAX(0,K269)*0.25)+(MAX(0,Q269)*0.20)+(MAX(0,W269)*0.20)+(MAX(0,H269)*0.15)+(MAX(0,N269)*0.10)+(MAX(0,T269)*0.10))/9),1),"")</f>
        <v/>
      </c>
      <c r="AB269" s="28">
        <f>IF(A269&lt;&gt;"",MIN(1,(0.5*AA269/100)+(0.3*MAX(0,K269)/9)+(0.2*MAX(0,Q269)/9)),"")</f>
        <v/>
      </c>
    </row>
    <row r="270">
      <c r="A270" s="13">
        <f>IF('Raw Data'!A257&lt;&gt;"",'Raw Data'!A257,"")</f>
        <v/>
      </c>
      <c r="B270" s="13">
        <f>IF('Raw Data'!B257&lt;&gt;"",'Raw Data'!B257,"")</f>
        <v/>
      </c>
      <c r="C270" s="13">
        <f>IF('Raw Data'!C257&lt;&gt;"",'Raw Data'!C257,"")</f>
        <v/>
      </c>
      <c r="D270" s="13">
        <f>IF('Raw Data'!D257&lt;&gt;"",'Raw Data'!D257,"")</f>
        <v/>
      </c>
      <c r="E270" s="13">
        <f>IF('Raw Data'!E257&lt;&gt;"",'Raw Data'!E257,"")</f>
        <v/>
      </c>
      <c r="F270" s="17">
        <f>IF('Raw Data'!A257&lt;&gt;"",AVERAGE('Raw Data'!F257,'Raw Data'!H257,'Raw Data'!J257,'Raw Data'!L257,'Raw Data'!N257),"")</f>
        <v/>
      </c>
      <c r="G270" s="17">
        <f>IF('Raw Data'!A257&lt;&gt;"",AVERAGE('Raw Data'!G257,'Raw Data'!I257,'Raw Data'!K257,'Raw Data'!M257,'Raw Data'!O257),"")</f>
        <v/>
      </c>
      <c r="H270" s="17">
        <f>IF(F270&lt;&gt;"",F270-G270,"")</f>
        <v/>
      </c>
      <c r="I270" s="17">
        <f>IF('Raw Data'!A257&lt;&gt;"",AVERAGE('Raw Data'!P257,'Raw Data'!R257,'Raw Data'!T257,'Raw Data'!V257,'Raw Data'!X257),"")</f>
        <v/>
      </c>
      <c r="J270" s="17">
        <f>IF('Raw Data'!A257&lt;&gt;"",AVERAGE('Raw Data'!Q257,'Raw Data'!S257,'Raw Data'!U257,'Raw Data'!W257,'Raw Data'!Y257),"")</f>
        <v/>
      </c>
      <c r="K270" s="17">
        <f>IF(I270&lt;&gt;"",I270-J270,"")</f>
        <v/>
      </c>
      <c r="L270" s="17">
        <f>IF('Raw Data'!A257&lt;&gt;"",AVERAGE('Raw Data'!Z257,'Raw Data'!AB257,'Raw Data'!AD257,'Raw Data'!AF257,'Raw Data'!AH257),"")</f>
        <v/>
      </c>
      <c r="M270" s="17">
        <f>IF('Raw Data'!A257&lt;&gt;"",AVERAGE('Raw Data'!AA257,'Raw Data'!AC257,'Raw Data'!AE257,'Raw Data'!AG257,'Raw Data'!AI257),"")</f>
        <v/>
      </c>
      <c r="N270" s="17">
        <f>IF(L270&lt;&gt;"",L270-M270,"")</f>
        <v/>
      </c>
      <c r="O270" s="17">
        <f>IF('Raw Data'!A257&lt;&gt;"",AVERAGE('Raw Data'!AJ257,'Raw Data'!AL257,'Raw Data'!AN257,'Raw Data'!AP257,'Raw Data'!AR257),"")</f>
        <v/>
      </c>
      <c r="P270" s="17">
        <f>IF('Raw Data'!A257&lt;&gt;"",AVERAGE('Raw Data'!AK257,'Raw Data'!AM257,'Raw Data'!AO257,'Raw Data'!AQ257,'Raw Data'!AS257),"")</f>
        <v/>
      </c>
      <c r="Q270" s="17">
        <f>IF(O270&lt;&gt;"",O270-P270,"")</f>
        <v/>
      </c>
      <c r="R270" s="17">
        <f>IF('Raw Data'!A257&lt;&gt;"",AVERAGE('Raw Data'!AT257,'Raw Data'!AV257,'Raw Data'!AX257,'Raw Data'!AZ257,'Raw Data'!BB257),"")</f>
        <v/>
      </c>
      <c r="S270" s="17">
        <f>IF('Raw Data'!A257&lt;&gt;"",AVERAGE('Raw Data'!AU257,'Raw Data'!AW257,'Raw Data'!AY257,'Raw Data'!BA257,'Raw Data'!BC257),"")</f>
        <v/>
      </c>
      <c r="T270" s="17">
        <f>IF(R270&lt;&gt;"",R270-S270,"")</f>
        <v/>
      </c>
      <c r="U270" s="17">
        <f>IF('Raw Data'!A257&lt;&gt;"",AVERAGE('Raw Data'!BD257,'Raw Data'!BF257,'Raw Data'!BH257,'Raw Data'!BJ257,'Raw Data'!BL257),"")</f>
        <v/>
      </c>
      <c r="V270" s="17">
        <f>IF('Raw Data'!A257&lt;&gt;"",AVERAGE('Raw Data'!BE257,'Raw Data'!BG257,'Raw Data'!BI257,'Raw Data'!BK257,'Raw Data'!BM257),"")</f>
        <v/>
      </c>
      <c r="W270" s="17">
        <f>IF(U270&lt;&gt;"",U270-V270,"")</f>
        <v/>
      </c>
      <c r="X270" s="17">
        <f>IF(A270&lt;&gt;"",AVERAGE(F270,I270,L270,O270,R270,U270),"")</f>
        <v/>
      </c>
      <c r="Y270" s="17">
        <f>IF(A270&lt;&gt;"",AVERAGE(G270,J270,M270,P270,S270,V270),"")</f>
        <v/>
      </c>
      <c r="Z270" s="17">
        <f>IF(A270&lt;&gt;"",X270-Y270,"")</f>
        <v/>
      </c>
      <c r="AA270" s="18">
        <f>IF(A270&lt;&gt;"",ROUND(MIN(100,100*((MAX(0,K270)*0.25)+(MAX(0,Q270)*0.20)+(MAX(0,W270)*0.20)+(MAX(0,H270)*0.15)+(MAX(0,N270)*0.10)+(MAX(0,T270)*0.10))/9),1),"")</f>
        <v/>
      </c>
      <c r="AB270" s="29">
        <f>IF(A270&lt;&gt;"",MIN(1,(0.5*AA270/100)+(0.3*MAX(0,K270)/9)+(0.2*MAX(0,Q270)/9)),"")</f>
        <v/>
      </c>
    </row>
    <row r="271">
      <c r="A271" s="4">
        <f>IF('Raw Data'!A258&lt;&gt;"",'Raw Data'!A258,"")</f>
        <v/>
      </c>
      <c r="B271" s="4">
        <f>IF('Raw Data'!B258&lt;&gt;"",'Raw Data'!B258,"")</f>
        <v/>
      </c>
      <c r="C271" s="4">
        <f>IF('Raw Data'!C258&lt;&gt;"",'Raw Data'!C258,"")</f>
        <v/>
      </c>
      <c r="D271" s="4">
        <f>IF('Raw Data'!D258&lt;&gt;"",'Raw Data'!D258,"")</f>
        <v/>
      </c>
      <c r="E271" s="4">
        <f>IF('Raw Data'!E258&lt;&gt;"",'Raw Data'!E258,"")</f>
        <v/>
      </c>
      <c r="F271" s="14">
        <f>IF('Raw Data'!A258&lt;&gt;"",AVERAGE('Raw Data'!F258,'Raw Data'!H258,'Raw Data'!J258,'Raw Data'!L258,'Raw Data'!N258),"")</f>
        <v/>
      </c>
      <c r="G271" s="14">
        <f>IF('Raw Data'!A258&lt;&gt;"",AVERAGE('Raw Data'!G258,'Raw Data'!I258,'Raw Data'!K258,'Raw Data'!M258,'Raw Data'!O258),"")</f>
        <v/>
      </c>
      <c r="H271" s="14">
        <f>IF(F271&lt;&gt;"",F271-G271,"")</f>
        <v/>
      </c>
      <c r="I271" s="14">
        <f>IF('Raw Data'!A258&lt;&gt;"",AVERAGE('Raw Data'!P258,'Raw Data'!R258,'Raw Data'!T258,'Raw Data'!V258,'Raw Data'!X258),"")</f>
        <v/>
      </c>
      <c r="J271" s="14">
        <f>IF('Raw Data'!A258&lt;&gt;"",AVERAGE('Raw Data'!Q258,'Raw Data'!S258,'Raw Data'!U258,'Raw Data'!W258,'Raw Data'!Y258),"")</f>
        <v/>
      </c>
      <c r="K271" s="14">
        <f>IF(I271&lt;&gt;"",I271-J271,"")</f>
        <v/>
      </c>
      <c r="L271" s="14">
        <f>IF('Raw Data'!A258&lt;&gt;"",AVERAGE('Raw Data'!Z258,'Raw Data'!AB258,'Raw Data'!AD258,'Raw Data'!AF258,'Raw Data'!AH258),"")</f>
        <v/>
      </c>
      <c r="M271" s="14">
        <f>IF('Raw Data'!A258&lt;&gt;"",AVERAGE('Raw Data'!AA258,'Raw Data'!AC258,'Raw Data'!AE258,'Raw Data'!AG258,'Raw Data'!AI258),"")</f>
        <v/>
      </c>
      <c r="N271" s="14">
        <f>IF(L271&lt;&gt;"",L271-M271,"")</f>
        <v/>
      </c>
      <c r="O271" s="14">
        <f>IF('Raw Data'!A258&lt;&gt;"",AVERAGE('Raw Data'!AJ258,'Raw Data'!AL258,'Raw Data'!AN258,'Raw Data'!AP258,'Raw Data'!AR258),"")</f>
        <v/>
      </c>
      <c r="P271" s="14">
        <f>IF('Raw Data'!A258&lt;&gt;"",AVERAGE('Raw Data'!AK258,'Raw Data'!AM258,'Raw Data'!AO258,'Raw Data'!AQ258,'Raw Data'!AS258),"")</f>
        <v/>
      </c>
      <c r="Q271" s="14">
        <f>IF(O271&lt;&gt;"",O271-P271,"")</f>
        <v/>
      </c>
      <c r="R271" s="14">
        <f>IF('Raw Data'!A258&lt;&gt;"",AVERAGE('Raw Data'!AT258,'Raw Data'!AV258,'Raw Data'!AX258,'Raw Data'!AZ258,'Raw Data'!BB258),"")</f>
        <v/>
      </c>
      <c r="S271" s="14">
        <f>IF('Raw Data'!A258&lt;&gt;"",AVERAGE('Raw Data'!AU258,'Raw Data'!AW258,'Raw Data'!AY258,'Raw Data'!BA258,'Raw Data'!BC258),"")</f>
        <v/>
      </c>
      <c r="T271" s="14">
        <f>IF(R271&lt;&gt;"",R271-S271,"")</f>
        <v/>
      </c>
      <c r="U271" s="14">
        <f>IF('Raw Data'!A258&lt;&gt;"",AVERAGE('Raw Data'!BD258,'Raw Data'!BF258,'Raw Data'!BH258,'Raw Data'!BJ258,'Raw Data'!BL258),"")</f>
        <v/>
      </c>
      <c r="V271" s="14">
        <f>IF('Raw Data'!A258&lt;&gt;"",AVERAGE('Raw Data'!BE258,'Raw Data'!BG258,'Raw Data'!BI258,'Raw Data'!BK258,'Raw Data'!BM258),"")</f>
        <v/>
      </c>
      <c r="W271" s="14">
        <f>IF(U271&lt;&gt;"",U271-V271,"")</f>
        <v/>
      </c>
      <c r="X271" s="14">
        <f>IF(A271&lt;&gt;"",AVERAGE(F271,I271,L271,O271,R271,U271),"")</f>
        <v/>
      </c>
      <c r="Y271" s="14">
        <f>IF(A271&lt;&gt;"",AVERAGE(G271,J271,M271,P271,S271,V271),"")</f>
        <v/>
      </c>
      <c r="Z271" s="14">
        <f>IF(A271&lt;&gt;"",X271-Y271,"")</f>
        <v/>
      </c>
      <c r="AA271" s="15">
        <f>IF(A271&lt;&gt;"",ROUND(MIN(100,100*((MAX(0,K271)*0.25)+(MAX(0,Q271)*0.20)+(MAX(0,W271)*0.20)+(MAX(0,H271)*0.15)+(MAX(0,N271)*0.10)+(MAX(0,T271)*0.10))/9),1),"")</f>
        <v/>
      </c>
      <c r="AB271" s="28">
        <f>IF(A271&lt;&gt;"",MIN(1,(0.5*AA271/100)+(0.3*MAX(0,K271)/9)+(0.2*MAX(0,Q271)/9)),"")</f>
        <v/>
      </c>
    </row>
    <row r="272">
      <c r="A272" s="13">
        <f>IF('Raw Data'!A259&lt;&gt;"",'Raw Data'!A259,"")</f>
        <v/>
      </c>
      <c r="B272" s="13">
        <f>IF('Raw Data'!B259&lt;&gt;"",'Raw Data'!B259,"")</f>
        <v/>
      </c>
      <c r="C272" s="13">
        <f>IF('Raw Data'!C259&lt;&gt;"",'Raw Data'!C259,"")</f>
        <v/>
      </c>
      <c r="D272" s="13">
        <f>IF('Raw Data'!D259&lt;&gt;"",'Raw Data'!D259,"")</f>
        <v/>
      </c>
      <c r="E272" s="13">
        <f>IF('Raw Data'!E259&lt;&gt;"",'Raw Data'!E259,"")</f>
        <v/>
      </c>
      <c r="F272" s="17">
        <f>IF('Raw Data'!A259&lt;&gt;"",AVERAGE('Raw Data'!F259,'Raw Data'!H259,'Raw Data'!J259,'Raw Data'!L259,'Raw Data'!N259),"")</f>
        <v/>
      </c>
      <c r="G272" s="17">
        <f>IF('Raw Data'!A259&lt;&gt;"",AVERAGE('Raw Data'!G259,'Raw Data'!I259,'Raw Data'!K259,'Raw Data'!M259,'Raw Data'!O259),"")</f>
        <v/>
      </c>
      <c r="H272" s="17">
        <f>IF(F272&lt;&gt;"",F272-G272,"")</f>
        <v/>
      </c>
      <c r="I272" s="17">
        <f>IF('Raw Data'!A259&lt;&gt;"",AVERAGE('Raw Data'!P259,'Raw Data'!R259,'Raw Data'!T259,'Raw Data'!V259,'Raw Data'!X259),"")</f>
        <v/>
      </c>
      <c r="J272" s="17">
        <f>IF('Raw Data'!A259&lt;&gt;"",AVERAGE('Raw Data'!Q259,'Raw Data'!S259,'Raw Data'!U259,'Raw Data'!W259,'Raw Data'!Y259),"")</f>
        <v/>
      </c>
      <c r="K272" s="17">
        <f>IF(I272&lt;&gt;"",I272-J272,"")</f>
        <v/>
      </c>
      <c r="L272" s="17">
        <f>IF('Raw Data'!A259&lt;&gt;"",AVERAGE('Raw Data'!Z259,'Raw Data'!AB259,'Raw Data'!AD259,'Raw Data'!AF259,'Raw Data'!AH259),"")</f>
        <v/>
      </c>
      <c r="M272" s="17">
        <f>IF('Raw Data'!A259&lt;&gt;"",AVERAGE('Raw Data'!AA259,'Raw Data'!AC259,'Raw Data'!AE259,'Raw Data'!AG259,'Raw Data'!AI259),"")</f>
        <v/>
      </c>
      <c r="N272" s="17">
        <f>IF(L272&lt;&gt;"",L272-M272,"")</f>
        <v/>
      </c>
      <c r="O272" s="17">
        <f>IF('Raw Data'!A259&lt;&gt;"",AVERAGE('Raw Data'!AJ259,'Raw Data'!AL259,'Raw Data'!AN259,'Raw Data'!AP259,'Raw Data'!AR259),"")</f>
        <v/>
      </c>
      <c r="P272" s="17">
        <f>IF('Raw Data'!A259&lt;&gt;"",AVERAGE('Raw Data'!AK259,'Raw Data'!AM259,'Raw Data'!AO259,'Raw Data'!AQ259,'Raw Data'!AS259),"")</f>
        <v/>
      </c>
      <c r="Q272" s="17">
        <f>IF(O272&lt;&gt;"",O272-P272,"")</f>
        <v/>
      </c>
      <c r="R272" s="17">
        <f>IF('Raw Data'!A259&lt;&gt;"",AVERAGE('Raw Data'!AT259,'Raw Data'!AV259,'Raw Data'!AX259,'Raw Data'!AZ259,'Raw Data'!BB259),"")</f>
        <v/>
      </c>
      <c r="S272" s="17">
        <f>IF('Raw Data'!A259&lt;&gt;"",AVERAGE('Raw Data'!AU259,'Raw Data'!AW259,'Raw Data'!AY259,'Raw Data'!BA259,'Raw Data'!BC259),"")</f>
        <v/>
      </c>
      <c r="T272" s="17">
        <f>IF(R272&lt;&gt;"",R272-S272,"")</f>
        <v/>
      </c>
      <c r="U272" s="17">
        <f>IF('Raw Data'!A259&lt;&gt;"",AVERAGE('Raw Data'!BD259,'Raw Data'!BF259,'Raw Data'!BH259,'Raw Data'!BJ259,'Raw Data'!BL259),"")</f>
        <v/>
      </c>
      <c r="V272" s="17">
        <f>IF('Raw Data'!A259&lt;&gt;"",AVERAGE('Raw Data'!BE259,'Raw Data'!BG259,'Raw Data'!BI259,'Raw Data'!BK259,'Raw Data'!BM259),"")</f>
        <v/>
      </c>
      <c r="W272" s="17">
        <f>IF(U272&lt;&gt;"",U272-V272,"")</f>
        <v/>
      </c>
      <c r="X272" s="17">
        <f>IF(A272&lt;&gt;"",AVERAGE(F272,I272,L272,O272,R272,U272),"")</f>
        <v/>
      </c>
      <c r="Y272" s="17">
        <f>IF(A272&lt;&gt;"",AVERAGE(G272,J272,M272,P272,S272,V272),"")</f>
        <v/>
      </c>
      <c r="Z272" s="17">
        <f>IF(A272&lt;&gt;"",X272-Y272,"")</f>
        <v/>
      </c>
      <c r="AA272" s="18">
        <f>IF(A272&lt;&gt;"",ROUND(MIN(100,100*((MAX(0,K272)*0.25)+(MAX(0,Q272)*0.20)+(MAX(0,W272)*0.20)+(MAX(0,H272)*0.15)+(MAX(0,N272)*0.10)+(MAX(0,T272)*0.10))/9),1),"")</f>
        <v/>
      </c>
      <c r="AB272" s="29">
        <f>IF(A272&lt;&gt;"",MIN(1,(0.5*AA272/100)+(0.3*MAX(0,K272)/9)+(0.2*MAX(0,Q272)/9)),"")</f>
        <v/>
      </c>
    </row>
    <row r="273">
      <c r="A273" s="4">
        <f>IF('Raw Data'!A260&lt;&gt;"",'Raw Data'!A260,"")</f>
        <v/>
      </c>
      <c r="B273" s="4">
        <f>IF('Raw Data'!B260&lt;&gt;"",'Raw Data'!B260,"")</f>
        <v/>
      </c>
      <c r="C273" s="4">
        <f>IF('Raw Data'!C260&lt;&gt;"",'Raw Data'!C260,"")</f>
        <v/>
      </c>
      <c r="D273" s="4">
        <f>IF('Raw Data'!D260&lt;&gt;"",'Raw Data'!D260,"")</f>
        <v/>
      </c>
      <c r="E273" s="4">
        <f>IF('Raw Data'!E260&lt;&gt;"",'Raw Data'!E260,"")</f>
        <v/>
      </c>
      <c r="F273" s="14">
        <f>IF('Raw Data'!A260&lt;&gt;"",AVERAGE('Raw Data'!F260,'Raw Data'!H260,'Raw Data'!J260,'Raw Data'!L260,'Raw Data'!N260),"")</f>
        <v/>
      </c>
      <c r="G273" s="14">
        <f>IF('Raw Data'!A260&lt;&gt;"",AVERAGE('Raw Data'!G260,'Raw Data'!I260,'Raw Data'!K260,'Raw Data'!M260,'Raw Data'!O260),"")</f>
        <v/>
      </c>
      <c r="H273" s="14">
        <f>IF(F273&lt;&gt;"",F273-G273,"")</f>
        <v/>
      </c>
      <c r="I273" s="14">
        <f>IF('Raw Data'!A260&lt;&gt;"",AVERAGE('Raw Data'!P260,'Raw Data'!R260,'Raw Data'!T260,'Raw Data'!V260,'Raw Data'!X260),"")</f>
        <v/>
      </c>
      <c r="J273" s="14">
        <f>IF('Raw Data'!A260&lt;&gt;"",AVERAGE('Raw Data'!Q260,'Raw Data'!S260,'Raw Data'!U260,'Raw Data'!W260,'Raw Data'!Y260),"")</f>
        <v/>
      </c>
      <c r="K273" s="14">
        <f>IF(I273&lt;&gt;"",I273-J273,"")</f>
        <v/>
      </c>
      <c r="L273" s="14">
        <f>IF('Raw Data'!A260&lt;&gt;"",AVERAGE('Raw Data'!Z260,'Raw Data'!AB260,'Raw Data'!AD260,'Raw Data'!AF260,'Raw Data'!AH260),"")</f>
        <v/>
      </c>
      <c r="M273" s="14">
        <f>IF('Raw Data'!A260&lt;&gt;"",AVERAGE('Raw Data'!AA260,'Raw Data'!AC260,'Raw Data'!AE260,'Raw Data'!AG260,'Raw Data'!AI260),"")</f>
        <v/>
      </c>
      <c r="N273" s="14">
        <f>IF(L273&lt;&gt;"",L273-M273,"")</f>
        <v/>
      </c>
      <c r="O273" s="14">
        <f>IF('Raw Data'!A260&lt;&gt;"",AVERAGE('Raw Data'!AJ260,'Raw Data'!AL260,'Raw Data'!AN260,'Raw Data'!AP260,'Raw Data'!AR260),"")</f>
        <v/>
      </c>
      <c r="P273" s="14">
        <f>IF('Raw Data'!A260&lt;&gt;"",AVERAGE('Raw Data'!AK260,'Raw Data'!AM260,'Raw Data'!AO260,'Raw Data'!AQ260,'Raw Data'!AS260),"")</f>
        <v/>
      </c>
      <c r="Q273" s="14">
        <f>IF(O273&lt;&gt;"",O273-P273,"")</f>
        <v/>
      </c>
      <c r="R273" s="14">
        <f>IF('Raw Data'!A260&lt;&gt;"",AVERAGE('Raw Data'!AT260,'Raw Data'!AV260,'Raw Data'!AX260,'Raw Data'!AZ260,'Raw Data'!BB260),"")</f>
        <v/>
      </c>
      <c r="S273" s="14">
        <f>IF('Raw Data'!A260&lt;&gt;"",AVERAGE('Raw Data'!AU260,'Raw Data'!AW260,'Raw Data'!AY260,'Raw Data'!BA260,'Raw Data'!BC260),"")</f>
        <v/>
      </c>
      <c r="T273" s="14">
        <f>IF(R273&lt;&gt;"",R273-S273,"")</f>
        <v/>
      </c>
      <c r="U273" s="14">
        <f>IF('Raw Data'!A260&lt;&gt;"",AVERAGE('Raw Data'!BD260,'Raw Data'!BF260,'Raw Data'!BH260,'Raw Data'!BJ260,'Raw Data'!BL260),"")</f>
        <v/>
      </c>
      <c r="V273" s="14">
        <f>IF('Raw Data'!A260&lt;&gt;"",AVERAGE('Raw Data'!BE260,'Raw Data'!BG260,'Raw Data'!BI260,'Raw Data'!BK260,'Raw Data'!BM260),"")</f>
        <v/>
      </c>
      <c r="W273" s="14">
        <f>IF(U273&lt;&gt;"",U273-V273,"")</f>
        <v/>
      </c>
      <c r="X273" s="14">
        <f>IF(A273&lt;&gt;"",AVERAGE(F273,I273,L273,O273,R273,U273),"")</f>
        <v/>
      </c>
      <c r="Y273" s="14">
        <f>IF(A273&lt;&gt;"",AVERAGE(G273,J273,M273,P273,S273,V273),"")</f>
        <v/>
      </c>
      <c r="Z273" s="14">
        <f>IF(A273&lt;&gt;"",X273-Y273,"")</f>
        <v/>
      </c>
      <c r="AA273" s="15">
        <f>IF(A273&lt;&gt;"",ROUND(MIN(100,100*((MAX(0,K273)*0.25)+(MAX(0,Q273)*0.20)+(MAX(0,W273)*0.20)+(MAX(0,H273)*0.15)+(MAX(0,N273)*0.10)+(MAX(0,T273)*0.10))/9),1),"")</f>
        <v/>
      </c>
      <c r="AB273" s="28">
        <f>IF(A273&lt;&gt;"",MIN(1,(0.5*AA273/100)+(0.3*MAX(0,K273)/9)+(0.2*MAX(0,Q273)/9)),"")</f>
        <v/>
      </c>
    </row>
    <row r="274">
      <c r="A274" s="13">
        <f>IF('Raw Data'!A261&lt;&gt;"",'Raw Data'!A261,"")</f>
        <v/>
      </c>
      <c r="B274" s="13">
        <f>IF('Raw Data'!B261&lt;&gt;"",'Raw Data'!B261,"")</f>
        <v/>
      </c>
      <c r="C274" s="13">
        <f>IF('Raw Data'!C261&lt;&gt;"",'Raw Data'!C261,"")</f>
        <v/>
      </c>
      <c r="D274" s="13">
        <f>IF('Raw Data'!D261&lt;&gt;"",'Raw Data'!D261,"")</f>
        <v/>
      </c>
      <c r="E274" s="13">
        <f>IF('Raw Data'!E261&lt;&gt;"",'Raw Data'!E261,"")</f>
        <v/>
      </c>
      <c r="F274" s="17">
        <f>IF('Raw Data'!A261&lt;&gt;"",AVERAGE('Raw Data'!F261,'Raw Data'!H261,'Raw Data'!J261,'Raw Data'!L261,'Raw Data'!N261),"")</f>
        <v/>
      </c>
      <c r="G274" s="17">
        <f>IF('Raw Data'!A261&lt;&gt;"",AVERAGE('Raw Data'!G261,'Raw Data'!I261,'Raw Data'!K261,'Raw Data'!M261,'Raw Data'!O261),"")</f>
        <v/>
      </c>
      <c r="H274" s="17">
        <f>IF(F274&lt;&gt;"",F274-G274,"")</f>
        <v/>
      </c>
      <c r="I274" s="17">
        <f>IF('Raw Data'!A261&lt;&gt;"",AVERAGE('Raw Data'!P261,'Raw Data'!R261,'Raw Data'!T261,'Raw Data'!V261,'Raw Data'!X261),"")</f>
        <v/>
      </c>
      <c r="J274" s="17">
        <f>IF('Raw Data'!A261&lt;&gt;"",AVERAGE('Raw Data'!Q261,'Raw Data'!S261,'Raw Data'!U261,'Raw Data'!W261,'Raw Data'!Y261),"")</f>
        <v/>
      </c>
      <c r="K274" s="17">
        <f>IF(I274&lt;&gt;"",I274-J274,"")</f>
        <v/>
      </c>
      <c r="L274" s="17">
        <f>IF('Raw Data'!A261&lt;&gt;"",AVERAGE('Raw Data'!Z261,'Raw Data'!AB261,'Raw Data'!AD261,'Raw Data'!AF261,'Raw Data'!AH261),"")</f>
        <v/>
      </c>
      <c r="M274" s="17">
        <f>IF('Raw Data'!A261&lt;&gt;"",AVERAGE('Raw Data'!AA261,'Raw Data'!AC261,'Raw Data'!AE261,'Raw Data'!AG261,'Raw Data'!AI261),"")</f>
        <v/>
      </c>
      <c r="N274" s="17">
        <f>IF(L274&lt;&gt;"",L274-M274,"")</f>
        <v/>
      </c>
      <c r="O274" s="17">
        <f>IF('Raw Data'!A261&lt;&gt;"",AVERAGE('Raw Data'!AJ261,'Raw Data'!AL261,'Raw Data'!AN261,'Raw Data'!AP261,'Raw Data'!AR261),"")</f>
        <v/>
      </c>
      <c r="P274" s="17">
        <f>IF('Raw Data'!A261&lt;&gt;"",AVERAGE('Raw Data'!AK261,'Raw Data'!AM261,'Raw Data'!AO261,'Raw Data'!AQ261,'Raw Data'!AS261),"")</f>
        <v/>
      </c>
      <c r="Q274" s="17">
        <f>IF(O274&lt;&gt;"",O274-P274,"")</f>
        <v/>
      </c>
      <c r="R274" s="17">
        <f>IF('Raw Data'!A261&lt;&gt;"",AVERAGE('Raw Data'!AT261,'Raw Data'!AV261,'Raw Data'!AX261,'Raw Data'!AZ261,'Raw Data'!BB261),"")</f>
        <v/>
      </c>
      <c r="S274" s="17">
        <f>IF('Raw Data'!A261&lt;&gt;"",AVERAGE('Raw Data'!AU261,'Raw Data'!AW261,'Raw Data'!AY261,'Raw Data'!BA261,'Raw Data'!BC261),"")</f>
        <v/>
      </c>
      <c r="T274" s="17">
        <f>IF(R274&lt;&gt;"",R274-S274,"")</f>
        <v/>
      </c>
      <c r="U274" s="17">
        <f>IF('Raw Data'!A261&lt;&gt;"",AVERAGE('Raw Data'!BD261,'Raw Data'!BF261,'Raw Data'!BH261,'Raw Data'!BJ261,'Raw Data'!BL261),"")</f>
        <v/>
      </c>
      <c r="V274" s="17">
        <f>IF('Raw Data'!A261&lt;&gt;"",AVERAGE('Raw Data'!BE261,'Raw Data'!BG261,'Raw Data'!BI261,'Raw Data'!BK261,'Raw Data'!BM261),"")</f>
        <v/>
      </c>
      <c r="W274" s="17">
        <f>IF(U274&lt;&gt;"",U274-V274,"")</f>
        <v/>
      </c>
      <c r="X274" s="17">
        <f>IF(A274&lt;&gt;"",AVERAGE(F274,I274,L274,O274,R274,U274),"")</f>
        <v/>
      </c>
      <c r="Y274" s="17">
        <f>IF(A274&lt;&gt;"",AVERAGE(G274,J274,M274,P274,S274,V274),"")</f>
        <v/>
      </c>
      <c r="Z274" s="17">
        <f>IF(A274&lt;&gt;"",X274-Y274,"")</f>
        <v/>
      </c>
      <c r="AA274" s="18">
        <f>IF(A274&lt;&gt;"",ROUND(MIN(100,100*((MAX(0,K274)*0.25)+(MAX(0,Q274)*0.20)+(MAX(0,W274)*0.20)+(MAX(0,H274)*0.15)+(MAX(0,N274)*0.10)+(MAX(0,T274)*0.10))/9),1),"")</f>
        <v/>
      </c>
      <c r="AB274" s="29">
        <f>IF(A274&lt;&gt;"",MIN(1,(0.5*AA274/100)+(0.3*MAX(0,K274)/9)+(0.2*MAX(0,Q274)/9)),"")</f>
        <v/>
      </c>
    </row>
    <row r="275">
      <c r="A275" s="4">
        <f>IF('Raw Data'!A262&lt;&gt;"",'Raw Data'!A262,"")</f>
        <v/>
      </c>
      <c r="B275" s="4">
        <f>IF('Raw Data'!B262&lt;&gt;"",'Raw Data'!B262,"")</f>
        <v/>
      </c>
      <c r="C275" s="4">
        <f>IF('Raw Data'!C262&lt;&gt;"",'Raw Data'!C262,"")</f>
        <v/>
      </c>
      <c r="D275" s="4">
        <f>IF('Raw Data'!D262&lt;&gt;"",'Raw Data'!D262,"")</f>
        <v/>
      </c>
      <c r="E275" s="4">
        <f>IF('Raw Data'!E262&lt;&gt;"",'Raw Data'!E262,"")</f>
        <v/>
      </c>
      <c r="F275" s="14">
        <f>IF('Raw Data'!A262&lt;&gt;"",AVERAGE('Raw Data'!F262,'Raw Data'!H262,'Raw Data'!J262,'Raw Data'!L262,'Raw Data'!N262),"")</f>
        <v/>
      </c>
      <c r="G275" s="14">
        <f>IF('Raw Data'!A262&lt;&gt;"",AVERAGE('Raw Data'!G262,'Raw Data'!I262,'Raw Data'!K262,'Raw Data'!M262,'Raw Data'!O262),"")</f>
        <v/>
      </c>
      <c r="H275" s="14">
        <f>IF(F275&lt;&gt;"",F275-G275,"")</f>
        <v/>
      </c>
      <c r="I275" s="14">
        <f>IF('Raw Data'!A262&lt;&gt;"",AVERAGE('Raw Data'!P262,'Raw Data'!R262,'Raw Data'!T262,'Raw Data'!V262,'Raw Data'!X262),"")</f>
        <v/>
      </c>
      <c r="J275" s="14">
        <f>IF('Raw Data'!A262&lt;&gt;"",AVERAGE('Raw Data'!Q262,'Raw Data'!S262,'Raw Data'!U262,'Raw Data'!W262,'Raw Data'!Y262),"")</f>
        <v/>
      </c>
      <c r="K275" s="14">
        <f>IF(I275&lt;&gt;"",I275-J275,"")</f>
        <v/>
      </c>
      <c r="L275" s="14">
        <f>IF('Raw Data'!A262&lt;&gt;"",AVERAGE('Raw Data'!Z262,'Raw Data'!AB262,'Raw Data'!AD262,'Raw Data'!AF262,'Raw Data'!AH262),"")</f>
        <v/>
      </c>
      <c r="M275" s="14">
        <f>IF('Raw Data'!A262&lt;&gt;"",AVERAGE('Raw Data'!AA262,'Raw Data'!AC262,'Raw Data'!AE262,'Raw Data'!AG262,'Raw Data'!AI262),"")</f>
        <v/>
      </c>
      <c r="N275" s="14">
        <f>IF(L275&lt;&gt;"",L275-M275,"")</f>
        <v/>
      </c>
      <c r="O275" s="14">
        <f>IF('Raw Data'!A262&lt;&gt;"",AVERAGE('Raw Data'!AJ262,'Raw Data'!AL262,'Raw Data'!AN262,'Raw Data'!AP262,'Raw Data'!AR262),"")</f>
        <v/>
      </c>
      <c r="P275" s="14">
        <f>IF('Raw Data'!A262&lt;&gt;"",AVERAGE('Raw Data'!AK262,'Raw Data'!AM262,'Raw Data'!AO262,'Raw Data'!AQ262,'Raw Data'!AS262),"")</f>
        <v/>
      </c>
      <c r="Q275" s="14">
        <f>IF(O275&lt;&gt;"",O275-P275,"")</f>
        <v/>
      </c>
      <c r="R275" s="14">
        <f>IF('Raw Data'!A262&lt;&gt;"",AVERAGE('Raw Data'!AT262,'Raw Data'!AV262,'Raw Data'!AX262,'Raw Data'!AZ262,'Raw Data'!BB262),"")</f>
        <v/>
      </c>
      <c r="S275" s="14">
        <f>IF('Raw Data'!A262&lt;&gt;"",AVERAGE('Raw Data'!AU262,'Raw Data'!AW262,'Raw Data'!AY262,'Raw Data'!BA262,'Raw Data'!BC262),"")</f>
        <v/>
      </c>
      <c r="T275" s="14">
        <f>IF(R275&lt;&gt;"",R275-S275,"")</f>
        <v/>
      </c>
      <c r="U275" s="14">
        <f>IF('Raw Data'!A262&lt;&gt;"",AVERAGE('Raw Data'!BD262,'Raw Data'!BF262,'Raw Data'!BH262,'Raw Data'!BJ262,'Raw Data'!BL262),"")</f>
        <v/>
      </c>
      <c r="V275" s="14">
        <f>IF('Raw Data'!A262&lt;&gt;"",AVERAGE('Raw Data'!BE262,'Raw Data'!BG262,'Raw Data'!BI262,'Raw Data'!BK262,'Raw Data'!BM262),"")</f>
        <v/>
      </c>
      <c r="W275" s="14">
        <f>IF(U275&lt;&gt;"",U275-V275,"")</f>
        <v/>
      </c>
      <c r="X275" s="14">
        <f>IF(A275&lt;&gt;"",AVERAGE(F275,I275,L275,O275,R275,U275),"")</f>
        <v/>
      </c>
      <c r="Y275" s="14">
        <f>IF(A275&lt;&gt;"",AVERAGE(G275,J275,M275,P275,S275,V275),"")</f>
        <v/>
      </c>
      <c r="Z275" s="14">
        <f>IF(A275&lt;&gt;"",X275-Y275,"")</f>
        <v/>
      </c>
      <c r="AA275" s="15">
        <f>IF(A275&lt;&gt;"",ROUND(MIN(100,100*((MAX(0,K275)*0.25)+(MAX(0,Q275)*0.20)+(MAX(0,W275)*0.20)+(MAX(0,H275)*0.15)+(MAX(0,N275)*0.10)+(MAX(0,T275)*0.10))/9),1),"")</f>
        <v/>
      </c>
      <c r="AB275" s="28">
        <f>IF(A275&lt;&gt;"",MIN(1,(0.5*AA275/100)+(0.3*MAX(0,K275)/9)+(0.2*MAX(0,Q275)/9)),"")</f>
        <v/>
      </c>
    </row>
    <row r="276">
      <c r="A276" s="13">
        <f>IF('Raw Data'!A263&lt;&gt;"",'Raw Data'!A263,"")</f>
        <v/>
      </c>
      <c r="B276" s="13">
        <f>IF('Raw Data'!B263&lt;&gt;"",'Raw Data'!B263,"")</f>
        <v/>
      </c>
      <c r="C276" s="13">
        <f>IF('Raw Data'!C263&lt;&gt;"",'Raw Data'!C263,"")</f>
        <v/>
      </c>
      <c r="D276" s="13">
        <f>IF('Raw Data'!D263&lt;&gt;"",'Raw Data'!D263,"")</f>
        <v/>
      </c>
      <c r="E276" s="13">
        <f>IF('Raw Data'!E263&lt;&gt;"",'Raw Data'!E263,"")</f>
        <v/>
      </c>
      <c r="F276" s="17">
        <f>IF('Raw Data'!A263&lt;&gt;"",AVERAGE('Raw Data'!F263,'Raw Data'!H263,'Raw Data'!J263,'Raw Data'!L263,'Raw Data'!N263),"")</f>
        <v/>
      </c>
      <c r="G276" s="17">
        <f>IF('Raw Data'!A263&lt;&gt;"",AVERAGE('Raw Data'!G263,'Raw Data'!I263,'Raw Data'!K263,'Raw Data'!M263,'Raw Data'!O263),"")</f>
        <v/>
      </c>
      <c r="H276" s="17">
        <f>IF(F276&lt;&gt;"",F276-G276,"")</f>
        <v/>
      </c>
      <c r="I276" s="17">
        <f>IF('Raw Data'!A263&lt;&gt;"",AVERAGE('Raw Data'!P263,'Raw Data'!R263,'Raw Data'!T263,'Raw Data'!V263,'Raw Data'!X263),"")</f>
        <v/>
      </c>
      <c r="J276" s="17">
        <f>IF('Raw Data'!A263&lt;&gt;"",AVERAGE('Raw Data'!Q263,'Raw Data'!S263,'Raw Data'!U263,'Raw Data'!W263,'Raw Data'!Y263),"")</f>
        <v/>
      </c>
      <c r="K276" s="17">
        <f>IF(I276&lt;&gt;"",I276-J276,"")</f>
        <v/>
      </c>
      <c r="L276" s="17">
        <f>IF('Raw Data'!A263&lt;&gt;"",AVERAGE('Raw Data'!Z263,'Raw Data'!AB263,'Raw Data'!AD263,'Raw Data'!AF263,'Raw Data'!AH263),"")</f>
        <v/>
      </c>
      <c r="M276" s="17">
        <f>IF('Raw Data'!A263&lt;&gt;"",AVERAGE('Raw Data'!AA263,'Raw Data'!AC263,'Raw Data'!AE263,'Raw Data'!AG263,'Raw Data'!AI263),"")</f>
        <v/>
      </c>
      <c r="N276" s="17">
        <f>IF(L276&lt;&gt;"",L276-M276,"")</f>
        <v/>
      </c>
      <c r="O276" s="17">
        <f>IF('Raw Data'!A263&lt;&gt;"",AVERAGE('Raw Data'!AJ263,'Raw Data'!AL263,'Raw Data'!AN263,'Raw Data'!AP263,'Raw Data'!AR263),"")</f>
        <v/>
      </c>
      <c r="P276" s="17">
        <f>IF('Raw Data'!A263&lt;&gt;"",AVERAGE('Raw Data'!AK263,'Raw Data'!AM263,'Raw Data'!AO263,'Raw Data'!AQ263,'Raw Data'!AS263),"")</f>
        <v/>
      </c>
      <c r="Q276" s="17">
        <f>IF(O276&lt;&gt;"",O276-P276,"")</f>
        <v/>
      </c>
      <c r="R276" s="17">
        <f>IF('Raw Data'!A263&lt;&gt;"",AVERAGE('Raw Data'!AT263,'Raw Data'!AV263,'Raw Data'!AX263,'Raw Data'!AZ263,'Raw Data'!BB263),"")</f>
        <v/>
      </c>
      <c r="S276" s="17">
        <f>IF('Raw Data'!A263&lt;&gt;"",AVERAGE('Raw Data'!AU263,'Raw Data'!AW263,'Raw Data'!AY263,'Raw Data'!BA263,'Raw Data'!BC263),"")</f>
        <v/>
      </c>
      <c r="T276" s="17">
        <f>IF(R276&lt;&gt;"",R276-S276,"")</f>
        <v/>
      </c>
      <c r="U276" s="17">
        <f>IF('Raw Data'!A263&lt;&gt;"",AVERAGE('Raw Data'!BD263,'Raw Data'!BF263,'Raw Data'!BH263,'Raw Data'!BJ263,'Raw Data'!BL263),"")</f>
        <v/>
      </c>
      <c r="V276" s="17">
        <f>IF('Raw Data'!A263&lt;&gt;"",AVERAGE('Raw Data'!BE263,'Raw Data'!BG263,'Raw Data'!BI263,'Raw Data'!BK263,'Raw Data'!BM263),"")</f>
        <v/>
      </c>
      <c r="W276" s="17">
        <f>IF(U276&lt;&gt;"",U276-V276,"")</f>
        <v/>
      </c>
      <c r="X276" s="17">
        <f>IF(A276&lt;&gt;"",AVERAGE(F276,I276,L276,O276,R276,U276),"")</f>
        <v/>
      </c>
      <c r="Y276" s="17">
        <f>IF(A276&lt;&gt;"",AVERAGE(G276,J276,M276,P276,S276,V276),"")</f>
        <v/>
      </c>
      <c r="Z276" s="17">
        <f>IF(A276&lt;&gt;"",X276-Y276,"")</f>
        <v/>
      </c>
      <c r="AA276" s="18">
        <f>IF(A276&lt;&gt;"",ROUND(MIN(100,100*((MAX(0,K276)*0.25)+(MAX(0,Q276)*0.20)+(MAX(0,W276)*0.20)+(MAX(0,H276)*0.15)+(MAX(0,N276)*0.10)+(MAX(0,T276)*0.10))/9),1),"")</f>
        <v/>
      </c>
      <c r="AB276" s="29">
        <f>IF(A276&lt;&gt;"",MIN(1,(0.5*AA276/100)+(0.3*MAX(0,K276)/9)+(0.2*MAX(0,Q276)/9)),"")</f>
        <v/>
      </c>
    </row>
    <row r="277">
      <c r="A277" s="4">
        <f>IF('Raw Data'!A264&lt;&gt;"",'Raw Data'!A264,"")</f>
        <v/>
      </c>
      <c r="B277" s="4">
        <f>IF('Raw Data'!B264&lt;&gt;"",'Raw Data'!B264,"")</f>
        <v/>
      </c>
      <c r="C277" s="4">
        <f>IF('Raw Data'!C264&lt;&gt;"",'Raw Data'!C264,"")</f>
        <v/>
      </c>
      <c r="D277" s="4">
        <f>IF('Raw Data'!D264&lt;&gt;"",'Raw Data'!D264,"")</f>
        <v/>
      </c>
      <c r="E277" s="4">
        <f>IF('Raw Data'!E264&lt;&gt;"",'Raw Data'!E264,"")</f>
        <v/>
      </c>
      <c r="F277" s="14">
        <f>IF('Raw Data'!A264&lt;&gt;"",AVERAGE('Raw Data'!F264,'Raw Data'!H264,'Raw Data'!J264,'Raw Data'!L264,'Raw Data'!N264),"")</f>
        <v/>
      </c>
      <c r="G277" s="14">
        <f>IF('Raw Data'!A264&lt;&gt;"",AVERAGE('Raw Data'!G264,'Raw Data'!I264,'Raw Data'!K264,'Raw Data'!M264,'Raw Data'!O264),"")</f>
        <v/>
      </c>
      <c r="H277" s="14">
        <f>IF(F277&lt;&gt;"",F277-G277,"")</f>
        <v/>
      </c>
      <c r="I277" s="14">
        <f>IF('Raw Data'!A264&lt;&gt;"",AVERAGE('Raw Data'!P264,'Raw Data'!R264,'Raw Data'!T264,'Raw Data'!V264,'Raw Data'!X264),"")</f>
        <v/>
      </c>
      <c r="J277" s="14">
        <f>IF('Raw Data'!A264&lt;&gt;"",AVERAGE('Raw Data'!Q264,'Raw Data'!S264,'Raw Data'!U264,'Raw Data'!W264,'Raw Data'!Y264),"")</f>
        <v/>
      </c>
      <c r="K277" s="14">
        <f>IF(I277&lt;&gt;"",I277-J277,"")</f>
        <v/>
      </c>
      <c r="L277" s="14">
        <f>IF('Raw Data'!A264&lt;&gt;"",AVERAGE('Raw Data'!Z264,'Raw Data'!AB264,'Raw Data'!AD264,'Raw Data'!AF264,'Raw Data'!AH264),"")</f>
        <v/>
      </c>
      <c r="M277" s="14">
        <f>IF('Raw Data'!A264&lt;&gt;"",AVERAGE('Raw Data'!AA264,'Raw Data'!AC264,'Raw Data'!AE264,'Raw Data'!AG264,'Raw Data'!AI264),"")</f>
        <v/>
      </c>
      <c r="N277" s="14">
        <f>IF(L277&lt;&gt;"",L277-M277,"")</f>
        <v/>
      </c>
      <c r="O277" s="14">
        <f>IF('Raw Data'!A264&lt;&gt;"",AVERAGE('Raw Data'!AJ264,'Raw Data'!AL264,'Raw Data'!AN264,'Raw Data'!AP264,'Raw Data'!AR264),"")</f>
        <v/>
      </c>
      <c r="P277" s="14">
        <f>IF('Raw Data'!A264&lt;&gt;"",AVERAGE('Raw Data'!AK264,'Raw Data'!AM264,'Raw Data'!AO264,'Raw Data'!AQ264,'Raw Data'!AS264),"")</f>
        <v/>
      </c>
      <c r="Q277" s="14">
        <f>IF(O277&lt;&gt;"",O277-P277,"")</f>
        <v/>
      </c>
      <c r="R277" s="14">
        <f>IF('Raw Data'!A264&lt;&gt;"",AVERAGE('Raw Data'!AT264,'Raw Data'!AV264,'Raw Data'!AX264,'Raw Data'!AZ264,'Raw Data'!BB264),"")</f>
        <v/>
      </c>
      <c r="S277" s="14">
        <f>IF('Raw Data'!A264&lt;&gt;"",AVERAGE('Raw Data'!AU264,'Raw Data'!AW264,'Raw Data'!AY264,'Raw Data'!BA264,'Raw Data'!BC264),"")</f>
        <v/>
      </c>
      <c r="T277" s="14">
        <f>IF(R277&lt;&gt;"",R277-S277,"")</f>
        <v/>
      </c>
      <c r="U277" s="14">
        <f>IF('Raw Data'!A264&lt;&gt;"",AVERAGE('Raw Data'!BD264,'Raw Data'!BF264,'Raw Data'!BH264,'Raw Data'!BJ264,'Raw Data'!BL264),"")</f>
        <v/>
      </c>
      <c r="V277" s="14">
        <f>IF('Raw Data'!A264&lt;&gt;"",AVERAGE('Raw Data'!BE264,'Raw Data'!BG264,'Raw Data'!BI264,'Raw Data'!BK264,'Raw Data'!BM264),"")</f>
        <v/>
      </c>
      <c r="W277" s="14">
        <f>IF(U277&lt;&gt;"",U277-V277,"")</f>
        <v/>
      </c>
      <c r="X277" s="14">
        <f>IF(A277&lt;&gt;"",AVERAGE(F277,I277,L277,O277,R277,U277),"")</f>
        <v/>
      </c>
      <c r="Y277" s="14">
        <f>IF(A277&lt;&gt;"",AVERAGE(G277,J277,M277,P277,S277,V277),"")</f>
        <v/>
      </c>
      <c r="Z277" s="14">
        <f>IF(A277&lt;&gt;"",X277-Y277,"")</f>
        <v/>
      </c>
      <c r="AA277" s="15">
        <f>IF(A277&lt;&gt;"",ROUND(MIN(100,100*((MAX(0,K277)*0.25)+(MAX(0,Q277)*0.20)+(MAX(0,W277)*0.20)+(MAX(0,H277)*0.15)+(MAX(0,N277)*0.10)+(MAX(0,T277)*0.10))/9),1),"")</f>
        <v/>
      </c>
      <c r="AB277" s="28">
        <f>IF(A277&lt;&gt;"",MIN(1,(0.5*AA277/100)+(0.3*MAX(0,K277)/9)+(0.2*MAX(0,Q277)/9)),"")</f>
        <v/>
      </c>
    </row>
    <row r="278">
      <c r="A278" s="13">
        <f>IF('Raw Data'!A265&lt;&gt;"",'Raw Data'!A265,"")</f>
        <v/>
      </c>
      <c r="B278" s="13">
        <f>IF('Raw Data'!B265&lt;&gt;"",'Raw Data'!B265,"")</f>
        <v/>
      </c>
      <c r="C278" s="13">
        <f>IF('Raw Data'!C265&lt;&gt;"",'Raw Data'!C265,"")</f>
        <v/>
      </c>
      <c r="D278" s="13">
        <f>IF('Raw Data'!D265&lt;&gt;"",'Raw Data'!D265,"")</f>
        <v/>
      </c>
      <c r="E278" s="13">
        <f>IF('Raw Data'!E265&lt;&gt;"",'Raw Data'!E265,"")</f>
        <v/>
      </c>
      <c r="F278" s="17">
        <f>IF('Raw Data'!A265&lt;&gt;"",AVERAGE('Raw Data'!F265,'Raw Data'!H265,'Raw Data'!J265,'Raw Data'!L265,'Raw Data'!N265),"")</f>
        <v/>
      </c>
      <c r="G278" s="17">
        <f>IF('Raw Data'!A265&lt;&gt;"",AVERAGE('Raw Data'!G265,'Raw Data'!I265,'Raw Data'!K265,'Raw Data'!M265,'Raw Data'!O265),"")</f>
        <v/>
      </c>
      <c r="H278" s="17">
        <f>IF(F278&lt;&gt;"",F278-G278,"")</f>
        <v/>
      </c>
      <c r="I278" s="17">
        <f>IF('Raw Data'!A265&lt;&gt;"",AVERAGE('Raw Data'!P265,'Raw Data'!R265,'Raw Data'!T265,'Raw Data'!V265,'Raw Data'!X265),"")</f>
        <v/>
      </c>
      <c r="J278" s="17">
        <f>IF('Raw Data'!A265&lt;&gt;"",AVERAGE('Raw Data'!Q265,'Raw Data'!S265,'Raw Data'!U265,'Raw Data'!W265,'Raw Data'!Y265),"")</f>
        <v/>
      </c>
      <c r="K278" s="17">
        <f>IF(I278&lt;&gt;"",I278-J278,"")</f>
        <v/>
      </c>
      <c r="L278" s="17">
        <f>IF('Raw Data'!A265&lt;&gt;"",AVERAGE('Raw Data'!Z265,'Raw Data'!AB265,'Raw Data'!AD265,'Raw Data'!AF265,'Raw Data'!AH265),"")</f>
        <v/>
      </c>
      <c r="M278" s="17">
        <f>IF('Raw Data'!A265&lt;&gt;"",AVERAGE('Raw Data'!AA265,'Raw Data'!AC265,'Raw Data'!AE265,'Raw Data'!AG265,'Raw Data'!AI265),"")</f>
        <v/>
      </c>
      <c r="N278" s="17">
        <f>IF(L278&lt;&gt;"",L278-M278,"")</f>
        <v/>
      </c>
      <c r="O278" s="17">
        <f>IF('Raw Data'!A265&lt;&gt;"",AVERAGE('Raw Data'!AJ265,'Raw Data'!AL265,'Raw Data'!AN265,'Raw Data'!AP265,'Raw Data'!AR265),"")</f>
        <v/>
      </c>
      <c r="P278" s="17">
        <f>IF('Raw Data'!A265&lt;&gt;"",AVERAGE('Raw Data'!AK265,'Raw Data'!AM265,'Raw Data'!AO265,'Raw Data'!AQ265,'Raw Data'!AS265),"")</f>
        <v/>
      </c>
      <c r="Q278" s="17">
        <f>IF(O278&lt;&gt;"",O278-P278,"")</f>
        <v/>
      </c>
      <c r="R278" s="17">
        <f>IF('Raw Data'!A265&lt;&gt;"",AVERAGE('Raw Data'!AT265,'Raw Data'!AV265,'Raw Data'!AX265,'Raw Data'!AZ265,'Raw Data'!BB265),"")</f>
        <v/>
      </c>
      <c r="S278" s="17">
        <f>IF('Raw Data'!A265&lt;&gt;"",AVERAGE('Raw Data'!AU265,'Raw Data'!AW265,'Raw Data'!AY265,'Raw Data'!BA265,'Raw Data'!BC265),"")</f>
        <v/>
      </c>
      <c r="T278" s="17">
        <f>IF(R278&lt;&gt;"",R278-S278,"")</f>
        <v/>
      </c>
      <c r="U278" s="17">
        <f>IF('Raw Data'!A265&lt;&gt;"",AVERAGE('Raw Data'!BD265,'Raw Data'!BF265,'Raw Data'!BH265,'Raw Data'!BJ265,'Raw Data'!BL265),"")</f>
        <v/>
      </c>
      <c r="V278" s="17">
        <f>IF('Raw Data'!A265&lt;&gt;"",AVERAGE('Raw Data'!BE265,'Raw Data'!BG265,'Raw Data'!BI265,'Raw Data'!BK265,'Raw Data'!BM265),"")</f>
        <v/>
      </c>
      <c r="W278" s="17">
        <f>IF(U278&lt;&gt;"",U278-V278,"")</f>
        <v/>
      </c>
      <c r="X278" s="17">
        <f>IF(A278&lt;&gt;"",AVERAGE(F278,I278,L278,O278,R278,U278),"")</f>
        <v/>
      </c>
      <c r="Y278" s="17">
        <f>IF(A278&lt;&gt;"",AVERAGE(G278,J278,M278,P278,S278,V278),"")</f>
        <v/>
      </c>
      <c r="Z278" s="17">
        <f>IF(A278&lt;&gt;"",X278-Y278,"")</f>
        <v/>
      </c>
      <c r="AA278" s="18">
        <f>IF(A278&lt;&gt;"",ROUND(MIN(100,100*((MAX(0,K278)*0.25)+(MAX(0,Q278)*0.20)+(MAX(0,W278)*0.20)+(MAX(0,H278)*0.15)+(MAX(0,N278)*0.10)+(MAX(0,T278)*0.10))/9),1),"")</f>
        <v/>
      </c>
      <c r="AB278" s="29">
        <f>IF(A278&lt;&gt;"",MIN(1,(0.5*AA278/100)+(0.3*MAX(0,K278)/9)+(0.2*MAX(0,Q278)/9)),"")</f>
        <v/>
      </c>
    </row>
    <row r="279">
      <c r="A279" s="4">
        <f>IF('Raw Data'!A266&lt;&gt;"",'Raw Data'!A266,"")</f>
        <v/>
      </c>
      <c r="B279" s="4">
        <f>IF('Raw Data'!B266&lt;&gt;"",'Raw Data'!B266,"")</f>
        <v/>
      </c>
      <c r="C279" s="4">
        <f>IF('Raw Data'!C266&lt;&gt;"",'Raw Data'!C266,"")</f>
        <v/>
      </c>
      <c r="D279" s="4">
        <f>IF('Raw Data'!D266&lt;&gt;"",'Raw Data'!D266,"")</f>
        <v/>
      </c>
      <c r="E279" s="4">
        <f>IF('Raw Data'!E266&lt;&gt;"",'Raw Data'!E266,"")</f>
        <v/>
      </c>
      <c r="F279" s="14">
        <f>IF('Raw Data'!A266&lt;&gt;"",AVERAGE('Raw Data'!F266,'Raw Data'!H266,'Raw Data'!J266,'Raw Data'!L266,'Raw Data'!N266),"")</f>
        <v/>
      </c>
      <c r="G279" s="14">
        <f>IF('Raw Data'!A266&lt;&gt;"",AVERAGE('Raw Data'!G266,'Raw Data'!I266,'Raw Data'!K266,'Raw Data'!M266,'Raw Data'!O266),"")</f>
        <v/>
      </c>
      <c r="H279" s="14">
        <f>IF(F279&lt;&gt;"",F279-G279,"")</f>
        <v/>
      </c>
      <c r="I279" s="14">
        <f>IF('Raw Data'!A266&lt;&gt;"",AVERAGE('Raw Data'!P266,'Raw Data'!R266,'Raw Data'!T266,'Raw Data'!V266,'Raw Data'!X266),"")</f>
        <v/>
      </c>
      <c r="J279" s="14">
        <f>IF('Raw Data'!A266&lt;&gt;"",AVERAGE('Raw Data'!Q266,'Raw Data'!S266,'Raw Data'!U266,'Raw Data'!W266,'Raw Data'!Y266),"")</f>
        <v/>
      </c>
      <c r="K279" s="14">
        <f>IF(I279&lt;&gt;"",I279-J279,"")</f>
        <v/>
      </c>
      <c r="L279" s="14">
        <f>IF('Raw Data'!A266&lt;&gt;"",AVERAGE('Raw Data'!Z266,'Raw Data'!AB266,'Raw Data'!AD266,'Raw Data'!AF266,'Raw Data'!AH266),"")</f>
        <v/>
      </c>
      <c r="M279" s="14">
        <f>IF('Raw Data'!A266&lt;&gt;"",AVERAGE('Raw Data'!AA266,'Raw Data'!AC266,'Raw Data'!AE266,'Raw Data'!AG266,'Raw Data'!AI266),"")</f>
        <v/>
      </c>
      <c r="N279" s="14">
        <f>IF(L279&lt;&gt;"",L279-M279,"")</f>
        <v/>
      </c>
      <c r="O279" s="14">
        <f>IF('Raw Data'!A266&lt;&gt;"",AVERAGE('Raw Data'!AJ266,'Raw Data'!AL266,'Raw Data'!AN266,'Raw Data'!AP266,'Raw Data'!AR266),"")</f>
        <v/>
      </c>
      <c r="P279" s="14">
        <f>IF('Raw Data'!A266&lt;&gt;"",AVERAGE('Raw Data'!AK266,'Raw Data'!AM266,'Raw Data'!AO266,'Raw Data'!AQ266,'Raw Data'!AS266),"")</f>
        <v/>
      </c>
      <c r="Q279" s="14">
        <f>IF(O279&lt;&gt;"",O279-P279,"")</f>
        <v/>
      </c>
      <c r="R279" s="14">
        <f>IF('Raw Data'!A266&lt;&gt;"",AVERAGE('Raw Data'!AT266,'Raw Data'!AV266,'Raw Data'!AX266,'Raw Data'!AZ266,'Raw Data'!BB266),"")</f>
        <v/>
      </c>
      <c r="S279" s="14">
        <f>IF('Raw Data'!A266&lt;&gt;"",AVERAGE('Raw Data'!AU266,'Raw Data'!AW266,'Raw Data'!AY266,'Raw Data'!BA266,'Raw Data'!BC266),"")</f>
        <v/>
      </c>
      <c r="T279" s="14">
        <f>IF(R279&lt;&gt;"",R279-S279,"")</f>
        <v/>
      </c>
      <c r="U279" s="14">
        <f>IF('Raw Data'!A266&lt;&gt;"",AVERAGE('Raw Data'!BD266,'Raw Data'!BF266,'Raw Data'!BH266,'Raw Data'!BJ266,'Raw Data'!BL266),"")</f>
        <v/>
      </c>
      <c r="V279" s="14">
        <f>IF('Raw Data'!A266&lt;&gt;"",AVERAGE('Raw Data'!BE266,'Raw Data'!BG266,'Raw Data'!BI266,'Raw Data'!BK266,'Raw Data'!BM266),"")</f>
        <v/>
      </c>
      <c r="W279" s="14">
        <f>IF(U279&lt;&gt;"",U279-V279,"")</f>
        <v/>
      </c>
      <c r="X279" s="14">
        <f>IF(A279&lt;&gt;"",AVERAGE(F279,I279,L279,O279,R279,U279),"")</f>
        <v/>
      </c>
      <c r="Y279" s="14">
        <f>IF(A279&lt;&gt;"",AVERAGE(G279,J279,M279,P279,S279,V279),"")</f>
        <v/>
      </c>
      <c r="Z279" s="14">
        <f>IF(A279&lt;&gt;"",X279-Y279,"")</f>
        <v/>
      </c>
      <c r="AA279" s="15">
        <f>IF(A279&lt;&gt;"",ROUND(MIN(100,100*((MAX(0,K279)*0.25)+(MAX(0,Q279)*0.20)+(MAX(0,W279)*0.20)+(MAX(0,H279)*0.15)+(MAX(0,N279)*0.10)+(MAX(0,T279)*0.10))/9),1),"")</f>
        <v/>
      </c>
      <c r="AB279" s="28">
        <f>IF(A279&lt;&gt;"",MIN(1,(0.5*AA279/100)+(0.3*MAX(0,K279)/9)+(0.2*MAX(0,Q279)/9)),"")</f>
        <v/>
      </c>
    </row>
    <row r="280">
      <c r="A280" s="13">
        <f>IF('Raw Data'!A267&lt;&gt;"",'Raw Data'!A267,"")</f>
        <v/>
      </c>
      <c r="B280" s="13">
        <f>IF('Raw Data'!B267&lt;&gt;"",'Raw Data'!B267,"")</f>
        <v/>
      </c>
      <c r="C280" s="13">
        <f>IF('Raw Data'!C267&lt;&gt;"",'Raw Data'!C267,"")</f>
        <v/>
      </c>
      <c r="D280" s="13">
        <f>IF('Raw Data'!D267&lt;&gt;"",'Raw Data'!D267,"")</f>
        <v/>
      </c>
      <c r="E280" s="13">
        <f>IF('Raw Data'!E267&lt;&gt;"",'Raw Data'!E267,"")</f>
        <v/>
      </c>
      <c r="F280" s="17">
        <f>IF('Raw Data'!A267&lt;&gt;"",AVERAGE('Raw Data'!F267,'Raw Data'!H267,'Raw Data'!J267,'Raw Data'!L267,'Raw Data'!N267),"")</f>
        <v/>
      </c>
      <c r="G280" s="17">
        <f>IF('Raw Data'!A267&lt;&gt;"",AVERAGE('Raw Data'!G267,'Raw Data'!I267,'Raw Data'!K267,'Raw Data'!M267,'Raw Data'!O267),"")</f>
        <v/>
      </c>
      <c r="H280" s="17">
        <f>IF(F280&lt;&gt;"",F280-G280,"")</f>
        <v/>
      </c>
      <c r="I280" s="17">
        <f>IF('Raw Data'!A267&lt;&gt;"",AVERAGE('Raw Data'!P267,'Raw Data'!R267,'Raw Data'!T267,'Raw Data'!V267,'Raw Data'!X267),"")</f>
        <v/>
      </c>
      <c r="J280" s="17">
        <f>IF('Raw Data'!A267&lt;&gt;"",AVERAGE('Raw Data'!Q267,'Raw Data'!S267,'Raw Data'!U267,'Raw Data'!W267,'Raw Data'!Y267),"")</f>
        <v/>
      </c>
      <c r="K280" s="17">
        <f>IF(I280&lt;&gt;"",I280-J280,"")</f>
        <v/>
      </c>
      <c r="L280" s="17">
        <f>IF('Raw Data'!A267&lt;&gt;"",AVERAGE('Raw Data'!Z267,'Raw Data'!AB267,'Raw Data'!AD267,'Raw Data'!AF267,'Raw Data'!AH267),"")</f>
        <v/>
      </c>
      <c r="M280" s="17">
        <f>IF('Raw Data'!A267&lt;&gt;"",AVERAGE('Raw Data'!AA267,'Raw Data'!AC267,'Raw Data'!AE267,'Raw Data'!AG267,'Raw Data'!AI267),"")</f>
        <v/>
      </c>
      <c r="N280" s="17">
        <f>IF(L280&lt;&gt;"",L280-M280,"")</f>
        <v/>
      </c>
      <c r="O280" s="17">
        <f>IF('Raw Data'!A267&lt;&gt;"",AVERAGE('Raw Data'!AJ267,'Raw Data'!AL267,'Raw Data'!AN267,'Raw Data'!AP267,'Raw Data'!AR267),"")</f>
        <v/>
      </c>
      <c r="P280" s="17">
        <f>IF('Raw Data'!A267&lt;&gt;"",AVERAGE('Raw Data'!AK267,'Raw Data'!AM267,'Raw Data'!AO267,'Raw Data'!AQ267,'Raw Data'!AS267),"")</f>
        <v/>
      </c>
      <c r="Q280" s="17">
        <f>IF(O280&lt;&gt;"",O280-P280,"")</f>
        <v/>
      </c>
      <c r="R280" s="17">
        <f>IF('Raw Data'!A267&lt;&gt;"",AVERAGE('Raw Data'!AT267,'Raw Data'!AV267,'Raw Data'!AX267,'Raw Data'!AZ267,'Raw Data'!BB267),"")</f>
        <v/>
      </c>
      <c r="S280" s="17">
        <f>IF('Raw Data'!A267&lt;&gt;"",AVERAGE('Raw Data'!AU267,'Raw Data'!AW267,'Raw Data'!AY267,'Raw Data'!BA267,'Raw Data'!BC267),"")</f>
        <v/>
      </c>
      <c r="T280" s="17">
        <f>IF(R280&lt;&gt;"",R280-S280,"")</f>
        <v/>
      </c>
      <c r="U280" s="17">
        <f>IF('Raw Data'!A267&lt;&gt;"",AVERAGE('Raw Data'!BD267,'Raw Data'!BF267,'Raw Data'!BH267,'Raw Data'!BJ267,'Raw Data'!BL267),"")</f>
        <v/>
      </c>
      <c r="V280" s="17">
        <f>IF('Raw Data'!A267&lt;&gt;"",AVERAGE('Raw Data'!BE267,'Raw Data'!BG267,'Raw Data'!BI267,'Raw Data'!BK267,'Raw Data'!BM267),"")</f>
        <v/>
      </c>
      <c r="W280" s="17">
        <f>IF(U280&lt;&gt;"",U280-V280,"")</f>
        <v/>
      </c>
      <c r="X280" s="17">
        <f>IF(A280&lt;&gt;"",AVERAGE(F280,I280,L280,O280,R280,U280),"")</f>
        <v/>
      </c>
      <c r="Y280" s="17">
        <f>IF(A280&lt;&gt;"",AVERAGE(G280,J280,M280,P280,S280,V280),"")</f>
        <v/>
      </c>
      <c r="Z280" s="17">
        <f>IF(A280&lt;&gt;"",X280-Y280,"")</f>
        <v/>
      </c>
      <c r="AA280" s="18">
        <f>IF(A280&lt;&gt;"",ROUND(MIN(100,100*((MAX(0,K280)*0.25)+(MAX(0,Q280)*0.20)+(MAX(0,W280)*0.20)+(MAX(0,H280)*0.15)+(MAX(0,N280)*0.10)+(MAX(0,T280)*0.10))/9),1),"")</f>
        <v/>
      </c>
      <c r="AB280" s="29">
        <f>IF(A280&lt;&gt;"",MIN(1,(0.5*AA280/100)+(0.3*MAX(0,K280)/9)+(0.2*MAX(0,Q280)/9)),"")</f>
        <v/>
      </c>
    </row>
    <row r="281">
      <c r="A281" s="4">
        <f>IF('Raw Data'!A268&lt;&gt;"",'Raw Data'!A268,"")</f>
        <v/>
      </c>
      <c r="B281" s="4">
        <f>IF('Raw Data'!B268&lt;&gt;"",'Raw Data'!B268,"")</f>
        <v/>
      </c>
      <c r="C281" s="4">
        <f>IF('Raw Data'!C268&lt;&gt;"",'Raw Data'!C268,"")</f>
        <v/>
      </c>
      <c r="D281" s="4">
        <f>IF('Raw Data'!D268&lt;&gt;"",'Raw Data'!D268,"")</f>
        <v/>
      </c>
      <c r="E281" s="4">
        <f>IF('Raw Data'!E268&lt;&gt;"",'Raw Data'!E268,"")</f>
        <v/>
      </c>
      <c r="F281" s="14">
        <f>IF('Raw Data'!A268&lt;&gt;"",AVERAGE('Raw Data'!F268,'Raw Data'!H268,'Raw Data'!J268,'Raw Data'!L268,'Raw Data'!N268),"")</f>
        <v/>
      </c>
      <c r="G281" s="14">
        <f>IF('Raw Data'!A268&lt;&gt;"",AVERAGE('Raw Data'!G268,'Raw Data'!I268,'Raw Data'!K268,'Raw Data'!M268,'Raw Data'!O268),"")</f>
        <v/>
      </c>
      <c r="H281" s="14">
        <f>IF(F281&lt;&gt;"",F281-G281,"")</f>
        <v/>
      </c>
      <c r="I281" s="14">
        <f>IF('Raw Data'!A268&lt;&gt;"",AVERAGE('Raw Data'!P268,'Raw Data'!R268,'Raw Data'!T268,'Raw Data'!V268,'Raw Data'!X268),"")</f>
        <v/>
      </c>
      <c r="J281" s="14">
        <f>IF('Raw Data'!A268&lt;&gt;"",AVERAGE('Raw Data'!Q268,'Raw Data'!S268,'Raw Data'!U268,'Raw Data'!W268,'Raw Data'!Y268),"")</f>
        <v/>
      </c>
      <c r="K281" s="14">
        <f>IF(I281&lt;&gt;"",I281-J281,"")</f>
        <v/>
      </c>
      <c r="L281" s="14">
        <f>IF('Raw Data'!A268&lt;&gt;"",AVERAGE('Raw Data'!Z268,'Raw Data'!AB268,'Raw Data'!AD268,'Raw Data'!AF268,'Raw Data'!AH268),"")</f>
        <v/>
      </c>
      <c r="M281" s="14">
        <f>IF('Raw Data'!A268&lt;&gt;"",AVERAGE('Raw Data'!AA268,'Raw Data'!AC268,'Raw Data'!AE268,'Raw Data'!AG268,'Raw Data'!AI268),"")</f>
        <v/>
      </c>
      <c r="N281" s="14">
        <f>IF(L281&lt;&gt;"",L281-M281,"")</f>
        <v/>
      </c>
      <c r="O281" s="14">
        <f>IF('Raw Data'!A268&lt;&gt;"",AVERAGE('Raw Data'!AJ268,'Raw Data'!AL268,'Raw Data'!AN268,'Raw Data'!AP268,'Raw Data'!AR268),"")</f>
        <v/>
      </c>
      <c r="P281" s="14">
        <f>IF('Raw Data'!A268&lt;&gt;"",AVERAGE('Raw Data'!AK268,'Raw Data'!AM268,'Raw Data'!AO268,'Raw Data'!AQ268,'Raw Data'!AS268),"")</f>
        <v/>
      </c>
      <c r="Q281" s="14">
        <f>IF(O281&lt;&gt;"",O281-P281,"")</f>
        <v/>
      </c>
      <c r="R281" s="14">
        <f>IF('Raw Data'!A268&lt;&gt;"",AVERAGE('Raw Data'!AT268,'Raw Data'!AV268,'Raw Data'!AX268,'Raw Data'!AZ268,'Raw Data'!BB268),"")</f>
        <v/>
      </c>
      <c r="S281" s="14">
        <f>IF('Raw Data'!A268&lt;&gt;"",AVERAGE('Raw Data'!AU268,'Raw Data'!AW268,'Raw Data'!AY268,'Raw Data'!BA268,'Raw Data'!BC268),"")</f>
        <v/>
      </c>
      <c r="T281" s="14">
        <f>IF(R281&lt;&gt;"",R281-S281,"")</f>
        <v/>
      </c>
      <c r="U281" s="14">
        <f>IF('Raw Data'!A268&lt;&gt;"",AVERAGE('Raw Data'!BD268,'Raw Data'!BF268,'Raw Data'!BH268,'Raw Data'!BJ268,'Raw Data'!BL268),"")</f>
        <v/>
      </c>
      <c r="V281" s="14">
        <f>IF('Raw Data'!A268&lt;&gt;"",AVERAGE('Raw Data'!BE268,'Raw Data'!BG268,'Raw Data'!BI268,'Raw Data'!BK268,'Raw Data'!BM268),"")</f>
        <v/>
      </c>
      <c r="W281" s="14">
        <f>IF(U281&lt;&gt;"",U281-V281,"")</f>
        <v/>
      </c>
      <c r="X281" s="14">
        <f>IF(A281&lt;&gt;"",AVERAGE(F281,I281,L281,O281,R281,U281),"")</f>
        <v/>
      </c>
      <c r="Y281" s="14">
        <f>IF(A281&lt;&gt;"",AVERAGE(G281,J281,M281,P281,S281,V281),"")</f>
        <v/>
      </c>
      <c r="Z281" s="14">
        <f>IF(A281&lt;&gt;"",X281-Y281,"")</f>
        <v/>
      </c>
      <c r="AA281" s="15">
        <f>IF(A281&lt;&gt;"",ROUND(MIN(100,100*((MAX(0,K281)*0.25)+(MAX(0,Q281)*0.20)+(MAX(0,W281)*0.20)+(MAX(0,H281)*0.15)+(MAX(0,N281)*0.10)+(MAX(0,T281)*0.10))/9),1),"")</f>
        <v/>
      </c>
      <c r="AB281" s="28">
        <f>IF(A281&lt;&gt;"",MIN(1,(0.5*AA281/100)+(0.3*MAX(0,K281)/9)+(0.2*MAX(0,Q281)/9)),"")</f>
        <v/>
      </c>
    </row>
    <row r="282">
      <c r="A282" s="13">
        <f>IF('Raw Data'!A269&lt;&gt;"",'Raw Data'!A269,"")</f>
        <v/>
      </c>
      <c r="B282" s="13">
        <f>IF('Raw Data'!B269&lt;&gt;"",'Raw Data'!B269,"")</f>
        <v/>
      </c>
      <c r="C282" s="13">
        <f>IF('Raw Data'!C269&lt;&gt;"",'Raw Data'!C269,"")</f>
        <v/>
      </c>
      <c r="D282" s="13">
        <f>IF('Raw Data'!D269&lt;&gt;"",'Raw Data'!D269,"")</f>
        <v/>
      </c>
      <c r="E282" s="13">
        <f>IF('Raw Data'!E269&lt;&gt;"",'Raw Data'!E269,"")</f>
        <v/>
      </c>
      <c r="F282" s="17">
        <f>IF('Raw Data'!A269&lt;&gt;"",AVERAGE('Raw Data'!F269,'Raw Data'!H269,'Raw Data'!J269,'Raw Data'!L269,'Raw Data'!N269),"")</f>
        <v/>
      </c>
      <c r="G282" s="17">
        <f>IF('Raw Data'!A269&lt;&gt;"",AVERAGE('Raw Data'!G269,'Raw Data'!I269,'Raw Data'!K269,'Raw Data'!M269,'Raw Data'!O269),"")</f>
        <v/>
      </c>
      <c r="H282" s="17">
        <f>IF(F282&lt;&gt;"",F282-G282,"")</f>
        <v/>
      </c>
      <c r="I282" s="17">
        <f>IF('Raw Data'!A269&lt;&gt;"",AVERAGE('Raw Data'!P269,'Raw Data'!R269,'Raw Data'!T269,'Raw Data'!V269,'Raw Data'!X269),"")</f>
        <v/>
      </c>
      <c r="J282" s="17">
        <f>IF('Raw Data'!A269&lt;&gt;"",AVERAGE('Raw Data'!Q269,'Raw Data'!S269,'Raw Data'!U269,'Raw Data'!W269,'Raw Data'!Y269),"")</f>
        <v/>
      </c>
      <c r="K282" s="17">
        <f>IF(I282&lt;&gt;"",I282-J282,"")</f>
        <v/>
      </c>
      <c r="L282" s="17">
        <f>IF('Raw Data'!A269&lt;&gt;"",AVERAGE('Raw Data'!Z269,'Raw Data'!AB269,'Raw Data'!AD269,'Raw Data'!AF269,'Raw Data'!AH269),"")</f>
        <v/>
      </c>
      <c r="M282" s="17">
        <f>IF('Raw Data'!A269&lt;&gt;"",AVERAGE('Raw Data'!AA269,'Raw Data'!AC269,'Raw Data'!AE269,'Raw Data'!AG269,'Raw Data'!AI269),"")</f>
        <v/>
      </c>
      <c r="N282" s="17">
        <f>IF(L282&lt;&gt;"",L282-M282,"")</f>
        <v/>
      </c>
      <c r="O282" s="17">
        <f>IF('Raw Data'!A269&lt;&gt;"",AVERAGE('Raw Data'!AJ269,'Raw Data'!AL269,'Raw Data'!AN269,'Raw Data'!AP269,'Raw Data'!AR269),"")</f>
        <v/>
      </c>
      <c r="P282" s="17">
        <f>IF('Raw Data'!A269&lt;&gt;"",AVERAGE('Raw Data'!AK269,'Raw Data'!AM269,'Raw Data'!AO269,'Raw Data'!AQ269,'Raw Data'!AS269),"")</f>
        <v/>
      </c>
      <c r="Q282" s="17">
        <f>IF(O282&lt;&gt;"",O282-P282,"")</f>
        <v/>
      </c>
      <c r="R282" s="17">
        <f>IF('Raw Data'!A269&lt;&gt;"",AVERAGE('Raw Data'!AT269,'Raw Data'!AV269,'Raw Data'!AX269,'Raw Data'!AZ269,'Raw Data'!BB269),"")</f>
        <v/>
      </c>
      <c r="S282" s="17">
        <f>IF('Raw Data'!A269&lt;&gt;"",AVERAGE('Raw Data'!AU269,'Raw Data'!AW269,'Raw Data'!AY269,'Raw Data'!BA269,'Raw Data'!BC269),"")</f>
        <v/>
      </c>
      <c r="T282" s="17">
        <f>IF(R282&lt;&gt;"",R282-S282,"")</f>
        <v/>
      </c>
      <c r="U282" s="17">
        <f>IF('Raw Data'!A269&lt;&gt;"",AVERAGE('Raw Data'!BD269,'Raw Data'!BF269,'Raw Data'!BH269,'Raw Data'!BJ269,'Raw Data'!BL269),"")</f>
        <v/>
      </c>
      <c r="V282" s="17">
        <f>IF('Raw Data'!A269&lt;&gt;"",AVERAGE('Raw Data'!BE269,'Raw Data'!BG269,'Raw Data'!BI269,'Raw Data'!BK269,'Raw Data'!BM269),"")</f>
        <v/>
      </c>
      <c r="W282" s="17">
        <f>IF(U282&lt;&gt;"",U282-V282,"")</f>
        <v/>
      </c>
      <c r="X282" s="17">
        <f>IF(A282&lt;&gt;"",AVERAGE(F282,I282,L282,O282,R282,U282),"")</f>
        <v/>
      </c>
      <c r="Y282" s="17">
        <f>IF(A282&lt;&gt;"",AVERAGE(G282,J282,M282,P282,S282,V282),"")</f>
        <v/>
      </c>
      <c r="Z282" s="17">
        <f>IF(A282&lt;&gt;"",X282-Y282,"")</f>
        <v/>
      </c>
      <c r="AA282" s="18">
        <f>IF(A282&lt;&gt;"",ROUND(MIN(100,100*((MAX(0,K282)*0.25)+(MAX(0,Q282)*0.20)+(MAX(0,W282)*0.20)+(MAX(0,H282)*0.15)+(MAX(0,N282)*0.10)+(MAX(0,T282)*0.10))/9),1),"")</f>
        <v/>
      </c>
      <c r="AB282" s="29">
        <f>IF(A282&lt;&gt;"",MIN(1,(0.5*AA282/100)+(0.3*MAX(0,K282)/9)+(0.2*MAX(0,Q282)/9)),"")</f>
        <v/>
      </c>
    </row>
    <row r="283">
      <c r="A283" s="4">
        <f>IF('Raw Data'!A270&lt;&gt;"",'Raw Data'!A270,"")</f>
        <v/>
      </c>
      <c r="B283" s="4">
        <f>IF('Raw Data'!B270&lt;&gt;"",'Raw Data'!B270,"")</f>
        <v/>
      </c>
      <c r="C283" s="4">
        <f>IF('Raw Data'!C270&lt;&gt;"",'Raw Data'!C270,"")</f>
        <v/>
      </c>
      <c r="D283" s="4">
        <f>IF('Raw Data'!D270&lt;&gt;"",'Raw Data'!D270,"")</f>
        <v/>
      </c>
      <c r="E283" s="4">
        <f>IF('Raw Data'!E270&lt;&gt;"",'Raw Data'!E270,"")</f>
        <v/>
      </c>
      <c r="F283" s="14">
        <f>IF('Raw Data'!A270&lt;&gt;"",AVERAGE('Raw Data'!F270,'Raw Data'!H270,'Raw Data'!J270,'Raw Data'!L270,'Raw Data'!N270),"")</f>
        <v/>
      </c>
      <c r="G283" s="14">
        <f>IF('Raw Data'!A270&lt;&gt;"",AVERAGE('Raw Data'!G270,'Raw Data'!I270,'Raw Data'!K270,'Raw Data'!M270,'Raw Data'!O270),"")</f>
        <v/>
      </c>
      <c r="H283" s="14">
        <f>IF(F283&lt;&gt;"",F283-G283,"")</f>
        <v/>
      </c>
      <c r="I283" s="14">
        <f>IF('Raw Data'!A270&lt;&gt;"",AVERAGE('Raw Data'!P270,'Raw Data'!R270,'Raw Data'!T270,'Raw Data'!V270,'Raw Data'!X270),"")</f>
        <v/>
      </c>
      <c r="J283" s="14">
        <f>IF('Raw Data'!A270&lt;&gt;"",AVERAGE('Raw Data'!Q270,'Raw Data'!S270,'Raw Data'!U270,'Raw Data'!W270,'Raw Data'!Y270),"")</f>
        <v/>
      </c>
      <c r="K283" s="14">
        <f>IF(I283&lt;&gt;"",I283-J283,"")</f>
        <v/>
      </c>
      <c r="L283" s="14">
        <f>IF('Raw Data'!A270&lt;&gt;"",AVERAGE('Raw Data'!Z270,'Raw Data'!AB270,'Raw Data'!AD270,'Raw Data'!AF270,'Raw Data'!AH270),"")</f>
        <v/>
      </c>
      <c r="M283" s="14">
        <f>IF('Raw Data'!A270&lt;&gt;"",AVERAGE('Raw Data'!AA270,'Raw Data'!AC270,'Raw Data'!AE270,'Raw Data'!AG270,'Raw Data'!AI270),"")</f>
        <v/>
      </c>
      <c r="N283" s="14">
        <f>IF(L283&lt;&gt;"",L283-M283,"")</f>
        <v/>
      </c>
      <c r="O283" s="14">
        <f>IF('Raw Data'!A270&lt;&gt;"",AVERAGE('Raw Data'!AJ270,'Raw Data'!AL270,'Raw Data'!AN270,'Raw Data'!AP270,'Raw Data'!AR270),"")</f>
        <v/>
      </c>
      <c r="P283" s="14">
        <f>IF('Raw Data'!A270&lt;&gt;"",AVERAGE('Raw Data'!AK270,'Raw Data'!AM270,'Raw Data'!AO270,'Raw Data'!AQ270,'Raw Data'!AS270),"")</f>
        <v/>
      </c>
      <c r="Q283" s="14">
        <f>IF(O283&lt;&gt;"",O283-P283,"")</f>
        <v/>
      </c>
      <c r="R283" s="14">
        <f>IF('Raw Data'!A270&lt;&gt;"",AVERAGE('Raw Data'!AT270,'Raw Data'!AV270,'Raw Data'!AX270,'Raw Data'!AZ270,'Raw Data'!BB270),"")</f>
        <v/>
      </c>
      <c r="S283" s="14">
        <f>IF('Raw Data'!A270&lt;&gt;"",AVERAGE('Raw Data'!AU270,'Raw Data'!AW270,'Raw Data'!AY270,'Raw Data'!BA270,'Raw Data'!BC270),"")</f>
        <v/>
      </c>
      <c r="T283" s="14">
        <f>IF(R283&lt;&gt;"",R283-S283,"")</f>
        <v/>
      </c>
      <c r="U283" s="14">
        <f>IF('Raw Data'!A270&lt;&gt;"",AVERAGE('Raw Data'!BD270,'Raw Data'!BF270,'Raw Data'!BH270,'Raw Data'!BJ270,'Raw Data'!BL270),"")</f>
        <v/>
      </c>
      <c r="V283" s="14">
        <f>IF('Raw Data'!A270&lt;&gt;"",AVERAGE('Raw Data'!BE270,'Raw Data'!BG270,'Raw Data'!BI270,'Raw Data'!BK270,'Raw Data'!BM270),"")</f>
        <v/>
      </c>
      <c r="W283" s="14">
        <f>IF(U283&lt;&gt;"",U283-V283,"")</f>
        <v/>
      </c>
      <c r="X283" s="14">
        <f>IF(A283&lt;&gt;"",AVERAGE(F283,I283,L283,O283,R283,U283),"")</f>
        <v/>
      </c>
      <c r="Y283" s="14">
        <f>IF(A283&lt;&gt;"",AVERAGE(G283,J283,M283,P283,S283,V283),"")</f>
        <v/>
      </c>
      <c r="Z283" s="14">
        <f>IF(A283&lt;&gt;"",X283-Y283,"")</f>
        <v/>
      </c>
      <c r="AA283" s="15">
        <f>IF(A283&lt;&gt;"",ROUND(MIN(100,100*((MAX(0,K283)*0.25)+(MAX(0,Q283)*0.20)+(MAX(0,W283)*0.20)+(MAX(0,H283)*0.15)+(MAX(0,N283)*0.10)+(MAX(0,T283)*0.10))/9),1),"")</f>
        <v/>
      </c>
      <c r="AB283" s="28">
        <f>IF(A283&lt;&gt;"",MIN(1,(0.5*AA283/100)+(0.3*MAX(0,K283)/9)+(0.2*MAX(0,Q283)/9)),"")</f>
        <v/>
      </c>
    </row>
    <row r="284">
      <c r="A284" s="13">
        <f>IF('Raw Data'!A271&lt;&gt;"",'Raw Data'!A271,"")</f>
        <v/>
      </c>
      <c r="B284" s="13">
        <f>IF('Raw Data'!B271&lt;&gt;"",'Raw Data'!B271,"")</f>
        <v/>
      </c>
      <c r="C284" s="13">
        <f>IF('Raw Data'!C271&lt;&gt;"",'Raw Data'!C271,"")</f>
        <v/>
      </c>
      <c r="D284" s="13">
        <f>IF('Raw Data'!D271&lt;&gt;"",'Raw Data'!D271,"")</f>
        <v/>
      </c>
      <c r="E284" s="13">
        <f>IF('Raw Data'!E271&lt;&gt;"",'Raw Data'!E271,"")</f>
        <v/>
      </c>
      <c r="F284" s="17">
        <f>IF('Raw Data'!A271&lt;&gt;"",AVERAGE('Raw Data'!F271,'Raw Data'!H271,'Raw Data'!J271,'Raw Data'!L271,'Raw Data'!N271),"")</f>
        <v/>
      </c>
      <c r="G284" s="17">
        <f>IF('Raw Data'!A271&lt;&gt;"",AVERAGE('Raw Data'!G271,'Raw Data'!I271,'Raw Data'!K271,'Raw Data'!M271,'Raw Data'!O271),"")</f>
        <v/>
      </c>
      <c r="H284" s="17">
        <f>IF(F284&lt;&gt;"",F284-G284,"")</f>
        <v/>
      </c>
      <c r="I284" s="17">
        <f>IF('Raw Data'!A271&lt;&gt;"",AVERAGE('Raw Data'!P271,'Raw Data'!R271,'Raw Data'!T271,'Raw Data'!V271,'Raw Data'!X271),"")</f>
        <v/>
      </c>
      <c r="J284" s="17">
        <f>IF('Raw Data'!A271&lt;&gt;"",AVERAGE('Raw Data'!Q271,'Raw Data'!S271,'Raw Data'!U271,'Raw Data'!W271,'Raw Data'!Y271),"")</f>
        <v/>
      </c>
      <c r="K284" s="17">
        <f>IF(I284&lt;&gt;"",I284-J284,"")</f>
        <v/>
      </c>
      <c r="L284" s="17">
        <f>IF('Raw Data'!A271&lt;&gt;"",AVERAGE('Raw Data'!Z271,'Raw Data'!AB271,'Raw Data'!AD271,'Raw Data'!AF271,'Raw Data'!AH271),"")</f>
        <v/>
      </c>
      <c r="M284" s="17">
        <f>IF('Raw Data'!A271&lt;&gt;"",AVERAGE('Raw Data'!AA271,'Raw Data'!AC271,'Raw Data'!AE271,'Raw Data'!AG271,'Raw Data'!AI271),"")</f>
        <v/>
      </c>
      <c r="N284" s="17">
        <f>IF(L284&lt;&gt;"",L284-M284,"")</f>
        <v/>
      </c>
      <c r="O284" s="17">
        <f>IF('Raw Data'!A271&lt;&gt;"",AVERAGE('Raw Data'!AJ271,'Raw Data'!AL271,'Raw Data'!AN271,'Raw Data'!AP271,'Raw Data'!AR271),"")</f>
        <v/>
      </c>
      <c r="P284" s="17">
        <f>IF('Raw Data'!A271&lt;&gt;"",AVERAGE('Raw Data'!AK271,'Raw Data'!AM271,'Raw Data'!AO271,'Raw Data'!AQ271,'Raw Data'!AS271),"")</f>
        <v/>
      </c>
      <c r="Q284" s="17">
        <f>IF(O284&lt;&gt;"",O284-P284,"")</f>
        <v/>
      </c>
      <c r="R284" s="17">
        <f>IF('Raw Data'!A271&lt;&gt;"",AVERAGE('Raw Data'!AT271,'Raw Data'!AV271,'Raw Data'!AX271,'Raw Data'!AZ271,'Raw Data'!BB271),"")</f>
        <v/>
      </c>
      <c r="S284" s="17">
        <f>IF('Raw Data'!A271&lt;&gt;"",AVERAGE('Raw Data'!AU271,'Raw Data'!AW271,'Raw Data'!AY271,'Raw Data'!BA271,'Raw Data'!BC271),"")</f>
        <v/>
      </c>
      <c r="T284" s="17">
        <f>IF(R284&lt;&gt;"",R284-S284,"")</f>
        <v/>
      </c>
      <c r="U284" s="17">
        <f>IF('Raw Data'!A271&lt;&gt;"",AVERAGE('Raw Data'!BD271,'Raw Data'!BF271,'Raw Data'!BH271,'Raw Data'!BJ271,'Raw Data'!BL271),"")</f>
        <v/>
      </c>
      <c r="V284" s="17">
        <f>IF('Raw Data'!A271&lt;&gt;"",AVERAGE('Raw Data'!BE271,'Raw Data'!BG271,'Raw Data'!BI271,'Raw Data'!BK271,'Raw Data'!BM271),"")</f>
        <v/>
      </c>
      <c r="W284" s="17">
        <f>IF(U284&lt;&gt;"",U284-V284,"")</f>
        <v/>
      </c>
      <c r="X284" s="17">
        <f>IF(A284&lt;&gt;"",AVERAGE(F284,I284,L284,O284,R284,U284),"")</f>
        <v/>
      </c>
      <c r="Y284" s="17">
        <f>IF(A284&lt;&gt;"",AVERAGE(G284,J284,M284,P284,S284,V284),"")</f>
        <v/>
      </c>
      <c r="Z284" s="17">
        <f>IF(A284&lt;&gt;"",X284-Y284,"")</f>
        <v/>
      </c>
      <c r="AA284" s="18">
        <f>IF(A284&lt;&gt;"",ROUND(MIN(100,100*((MAX(0,K284)*0.25)+(MAX(0,Q284)*0.20)+(MAX(0,W284)*0.20)+(MAX(0,H284)*0.15)+(MAX(0,N284)*0.10)+(MAX(0,T284)*0.10))/9),1),"")</f>
        <v/>
      </c>
      <c r="AB284" s="29">
        <f>IF(A284&lt;&gt;"",MIN(1,(0.5*AA284/100)+(0.3*MAX(0,K284)/9)+(0.2*MAX(0,Q284)/9)),"")</f>
        <v/>
      </c>
    </row>
    <row r="285">
      <c r="A285" s="4">
        <f>IF('Raw Data'!A272&lt;&gt;"",'Raw Data'!A272,"")</f>
        <v/>
      </c>
      <c r="B285" s="4">
        <f>IF('Raw Data'!B272&lt;&gt;"",'Raw Data'!B272,"")</f>
        <v/>
      </c>
      <c r="C285" s="4">
        <f>IF('Raw Data'!C272&lt;&gt;"",'Raw Data'!C272,"")</f>
        <v/>
      </c>
      <c r="D285" s="4">
        <f>IF('Raw Data'!D272&lt;&gt;"",'Raw Data'!D272,"")</f>
        <v/>
      </c>
      <c r="E285" s="4">
        <f>IF('Raw Data'!E272&lt;&gt;"",'Raw Data'!E272,"")</f>
        <v/>
      </c>
      <c r="F285" s="14">
        <f>IF('Raw Data'!A272&lt;&gt;"",AVERAGE('Raw Data'!F272,'Raw Data'!H272,'Raw Data'!J272,'Raw Data'!L272,'Raw Data'!N272),"")</f>
        <v/>
      </c>
      <c r="G285" s="14">
        <f>IF('Raw Data'!A272&lt;&gt;"",AVERAGE('Raw Data'!G272,'Raw Data'!I272,'Raw Data'!K272,'Raw Data'!M272,'Raw Data'!O272),"")</f>
        <v/>
      </c>
      <c r="H285" s="14">
        <f>IF(F285&lt;&gt;"",F285-G285,"")</f>
        <v/>
      </c>
      <c r="I285" s="14">
        <f>IF('Raw Data'!A272&lt;&gt;"",AVERAGE('Raw Data'!P272,'Raw Data'!R272,'Raw Data'!T272,'Raw Data'!V272,'Raw Data'!X272),"")</f>
        <v/>
      </c>
      <c r="J285" s="14">
        <f>IF('Raw Data'!A272&lt;&gt;"",AVERAGE('Raw Data'!Q272,'Raw Data'!S272,'Raw Data'!U272,'Raw Data'!W272,'Raw Data'!Y272),"")</f>
        <v/>
      </c>
      <c r="K285" s="14">
        <f>IF(I285&lt;&gt;"",I285-J285,"")</f>
        <v/>
      </c>
      <c r="L285" s="14">
        <f>IF('Raw Data'!A272&lt;&gt;"",AVERAGE('Raw Data'!Z272,'Raw Data'!AB272,'Raw Data'!AD272,'Raw Data'!AF272,'Raw Data'!AH272),"")</f>
        <v/>
      </c>
      <c r="M285" s="14">
        <f>IF('Raw Data'!A272&lt;&gt;"",AVERAGE('Raw Data'!AA272,'Raw Data'!AC272,'Raw Data'!AE272,'Raw Data'!AG272,'Raw Data'!AI272),"")</f>
        <v/>
      </c>
      <c r="N285" s="14">
        <f>IF(L285&lt;&gt;"",L285-M285,"")</f>
        <v/>
      </c>
      <c r="O285" s="14">
        <f>IF('Raw Data'!A272&lt;&gt;"",AVERAGE('Raw Data'!AJ272,'Raw Data'!AL272,'Raw Data'!AN272,'Raw Data'!AP272,'Raw Data'!AR272),"")</f>
        <v/>
      </c>
      <c r="P285" s="14">
        <f>IF('Raw Data'!A272&lt;&gt;"",AVERAGE('Raw Data'!AK272,'Raw Data'!AM272,'Raw Data'!AO272,'Raw Data'!AQ272,'Raw Data'!AS272),"")</f>
        <v/>
      </c>
      <c r="Q285" s="14">
        <f>IF(O285&lt;&gt;"",O285-P285,"")</f>
        <v/>
      </c>
      <c r="R285" s="14">
        <f>IF('Raw Data'!A272&lt;&gt;"",AVERAGE('Raw Data'!AT272,'Raw Data'!AV272,'Raw Data'!AX272,'Raw Data'!AZ272,'Raw Data'!BB272),"")</f>
        <v/>
      </c>
      <c r="S285" s="14">
        <f>IF('Raw Data'!A272&lt;&gt;"",AVERAGE('Raw Data'!AU272,'Raw Data'!AW272,'Raw Data'!AY272,'Raw Data'!BA272,'Raw Data'!BC272),"")</f>
        <v/>
      </c>
      <c r="T285" s="14">
        <f>IF(R285&lt;&gt;"",R285-S285,"")</f>
        <v/>
      </c>
      <c r="U285" s="14">
        <f>IF('Raw Data'!A272&lt;&gt;"",AVERAGE('Raw Data'!BD272,'Raw Data'!BF272,'Raw Data'!BH272,'Raw Data'!BJ272,'Raw Data'!BL272),"")</f>
        <v/>
      </c>
      <c r="V285" s="14">
        <f>IF('Raw Data'!A272&lt;&gt;"",AVERAGE('Raw Data'!BE272,'Raw Data'!BG272,'Raw Data'!BI272,'Raw Data'!BK272,'Raw Data'!BM272),"")</f>
        <v/>
      </c>
      <c r="W285" s="14">
        <f>IF(U285&lt;&gt;"",U285-V285,"")</f>
        <v/>
      </c>
      <c r="X285" s="14">
        <f>IF(A285&lt;&gt;"",AVERAGE(F285,I285,L285,O285,R285,U285),"")</f>
        <v/>
      </c>
      <c r="Y285" s="14">
        <f>IF(A285&lt;&gt;"",AVERAGE(G285,J285,M285,P285,S285,V285),"")</f>
        <v/>
      </c>
      <c r="Z285" s="14">
        <f>IF(A285&lt;&gt;"",X285-Y285,"")</f>
        <v/>
      </c>
      <c r="AA285" s="15">
        <f>IF(A285&lt;&gt;"",ROUND(MIN(100,100*((MAX(0,K285)*0.25)+(MAX(0,Q285)*0.20)+(MAX(0,W285)*0.20)+(MAX(0,H285)*0.15)+(MAX(0,N285)*0.10)+(MAX(0,T285)*0.10))/9),1),"")</f>
        <v/>
      </c>
      <c r="AB285" s="28">
        <f>IF(A285&lt;&gt;"",MIN(1,(0.5*AA285/100)+(0.3*MAX(0,K285)/9)+(0.2*MAX(0,Q285)/9)),"")</f>
        <v/>
      </c>
    </row>
    <row r="286">
      <c r="A286" s="13">
        <f>IF('Raw Data'!A273&lt;&gt;"",'Raw Data'!A273,"")</f>
        <v/>
      </c>
      <c r="B286" s="13">
        <f>IF('Raw Data'!B273&lt;&gt;"",'Raw Data'!B273,"")</f>
        <v/>
      </c>
      <c r="C286" s="13">
        <f>IF('Raw Data'!C273&lt;&gt;"",'Raw Data'!C273,"")</f>
        <v/>
      </c>
      <c r="D286" s="13">
        <f>IF('Raw Data'!D273&lt;&gt;"",'Raw Data'!D273,"")</f>
        <v/>
      </c>
      <c r="E286" s="13">
        <f>IF('Raw Data'!E273&lt;&gt;"",'Raw Data'!E273,"")</f>
        <v/>
      </c>
      <c r="F286" s="17">
        <f>IF('Raw Data'!A273&lt;&gt;"",AVERAGE('Raw Data'!F273,'Raw Data'!H273,'Raw Data'!J273,'Raw Data'!L273,'Raw Data'!N273),"")</f>
        <v/>
      </c>
      <c r="G286" s="17">
        <f>IF('Raw Data'!A273&lt;&gt;"",AVERAGE('Raw Data'!G273,'Raw Data'!I273,'Raw Data'!K273,'Raw Data'!M273,'Raw Data'!O273),"")</f>
        <v/>
      </c>
      <c r="H286" s="17">
        <f>IF(F286&lt;&gt;"",F286-G286,"")</f>
        <v/>
      </c>
      <c r="I286" s="17">
        <f>IF('Raw Data'!A273&lt;&gt;"",AVERAGE('Raw Data'!P273,'Raw Data'!R273,'Raw Data'!T273,'Raw Data'!V273,'Raw Data'!X273),"")</f>
        <v/>
      </c>
      <c r="J286" s="17">
        <f>IF('Raw Data'!A273&lt;&gt;"",AVERAGE('Raw Data'!Q273,'Raw Data'!S273,'Raw Data'!U273,'Raw Data'!W273,'Raw Data'!Y273),"")</f>
        <v/>
      </c>
      <c r="K286" s="17">
        <f>IF(I286&lt;&gt;"",I286-J286,"")</f>
        <v/>
      </c>
      <c r="L286" s="17">
        <f>IF('Raw Data'!A273&lt;&gt;"",AVERAGE('Raw Data'!Z273,'Raw Data'!AB273,'Raw Data'!AD273,'Raw Data'!AF273,'Raw Data'!AH273),"")</f>
        <v/>
      </c>
      <c r="M286" s="17">
        <f>IF('Raw Data'!A273&lt;&gt;"",AVERAGE('Raw Data'!AA273,'Raw Data'!AC273,'Raw Data'!AE273,'Raw Data'!AG273,'Raw Data'!AI273),"")</f>
        <v/>
      </c>
      <c r="N286" s="17">
        <f>IF(L286&lt;&gt;"",L286-M286,"")</f>
        <v/>
      </c>
      <c r="O286" s="17">
        <f>IF('Raw Data'!A273&lt;&gt;"",AVERAGE('Raw Data'!AJ273,'Raw Data'!AL273,'Raw Data'!AN273,'Raw Data'!AP273,'Raw Data'!AR273),"")</f>
        <v/>
      </c>
      <c r="P286" s="17">
        <f>IF('Raw Data'!A273&lt;&gt;"",AVERAGE('Raw Data'!AK273,'Raw Data'!AM273,'Raw Data'!AO273,'Raw Data'!AQ273,'Raw Data'!AS273),"")</f>
        <v/>
      </c>
      <c r="Q286" s="17">
        <f>IF(O286&lt;&gt;"",O286-P286,"")</f>
        <v/>
      </c>
      <c r="R286" s="17">
        <f>IF('Raw Data'!A273&lt;&gt;"",AVERAGE('Raw Data'!AT273,'Raw Data'!AV273,'Raw Data'!AX273,'Raw Data'!AZ273,'Raw Data'!BB273),"")</f>
        <v/>
      </c>
      <c r="S286" s="17">
        <f>IF('Raw Data'!A273&lt;&gt;"",AVERAGE('Raw Data'!AU273,'Raw Data'!AW273,'Raw Data'!AY273,'Raw Data'!BA273,'Raw Data'!BC273),"")</f>
        <v/>
      </c>
      <c r="T286" s="17">
        <f>IF(R286&lt;&gt;"",R286-S286,"")</f>
        <v/>
      </c>
      <c r="U286" s="17">
        <f>IF('Raw Data'!A273&lt;&gt;"",AVERAGE('Raw Data'!BD273,'Raw Data'!BF273,'Raw Data'!BH273,'Raw Data'!BJ273,'Raw Data'!BL273),"")</f>
        <v/>
      </c>
      <c r="V286" s="17">
        <f>IF('Raw Data'!A273&lt;&gt;"",AVERAGE('Raw Data'!BE273,'Raw Data'!BG273,'Raw Data'!BI273,'Raw Data'!BK273,'Raw Data'!BM273),"")</f>
        <v/>
      </c>
      <c r="W286" s="17">
        <f>IF(U286&lt;&gt;"",U286-V286,"")</f>
        <v/>
      </c>
      <c r="X286" s="17">
        <f>IF(A286&lt;&gt;"",AVERAGE(F286,I286,L286,O286,R286,U286),"")</f>
        <v/>
      </c>
      <c r="Y286" s="17">
        <f>IF(A286&lt;&gt;"",AVERAGE(G286,J286,M286,P286,S286,V286),"")</f>
        <v/>
      </c>
      <c r="Z286" s="17">
        <f>IF(A286&lt;&gt;"",X286-Y286,"")</f>
        <v/>
      </c>
      <c r="AA286" s="18">
        <f>IF(A286&lt;&gt;"",ROUND(MIN(100,100*((MAX(0,K286)*0.25)+(MAX(0,Q286)*0.20)+(MAX(0,W286)*0.20)+(MAX(0,H286)*0.15)+(MAX(0,N286)*0.10)+(MAX(0,T286)*0.10))/9),1),"")</f>
        <v/>
      </c>
      <c r="AB286" s="29">
        <f>IF(A286&lt;&gt;"",MIN(1,(0.5*AA286/100)+(0.3*MAX(0,K286)/9)+(0.2*MAX(0,Q286)/9)),"")</f>
        <v/>
      </c>
    </row>
    <row r="287">
      <c r="A287" s="4">
        <f>IF('Raw Data'!A274&lt;&gt;"",'Raw Data'!A274,"")</f>
        <v/>
      </c>
      <c r="B287" s="4">
        <f>IF('Raw Data'!B274&lt;&gt;"",'Raw Data'!B274,"")</f>
        <v/>
      </c>
      <c r="C287" s="4">
        <f>IF('Raw Data'!C274&lt;&gt;"",'Raw Data'!C274,"")</f>
        <v/>
      </c>
      <c r="D287" s="4">
        <f>IF('Raw Data'!D274&lt;&gt;"",'Raw Data'!D274,"")</f>
        <v/>
      </c>
      <c r="E287" s="4">
        <f>IF('Raw Data'!E274&lt;&gt;"",'Raw Data'!E274,"")</f>
        <v/>
      </c>
      <c r="F287" s="14">
        <f>IF('Raw Data'!A274&lt;&gt;"",AVERAGE('Raw Data'!F274,'Raw Data'!H274,'Raw Data'!J274,'Raw Data'!L274,'Raw Data'!N274),"")</f>
        <v/>
      </c>
      <c r="G287" s="14">
        <f>IF('Raw Data'!A274&lt;&gt;"",AVERAGE('Raw Data'!G274,'Raw Data'!I274,'Raw Data'!K274,'Raw Data'!M274,'Raw Data'!O274),"")</f>
        <v/>
      </c>
      <c r="H287" s="14">
        <f>IF(F287&lt;&gt;"",F287-G287,"")</f>
        <v/>
      </c>
      <c r="I287" s="14">
        <f>IF('Raw Data'!A274&lt;&gt;"",AVERAGE('Raw Data'!P274,'Raw Data'!R274,'Raw Data'!T274,'Raw Data'!V274,'Raw Data'!X274),"")</f>
        <v/>
      </c>
      <c r="J287" s="14">
        <f>IF('Raw Data'!A274&lt;&gt;"",AVERAGE('Raw Data'!Q274,'Raw Data'!S274,'Raw Data'!U274,'Raw Data'!W274,'Raw Data'!Y274),"")</f>
        <v/>
      </c>
      <c r="K287" s="14">
        <f>IF(I287&lt;&gt;"",I287-J287,"")</f>
        <v/>
      </c>
      <c r="L287" s="14">
        <f>IF('Raw Data'!A274&lt;&gt;"",AVERAGE('Raw Data'!Z274,'Raw Data'!AB274,'Raw Data'!AD274,'Raw Data'!AF274,'Raw Data'!AH274),"")</f>
        <v/>
      </c>
      <c r="M287" s="14">
        <f>IF('Raw Data'!A274&lt;&gt;"",AVERAGE('Raw Data'!AA274,'Raw Data'!AC274,'Raw Data'!AE274,'Raw Data'!AG274,'Raw Data'!AI274),"")</f>
        <v/>
      </c>
      <c r="N287" s="14">
        <f>IF(L287&lt;&gt;"",L287-M287,"")</f>
        <v/>
      </c>
      <c r="O287" s="14">
        <f>IF('Raw Data'!A274&lt;&gt;"",AVERAGE('Raw Data'!AJ274,'Raw Data'!AL274,'Raw Data'!AN274,'Raw Data'!AP274,'Raw Data'!AR274),"")</f>
        <v/>
      </c>
      <c r="P287" s="14">
        <f>IF('Raw Data'!A274&lt;&gt;"",AVERAGE('Raw Data'!AK274,'Raw Data'!AM274,'Raw Data'!AO274,'Raw Data'!AQ274,'Raw Data'!AS274),"")</f>
        <v/>
      </c>
      <c r="Q287" s="14">
        <f>IF(O287&lt;&gt;"",O287-P287,"")</f>
        <v/>
      </c>
      <c r="R287" s="14">
        <f>IF('Raw Data'!A274&lt;&gt;"",AVERAGE('Raw Data'!AT274,'Raw Data'!AV274,'Raw Data'!AX274,'Raw Data'!AZ274,'Raw Data'!BB274),"")</f>
        <v/>
      </c>
      <c r="S287" s="14">
        <f>IF('Raw Data'!A274&lt;&gt;"",AVERAGE('Raw Data'!AU274,'Raw Data'!AW274,'Raw Data'!AY274,'Raw Data'!BA274,'Raw Data'!BC274),"")</f>
        <v/>
      </c>
      <c r="T287" s="14">
        <f>IF(R287&lt;&gt;"",R287-S287,"")</f>
        <v/>
      </c>
      <c r="U287" s="14">
        <f>IF('Raw Data'!A274&lt;&gt;"",AVERAGE('Raw Data'!BD274,'Raw Data'!BF274,'Raw Data'!BH274,'Raw Data'!BJ274,'Raw Data'!BL274),"")</f>
        <v/>
      </c>
      <c r="V287" s="14">
        <f>IF('Raw Data'!A274&lt;&gt;"",AVERAGE('Raw Data'!BE274,'Raw Data'!BG274,'Raw Data'!BI274,'Raw Data'!BK274,'Raw Data'!BM274),"")</f>
        <v/>
      </c>
      <c r="W287" s="14">
        <f>IF(U287&lt;&gt;"",U287-V287,"")</f>
        <v/>
      </c>
      <c r="X287" s="14">
        <f>IF(A287&lt;&gt;"",AVERAGE(F287,I287,L287,O287,R287,U287),"")</f>
        <v/>
      </c>
      <c r="Y287" s="14">
        <f>IF(A287&lt;&gt;"",AVERAGE(G287,J287,M287,P287,S287,V287),"")</f>
        <v/>
      </c>
      <c r="Z287" s="14">
        <f>IF(A287&lt;&gt;"",X287-Y287,"")</f>
        <v/>
      </c>
      <c r="AA287" s="15">
        <f>IF(A287&lt;&gt;"",ROUND(MIN(100,100*((MAX(0,K287)*0.25)+(MAX(0,Q287)*0.20)+(MAX(0,W287)*0.20)+(MAX(0,H287)*0.15)+(MAX(0,N287)*0.10)+(MAX(0,T287)*0.10))/9),1),"")</f>
        <v/>
      </c>
      <c r="AB287" s="28">
        <f>IF(A287&lt;&gt;"",MIN(1,(0.5*AA287/100)+(0.3*MAX(0,K287)/9)+(0.2*MAX(0,Q287)/9)),"")</f>
        <v/>
      </c>
    </row>
    <row r="288">
      <c r="A288" s="13">
        <f>IF('Raw Data'!A275&lt;&gt;"",'Raw Data'!A275,"")</f>
        <v/>
      </c>
      <c r="B288" s="13">
        <f>IF('Raw Data'!B275&lt;&gt;"",'Raw Data'!B275,"")</f>
        <v/>
      </c>
      <c r="C288" s="13">
        <f>IF('Raw Data'!C275&lt;&gt;"",'Raw Data'!C275,"")</f>
        <v/>
      </c>
      <c r="D288" s="13">
        <f>IF('Raw Data'!D275&lt;&gt;"",'Raw Data'!D275,"")</f>
        <v/>
      </c>
      <c r="E288" s="13">
        <f>IF('Raw Data'!E275&lt;&gt;"",'Raw Data'!E275,"")</f>
        <v/>
      </c>
      <c r="F288" s="17">
        <f>IF('Raw Data'!A275&lt;&gt;"",AVERAGE('Raw Data'!F275,'Raw Data'!H275,'Raw Data'!J275,'Raw Data'!L275,'Raw Data'!N275),"")</f>
        <v/>
      </c>
      <c r="G288" s="17">
        <f>IF('Raw Data'!A275&lt;&gt;"",AVERAGE('Raw Data'!G275,'Raw Data'!I275,'Raw Data'!K275,'Raw Data'!M275,'Raw Data'!O275),"")</f>
        <v/>
      </c>
      <c r="H288" s="17">
        <f>IF(F288&lt;&gt;"",F288-G288,"")</f>
        <v/>
      </c>
      <c r="I288" s="17">
        <f>IF('Raw Data'!A275&lt;&gt;"",AVERAGE('Raw Data'!P275,'Raw Data'!R275,'Raw Data'!T275,'Raw Data'!V275,'Raw Data'!X275),"")</f>
        <v/>
      </c>
      <c r="J288" s="17">
        <f>IF('Raw Data'!A275&lt;&gt;"",AVERAGE('Raw Data'!Q275,'Raw Data'!S275,'Raw Data'!U275,'Raw Data'!W275,'Raw Data'!Y275),"")</f>
        <v/>
      </c>
      <c r="K288" s="17">
        <f>IF(I288&lt;&gt;"",I288-J288,"")</f>
        <v/>
      </c>
      <c r="L288" s="17">
        <f>IF('Raw Data'!A275&lt;&gt;"",AVERAGE('Raw Data'!Z275,'Raw Data'!AB275,'Raw Data'!AD275,'Raw Data'!AF275,'Raw Data'!AH275),"")</f>
        <v/>
      </c>
      <c r="M288" s="17">
        <f>IF('Raw Data'!A275&lt;&gt;"",AVERAGE('Raw Data'!AA275,'Raw Data'!AC275,'Raw Data'!AE275,'Raw Data'!AG275,'Raw Data'!AI275),"")</f>
        <v/>
      </c>
      <c r="N288" s="17">
        <f>IF(L288&lt;&gt;"",L288-M288,"")</f>
        <v/>
      </c>
      <c r="O288" s="17">
        <f>IF('Raw Data'!A275&lt;&gt;"",AVERAGE('Raw Data'!AJ275,'Raw Data'!AL275,'Raw Data'!AN275,'Raw Data'!AP275,'Raw Data'!AR275),"")</f>
        <v/>
      </c>
      <c r="P288" s="17">
        <f>IF('Raw Data'!A275&lt;&gt;"",AVERAGE('Raw Data'!AK275,'Raw Data'!AM275,'Raw Data'!AO275,'Raw Data'!AQ275,'Raw Data'!AS275),"")</f>
        <v/>
      </c>
      <c r="Q288" s="17">
        <f>IF(O288&lt;&gt;"",O288-P288,"")</f>
        <v/>
      </c>
      <c r="R288" s="17">
        <f>IF('Raw Data'!A275&lt;&gt;"",AVERAGE('Raw Data'!AT275,'Raw Data'!AV275,'Raw Data'!AX275,'Raw Data'!AZ275,'Raw Data'!BB275),"")</f>
        <v/>
      </c>
      <c r="S288" s="17">
        <f>IF('Raw Data'!A275&lt;&gt;"",AVERAGE('Raw Data'!AU275,'Raw Data'!AW275,'Raw Data'!AY275,'Raw Data'!BA275,'Raw Data'!BC275),"")</f>
        <v/>
      </c>
      <c r="T288" s="17">
        <f>IF(R288&lt;&gt;"",R288-S288,"")</f>
        <v/>
      </c>
      <c r="U288" s="17">
        <f>IF('Raw Data'!A275&lt;&gt;"",AVERAGE('Raw Data'!BD275,'Raw Data'!BF275,'Raw Data'!BH275,'Raw Data'!BJ275,'Raw Data'!BL275),"")</f>
        <v/>
      </c>
      <c r="V288" s="17">
        <f>IF('Raw Data'!A275&lt;&gt;"",AVERAGE('Raw Data'!BE275,'Raw Data'!BG275,'Raw Data'!BI275,'Raw Data'!BK275,'Raw Data'!BM275),"")</f>
        <v/>
      </c>
      <c r="W288" s="17">
        <f>IF(U288&lt;&gt;"",U288-V288,"")</f>
        <v/>
      </c>
      <c r="X288" s="17">
        <f>IF(A288&lt;&gt;"",AVERAGE(F288,I288,L288,O288,R288,U288),"")</f>
        <v/>
      </c>
      <c r="Y288" s="17">
        <f>IF(A288&lt;&gt;"",AVERAGE(G288,J288,M288,P288,S288,V288),"")</f>
        <v/>
      </c>
      <c r="Z288" s="17">
        <f>IF(A288&lt;&gt;"",X288-Y288,"")</f>
        <v/>
      </c>
      <c r="AA288" s="18">
        <f>IF(A288&lt;&gt;"",ROUND(MIN(100,100*((MAX(0,K288)*0.25)+(MAX(0,Q288)*0.20)+(MAX(0,W288)*0.20)+(MAX(0,H288)*0.15)+(MAX(0,N288)*0.10)+(MAX(0,T288)*0.10))/9),1),"")</f>
        <v/>
      </c>
      <c r="AB288" s="29">
        <f>IF(A288&lt;&gt;"",MIN(1,(0.5*AA288/100)+(0.3*MAX(0,K288)/9)+(0.2*MAX(0,Q288)/9)),"")</f>
        <v/>
      </c>
    </row>
    <row r="289">
      <c r="A289" s="4">
        <f>IF('Raw Data'!A276&lt;&gt;"",'Raw Data'!A276,"")</f>
        <v/>
      </c>
      <c r="B289" s="4">
        <f>IF('Raw Data'!B276&lt;&gt;"",'Raw Data'!B276,"")</f>
        <v/>
      </c>
      <c r="C289" s="4">
        <f>IF('Raw Data'!C276&lt;&gt;"",'Raw Data'!C276,"")</f>
        <v/>
      </c>
      <c r="D289" s="4">
        <f>IF('Raw Data'!D276&lt;&gt;"",'Raw Data'!D276,"")</f>
        <v/>
      </c>
      <c r="E289" s="4">
        <f>IF('Raw Data'!E276&lt;&gt;"",'Raw Data'!E276,"")</f>
        <v/>
      </c>
      <c r="F289" s="14">
        <f>IF('Raw Data'!A276&lt;&gt;"",AVERAGE('Raw Data'!F276,'Raw Data'!H276,'Raw Data'!J276,'Raw Data'!L276,'Raw Data'!N276),"")</f>
        <v/>
      </c>
      <c r="G289" s="14">
        <f>IF('Raw Data'!A276&lt;&gt;"",AVERAGE('Raw Data'!G276,'Raw Data'!I276,'Raw Data'!K276,'Raw Data'!M276,'Raw Data'!O276),"")</f>
        <v/>
      </c>
      <c r="H289" s="14">
        <f>IF(F289&lt;&gt;"",F289-G289,"")</f>
        <v/>
      </c>
      <c r="I289" s="14">
        <f>IF('Raw Data'!A276&lt;&gt;"",AVERAGE('Raw Data'!P276,'Raw Data'!R276,'Raw Data'!T276,'Raw Data'!V276,'Raw Data'!X276),"")</f>
        <v/>
      </c>
      <c r="J289" s="14">
        <f>IF('Raw Data'!A276&lt;&gt;"",AVERAGE('Raw Data'!Q276,'Raw Data'!S276,'Raw Data'!U276,'Raw Data'!W276,'Raw Data'!Y276),"")</f>
        <v/>
      </c>
      <c r="K289" s="14">
        <f>IF(I289&lt;&gt;"",I289-J289,"")</f>
        <v/>
      </c>
      <c r="L289" s="14">
        <f>IF('Raw Data'!A276&lt;&gt;"",AVERAGE('Raw Data'!Z276,'Raw Data'!AB276,'Raw Data'!AD276,'Raw Data'!AF276,'Raw Data'!AH276),"")</f>
        <v/>
      </c>
      <c r="M289" s="14">
        <f>IF('Raw Data'!A276&lt;&gt;"",AVERAGE('Raw Data'!AA276,'Raw Data'!AC276,'Raw Data'!AE276,'Raw Data'!AG276,'Raw Data'!AI276),"")</f>
        <v/>
      </c>
      <c r="N289" s="14">
        <f>IF(L289&lt;&gt;"",L289-M289,"")</f>
        <v/>
      </c>
      <c r="O289" s="14">
        <f>IF('Raw Data'!A276&lt;&gt;"",AVERAGE('Raw Data'!AJ276,'Raw Data'!AL276,'Raw Data'!AN276,'Raw Data'!AP276,'Raw Data'!AR276),"")</f>
        <v/>
      </c>
      <c r="P289" s="14">
        <f>IF('Raw Data'!A276&lt;&gt;"",AVERAGE('Raw Data'!AK276,'Raw Data'!AM276,'Raw Data'!AO276,'Raw Data'!AQ276,'Raw Data'!AS276),"")</f>
        <v/>
      </c>
      <c r="Q289" s="14">
        <f>IF(O289&lt;&gt;"",O289-P289,"")</f>
        <v/>
      </c>
      <c r="R289" s="14">
        <f>IF('Raw Data'!A276&lt;&gt;"",AVERAGE('Raw Data'!AT276,'Raw Data'!AV276,'Raw Data'!AX276,'Raw Data'!AZ276,'Raw Data'!BB276),"")</f>
        <v/>
      </c>
      <c r="S289" s="14">
        <f>IF('Raw Data'!A276&lt;&gt;"",AVERAGE('Raw Data'!AU276,'Raw Data'!AW276,'Raw Data'!AY276,'Raw Data'!BA276,'Raw Data'!BC276),"")</f>
        <v/>
      </c>
      <c r="T289" s="14">
        <f>IF(R289&lt;&gt;"",R289-S289,"")</f>
        <v/>
      </c>
      <c r="U289" s="14">
        <f>IF('Raw Data'!A276&lt;&gt;"",AVERAGE('Raw Data'!BD276,'Raw Data'!BF276,'Raw Data'!BH276,'Raw Data'!BJ276,'Raw Data'!BL276),"")</f>
        <v/>
      </c>
      <c r="V289" s="14">
        <f>IF('Raw Data'!A276&lt;&gt;"",AVERAGE('Raw Data'!BE276,'Raw Data'!BG276,'Raw Data'!BI276,'Raw Data'!BK276,'Raw Data'!BM276),"")</f>
        <v/>
      </c>
      <c r="W289" s="14">
        <f>IF(U289&lt;&gt;"",U289-V289,"")</f>
        <v/>
      </c>
      <c r="X289" s="14">
        <f>IF(A289&lt;&gt;"",AVERAGE(F289,I289,L289,O289,R289,U289),"")</f>
        <v/>
      </c>
      <c r="Y289" s="14">
        <f>IF(A289&lt;&gt;"",AVERAGE(G289,J289,M289,P289,S289,V289),"")</f>
        <v/>
      </c>
      <c r="Z289" s="14">
        <f>IF(A289&lt;&gt;"",X289-Y289,"")</f>
        <v/>
      </c>
      <c r="AA289" s="15">
        <f>IF(A289&lt;&gt;"",ROUND(MIN(100,100*((MAX(0,K289)*0.25)+(MAX(0,Q289)*0.20)+(MAX(0,W289)*0.20)+(MAX(0,H289)*0.15)+(MAX(0,N289)*0.10)+(MAX(0,T289)*0.10))/9),1),"")</f>
        <v/>
      </c>
      <c r="AB289" s="28">
        <f>IF(A289&lt;&gt;"",MIN(1,(0.5*AA289/100)+(0.3*MAX(0,K289)/9)+(0.2*MAX(0,Q289)/9)),"")</f>
        <v/>
      </c>
    </row>
    <row r="290">
      <c r="A290" s="13">
        <f>IF('Raw Data'!A277&lt;&gt;"",'Raw Data'!A277,"")</f>
        <v/>
      </c>
      <c r="B290" s="13">
        <f>IF('Raw Data'!B277&lt;&gt;"",'Raw Data'!B277,"")</f>
        <v/>
      </c>
      <c r="C290" s="13">
        <f>IF('Raw Data'!C277&lt;&gt;"",'Raw Data'!C277,"")</f>
        <v/>
      </c>
      <c r="D290" s="13">
        <f>IF('Raw Data'!D277&lt;&gt;"",'Raw Data'!D277,"")</f>
        <v/>
      </c>
      <c r="E290" s="13">
        <f>IF('Raw Data'!E277&lt;&gt;"",'Raw Data'!E277,"")</f>
        <v/>
      </c>
      <c r="F290" s="17">
        <f>IF('Raw Data'!A277&lt;&gt;"",AVERAGE('Raw Data'!F277,'Raw Data'!H277,'Raw Data'!J277,'Raw Data'!L277,'Raw Data'!N277),"")</f>
        <v/>
      </c>
      <c r="G290" s="17">
        <f>IF('Raw Data'!A277&lt;&gt;"",AVERAGE('Raw Data'!G277,'Raw Data'!I277,'Raw Data'!K277,'Raw Data'!M277,'Raw Data'!O277),"")</f>
        <v/>
      </c>
      <c r="H290" s="17">
        <f>IF(F290&lt;&gt;"",F290-G290,"")</f>
        <v/>
      </c>
      <c r="I290" s="17">
        <f>IF('Raw Data'!A277&lt;&gt;"",AVERAGE('Raw Data'!P277,'Raw Data'!R277,'Raw Data'!T277,'Raw Data'!V277,'Raw Data'!X277),"")</f>
        <v/>
      </c>
      <c r="J290" s="17">
        <f>IF('Raw Data'!A277&lt;&gt;"",AVERAGE('Raw Data'!Q277,'Raw Data'!S277,'Raw Data'!U277,'Raw Data'!W277,'Raw Data'!Y277),"")</f>
        <v/>
      </c>
      <c r="K290" s="17">
        <f>IF(I290&lt;&gt;"",I290-J290,"")</f>
        <v/>
      </c>
      <c r="L290" s="17">
        <f>IF('Raw Data'!A277&lt;&gt;"",AVERAGE('Raw Data'!Z277,'Raw Data'!AB277,'Raw Data'!AD277,'Raw Data'!AF277,'Raw Data'!AH277),"")</f>
        <v/>
      </c>
      <c r="M290" s="17">
        <f>IF('Raw Data'!A277&lt;&gt;"",AVERAGE('Raw Data'!AA277,'Raw Data'!AC277,'Raw Data'!AE277,'Raw Data'!AG277,'Raw Data'!AI277),"")</f>
        <v/>
      </c>
      <c r="N290" s="17">
        <f>IF(L290&lt;&gt;"",L290-M290,"")</f>
        <v/>
      </c>
      <c r="O290" s="17">
        <f>IF('Raw Data'!A277&lt;&gt;"",AVERAGE('Raw Data'!AJ277,'Raw Data'!AL277,'Raw Data'!AN277,'Raw Data'!AP277,'Raw Data'!AR277),"")</f>
        <v/>
      </c>
      <c r="P290" s="17">
        <f>IF('Raw Data'!A277&lt;&gt;"",AVERAGE('Raw Data'!AK277,'Raw Data'!AM277,'Raw Data'!AO277,'Raw Data'!AQ277,'Raw Data'!AS277),"")</f>
        <v/>
      </c>
      <c r="Q290" s="17">
        <f>IF(O290&lt;&gt;"",O290-P290,"")</f>
        <v/>
      </c>
      <c r="R290" s="17">
        <f>IF('Raw Data'!A277&lt;&gt;"",AVERAGE('Raw Data'!AT277,'Raw Data'!AV277,'Raw Data'!AX277,'Raw Data'!AZ277,'Raw Data'!BB277),"")</f>
        <v/>
      </c>
      <c r="S290" s="17">
        <f>IF('Raw Data'!A277&lt;&gt;"",AVERAGE('Raw Data'!AU277,'Raw Data'!AW277,'Raw Data'!AY277,'Raw Data'!BA277,'Raw Data'!BC277),"")</f>
        <v/>
      </c>
      <c r="T290" s="17">
        <f>IF(R290&lt;&gt;"",R290-S290,"")</f>
        <v/>
      </c>
      <c r="U290" s="17">
        <f>IF('Raw Data'!A277&lt;&gt;"",AVERAGE('Raw Data'!BD277,'Raw Data'!BF277,'Raw Data'!BH277,'Raw Data'!BJ277,'Raw Data'!BL277),"")</f>
        <v/>
      </c>
      <c r="V290" s="17">
        <f>IF('Raw Data'!A277&lt;&gt;"",AVERAGE('Raw Data'!BE277,'Raw Data'!BG277,'Raw Data'!BI277,'Raw Data'!BK277,'Raw Data'!BM277),"")</f>
        <v/>
      </c>
      <c r="W290" s="17">
        <f>IF(U290&lt;&gt;"",U290-V290,"")</f>
        <v/>
      </c>
      <c r="X290" s="17">
        <f>IF(A290&lt;&gt;"",AVERAGE(F290,I290,L290,O290,R290,U290),"")</f>
        <v/>
      </c>
      <c r="Y290" s="17">
        <f>IF(A290&lt;&gt;"",AVERAGE(G290,J290,M290,P290,S290,V290),"")</f>
        <v/>
      </c>
      <c r="Z290" s="17">
        <f>IF(A290&lt;&gt;"",X290-Y290,"")</f>
        <v/>
      </c>
      <c r="AA290" s="18">
        <f>IF(A290&lt;&gt;"",ROUND(MIN(100,100*((MAX(0,K290)*0.25)+(MAX(0,Q290)*0.20)+(MAX(0,W290)*0.20)+(MAX(0,H290)*0.15)+(MAX(0,N290)*0.10)+(MAX(0,T290)*0.10))/9),1),"")</f>
        <v/>
      </c>
      <c r="AB290" s="29">
        <f>IF(A290&lt;&gt;"",MIN(1,(0.5*AA290/100)+(0.3*MAX(0,K290)/9)+(0.2*MAX(0,Q290)/9)),"")</f>
        <v/>
      </c>
    </row>
    <row r="291">
      <c r="A291" s="4">
        <f>IF('Raw Data'!A278&lt;&gt;"",'Raw Data'!A278,"")</f>
        <v/>
      </c>
      <c r="B291" s="4">
        <f>IF('Raw Data'!B278&lt;&gt;"",'Raw Data'!B278,"")</f>
        <v/>
      </c>
      <c r="C291" s="4">
        <f>IF('Raw Data'!C278&lt;&gt;"",'Raw Data'!C278,"")</f>
        <v/>
      </c>
      <c r="D291" s="4">
        <f>IF('Raw Data'!D278&lt;&gt;"",'Raw Data'!D278,"")</f>
        <v/>
      </c>
      <c r="E291" s="4">
        <f>IF('Raw Data'!E278&lt;&gt;"",'Raw Data'!E278,"")</f>
        <v/>
      </c>
      <c r="F291" s="14">
        <f>IF('Raw Data'!A278&lt;&gt;"",AVERAGE('Raw Data'!F278,'Raw Data'!H278,'Raw Data'!J278,'Raw Data'!L278,'Raw Data'!N278),"")</f>
        <v/>
      </c>
      <c r="G291" s="14">
        <f>IF('Raw Data'!A278&lt;&gt;"",AVERAGE('Raw Data'!G278,'Raw Data'!I278,'Raw Data'!K278,'Raw Data'!M278,'Raw Data'!O278),"")</f>
        <v/>
      </c>
      <c r="H291" s="14">
        <f>IF(F291&lt;&gt;"",F291-G291,"")</f>
        <v/>
      </c>
      <c r="I291" s="14">
        <f>IF('Raw Data'!A278&lt;&gt;"",AVERAGE('Raw Data'!P278,'Raw Data'!R278,'Raw Data'!T278,'Raw Data'!V278,'Raw Data'!X278),"")</f>
        <v/>
      </c>
      <c r="J291" s="14">
        <f>IF('Raw Data'!A278&lt;&gt;"",AVERAGE('Raw Data'!Q278,'Raw Data'!S278,'Raw Data'!U278,'Raw Data'!W278,'Raw Data'!Y278),"")</f>
        <v/>
      </c>
      <c r="K291" s="14">
        <f>IF(I291&lt;&gt;"",I291-J291,"")</f>
        <v/>
      </c>
      <c r="L291" s="14">
        <f>IF('Raw Data'!A278&lt;&gt;"",AVERAGE('Raw Data'!Z278,'Raw Data'!AB278,'Raw Data'!AD278,'Raw Data'!AF278,'Raw Data'!AH278),"")</f>
        <v/>
      </c>
      <c r="M291" s="14">
        <f>IF('Raw Data'!A278&lt;&gt;"",AVERAGE('Raw Data'!AA278,'Raw Data'!AC278,'Raw Data'!AE278,'Raw Data'!AG278,'Raw Data'!AI278),"")</f>
        <v/>
      </c>
      <c r="N291" s="14">
        <f>IF(L291&lt;&gt;"",L291-M291,"")</f>
        <v/>
      </c>
      <c r="O291" s="14">
        <f>IF('Raw Data'!A278&lt;&gt;"",AVERAGE('Raw Data'!AJ278,'Raw Data'!AL278,'Raw Data'!AN278,'Raw Data'!AP278,'Raw Data'!AR278),"")</f>
        <v/>
      </c>
      <c r="P291" s="14">
        <f>IF('Raw Data'!A278&lt;&gt;"",AVERAGE('Raw Data'!AK278,'Raw Data'!AM278,'Raw Data'!AO278,'Raw Data'!AQ278,'Raw Data'!AS278),"")</f>
        <v/>
      </c>
      <c r="Q291" s="14">
        <f>IF(O291&lt;&gt;"",O291-P291,"")</f>
        <v/>
      </c>
      <c r="R291" s="14">
        <f>IF('Raw Data'!A278&lt;&gt;"",AVERAGE('Raw Data'!AT278,'Raw Data'!AV278,'Raw Data'!AX278,'Raw Data'!AZ278,'Raw Data'!BB278),"")</f>
        <v/>
      </c>
      <c r="S291" s="14">
        <f>IF('Raw Data'!A278&lt;&gt;"",AVERAGE('Raw Data'!AU278,'Raw Data'!AW278,'Raw Data'!AY278,'Raw Data'!BA278,'Raw Data'!BC278),"")</f>
        <v/>
      </c>
      <c r="T291" s="14">
        <f>IF(R291&lt;&gt;"",R291-S291,"")</f>
        <v/>
      </c>
      <c r="U291" s="14">
        <f>IF('Raw Data'!A278&lt;&gt;"",AVERAGE('Raw Data'!BD278,'Raw Data'!BF278,'Raw Data'!BH278,'Raw Data'!BJ278,'Raw Data'!BL278),"")</f>
        <v/>
      </c>
      <c r="V291" s="14">
        <f>IF('Raw Data'!A278&lt;&gt;"",AVERAGE('Raw Data'!BE278,'Raw Data'!BG278,'Raw Data'!BI278,'Raw Data'!BK278,'Raw Data'!BM278),"")</f>
        <v/>
      </c>
      <c r="W291" s="14">
        <f>IF(U291&lt;&gt;"",U291-V291,"")</f>
        <v/>
      </c>
      <c r="X291" s="14">
        <f>IF(A291&lt;&gt;"",AVERAGE(F291,I291,L291,O291,R291,U291),"")</f>
        <v/>
      </c>
      <c r="Y291" s="14">
        <f>IF(A291&lt;&gt;"",AVERAGE(G291,J291,M291,P291,S291,V291),"")</f>
        <v/>
      </c>
      <c r="Z291" s="14">
        <f>IF(A291&lt;&gt;"",X291-Y291,"")</f>
        <v/>
      </c>
      <c r="AA291" s="15">
        <f>IF(A291&lt;&gt;"",ROUND(MIN(100,100*((MAX(0,K291)*0.25)+(MAX(0,Q291)*0.20)+(MAX(0,W291)*0.20)+(MAX(0,H291)*0.15)+(MAX(0,N291)*0.10)+(MAX(0,T291)*0.10))/9),1),"")</f>
        <v/>
      </c>
      <c r="AB291" s="28">
        <f>IF(A291&lt;&gt;"",MIN(1,(0.5*AA291/100)+(0.3*MAX(0,K291)/9)+(0.2*MAX(0,Q291)/9)),"")</f>
        <v/>
      </c>
    </row>
    <row r="292">
      <c r="A292" s="13">
        <f>IF('Raw Data'!A279&lt;&gt;"",'Raw Data'!A279,"")</f>
        <v/>
      </c>
      <c r="B292" s="13">
        <f>IF('Raw Data'!B279&lt;&gt;"",'Raw Data'!B279,"")</f>
        <v/>
      </c>
      <c r="C292" s="13">
        <f>IF('Raw Data'!C279&lt;&gt;"",'Raw Data'!C279,"")</f>
        <v/>
      </c>
      <c r="D292" s="13">
        <f>IF('Raw Data'!D279&lt;&gt;"",'Raw Data'!D279,"")</f>
        <v/>
      </c>
      <c r="E292" s="13">
        <f>IF('Raw Data'!E279&lt;&gt;"",'Raw Data'!E279,"")</f>
        <v/>
      </c>
      <c r="F292" s="17">
        <f>IF('Raw Data'!A279&lt;&gt;"",AVERAGE('Raw Data'!F279,'Raw Data'!H279,'Raw Data'!J279,'Raw Data'!L279,'Raw Data'!N279),"")</f>
        <v/>
      </c>
      <c r="G292" s="17">
        <f>IF('Raw Data'!A279&lt;&gt;"",AVERAGE('Raw Data'!G279,'Raw Data'!I279,'Raw Data'!K279,'Raw Data'!M279,'Raw Data'!O279),"")</f>
        <v/>
      </c>
      <c r="H292" s="17">
        <f>IF(F292&lt;&gt;"",F292-G292,"")</f>
        <v/>
      </c>
      <c r="I292" s="17">
        <f>IF('Raw Data'!A279&lt;&gt;"",AVERAGE('Raw Data'!P279,'Raw Data'!R279,'Raw Data'!T279,'Raw Data'!V279,'Raw Data'!X279),"")</f>
        <v/>
      </c>
      <c r="J292" s="17">
        <f>IF('Raw Data'!A279&lt;&gt;"",AVERAGE('Raw Data'!Q279,'Raw Data'!S279,'Raw Data'!U279,'Raw Data'!W279,'Raw Data'!Y279),"")</f>
        <v/>
      </c>
      <c r="K292" s="17">
        <f>IF(I292&lt;&gt;"",I292-J292,"")</f>
        <v/>
      </c>
      <c r="L292" s="17">
        <f>IF('Raw Data'!A279&lt;&gt;"",AVERAGE('Raw Data'!Z279,'Raw Data'!AB279,'Raw Data'!AD279,'Raw Data'!AF279,'Raw Data'!AH279),"")</f>
        <v/>
      </c>
      <c r="M292" s="17">
        <f>IF('Raw Data'!A279&lt;&gt;"",AVERAGE('Raw Data'!AA279,'Raw Data'!AC279,'Raw Data'!AE279,'Raw Data'!AG279,'Raw Data'!AI279),"")</f>
        <v/>
      </c>
      <c r="N292" s="17">
        <f>IF(L292&lt;&gt;"",L292-M292,"")</f>
        <v/>
      </c>
      <c r="O292" s="17">
        <f>IF('Raw Data'!A279&lt;&gt;"",AVERAGE('Raw Data'!AJ279,'Raw Data'!AL279,'Raw Data'!AN279,'Raw Data'!AP279,'Raw Data'!AR279),"")</f>
        <v/>
      </c>
      <c r="P292" s="17">
        <f>IF('Raw Data'!A279&lt;&gt;"",AVERAGE('Raw Data'!AK279,'Raw Data'!AM279,'Raw Data'!AO279,'Raw Data'!AQ279,'Raw Data'!AS279),"")</f>
        <v/>
      </c>
      <c r="Q292" s="17">
        <f>IF(O292&lt;&gt;"",O292-P292,"")</f>
        <v/>
      </c>
      <c r="R292" s="17">
        <f>IF('Raw Data'!A279&lt;&gt;"",AVERAGE('Raw Data'!AT279,'Raw Data'!AV279,'Raw Data'!AX279,'Raw Data'!AZ279,'Raw Data'!BB279),"")</f>
        <v/>
      </c>
      <c r="S292" s="17">
        <f>IF('Raw Data'!A279&lt;&gt;"",AVERAGE('Raw Data'!AU279,'Raw Data'!AW279,'Raw Data'!AY279,'Raw Data'!BA279,'Raw Data'!BC279),"")</f>
        <v/>
      </c>
      <c r="T292" s="17">
        <f>IF(R292&lt;&gt;"",R292-S292,"")</f>
        <v/>
      </c>
      <c r="U292" s="17">
        <f>IF('Raw Data'!A279&lt;&gt;"",AVERAGE('Raw Data'!BD279,'Raw Data'!BF279,'Raw Data'!BH279,'Raw Data'!BJ279,'Raw Data'!BL279),"")</f>
        <v/>
      </c>
      <c r="V292" s="17">
        <f>IF('Raw Data'!A279&lt;&gt;"",AVERAGE('Raw Data'!BE279,'Raw Data'!BG279,'Raw Data'!BI279,'Raw Data'!BK279,'Raw Data'!BM279),"")</f>
        <v/>
      </c>
      <c r="W292" s="17">
        <f>IF(U292&lt;&gt;"",U292-V292,"")</f>
        <v/>
      </c>
      <c r="X292" s="17">
        <f>IF(A292&lt;&gt;"",AVERAGE(F292,I292,L292,O292,R292,U292),"")</f>
        <v/>
      </c>
      <c r="Y292" s="17">
        <f>IF(A292&lt;&gt;"",AVERAGE(G292,J292,M292,P292,S292,V292),"")</f>
        <v/>
      </c>
      <c r="Z292" s="17">
        <f>IF(A292&lt;&gt;"",X292-Y292,"")</f>
        <v/>
      </c>
      <c r="AA292" s="18">
        <f>IF(A292&lt;&gt;"",ROUND(MIN(100,100*((MAX(0,K292)*0.25)+(MAX(0,Q292)*0.20)+(MAX(0,W292)*0.20)+(MAX(0,H292)*0.15)+(MAX(0,N292)*0.10)+(MAX(0,T292)*0.10))/9),1),"")</f>
        <v/>
      </c>
      <c r="AB292" s="29">
        <f>IF(A292&lt;&gt;"",MIN(1,(0.5*AA292/100)+(0.3*MAX(0,K292)/9)+(0.2*MAX(0,Q292)/9)),"")</f>
        <v/>
      </c>
    </row>
    <row r="293">
      <c r="A293" s="4">
        <f>IF('Raw Data'!A280&lt;&gt;"",'Raw Data'!A280,"")</f>
        <v/>
      </c>
      <c r="B293" s="4">
        <f>IF('Raw Data'!B280&lt;&gt;"",'Raw Data'!B280,"")</f>
        <v/>
      </c>
      <c r="C293" s="4">
        <f>IF('Raw Data'!C280&lt;&gt;"",'Raw Data'!C280,"")</f>
        <v/>
      </c>
      <c r="D293" s="4">
        <f>IF('Raw Data'!D280&lt;&gt;"",'Raw Data'!D280,"")</f>
        <v/>
      </c>
      <c r="E293" s="4">
        <f>IF('Raw Data'!E280&lt;&gt;"",'Raw Data'!E280,"")</f>
        <v/>
      </c>
      <c r="F293" s="14">
        <f>IF('Raw Data'!A280&lt;&gt;"",AVERAGE('Raw Data'!F280,'Raw Data'!H280,'Raw Data'!J280,'Raw Data'!L280,'Raw Data'!N280),"")</f>
        <v/>
      </c>
      <c r="G293" s="14">
        <f>IF('Raw Data'!A280&lt;&gt;"",AVERAGE('Raw Data'!G280,'Raw Data'!I280,'Raw Data'!K280,'Raw Data'!M280,'Raw Data'!O280),"")</f>
        <v/>
      </c>
      <c r="H293" s="14">
        <f>IF(F293&lt;&gt;"",F293-G293,"")</f>
        <v/>
      </c>
      <c r="I293" s="14">
        <f>IF('Raw Data'!A280&lt;&gt;"",AVERAGE('Raw Data'!P280,'Raw Data'!R280,'Raw Data'!T280,'Raw Data'!V280,'Raw Data'!X280),"")</f>
        <v/>
      </c>
      <c r="J293" s="14">
        <f>IF('Raw Data'!A280&lt;&gt;"",AVERAGE('Raw Data'!Q280,'Raw Data'!S280,'Raw Data'!U280,'Raw Data'!W280,'Raw Data'!Y280),"")</f>
        <v/>
      </c>
      <c r="K293" s="14">
        <f>IF(I293&lt;&gt;"",I293-J293,"")</f>
        <v/>
      </c>
      <c r="L293" s="14">
        <f>IF('Raw Data'!A280&lt;&gt;"",AVERAGE('Raw Data'!Z280,'Raw Data'!AB280,'Raw Data'!AD280,'Raw Data'!AF280,'Raw Data'!AH280),"")</f>
        <v/>
      </c>
      <c r="M293" s="14">
        <f>IF('Raw Data'!A280&lt;&gt;"",AVERAGE('Raw Data'!AA280,'Raw Data'!AC280,'Raw Data'!AE280,'Raw Data'!AG280,'Raw Data'!AI280),"")</f>
        <v/>
      </c>
      <c r="N293" s="14">
        <f>IF(L293&lt;&gt;"",L293-M293,"")</f>
        <v/>
      </c>
      <c r="O293" s="14">
        <f>IF('Raw Data'!A280&lt;&gt;"",AVERAGE('Raw Data'!AJ280,'Raw Data'!AL280,'Raw Data'!AN280,'Raw Data'!AP280,'Raw Data'!AR280),"")</f>
        <v/>
      </c>
      <c r="P293" s="14">
        <f>IF('Raw Data'!A280&lt;&gt;"",AVERAGE('Raw Data'!AK280,'Raw Data'!AM280,'Raw Data'!AO280,'Raw Data'!AQ280,'Raw Data'!AS280),"")</f>
        <v/>
      </c>
      <c r="Q293" s="14">
        <f>IF(O293&lt;&gt;"",O293-P293,"")</f>
        <v/>
      </c>
      <c r="R293" s="14">
        <f>IF('Raw Data'!A280&lt;&gt;"",AVERAGE('Raw Data'!AT280,'Raw Data'!AV280,'Raw Data'!AX280,'Raw Data'!AZ280,'Raw Data'!BB280),"")</f>
        <v/>
      </c>
      <c r="S293" s="14">
        <f>IF('Raw Data'!A280&lt;&gt;"",AVERAGE('Raw Data'!AU280,'Raw Data'!AW280,'Raw Data'!AY280,'Raw Data'!BA280,'Raw Data'!BC280),"")</f>
        <v/>
      </c>
      <c r="T293" s="14">
        <f>IF(R293&lt;&gt;"",R293-S293,"")</f>
        <v/>
      </c>
      <c r="U293" s="14">
        <f>IF('Raw Data'!A280&lt;&gt;"",AVERAGE('Raw Data'!BD280,'Raw Data'!BF280,'Raw Data'!BH280,'Raw Data'!BJ280,'Raw Data'!BL280),"")</f>
        <v/>
      </c>
      <c r="V293" s="14">
        <f>IF('Raw Data'!A280&lt;&gt;"",AVERAGE('Raw Data'!BE280,'Raw Data'!BG280,'Raw Data'!BI280,'Raw Data'!BK280,'Raw Data'!BM280),"")</f>
        <v/>
      </c>
      <c r="W293" s="14">
        <f>IF(U293&lt;&gt;"",U293-V293,"")</f>
        <v/>
      </c>
      <c r="X293" s="14">
        <f>IF(A293&lt;&gt;"",AVERAGE(F293,I293,L293,O293,R293,U293),"")</f>
        <v/>
      </c>
      <c r="Y293" s="14">
        <f>IF(A293&lt;&gt;"",AVERAGE(G293,J293,M293,P293,S293,V293),"")</f>
        <v/>
      </c>
      <c r="Z293" s="14">
        <f>IF(A293&lt;&gt;"",X293-Y293,"")</f>
        <v/>
      </c>
      <c r="AA293" s="15">
        <f>IF(A293&lt;&gt;"",ROUND(MIN(100,100*((MAX(0,K293)*0.25)+(MAX(0,Q293)*0.20)+(MAX(0,W293)*0.20)+(MAX(0,H293)*0.15)+(MAX(0,N293)*0.10)+(MAX(0,T293)*0.10))/9),1),"")</f>
        <v/>
      </c>
      <c r="AB293" s="28">
        <f>IF(A293&lt;&gt;"",MIN(1,(0.5*AA293/100)+(0.3*MAX(0,K293)/9)+(0.2*MAX(0,Q293)/9)),"")</f>
        <v/>
      </c>
    </row>
    <row r="294">
      <c r="A294" s="13">
        <f>IF('Raw Data'!A281&lt;&gt;"",'Raw Data'!A281,"")</f>
        <v/>
      </c>
      <c r="B294" s="13">
        <f>IF('Raw Data'!B281&lt;&gt;"",'Raw Data'!B281,"")</f>
        <v/>
      </c>
      <c r="C294" s="13">
        <f>IF('Raw Data'!C281&lt;&gt;"",'Raw Data'!C281,"")</f>
        <v/>
      </c>
      <c r="D294" s="13">
        <f>IF('Raw Data'!D281&lt;&gt;"",'Raw Data'!D281,"")</f>
        <v/>
      </c>
      <c r="E294" s="13">
        <f>IF('Raw Data'!E281&lt;&gt;"",'Raw Data'!E281,"")</f>
        <v/>
      </c>
      <c r="F294" s="17">
        <f>IF('Raw Data'!A281&lt;&gt;"",AVERAGE('Raw Data'!F281,'Raw Data'!H281,'Raw Data'!J281,'Raw Data'!L281,'Raw Data'!N281),"")</f>
        <v/>
      </c>
      <c r="G294" s="17">
        <f>IF('Raw Data'!A281&lt;&gt;"",AVERAGE('Raw Data'!G281,'Raw Data'!I281,'Raw Data'!K281,'Raw Data'!M281,'Raw Data'!O281),"")</f>
        <v/>
      </c>
      <c r="H294" s="17">
        <f>IF(F294&lt;&gt;"",F294-G294,"")</f>
        <v/>
      </c>
      <c r="I294" s="17">
        <f>IF('Raw Data'!A281&lt;&gt;"",AVERAGE('Raw Data'!P281,'Raw Data'!R281,'Raw Data'!T281,'Raw Data'!V281,'Raw Data'!X281),"")</f>
        <v/>
      </c>
      <c r="J294" s="17">
        <f>IF('Raw Data'!A281&lt;&gt;"",AVERAGE('Raw Data'!Q281,'Raw Data'!S281,'Raw Data'!U281,'Raw Data'!W281,'Raw Data'!Y281),"")</f>
        <v/>
      </c>
      <c r="K294" s="17">
        <f>IF(I294&lt;&gt;"",I294-J294,"")</f>
        <v/>
      </c>
      <c r="L294" s="17">
        <f>IF('Raw Data'!A281&lt;&gt;"",AVERAGE('Raw Data'!Z281,'Raw Data'!AB281,'Raw Data'!AD281,'Raw Data'!AF281,'Raw Data'!AH281),"")</f>
        <v/>
      </c>
      <c r="M294" s="17">
        <f>IF('Raw Data'!A281&lt;&gt;"",AVERAGE('Raw Data'!AA281,'Raw Data'!AC281,'Raw Data'!AE281,'Raw Data'!AG281,'Raw Data'!AI281),"")</f>
        <v/>
      </c>
      <c r="N294" s="17">
        <f>IF(L294&lt;&gt;"",L294-M294,"")</f>
        <v/>
      </c>
      <c r="O294" s="17">
        <f>IF('Raw Data'!A281&lt;&gt;"",AVERAGE('Raw Data'!AJ281,'Raw Data'!AL281,'Raw Data'!AN281,'Raw Data'!AP281,'Raw Data'!AR281),"")</f>
        <v/>
      </c>
      <c r="P294" s="17">
        <f>IF('Raw Data'!A281&lt;&gt;"",AVERAGE('Raw Data'!AK281,'Raw Data'!AM281,'Raw Data'!AO281,'Raw Data'!AQ281,'Raw Data'!AS281),"")</f>
        <v/>
      </c>
      <c r="Q294" s="17">
        <f>IF(O294&lt;&gt;"",O294-P294,"")</f>
        <v/>
      </c>
      <c r="R294" s="17">
        <f>IF('Raw Data'!A281&lt;&gt;"",AVERAGE('Raw Data'!AT281,'Raw Data'!AV281,'Raw Data'!AX281,'Raw Data'!AZ281,'Raw Data'!BB281),"")</f>
        <v/>
      </c>
      <c r="S294" s="17">
        <f>IF('Raw Data'!A281&lt;&gt;"",AVERAGE('Raw Data'!AU281,'Raw Data'!AW281,'Raw Data'!AY281,'Raw Data'!BA281,'Raw Data'!BC281),"")</f>
        <v/>
      </c>
      <c r="T294" s="17">
        <f>IF(R294&lt;&gt;"",R294-S294,"")</f>
        <v/>
      </c>
      <c r="U294" s="17">
        <f>IF('Raw Data'!A281&lt;&gt;"",AVERAGE('Raw Data'!BD281,'Raw Data'!BF281,'Raw Data'!BH281,'Raw Data'!BJ281,'Raw Data'!BL281),"")</f>
        <v/>
      </c>
      <c r="V294" s="17">
        <f>IF('Raw Data'!A281&lt;&gt;"",AVERAGE('Raw Data'!BE281,'Raw Data'!BG281,'Raw Data'!BI281,'Raw Data'!BK281,'Raw Data'!BM281),"")</f>
        <v/>
      </c>
      <c r="W294" s="17">
        <f>IF(U294&lt;&gt;"",U294-V294,"")</f>
        <v/>
      </c>
      <c r="X294" s="17">
        <f>IF(A294&lt;&gt;"",AVERAGE(F294,I294,L294,O294,R294,U294),"")</f>
        <v/>
      </c>
      <c r="Y294" s="17">
        <f>IF(A294&lt;&gt;"",AVERAGE(G294,J294,M294,P294,S294,V294),"")</f>
        <v/>
      </c>
      <c r="Z294" s="17">
        <f>IF(A294&lt;&gt;"",X294-Y294,"")</f>
        <v/>
      </c>
      <c r="AA294" s="18">
        <f>IF(A294&lt;&gt;"",ROUND(MIN(100,100*((MAX(0,K294)*0.25)+(MAX(0,Q294)*0.20)+(MAX(0,W294)*0.20)+(MAX(0,H294)*0.15)+(MAX(0,N294)*0.10)+(MAX(0,T294)*0.10))/9),1),"")</f>
        <v/>
      </c>
      <c r="AB294" s="29">
        <f>IF(A294&lt;&gt;"",MIN(1,(0.5*AA294/100)+(0.3*MAX(0,K294)/9)+(0.2*MAX(0,Q294)/9)),"")</f>
        <v/>
      </c>
    </row>
    <row r="295">
      <c r="A295" s="4">
        <f>IF('Raw Data'!A282&lt;&gt;"",'Raw Data'!A282,"")</f>
        <v/>
      </c>
      <c r="B295" s="4">
        <f>IF('Raw Data'!B282&lt;&gt;"",'Raw Data'!B282,"")</f>
        <v/>
      </c>
      <c r="C295" s="4">
        <f>IF('Raw Data'!C282&lt;&gt;"",'Raw Data'!C282,"")</f>
        <v/>
      </c>
      <c r="D295" s="4">
        <f>IF('Raw Data'!D282&lt;&gt;"",'Raw Data'!D282,"")</f>
        <v/>
      </c>
      <c r="E295" s="4">
        <f>IF('Raw Data'!E282&lt;&gt;"",'Raw Data'!E282,"")</f>
        <v/>
      </c>
      <c r="F295" s="14">
        <f>IF('Raw Data'!A282&lt;&gt;"",AVERAGE('Raw Data'!F282,'Raw Data'!H282,'Raw Data'!J282,'Raw Data'!L282,'Raw Data'!N282),"")</f>
        <v/>
      </c>
      <c r="G295" s="14">
        <f>IF('Raw Data'!A282&lt;&gt;"",AVERAGE('Raw Data'!G282,'Raw Data'!I282,'Raw Data'!K282,'Raw Data'!M282,'Raw Data'!O282),"")</f>
        <v/>
      </c>
      <c r="H295" s="14">
        <f>IF(F295&lt;&gt;"",F295-G295,"")</f>
        <v/>
      </c>
      <c r="I295" s="14">
        <f>IF('Raw Data'!A282&lt;&gt;"",AVERAGE('Raw Data'!P282,'Raw Data'!R282,'Raw Data'!T282,'Raw Data'!V282,'Raw Data'!X282),"")</f>
        <v/>
      </c>
      <c r="J295" s="14">
        <f>IF('Raw Data'!A282&lt;&gt;"",AVERAGE('Raw Data'!Q282,'Raw Data'!S282,'Raw Data'!U282,'Raw Data'!W282,'Raw Data'!Y282),"")</f>
        <v/>
      </c>
      <c r="K295" s="14">
        <f>IF(I295&lt;&gt;"",I295-J295,"")</f>
        <v/>
      </c>
      <c r="L295" s="14">
        <f>IF('Raw Data'!A282&lt;&gt;"",AVERAGE('Raw Data'!Z282,'Raw Data'!AB282,'Raw Data'!AD282,'Raw Data'!AF282,'Raw Data'!AH282),"")</f>
        <v/>
      </c>
      <c r="M295" s="14">
        <f>IF('Raw Data'!A282&lt;&gt;"",AVERAGE('Raw Data'!AA282,'Raw Data'!AC282,'Raw Data'!AE282,'Raw Data'!AG282,'Raw Data'!AI282),"")</f>
        <v/>
      </c>
      <c r="N295" s="14">
        <f>IF(L295&lt;&gt;"",L295-M295,"")</f>
        <v/>
      </c>
      <c r="O295" s="14">
        <f>IF('Raw Data'!A282&lt;&gt;"",AVERAGE('Raw Data'!AJ282,'Raw Data'!AL282,'Raw Data'!AN282,'Raw Data'!AP282,'Raw Data'!AR282),"")</f>
        <v/>
      </c>
      <c r="P295" s="14">
        <f>IF('Raw Data'!A282&lt;&gt;"",AVERAGE('Raw Data'!AK282,'Raw Data'!AM282,'Raw Data'!AO282,'Raw Data'!AQ282,'Raw Data'!AS282),"")</f>
        <v/>
      </c>
      <c r="Q295" s="14">
        <f>IF(O295&lt;&gt;"",O295-P295,"")</f>
        <v/>
      </c>
      <c r="R295" s="14">
        <f>IF('Raw Data'!A282&lt;&gt;"",AVERAGE('Raw Data'!AT282,'Raw Data'!AV282,'Raw Data'!AX282,'Raw Data'!AZ282,'Raw Data'!BB282),"")</f>
        <v/>
      </c>
      <c r="S295" s="14">
        <f>IF('Raw Data'!A282&lt;&gt;"",AVERAGE('Raw Data'!AU282,'Raw Data'!AW282,'Raw Data'!AY282,'Raw Data'!BA282,'Raw Data'!BC282),"")</f>
        <v/>
      </c>
      <c r="T295" s="14">
        <f>IF(R295&lt;&gt;"",R295-S295,"")</f>
        <v/>
      </c>
      <c r="U295" s="14">
        <f>IF('Raw Data'!A282&lt;&gt;"",AVERAGE('Raw Data'!BD282,'Raw Data'!BF282,'Raw Data'!BH282,'Raw Data'!BJ282,'Raw Data'!BL282),"")</f>
        <v/>
      </c>
      <c r="V295" s="14">
        <f>IF('Raw Data'!A282&lt;&gt;"",AVERAGE('Raw Data'!BE282,'Raw Data'!BG282,'Raw Data'!BI282,'Raw Data'!BK282,'Raw Data'!BM282),"")</f>
        <v/>
      </c>
      <c r="W295" s="14">
        <f>IF(U295&lt;&gt;"",U295-V295,"")</f>
        <v/>
      </c>
      <c r="X295" s="14">
        <f>IF(A295&lt;&gt;"",AVERAGE(F295,I295,L295,O295,R295,U295),"")</f>
        <v/>
      </c>
      <c r="Y295" s="14">
        <f>IF(A295&lt;&gt;"",AVERAGE(G295,J295,M295,P295,S295,V295),"")</f>
        <v/>
      </c>
      <c r="Z295" s="14">
        <f>IF(A295&lt;&gt;"",X295-Y295,"")</f>
        <v/>
      </c>
      <c r="AA295" s="15">
        <f>IF(A295&lt;&gt;"",ROUND(MIN(100,100*((MAX(0,K295)*0.25)+(MAX(0,Q295)*0.20)+(MAX(0,W295)*0.20)+(MAX(0,H295)*0.15)+(MAX(0,N295)*0.10)+(MAX(0,T295)*0.10))/9),1),"")</f>
        <v/>
      </c>
      <c r="AB295" s="28">
        <f>IF(A295&lt;&gt;"",MIN(1,(0.5*AA295/100)+(0.3*MAX(0,K295)/9)+(0.2*MAX(0,Q295)/9)),"")</f>
        <v/>
      </c>
    </row>
    <row r="296">
      <c r="A296" s="13">
        <f>IF('Raw Data'!A283&lt;&gt;"",'Raw Data'!A283,"")</f>
        <v/>
      </c>
      <c r="B296" s="13">
        <f>IF('Raw Data'!B283&lt;&gt;"",'Raw Data'!B283,"")</f>
        <v/>
      </c>
      <c r="C296" s="13">
        <f>IF('Raw Data'!C283&lt;&gt;"",'Raw Data'!C283,"")</f>
        <v/>
      </c>
      <c r="D296" s="13">
        <f>IF('Raw Data'!D283&lt;&gt;"",'Raw Data'!D283,"")</f>
        <v/>
      </c>
      <c r="E296" s="13">
        <f>IF('Raw Data'!E283&lt;&gt;"",'Raw Data'!E283,"")</f>
        <v/>
      </c>
      <c r="F296" s="17">
        <f>IF('Raw Data'!A283&lt;&gt;"",AVERAGE('Raw Data'!F283,'Raw Data'!H283,'Raw Data'!J283,'Raw Data'!L283,'Raw Data'!N283),"")</f>
        <v/>
      </c>
      <c r="G296" s="17">
        <f>IF('Raw Data'!A283&lt;&gt;"",AVERAGE('Raw Data'!G283,'Raw Data'!I283,'Raw Data'!K283,'Raw Data'!M283,'Raw Data'!O283),"")</f>
        <v/>
      </c>
      <c r="H296" s="17">
        <f>IF(F296&lt;&gt;"",F296-G296,"")</f>
        <v/>
      </c>
      <c r="I296" s="17">
        <f>IF('Raw Data'!A283&lt;&gt;"",AVERAGE('Raw Data'!P283,'Raw Data'!R283,'Raw Data'!T283,'Raw Data'!V283,'Raw Data'!X283),"")</f>
        <v/>
      </c>
      <c r="J296" s="17">
        <f>IF('Raw Data'!A283&lt;&gt;"",AVERAGE('Raw Data'!Q283,'Raw Data'!S283,'Raw Data'!U283,'Raw Data'!W283,'Raw Data'!Y283),"")</f>
        <v/>
      </c>
      <c r="K296" s="17">
        <f>IF(I296&lt;&gt;"",I296-J296,"")</f>
        <v/>
      </c>
      <c r="L296" s="17">
        <f>IF('Raw Data'!A283&lt;&gt;"",AVERAGE('Raw Data'!Z283,'Raw Data'!AB283,'Raw Data'!AD283,'Raw Data'!AF283,'Raw Data'!AH283),"")</f>
        <v/>
      </c>
      <c r="M296" s="17">
        <f>IF('Raw Data'!A283&lt;&gt;"",AVERAGE('Raw Data'!AA283,'Raw Data'!AC283,'Raw Data'!AE283,'Raw Data'!AG283,'Raw Data'!AI283),"")</f>
        <v/>
      </c>
      <c r="N296" s="17">
        <f>IF(L296&lt;&gt;"",L296-M296,"")</f>
        <v/>
      </c>
      <c r="O296" s="17">
        <f>IF('Raw Data'!A283&lt;&gt;"",AVERAGE('Raw Data'!AJ283,'Raw Data'!AL283,'Raw Data'!AN283,'Raw Data'!AP283,'Raw Data'!AR283),"")</f>
        <v/>
      </c>
      <c r="P296" s="17">
        <f>IF('Raw Data'!A283&lt;&gt;"",AVERAGE('Raw Data'!AK283,'Raw Data'!AM283,'Raw Data'!AO283,'Raw Data'!AQ283,'Raw Data'!AS283),"")</f>
        <v/>
      </c>
      <c r="Q296" s="17">
        <f>IF(O296&lt;&gt;"",O296-P296,"")</f>
        <v/>
      </c>
      <c r="R296" s="17">
        <f>IF('Raw Data'!A283&lt;&gt;"",AVERAGE('Raw Data'!AT283,'Raw Data'!AV283,'Raw Data'!AX283,'Raw Data'!AZ283,'Raw Data'!BB283),"")</f>
        <v/>
      </c>
      <c r="S296" s="17">
        <f>IF('Raw Data'!A283&lt;&gt;"",AVERAGE('Raw Data'!AU283,'Raw Data'!AW283,'Raw Data'!AY283,'Raw Data'!BA283,'Raw Data'!BC283),"")</f>
        <v/>
      </c>
      <c r="T296" s="17">
        <f>IF(R296&lt;&gt;"",R296-S296,"")</f>
        <v/>
      </c>
      <c r="U296" s="17">
        <f>IF('Raw Data'!A283&lt;&gt;"",AVERAGE('Raw Data'!BD283,'Raw Data'!BF283,'Raw Data'!BH283,'Raw Data'!BJ283,'Raw Data'!BL283),"")</f>
        <v/>
      </c>
      <c r="V296" s="17">
        <f>IF('Raw Data'!A283&lt;&gt;"",AVERAGE('Raw Data'!BE283,'Raw Data'!BG283,'Raw Data'!BI283,'Raw Data'!BK283,'Raw Data'!BM283),"")</f>
        <v/>
      </c>
      <c r="W296" s="17">
        <f>IF(U296&lt;&gt;"",U296-V296,"")</f>
        <v/>
      </c>
      <c r="X296" s="17">
        <f>IF(A296&lt;&gt;"",AVERAGE(F296,I296,L296,O296,R296,U296),"")</f>
        <v/>
      </c>
      <c r="Y296" s="17">
        <f>IF(A296&lt;&gt;"",AVERAGE(G296,J296,M296,P296,S296,V296),"")</f>
        <v/>
      </c>
      <c r="Z296" s="17">
        <f>IF(A296&lt;&gt;"",X296-Y296,"")</f>
        <v/>
      </c>
      <c r="AA296" s="18">
        <f>IF(A296&lt;&gt;"",ROUND(MIN(100,100*((MAX(0,K296)*0.25)+(MAX(0,Q296)*0.20)+(MAX(0,W296)*0.20)+(MAX(0,H296)*0.15)+(MAX(0,N296)*0.10)+(MAX(0,T296)*0.10))/9),1),"")</f>
        <v/>
      </c>
      <c r="AB296" s="29">
        <f>IF(A296&lt;&gt;"",MIN(1,(0.5*AA296/100)+(0.3*MAX(0,K296)/9)+(0.2*MAX(0,Q296)/9)),"")</f>
        <v/>
      </c>
    </row>
    <row r="297">
      <c r="A297" s="4">
        <f>IF('Raw Data'!A284&lt;&gt;"",'Raw Data'!A284,"")</f>
        <v/>
      </c>
      <c r="B297" s="4">
        <f>IF('Raw Data'!B284&lt;&gt;"",'Raw Data'!B284,"")</f>
        <v/>
      </c>
      <c r="C297" s="4">
        <f>IF('Raw Data'!C284&lt;&gt;"",'Raw Data'!C284,"")</f>
        <v/>
      </c>
      <c r="D297" s="4">
        <f>IF('Raw Data'!D284&lt;&gt;"",'Raw Data'!D284,"")</f>
        <v/>
      </c>
      <c r="E297" s="4">
        <f>IF('Raw Data'!E284&lt;&gt;"",'Raw Data'!E284,"")</f>
        <v/>
      </c>
      <c r="F297" s="14">
        <f>IF('Raw Data'!A284&lt;&gt;"",AVERAGE('Raw Data'!F284,'Raw Data'!H284,'Raw Data'!J284,'Raw Data'!L284,'Raw Data'!N284),"")</f>
        <v/>
      </c>
      <c r="G297" s="14">
        <f>IF('Raw Data'!A284&lt;&gt;"",AVERAGE('Raw Data'!G284,'Raw Data'!I284,'Raw Data'!K284,'Raw Data'!M284,'Raw Data'!O284),"")</f>
        <v/>
      </c>
      <c r="H297" s="14">
        <f>IF(F297&lt;&gt;"",F297-G297,"")</f>
        <v/>
      </c>
      <c r="I297" s="14">
        <f>IF('Raw Data'!A284&lt;&gt;"",AVERAGE('Raw Data'!P284,'Raw Data'!R284,'Raw Data'!T284,'Raw Data'!V284,'Raw Data'!X284),"")</f>
        <v/>
      </c>
      <c r="J297" s="14">
        <f>IF('Raw Data'!A284&lt;&gt;"",AVERAGE('Raw Data'!Q284,'Raw Data'!S284,'Raw Data'!U284,'Raw Data'!W284,'Raw Data'!Y284),"")</f>
        <v/>
      </c>
      <c r="K297" s="14">
        <f>IF(I297&lt;&gt;"",I297-J297,"")</f>
        <v/>
      </c>
      <c r="L297" s="14">
        <f>IF('Raw Data'!A284&lt;&gt;"",AVERAGE('Raw Data'!Z284,'Raw Data'!AB284,'Raw Data'!AD284,'Raw Data'!AF284,'Raw Data'!AH284),"")</f>
        <v/>
      </c>
      <c r="M297" s="14">
        <f>IF('Raw Data'!A284&lt;&gt;"",AVERAGE('Raw Data'!AA284,'Raw Data'!AC284,'Raw Data'!AE284,'Raw Data'!AG284,'Raw Data'!AI284),"")</f>
        <v/>
      </c>
      <c r="N297" s="14">
        <f>IF(L297&lt;&gt;"",L297-M297,"")</f>
        <v/>
      </c>
      <c r="O297" s="14">
        <f>IF('Raw Data'!A284&lt;&gt;"",AVERAGE('Raw Data'!AJ284,'Raw Data'!AL284,'Raw Data'!AN284,'Raw Data'!AP284,'Raw Data'!AR284),"")</f>
        <v/>
      </c>
      <c r="P297" s="14">
        <f>IF('Raw Data'!A284&lt;&gt;"",AVERAGE('Raw Data'!AK284,'Raw Data'!AM284,'Raw Data'!AO284,'Raw Data'!AQ284,'Raw Data'!AS284),"")</f>
        <v/>
      </c>
      <c r="Q297" s="14">
        <f>IF(O297&lt;&gt;"",O297-P297,"")</f>
        <v/>
      </c>
      <c r="R297" s="14">
        <f>IF('Raw Data'!A284&lt;&gt;"",AVERAGE('Raw Data'!AT284,'Raw Data'!AV284,'Raw Data'!AX284,'Raw Data'!AZ284,'Raw Data'!BB284),"")</f>
        <v/>
      </c>
      <c r="S297" s="14">
        <f>IF('Raw Data'!A284&lt;&gt;"",AVERAGE('Raw Data'!AU284,'Raw Data'!AW284,'Raw Data'!AY284,'Raw Data'!BA284,'Raw Data'!BC284),"")</f>
        <v/>
      </c>
      <c r="T297" s="14">
        <f>IF(R297&lt;&gt;"",R297-S297,"")</f>
        <v/>
      </c>
      <c r="U297" s="14">
        <f>IF('Raw Data'!A284&lt;&gt;"",AVERAGE('Raw Data'!BD284,'Raw Data'!BF284,'Raw Data'!BH284,'Raw Data'!BJ284,'Raw Data'!BL284),"")</f>
        <v/>
      </c>
      <c r="V297" s="14">
        <f>IF('Raw Data'!A284&lt;&gt;"",AVERAGE('Raw Data'!BE284,'Raw Data'!BG284,'Raw Data'!BI284,'Raw Data'!BK284,'Raw Data'!BM284),"")</f>
        <v/>
      </c>
      <c r="W297" s="14">
        <f>IF(U297&lt;&gt;"",U297-V297,"")</f>
        <v/>
      </c>
      <c r="X297" s="14">
        <f>IF(A297&lt;&gt;"",AVERAGE(F297,I297,L297,O297,R297,U297),"")</f>
        <v/>
      </c>
      <c r="Y297" s="14">
        <f>IF(A297&lt;&gt;"",AVERAGE(G297,J297,M297,P297,S297,V297),"")</f>
        <v/>
      </c>
      <c r="Z297" s="14">
        <f>IF(A297&lt;&gt;"",X297-Y297,"")</f>
        <v/>
      </c>
      <c r="AA297" s="15">
        <f>IF(A297&lt;&gt;"",ROUND(MIN(100,100*((MAX(0,K297)*0.25)+(MAX(0,Q297)*0.20)+(MAX(0,W297)*0.20)+(MAX(0,H297)*0.15)+(MAX(0,N297)*0.10)+(MAX(0,T297)*0.10))/9),1),"")</f>
        <v/>
      </c>
      <c r="AB297" s="28">
        <f>IF(A297&lt;&gt;"",MIN(1,(0.5*AA297/100)+(0.3*MAX(0,K297)/9)+(0.2*MAX(0,Q297)/9)),"")</f>
        <v/>
      </c>
    </row>
    <row r="298">
      <c r="A298" s="13">
        <f>IF('Raw Data'!A285&lt;&gt;"",'Raw Data'!A285,"")</f>
        <v/>
      </c>
      <c r="B298" s="13">
        <f>IF('Raw Data'!B285&lt;&gt;"",'Raw Data'!B285,"")</f>
        <v/>
      </c>
      <c r="C298" s="13">
        <f>IF('Raw Data'!C285&lt;&gt;"",'Raw Data'!C285,"")</f>
        <v/>
      </c>
      <c r="D298" s="13">
        <f>IF('Raw Data'!D285&lt;&gt;"",'Raw Data'!D285,"")</f>
        <v/>
      </c>
      <c r="E298" s="13">
        <f>IF('Raw Data'!E285&lt;&gt;"",'Raw Data'!E285,"")</f>
        <v/>
      </c>
      <c r="F298" s="17">
        <f>IF('Raw Data'!A285&lt;&gt;"",AVERAGE('Raw Data'!F285,'Raw Data'!H285,'Raw Data'!J285,'Raw Data'!L285,'Raw Data'!N285),"")</f>
        <v/>
      </c>
      <c r="G298" s="17">
        <f>IF('Raw Data'!A285&lt;&gt;"",AVERAGE('Raw Data'!G285,'Raw Data'!I285,'Raw Data'!K285,'Raw Data'!M285,'Raw Data'!O285),"")</f>
        <v/>
      </c>
      <c r="H298" s="17">
        <f>IF(F298&lt;&gt;"",F298-G298,"")</f>
        <v/>
      </c>
      <c r="I298" s="17">
        <f>IF('Raw Data'!A285&lt;&gt;"",AVERAGE('Raw Data'!P285,'Raw Data'!R285,'Raw Data'!T285,'Raw Data'!V285,'Raw Data'!X285),"")</f>
        <v/>
      </c>
      <c r="J298" s="17">
        <f>IF('Raw Data'!A285&lt;&gt;"",AVERAGE('Raw Data'!Q285,'Raw Data'!S285,'Raw Data'!U285,'Raw Data'!W285,'Raw Data'!Y285),"")</f>
        <v/>
      </c>
      <c r="K298" s="17">
        <f>IF(I298&lt;&gt;"",I298-J298,"")</f>
        <v/>
      </c>
      <c r="L298" s="17">
        <f>IF('Raw Data'!A285&lt;&gt;"",AVERAGE('Raw Data'!Z285,'Raw Data'!AB285,'Raw Data'!AD285,'Raw Data'!AF285,'Raw Data'!AH285),"")</f>
        <v/>
      </c>
      <c r="M298" s="17">
        <f>IF('Raw Data'!A285&lt;&gt;"",AVERAGE('Raw Data'!AA285,'Raw Data'!AC285,'Raw Data'!AE285,'Raw Data'!AG285,'Raw Data'!AI285),"")</f>
        <v/>
      </c>
      <c r="N298" s="17">
        <f>IF(L298&lt;&gt;"",L298-M298,"")</f>
        <v/>
      </c>
      <c r="O298" s="17">
        <f>IF('Raw Data'!A285&lt;&gt;"",AVERAGE('Raw Data'!AJ285,'Raw Data'!AL285,'Raw Data'!AN285,'Raw Data'!AP285,'Raw Data'!AR285),"")</f>
        <v/>
      </c>
      <c r="P298" s="17">
        <f>IF('Raw Data'!A285&lt;&gt;"",AVERAGE('Raw Data'!AK285,'Raw Data'!AM285,'Raw Data'!AO285,'Raw Data'!AQ285,'Raw Data'!AS285),"")</f>
        <v/>
      </c>
      <c r="Q298" s="17">
        <f>IF(O298&lt;&gt;"",O298-P298,"")</f>
        <v/>
      </c>
      <c r="R298" s="17">
        <f>IF('Raw Data'!A285&lt;&gt;"",AVERAGE('Raw Data'!AT285,'Raw Data'!AV285,'Raw Data'!AX285,'Raw Data'!AZ285,'Raw Data'!BB285),"")</f>
        <v/>
      </c>
      <c r="S298" s="17">
        <f>IF('Raw Data'!A285&lt;&gt;"",AVERAGE('Raw Data'!AU285,'Raw Data'!AW285,'Raw Data'!AY285,'Raw Data'!BA285,'Raw Data'!BC285),"")</f>
        <v/>
      </c>
      <c r="T298" s="17">
        <f>IF(R298&lt;&gt;"",R298-S298,"")</f>
        <v/>
      </c>
      <c r="U298" s="17">
        <f>IF('Raw Data'!A285&lt;&gt;"",AVERAGE('Raw Data'!BD285,'Raw Data'!BF285,'Raw Data'!BH285,'Raw Data'!BJ285,'Raw Data'!BL285),"")</f>
        <v/>
      </c>
      <c r="V298" s="17">
        <f>IF('Raw Data'!A285&lt;&gt;"",AVERAGE('Raw Data'!BE285,'Raw Data'!BG285,'Raw Data'!BI285,'Raw Data'!BK285,'Raw Data'!BM285),"")</f>
        <v/>
      </c>
      <c r="W298" s="17">
        <f>IF(U298&lt;&gt;"",U298-V298,"")</f>
        <v/>
      </c>
      <c r="X298" s="17">
        <f>IF(A298&lt;&gt;"",AVERAGE(F298,I298,L298,O298,R298,U298),"")</f>
        <v/>
      </c>
      <c r="Y298" s="17">
        <f>IF(A298&lt;&gt;"",AVERAGE(G298,J298,M298,P298,S298,V298),"")</f>
        <v/>
      </c>
      <c r="Z298" s="17">
        <f>IF(A298&lt;&gt;"",X298-Y298,"")</f>
        <v/>
      </c>
      <c r="AA298" s="18">
        <f>IF(A298&lt;&gt;"",ROUND(MIN(100,100*((MAX(0,K298)*0.25)+(MAX(0,Q298)*0.20)+(MAX(0,W298)*0.20)+(MAX(0,H298)*0.15)+(MAX(0,N298)*0.10)+(MAX(0,T298)*0.10))/9),1),"")</f>
        <v/>
      </c>
      <c r="AB298" s="29">
        <f>IF(A298&lt;&gt;"",MIN(1,(0.5*AA298/100)+(0.3*MAX(0,K298)/9)+(0.2*MAX(0,Q298)/9)),"")</f>
        <v/>
      </c>
    </row>
    <row r="299">
      <c r="A299" s="4">
        <f>IF('Raw Data'!A286&lt;&gt;"",'Raw Data'!A286,"")</f>
        <v/>
      </c>
      <c r="B299" s="4">
        <f>IF('Raw Data'!B286&lt;&gt;"",'Raw Data'!B286,"")</f>
        <v/>
      </c>
      <c r="C299" s="4">
        <f>IF('Raw Data'!C286&lt;&gt;"",'Raw Data'!C286,"")</f>
        <v/>
      </c>
      <c r="D299" s="4">
        <f>IF('Raw Data'!D286&lt;&gt;"",'Raw Data'!D286,"")</f>
        <v/>
      </c>
      <c r="E299" s="4">
        <f>IF('Raw Data'!E286&lt;&gt;"",'Raw Data'!E286,"")</f>
        <v/>
      </c>
      <c r="F299" s="14">
        <f>IF('Raw Data'!A286&lt;&gt;"",AVERAGE('Raw Data'!F286,'Raw Data'!H286,'Raw Data'!J286,'Raw Data'!L286,'Raw Data'!N286),"")</f>
        <v/>
      </c>
      <c r="G299" s="14">
        <f>IF('Raw Data'!A286&lt;&gt;"",AVERAGE('Raw Data'!G286,'Raw Data'!I286,'Raw Data'!K286,'Raw Data'!M286,'Raw Data'!O286),"")</f>
        <v/>
      </c>
      <c r="H299" s="14">
        <f>IF(F299&lt;&gt;"",F299-G299,"")</f>
        <v/>
      </c>
      <c r="I299" s="14">
        <f>IF('Raw Data'!A286&lt;&gt;"",AVERAGE('Raw Data'!P286,'Raw Data'!R286,'Raw Data'!T286,'Raw Data'!V286,'Raw Data'!X286),"")</f>
        <v/>
      </c>
      <c r="J299" s="14">
        <f>IF('Raw Data'!A286&lt;&gt;"",AVERAGE('Raw Data'!Q286,'Raw Data'!S286,'Raw Data'!U286,'Raw Data'!W286,'Raw Data'!Y286),"")</f>
        <v/>
      </c>
      <c r="K299" s="14">
        <f>IF(I299&lt;&gt;"",I299-J299,"")</f>
        <v/>
      </c>
      <c r="L299" s="14">
        <f>IF('Raw Data'!A286&lt;&gt;"",AVERAGE('Raw Data'!Z286,'Raw Data'!AB286,'Raw Data'!AD286,'Raw Data'!AF286,'Raw Data'!AH286),"")</f>
        <v/>
      </c>
      <c r="M299" s="14">
        <f>IF('Raw Data'!A286&lt;&gt;"",AVERAGE('Raw Data'!AA286,'Raw Data'!AC286,'Raw Data'!AE286,'Raw Data'!AG286,'Raw Data'!AI286),"")</f>
        <v/>
      </c>
      <c r="N299" s="14">
        <f>IF(L299&lt;&gt;"",L299-M299,"")</f>
        <v/>
      </c>
      <c r="O299" s="14">
        <f>IF('Raw Data'!A286&lt;&gt;"",AVERAGE('Raw Data'!AJ286,'Raw Data'!AL286,'Raw Data'!AN286,'Raw Data'!AP286,'Raw Data'!AR286),"")</f>
        <v/>
      </c>
      <c r="P299" s="14">
        <f>IF('Raw Data'!A286&lt;&gt;"",AVERAGE('Raw Data'!AK286,'Raw Data'!AM286,'Raw Data'!AO286,'Raw Data'!AQ286,'Raw Data'!AS286),"")</f>
        <v/>
      </c>
      <c r="Q299" s="14">
        <f>IF(O299&lt;&gt;"",O299-P299,"")</f>
        <v/>
      </c>
      <c r="R299" s="14">
        <f>IF('Raw Data'!A286&lt;&gt;"",AVERAGE('Raw Data'!AT286,'Raw Data'!AV286,'Raw Data'!AX286,'Raw Data'!AZ286,'Raw Data'!BB286),"")</f>
        <v/>
      </c>
      <c r="S299" s="14">
        <f>IF('Raw Data'!A286&lt;&gt;"",AVERAGE('Raw Data'!AU286,'Raw Data'!AW286,'Raw Data'!AY286,'Raw Data'!BA286,'Raw Data'!BC286),"")</f>
        <v/>
      </c>
      <c r="T299" s="14">
        <f>IF(R299&lt;&gt;"",R299-S299,"")</f>
        <v/>
      </c>
      <c r="U299" s="14">
        <f>IF('Raw Data'!A286&lt;&gt;"",AVERAGE('Raw Data'!BD286,'Raw Data'!BF286,'Raw Data'!BH286,'Raw Data'!BJ286,'Raw Data'!BL286),"")</f>
        <v/>
      </c>
      <c r="V299" s="14">
        <f>IF('Raw Data'!A286&lt;&gt;"",AVERAGE('Raw Data'!BE286,'Raw Data'!BG286,'Raw Data'!BI286,'Raw Data'!BK286,'Raw Data'!BM286),"")</f>
        <v/>
      </c>
      <c r="W299" s="14">
        <f>IF(U299&lt;&gt;"",U299-V299,"")</f>
        <v/>
      </c>
      <c r="X299" s="14">
        <f>IF(A299&lt;&gt;"",AVERAGE(F299,I299,L299,O299,R299,U299),"")</f>
        <v/>
      </c>
      <c r="Y299" s="14">
        <f>IF(A299&lt;&gt;"",AVERAGE(G299,J299,M299,P299,S299,V299),"")</f>
        <v/>
      </c>
      <c r="Z299" s="14">
        <f>IF(A299&lt;&gt;"",X299-Y299,"")</f>
        <v/>
      </c>
      <c r="AA299" s="15">
        <f>IF(A299&lt;&gt;"",ROUND(MIN(100,100*((MAX(0,K299)*0.25)+(MAX(0,Q299)*0.20)+(MAX(0,W299)*0.20)+(MAX(0,H299)*0.15)+(MAX(0,N299)*0.10)+(MAX(0,T299)*0.10))/9),1),"")</f>
        <v/>
      </c>
      <c r="AB299" s="28">
        <f>IF(A299&lt;&gt;"",MIN(1,(0.5*AA299/100)+(0.3*MAX(0,K299)/9)+(0.2*MAX(0,Q299)/9)),"")</f>
        <v/>
      </c>
    </row>
    <row r="300">
      <c r="A300" s="13">
        <f>IF('Raw Data'!A287&lt;&gt;"",'Raw Data'!A287,"")</f>
        <v/>
      </c>
      <c r="B300" s="13">
        <f>IF('Raw Data'!B287&lt;&gt;"",'Raw Data'!B287,"")</f>
        <v/>
      </c>
      <c r="C300" s="13">
        <f>IF('Raw Data'!C287&lt;&gt;"",'Raw Data'!C287,"")</f>
        <v/>
      </c>
      <c r="D300" s="13">
        <f>IF('Raw Data'!D287&lt;&gt;"",'Raw Data'!D287,"")</f>
        <v/>
      </c>
      <c r="E300" s="13">
        <f>IF('Raw Data'!E287&lt;&gt;"",'Raw Data'!E287,"")</f>
        <v/>
      </c>
      <c r="F300" s="17">
        <f>IF('Raw Data'!A287&lt;&gt;"",AVERAGE('Raw Data'!F287,'Raw Data'!H287,'Raw Data'!J287,'Raw Data'!L287,'Raw Data'!N287),"")</f>
        <v/>
      </c>
      <c r="G300" s="17">
        <f>IF('Raw Data'!A287&lt;&gt;"",AVERAGE('Raw Data'!G287,'Raw Data'!I287,'Raw Data'!K287,'Raw Data'!M287,'Raw Data'!O287),"")</f>
        <v/>
      </c>
      <c r="H300" s="17">
        <f>IF(F300&lt;&gt;"",F300-G300,"")</f>
        <v/>
      </c>
      <c r="I300" s="17">
        <f>IF('Raw Data'!A287&lt;&gt;"",AVERAGE('Raw Data'!P287,'Raw Data'!R287,'Raw Data'!T287,'Raw Data'!V287,'Raw Data'!X287),"")</f>
        <v/>
      </c>
      <c r="J300" s="17">
        <f>IF('Raw Data'!A287&lt;&gt;"",AVERAGE('Raw Data'!Q287,'Raw Data'!S287,'Raw Data'!U287,'Raw Data'!W287,'Raw Data'!Y287),"")</f>
        <v/>
      </c>
      <c r="K300" s="17">
        <f>IF(I300&lt;&gt;"",I300-J300,"")</f>
        <v/>
      </c>
      <c r="L300" s="17">
        <f>IF('Raw Data'!A287&lt;&gt;"",AVERAGE('Raw Data'!Z287,'Raw Data'!AB287,'Raw Data'!AD287,'Raw Data'!AF287,'Raw Data'!AH287),"")</f>
        <v/>
      </c>
      <c r="M300" s="17">
        <f>IF('Raw Data'!A287&lt;&gt;"",AVERAGE('Raw Data'!AA287,'Raw Data'!AC287,'Raw Data'!AE287,'Raw Data'!AG287,'Raw Data'!AI287),"")</f>
        <v/>
      </c>
      <c r="N300" s="17">
        <f>IF(L300&lt;&gt;"",L300-M300,"")</f>
        <v/>
      </c>
      <c r="O300" s="17">
        <f>IF('Raw Data'!A287&lt;&gt;"",AVERAGE('Raw Data'!AJ287,'Raw Data'!AL287,'Raw Data'!AN287,'Raw Data'!AP287,'Raw Data'!AR287),"")</f>
        <v/>
      </c>
      <c r="P300" s="17">
        <f>IF('Raw Data'!A287&lt;&gt;"",AVERAGE('Raw Data'!AK287,'Raw Data'!AM287,'Raw Data'!AO287,'Raw Data'!AQ287,'Raw Data'!AS287),"")</f>
        <v/>
      </c>
      <c r="Q300" s="17">
        <f>IF(O300&lt;&gt;"",O300-P300,"")</f>
        <v/>
      </c>
      <c r="R300" s="17">
        <f>IF('Raw Data'!A287&lt;&gt;"",AVERAGE('Raw Data'!AT287,'Raw Data'!AV287,'Raw Data'!AX287,'Raw Data'!AZ287,'Raw Data'!BB287),"")</f>
        <v/>
      </c>
      <c r="S300" s="17">
        <f>IF('Raw Data'!A287&lt;&gt;"",AVERAGE('Raw Data'!AU287,'Raw Data'!AW287,'Raw Data'!AY287,'Raw Data'!BA287,'Raw Data'!BC287),"")</f>
        <v/>
      </c>
      <c r="T300" s="17">
        <f>IF(R300&lt;&gt;"",R300-S300,"")</f>
        <v/>
      </c>
      <c r="U300" s="17">
        <f>IF('Raw Data'!A287&lt;&gt;"",AVERAGE('Raw Data'!BD287,'Raw Data'!BF287,'Raw Data'!BH287,'Raw Data'!BJ287,'Raw Data'!BL287),"")</f>
        <v/>
      </c>
      <c r="V300" s="17">
        <f>IF('Raw Data'!A287&lt;&gt;"",AVERAGE('Raw Data'!BE287,'Raw Data'!BG287,'Raw Data'!BI287,'Raw Data'!BK287,'Raw Data'!BM287),"")</f>
        <v/>
      </c>
      <c r="W300" s="17">
        <f>IF(U300&lt;&gt;"",U300-V300,"")</f>
        <v/>
      </c>
      <c r="X300" s="17">
        <f>IF(A300&lt;&gt;"",AVERAGE(F300,I300,L300,O300,R300,U300),"")</f>
        <v/>
      </c>
      <c r="Y300" s="17">
        <f>IF(A300&lt;&gt;"",AVERAGE(G300,J300,M300,P300,S300,V300),"")</f>
        <v/>
      </c>
      <c r="Z300" s="17">
        <f>IF(A300&lt;&gt;"",X300-Y300,"")</f>
        <v/>
      </c>
      <c r="AA300" s="18">
        <f>IF(A300&lt;&gt;"",ROUND(MIN(100,100*((MAX(0,K300)*0.25)+(MAX(0,Q300)*0.20)+(MAX(0,W300)*0.20)+(MAX(0,H300)*0.15)+(MAX(0,N300)*0.10)+(MAX(0,T300)*0.10))/9),1),"")</f>
        <v/>
      </c>
      <c r="AB300" s="29">
        <f>IF(A300&lt;&gt;"",MIN(1,(0.5*AA300/100)+(0.3*MAX(0,K300)/9)+(0.2*MAX(0,Q300)/9)),"")</f>
        <v/>
      </c>
    </row>
    <row r="301">
      <c r="A301" s="4">
        <f>IF('Raw Data'!A288&lt;&gt;"",'Raw Data'!A288,"")</f>
        <v/>
      </c>
      <c r="B301" s="4">
        <f>IF('Raw Data'!B288&lt;&gt;"",'Raw Data'!B288,"")</f>
        <v/>
      </c>
      <c r="C301" s="4">
        <f>IF('Raw Data'!C288&lt;&gt;"",'Raw Data'!C288,"")</f>
        <v/>
      </c>
      <c r="D301" s="4">
        <f>IF('Raw Data'!D288&lt;&gt;"",'Raw Data'!D288,"")</f>
        <v/>
      </c>
      <c r="E301" s="4">
        <f>IF('Raw Data'!E288&lt;&gt;"",'Raw Data'!E288,"")</f>
        <v/>
      </c>
      <c r="F301" s="14">
        <f>IF('Raw Data'!A288&lt;&gt;"",AVERAGE('Raw Data'!F288,'Raw Data'!H288,'Raw Data'!J288,'Raw Data'!L288,'Raw Data'!N288),"")</f>
        <v/>
      </c>
      <c r="G301" s="14">
        <f>IF('Raw Data'!A288&lt;&gt;"",AVERAGE('Raw Data'!G288,'Raw Data'!I288,'Raw Data'!K288,'Raw Data'!M288,'Raw Data'!O288),"")</f>
        <v/>
      </c>
      <c r="H301" s="14">
        <f>IF(F301&lt;&gt;"",F301-G301,"")</f>
        <v/>
      </c>
      <c r="I301" s="14">
        <f>IF('Raw Data'!A288&lt;&gt;"",AVERAGE('Raw Data'!P288,'Raw Data'!R288,'Raw Data'!T288,'Raw Data'!V288,'Raw Data'!X288),"")</f>
        <v/>
      </c>
      <c r="J301" s="14">
        <f>IF('Raw Data'!A288&lt;&gt;"",AVERAGE('Raw Data'!Q288,'Raw Data'!S288,'Raw Data'!U288,'Raw Data'!W288,'Raw Data'!Y288),"")</f>
        <v/>
      </c>
      <c r="K301" s="14">
        <f>IF(I301&lt;&gt;"",I301-J301,"")</f>
        <v/>
      </c>
      <c r="L301" s="14">
        <f>IF('Raw Data'!A288&lt;&gt;"",AVERAGE('Raw Data'!Z288,'Raw Data'!AB288,'Raw Data'!AD288,'Raw Data'!AF288,'Raw Data'!AH288),"")</f>
        <v/>
      </c>
      <c r="M301" s="14">
        <f>IF('Raw Data'!A288&lt;&gt;"",AVERAGE('Raw Data'!AA288,'Raw Data'!AC288,'Raw Data'!AE288,'Raw Data'!AG288,'Raw Data'!AI288),"")</f>
        <v/>
      </c>
      <c r="N301" s="14">
        <f>IF(L301&lt;&gt;"",L301-M301,"")</f>
        <v/>
      </c>
      <c r="O301" s="14">
        <f>IF('Raw Data'!A288&lt;&gt;"",AVERAGE('Raw Data'!AJ288,'Raw Data'!AL288,'Raw Data'!AN288,'Raw Data'!AP288,'Raw Data'!AR288),"")</f>
        <v/>
      </c>
      <c r="P301" s="14">
        <f>IF('Raw Data'!A288&lt;&gt;"",AVERAGE('Raw Data'!AK288,'Raw Data'!AM288,'Raw Data'!AO288,'Raw Data'!AQ288,'Raw Data'!AS288),"")</f>
        <v/>
      </c>
      <c r="Q301" s="14">
        <f>IF(O301&lt;&gt;"",O301-P301,"")</f>
        <v/>
      </c>
      <c r="R301" s="14">
        <f>IF('Raw Data'!A288&lt;&gt;"",AVERAGE('Raw Data'!AT288,'Raw Data'!AV288,'Raw Data'!AX288,'Raw Data'!AZ288,'Raw Data'!BB288),"")</f>
        <v/>
      </c>
      <c r="S301" s="14">
        <f>IF('Raw Data'!A288&lt;&gt;"",AVERAGE('Raw Data'!AU288,'Raw Data'!AW288,'Raw Data'!AY288,'Raw Data'!BA288,'Raw Data'!BC288),"")</f>
        <v/>
      </c>
      <c r="T301" s="14">
        <f>IF(R301&lt;&gt;"",R301-S301,"")</f>
        <v/>
      </c>
      <c r="U301" s="14">
        <f>IF('Raw Data'!A288&lt;&gt;"",AVERAGE('Raw Data'!BD288,'Raw Data'!BF288,'Raw Data'!BH288,'Raw Data'!BJ288,'Raw Data'!BL288),"")</f>
        <v/>
      </c>
      <c r="V301" s="14">
        <f>IF('Raw Data'!A288&lt;&gt;"",AVERAGE('Raw Data'!BE288,'Raw Data'!BG288,'Raw Data'!BI288,'Raw Data'!BK288,'Raw Data'!BM288),"")</f>
        <v/>
      </c>
      <c r="W301" s="14">
        <f>IF(U301&lt;&gt;"",U301-V301,"")</f>
        <v/>
      </c>
      <c r="X301" s="14">
        <f>IF(A301&lt;&gt;"",AVERAGE(F301,I301,L301,O301,R301,U301),"")</f>
        <v/>
      </c>
      <c r="Y301" s="14">
        <f>IF(A301&lt;&gt;"",AVERAGE(G301,J301,M301,P301,S301,V301),"")</f>
        <v/>
      </c>
      <c r="Z301" s="14">
        <f>IF(A301&lt;&gt;"",X301-Y301,"")</f>
        <v/>
      </c>
      <c r="AA301" s="15">
        <f>IF(A301&lt;&gt;"",ROUND(MIN(100,100*((MAX(0,K301)*0.25)+(MAX(0,Q301)*0.20)+(MAX(0,W301)*0.20)+(MAX(0,H301)*0.15)+(MAX(0,N301)*0.10)+(MAX(0,T301)*0.10))/9),1),"")</f>
        <v/>
      </c>
      <c r="AB301" s="28">
        <f>IF(A301&lt;&gt;"",MIN(1,(0.5*AA301/100)+(0.3*MAX(0,K301)/9)+(0.2*MAX(0,Q301)/9)),"")</f>
        <v/>
      </c>
    </row>
    <row r="302">
      <c r="A302" s="13">
        <f>IF('Raw Data'!A289&lt;&gt;"",'Raw Data'!A289,"")</f>
        <v/>
      </c>
      <c r="B302" s="13">
        <f>IF('Raw Data'!B289&lt;&gt;"",'Raw Data'!B289,"")</f>
        <v/>
      </c>
      <c r="C302" s="13">
        <f>IF('Raw Data'!C289&lt;&gt;"",'Raw Data'!C289,"")</f>
        <v/>
      </c>
      <c r="D302" s="13">
        <f>IF('Raw Data'!D289&lt;&gt;"",'Raw Data'!D289,"")</f>
        <v/>
      </c>
      <c r="E302" s="13">
        <f>IF('Raw Data'!E289&lt;&gt;"",'Raw Data'!E289,"")</f>
        <v/>
      </c>
      <c r="F302" s="17">
        <f>IF('Raw Data'!A289&lt;&gt;"",AVERAGE('Raw Data'!F289,'Raw Data'!H289,'Raw Data'!J289,'Raw Data'!L289,'Raw Data'!N289),"")</f>
        <v/>
      </c>
      <c r="G302" s="17">
        <f>IF('Raw Data'!A289&lt;&gt;"",AVERAGE('Raw Data'!G289,'Raw Data'!I289,'Raw Data'!K289,'Raw Data'!M289,'Raw Data'!O289),"")</f>
        <v/>
      </c>
      <c r="H302" s="17">
        <f>IF(F302&lt;&gt;"",F302-G302,"")</f>
        <v/>
      </c>
      <c r="I302" s="17">
        <f>IF('Raw Data'!A289&lt;&gt;"",AVERAGE('Raw Data'!P289,'Raw Data'!R289,'Raw Data'!T289,'Raw Data'!V289,'Raw Data'!X289),"")</f>
        <v/>
      </c>
      <c r="J302" s="17">
        <f>IF('Raw Data'!A289&lt;&gt;"",AVERAGE('Raw Data'!Q289,'Raw Data'!S289,'Raw Data'!U289,'Raw Data'!W289,'Raw Data'!Y289),"")</f>
        <v/>
      </c>
      <c r="K302" s="17">
        <f>IF(I302&lt;&gt;"",I302-J302,"")</f>
        <v/>
      </c>
      <c r="L302" s="17">
        <f>IF('Raw Data'!A289&lt;&gt;"",AVERAGE('Raw Data'!Z289,'Raw Data'!AB289,'Raw Data'!AD289,'Raw Data'!AF289,'Raw Data'!AH289),"")</f>
        <v/>
      </c>
      <c r="M302" s="17">
        <f>IF('Raw Data'!A289&lt;&gt;"",AVERAGE('Raw Data'!AA289,'Raw Data'!AC289,'Raw Data'!AE289,'Raw Data'!AG289,'Raw Data'!AI289),"")</f>
        <v/>
      </c>
      <c r="N302" s="17">
        <f>IF(L302&lt;&gt;"",L302-M302,"")</f>
        <v/>
      </c>
      <c r="O302" s="17">
        <f>IF('Raw Data'!A289&lt;&gt;"",AVERAGE('Raw Data'!AJ289,'Raw Data'!AL289,'Raw Data'!AN289,'Raw Data'!AP289,'Raw Data'!AR289),"")</f>
        <v/>
      </c>
      <c r="P302" s="17">
        <f>IF('Raw Data'!A289&lt;&gt;"",AVERAGE('Raw Data'!AK289,'Raw Data'!AM289,'Raw Data'!AO289,'Raw Data'!AQ289,'Raw Data'!AS289),"")</f>
        <v/>
      </c>
      <c r="Q302" s="17">
        <f>IF(O302&lt;&gt;"",O302-P302,"")</f>
        <v/>
      </c>
      <c r="R302" s="17">
        <f>IF('Raw Data'!A289&lt;&gt;"",AVERAGE('Raw Data'!AT289,'Raw Data'!AV289,'Raw Data'!AX289,'Raw Data'!AZ289,'Raw Data'!BB289),"")</f>
        <v/>
      </c>
      <c r="S302" s="17">
        <f>IF('Raw Data'!A289&lt;&gt;"",AVERAGE('Raw Data'!AU289,'Raw Data'!AW289,'Raw Data'!AY289,'Raw Data'!BA289,'Raw Data'!BC289),"")</f>
        <v/>
      </c>
      <c r="T302" s="17">
        <f>IF(R302&lt;&gt;"",R302-S302,"")</f>
        <v/>
      </c>
      <c r="U302" s="17">
        <f>IF('Raw Data'!A289&lt;&gt;"",AVERAGE('Raw Data'!BD289,'Raw Data'!BF289,'Raw Data'!BH289,'Raw Data'!BJ289,'Raw Data'!BL289),"")</f>
        <v/>
      </c>
      <c r="V302" s="17">
        <f>IF('Raw Data'!A289&lt;&gt;"",AVERAGE('Raw Data'!BE289,'Raw Data'!BG289,'Raw Data'!BI289,'Raw Data'!BK289,'Raw Data'!BM289),"")</f>
        <v/>
      </c>
      <c r="W302" s="17">
        <f>IF(U302&lt;&gt;"",U302-V302,"")</f>
        <v/>
      </c>
      <c r="X302" s="17">
        <f>IF(A302&lt;&gt;"",AVERAGE(F302,I302,L302,O302,R302,U302),"")</f>
        <v/>
      </c>
      <c r="Y302" s="17">
        <f>IF(A302&lt;&gt;"",AVERAGE(G302,J302,M302,P302,S302,V302),"")</f>
        <v/>
      </c>
      <c r="Z302" s="17">
        <f>IF(A302&lt;&gt;"",X302-Y302,"")</f>
        <v/>
      </c>
      <c r="AA302" s="18">
        <f>IF(A302&lt;&gt;"",ROUND(MIN(100,100*((MAX(0,K302)*0.25)+(MAX(0,Q302)*0.20)+(MAX(0,W302)*0.20)+(MAX(0,H302)*0.15)+(MAX(0,N302)*0.10)+(MAX(0,T302)*0.10))/9),1),"")</f>
        <v/>
      </c>
      <c r="AB302" s="29">
        <f>IF(A302&lt;&gt;"",MIN(1,(0.5*AA302/100)+(0.3*MAX(0,K302)/9)+(0.2*MAX(0,Q302)/9)),"")</f>
        <v/>
      </c>
    </row>
    <row r="303">
      <c r="A303" s="4">
        <f>IF('Raw Data'!A290&lt;&gt;"",'Raw Data'!A290,"")</f>
        <v/>
      </c>
      <c r="B303" s="4">
        <f>IF('Raw Data'!B290&lt;&gt;"",'Raw Data'!B290,"")</f>
        <v/>
      </c>
      <c r="C303" s="4">
        <f>IF('Raw Data'!C290&lt;&gt;"",'Raw Data'!C290,"")</f>
        <v/>
      </c>
      <c r="D303" s="4">
        <f>IF('Raw Data'!D290&lt;&gt;"",'Raw Data'!D290,"")</f>
        <v/>
      </c>
      <c r="E303" s="4">
        <f>IF('Raw Data'!E290&lt;&gt;"",'Raw Data'!E290,"")</f>
        <v/>
      </c>
      <c r="F303" s="14">
        <f>IF('Raw Data'!A290&lt;&gt;"",AVERAGE('Raw Data'!F290,'Raw Data'!H290,'Raw Data'!J290,'Raw Data'!L290,'Raw Data'!N290),"")</f>
        <v/>
      </c>
      <c r="G303" s="14">
        <f>IF('Raw Data'!A290&lt;&gt;"",AVERAGE('Raw Data'!G290,'Raw Data'!I290,'Raw Data'!K290,'Raw Data'!M290,'Raw Data'!O290),"")</f>
        <v/>
      </c>
      <c r="H303" s="14">
        <f>IF(F303&lt;&gt;"",F303-G303,"")</f>
        <v/>
      </c>
      <c r="I303" s="14">
        <f>IF('Raw Data'!A290&lt;&gt;"",AVERAGE('Raw Data'!P290,'Raw Data'!R290,'Raw Data'!T290,'Raw Data'!V290,'Raw Data'!X290),"")</f>
        <v/>
      </c>
      <c r="J303" s="14">
        <f>IF('Raw Data'!A290&lt;&gt;"",AVERAGE('Raw Data'!Q290,'Raw Data'!S290,'Raw Data'!U290,'Raw Data'!W290,'Raw Data'!Y290),"")</f>
        <v/>
      </c>
      <c r="K303" s="14">
        <f>IF(I303&lt;&gt;"",I303-J303,"")</f>
        <v/>
      </c>
      <c r="L303" s="14">
        <f>IF('Raw Data'!A290&lt;&gt;"",AVERAGE('Raw Data'!Z290,'Raw Data'!AB290,'Raw Data'!AD290,'Raw Data'!AF290,'Raw Data'!AH290),"")</f>
        <v/>
      </c>
      <c r="M303" s="14">
        <f>IF('Raw Data'!A290&lt;&gt;"",AVERAGE('Raw Data'!AA290,'Raw Data'!AC290,'Raw Data'!AE290,'Raw Data'!AG290,'Raw Data'!AI290),"")</f>
        <v/>
      </c>
      <c r="N303" s="14">
        <f>IF(L303&lt;&gt;"",L303-M303,"")</f>
        <v/>
      </c>
      <c r="O303" s="14">
        <f>IF('Raw Data'!A290&lt;&gt;"",AVERAGE('Raw Data'!AJ290,'Raw Data'!AL290,'Raw Data'!AN290,'Raw Data'!AP290,'Raw Data'!AR290),"")</f>
        <v/>
      </c>
      <c r="P303" s="14">
        <f>IF('Raw Data'!A290&lt;&gt;"",AVERAGE('Raw Data'!AK290,'Raw Data'!AM290,'Raw Data'!AO290,'Raw Data'!AQ290,'Raw Data'!AS290),"")</f>
        <v/>
      </c>
      <c r="Q303" s="14">
        <f>IF(O303&lt;&gt;"",O303-P303,"")</f>
        <v/>
      </c>
      <c r="R303" s="14">
        <f>IF('Raw Data'!A290&lt;&gt;"",AVERAGE('Raw Data'!AT290,'Raw Data'!AV290,'Raw Data'!AX290,'Raw Data'!AZ290,'Raw Data'!BB290),"")</f>
        <v/>
      </c>
      <c r="S303" s="14">
        <f>IF('Raw Data'!A290&lt;&gt;"",AVERAGE('Raw Data'!AU290,'Raw Data'!AW290,'Raw Data'!AY290,'Raw Data'!BA290,'Raw Data'!BC290),"")</f>
        <v/>
      </c>
      <c r="T303" s="14">
        <f>IF(R303&lt;&gt;"",R303-S303,"")</f>
        <v/>
      </c>
      <c r="U303" s="14">
        <f>IF('Raw Data'!A290&lt;&gt;"",AVERAGE('Raw Data'!BD290,'Raw Data'!BF290,'Raw Data'!BH290,'Raw Data'!BJ290,'Raw Data'!BL290),"")</f>
        <v/>
      </c>
      <c r="V303" s="14">
        <f>IF('Raw Data'!A290&lt;&gt;"",AVERAGE('Raw Data'!BE290,'Raw Data'!BG290,'Raw Data'!BI290,'Raw Data'!BK290,'Raw Data'!BM290),"")</f>
        <v/>
      </c>
      <c r="W303" s="14">
        <f>IF(U303&lt;&gt;"",U303-V303,"")</f>
        <v/>
      </c>
      <c r="X303" s="14">
        <f>IF(A303&lt;&gt;"",AVERAGE(F303,I303,L303,O303,R303,U303),"")</f>
        <v/>
      </c>
      <c r="Y303" s="14">
        <f>IF(A303&lt;&gt;"",AVERAGE(G303,J303,M303,P303,S303,V303),"")</f>
        <v/>
      </c>
      <c r="Z303" s="14">
        <f>IF(A303&lt;&gt;"",X303-Y303,"")</f>
        <v/>
      </c>
      <c r="AA303" s="15">
        <f>IF(A303&lt;&gt;"",ROUND(MIN(100,100*((MAX(0,K303)*0.25)+(MAX(0,Q303)*0.20)+(MAX(0,W303)*0.20)+(MAX(0,H303)*0.15)+(MAX(0,N303)*0.10)+(MAX(0,T303)*0.10))/9),1),"")</f>
        <v/>
      </c>
      <c r="AB303" s="28">
        <f>IF(A303&lt;&gt;"",MIN(1,(0.5*AA303/100)+(0.3*MAX(0,K303)/9)+(0.2*MAX(0,Q303)/9)),"")</f>
        <v/>
      </c>
    </row>
    <row r="304">
      <c r="A304" s="13">
        <f>IF('Raw Data'!A291&lt;&gt;"",'Raw Data'!A291,"")</f>
        <v/>
      </c>
      <c r="B304" s="13">
        <f>IF('Raw Data'!B291&lt;&gt;"",'Raw Data'!B291,"")</f>
        <v/>
      </c>
      <c r="C304" s="13">
        <f>IF('Raw Data'!C291&lt;&gt;"",'Raw Data'!C291,"")</f>
        <v/>
      </c>
      <c r="D304" s="13">
        <f>IF('Raw Data'!D291&lt;&gt;"",'Raw Data'!D291,"")</f>
        <v/>
      </c>
      <c r="E304" s="13">
        <f>IF('Raw Data'!E291&lt;&gt;"",'Raw Data'!E291,"")</f>
        <v/>
      </c>
      <c r="F304" s="17">
        <f>IF('Raw Data'!A291&lt;&gt;"",AVERAGE('Raw Data'!F291,'Raw Data'!H291,'Raw Data'!J291,'Raw Data'!L291,'Raw Data'!N291),"")</f>
        <v/>
      </c>
      <c r="G304" s="17">
        <f>IF('Raw Data'!A291&lt;&gt;"",AVERAGE('Raw Data'!G291,'Raw Data'!I291,'Raw Data'!K291,'Raw Data'!M291,'Raw Data'!O291),"")</f>
        <v/>
      </c>
      <c r="H304" s="17">
        <f>IF(F304&lt;&gt;"",F304-G304,"")</f>
        <v/>
      </c>
      <c r="I304" s="17">
        <f>IF('Raw Data'!A291&lt;&gt;"",AVERAGE('Raw Data'!P291,'Raw Data'!R291,'Raw Data'!T291,'Raw Data'!V291,'Raw Data'!X291),"")</f>
        <v/>
      </c>
      <c r="J304" s="17">
        <f>IF('Raw Data'!A291&lt;&gt;"",AVERAGE('Raw Data'!Q291,'Raw Data'!S291,'Raw Data'!U291,'Raw Data'!W291,'Raw Data'!Y291),"")</f>
        <v/>
      </c>
      <c r="K304" s="17">
        <f>IF(I304&lt;&gt;"",I304-J304,"")</f>
        <v/>
      </c>
      <c r="L304" s="17">
        <f>IF('Raw Data'!A291&lt;&gt;"",AVERAGE('Raw Data'!Z291,'Raw Data'!AB291,'Raw Data'!AD291,'Raw Data'!AF291,'Raw Data'!AH291),"")</f>
        <v/>
      </c>
      <c r="M304" s="17">
        <f>IF('Raw Data'!A291&lt;&gt;"",AVERAGE('Raw Data'!AA291,'Raw Data'!AC291,'Raw Data'!AE291,'Raw Data'!AG291,'Raw Data'!AI291),"")</f>
        <v/>
      </c>
      <c r="N304" s="17">
        <f>IF(L304&lt;&gt;"",L304-M304,"")</f>
        <v/>
      </c>
      <c r="O304" s="17">
        <f>IF('Raw Data'!A291&lt;&gt;"",AVERAGE('Raw Data'!AJ291,'Raw Data'!AL291,'Raw Data'!AN291,'Raw Data'!AP291,'Raw Data'!AR291),"")</f>
        <v/>
      </c>
      <c r="P304" s="17">
        <f>IF('Raw Data'!A291&lt;&gt;"",AVERAGE('Raw Data'!AK291,'Raw Data'!AM291,'Raw Data'!AO291,'Raw Data'!AQ291,'Raw Data'!AS291),"")</f>
        <v/>
      </c>
      <c r="Q304" s="17">
        <f>IF(O304&lt;&gt;"",O304-P304,"")</f>
        <v/>
      </c>
      <c r="R304" s="17">
        <f>IF('Raw Data'!A291&lt;&gt;"",AVERAGE('Raw Data'!AT291,'Raw Data'!AV291,'Raw Data'!AX291,'Raw Data'!AZ291,'Raw Data'!BB291),"")</f>
        <v/>
      </c>
      <c r="S304" s="17">
        <f>IF('Raw Data'!A291&lt;&gt;"",AVERAGE('Raw Data'!AU291,'Raw Data'!AW291,'Raw Data'!AY291,'Raw Data'!BA291,'Raw Data'!BC291),"")</f>
        <v/>
      </c>
      <c r="T304" s="17">
        <f>IF(R304&lt;&gt;"",R304-S304,"")</f>
        <v/>
      </c>
      <c r="U304" s="17">
        <f>IF('Raw Data'!A291&lt;&gt;"",AVERAGE('Raw Data'!BD291,'Raw Data'!BF291,'Raw Data'!BH291,'Raw Data'!BJ291,'Raw Data'!BL291),"")</f>
        <v/>
      </c>
      <c r="V304" s="17">
        <f>IF('Raw Data'!A291&lt;&gt;"",AVERAGE('Raw Data'!BE291,'Raw Data'!BG291,'Raw Data'!BI291,'Raw Data'!BK291,'Raw Data'!BM291),"")</f>
        <v/>
      </c>
      <c r="W304" s="17">
        <f>IF(U304&lt;&gt;"",U304-V304,"")</f>
        <v/>
      </c>
      <c r="X304" s="17">
        <f>IF(A304&lt;&gt;"",AVERAGE(F304,I304,L304,O304,R304,U304),"")</f>
        <v/>
      </c>
      <c r="Y304" s="17">
        <f>IF(A304&lt;&gt;"",AVERAGE(G304,J304,M304,P304,S304,V304),"")</f>
        <v/>
      </c>
      <c r="Z304" s="17">
        <f>IF(A304&lt;&gt;"",X304-Y304,"")</f>
        <v/>
      </c>
      <c r="AA304" s="18">
        <f>IF(A304&lt;&gt;"",ROUND(MIN(100,100*((MAX(0,K304)*0.25)+(MAX(0,Q304)*0.20)+(MAX(0,W304)*0.20)+(MAX(0,H304)*0.15)+(MAX(0,N304)*0.10)+(MAX(0,T304)*0.10))/9),1),"")</f>
        <v/>
      </c>
      <c r="AB304" s="29">
        <f>IF(A304&lt;&gt;"",MIN(1,(0.5*AA304/100)+(0.3*MAX(0,K304)/9)+(0.2*MAX(0,Q304)/9)),"")</f>
        <v/>
      </c>
    </row>
    <row r="305">
      <c r="A305" s="4">
        <f>IF('Raw Data'!A292&lt;&gt;"",'Raw Data'!A292,"")</f>
        <v/>
      </c>
      <c r="B305" s="4">
        <f>IF('Raw Data'!B292&lt;&gt;"",'Raw Data'!B292,"")</f>
        <v/>
      </c>
      <c r="C305" s="4">
        <f>IF('Raw Data'!C292&lt;&gt;"",'Raw Data'!C292,"")</f>
        <v/>
      </c>
      <c r="D305" s="4">
        <f>IF('Raw Data'!D292&lt;&gt;"",'Raw Data'!D292,"")</f>
        <v/>
      </c>
      <c r="E305" s="4">
        <f>IF('Raw Data'!E292&lt;&gt;"",'Raw Data'!E292,"")</f>
        <v/>
      </c>
      <c r="F305" s="14">
        <f>IF('Raw Data'!A292&lt;&gt;"",AVERAGE('Raw Data'!F292,'Raw Data'!H292,'Raw Data'!J292,'Raw Data'!L292,'Raw Data'!N292),"")</f>
        <v/>
      </c>
      <c r="G305" s="14">
        <f>IF('Raw Data'!A292&lt;&gt;"",AVERAGE('Raw Data'!G292,'Raw Data'!I292,'Raw Data'!K292,'Raw Data'!M292,'Raw Data'!O292),"")</f>
        <v/>
      </c>
      <c r="H305" s="14">
        <f>IF(F305&lt;&gt;"",F305-G305,"")</f>
        <v/>
      </c>
      <c r="I305" s="14">
        <f>IF('Raw Data'!A292&lt;&gt;"",AVERAGE('Raw Data'!P292,'Raw Data'!R292,'Raw Data'!T292,'Raw Data'!V292,'Raw Data'!X292),"")</f>
        <v/>
      </c>
      <c r="J305" s="14">
        <f>IF('Raw Data'!A292&lt;&gt;"",AVERAGE('Raw Data'!Q292,'Raw Data'!S292,'Raw Data'!U292,'Raw Data'!W292,'Raw Data'!Y292),"")</f>
        <v/>
      </c>
      <c r="K305" s="14">
        <f>IF(I305&lt;&gt;"",I305-J305,"")</f>
        <v/>
      </c>
      <c r="L305" s="14">
        <f>IF('Raw Data'!A292&lt;&gt;"",AVERAGE('Raw Data'!Z292,'Raw Data'!AB292,'Raw Data'!AD292,'Raw Data'!AF292,'Raw Data'!AH292),"")</f>
        <v/>
      </c>
      <c r="M305" s="14">
        <f>IF('Raw Data'!A292&lt;&gt;"",AVERAGE('Raw Data'!AA292,'Raw Data'!AC292,'Raw Data'!AE292,'Raw Data'!AG292,'Raw Data'!AI292),"")</f>
        <v/>
      </c>
      <c r="N305" s="14">
        <f>IF(L305&lt;&gt;"",L305-M305,"")</f>
        <v/>
      </c>
      <c r="O305" s="14">
        <f>IF('Raw Data'!A292&lt;&gt;"",AVERAGE('Raw Data'!AJ292,'Raw Data'!AL292,'Raw Data'!AN292,'Raw Data'!AP292,'Raw Data'!AR292),"")</f>
        <v/>
      </c>
      <c r="P305" s="14">
        <f>IF('Raw Data'!A292&lt;&gt;"",AVERAGE('Raw Data'!AK292,'Raw Data'!AM292,'Raw Data'!AO292,'Raw Data'!AQ292,'Raw Data'!AS292),"")</f>
        <v/>
      </c>
      <c r="Q305" s="14">
        <f>IF(O305&lt;&gt;"",O305-P305,"")</f>
        <v/>
      </c>
      <c r="R305" s="14">
        <f>IF('Raw Data'!A292&lt;&gt;"",AVERAGE('Raw Data'!AT292,'Raw Data'!AV292,'Raw Data'!AX292,'Raw Data'!AZ292,'Raw Data'!BB292),"")</f>
        <v/>
      </c>
      <c r="S305" s="14">
        <f>IF('Raw Data'!A292&lt;&gt;"",AVERAGE('Raw Data'!AU292,'Raw Data'!AW292,'Raw Data'!AY292,'Raw Data'!BA292,'Raw Data'!BC292),"")</f>
        <v/>
      </c>
      <c r="T305" s="14">
        <f>IF(R305&lt;&gt;"",R305-S305,"")</f>
        <v/>
      </c>
      <c r="U305" s="14">
        <f>IF('Raw Data'!A292&lt;&gt;"",AVERAGE('Raw Data'!BD292,'Raw Data'!BF292,'Raw Data'!BH292,'Raw Data'!BJ292,'Raw Data'!BL292),"")</f>
        <v/>
      </c>
      <c r="V305" s="14">
        <f>IF('Raw Data'!A292&lt;&gt;"",AVERAGE('Raw Data'!BE292,'Raw Data'!BG292,'Raw Data'!BI292,'Raw Data'!BK292,'Raw Data'!BM292),"")</f>
        <v/>
      </c>
      <c r="W305" s="14">
        <f>IF(U305&lt;&gt;"",U305-V305,"")</f>
        <v/>
      </c>
      <c r="X305" s="14">
        <f>IF(A305&lt;&gt;"",AVERAGE(F305,I305,L305,O305,R305,U305),"")</f>
        <v/>
      </c>
      <c r="Y305" s="14">
        <f>IF(A305&lt;&gt;"",AVERAGE(G305,J305,M305,P305,S305,V305),"")</f>
        <v/>
      </c>
      <c r="Z305" s="14">
        <f>IF(A305&lt;&gt;"",X305-Y305,"")</f>
        <v/>
      </c>
      <c r="AA305" s="15">
        <f>IF(A305&lt;&gt;"",ROUND(MIN(100,100*((MAX(0,K305)*0.25)+(MAX(0,Q305)*0.20)+(MAX(0,W305)*0.20)+(MAX(0,H305)*0.15)+(MAX(0,N305)*0.10)+(MAX(0,T305)*0.10))/9),1),"")</f>
        <v/>
      </c>
      <c r="AB305" s="28">
        <f>IF(A305&lt;&gt;"",MIN(1,(0.5*AA305/100)+(0.3*MAX(0,K305)/9)+(0.2*MAX(0,Q305)/9)),"")</f>
        <v/>
      </c>
    </row>
    <row r="306">
      <c r="A306" s="13">
        <f>IF('Raw Data'!A293&lt;&gt;"",'Raw Data'!A293,"")</f>
        <v/>
      </c>
      <c r="B306" s="13">
        <f>IF('Raw Data'!B293&lt;&gt;"",'Raw Data'!B293,"")</f>
        <v/>
      </c>
      <c r="C306" s="13">
        <f>IF('Raw Data'!C293&lt;&gt;"",'Raw Data'!C293,"")</f>
        <v/>
      </c>
      <c r="D306" s="13">
        <f>IF('Raw Data'!D293&lt;&gt;"",'Raw Data'!D293,"")</f>
        <v/>
      </c>
      <c r="E306" s="13">
        <f>IF('Raw Data'!E293&lt;&gt;"",'Raw Data'!E293,"")</f>
        <v/>
      </c>
      <c r="F306" s="17">
        <f>IF('Raw Data'!A293&lt;&gt;"",AVERAGE('Raw Data'!F293,'Raw Data'!H293,'Raw Data'!J293,'Raw Data'!L293,'Raw Data'!N293),"")</f>
        <v/>
      </c>
      <c r="G306" s="17">
        <f>IF('Raw Data'!A293&lt;&gt;"",AVERAGE('Raw Data'!G293,'Raw Data'!I293,'Raw Data'!K293,'Raw Data'!M293,'Raw Data'!O293),"")</f>
        <v/>
      </c>
      <c r="H306" s="17">
        <f>IF(F306&lt;&gt;"",F306-G306,"")</f>
        <v/>
      </c>
      <c r="I306" s="17">
        <f>IF('Raw Data'!A293&lt;&gt;"",AVERAGE('Raw Data'!P293,'Raw Data'!R293,'Raw Data'!T293,'Raw Data'!V293,'Raw Data'!X293),"")</f>
        <v/>
      </c>
      <c r="J306" s="17">
        <f>IF('Raw Data'!A293&lt;&gt;"",AVERAGE('Raw Data'!Q293,'Raw Data'!S293,'Raw Data'!U293,'Raw Data'!W293,'Raw Data'!Y293),"")</f>
        <v/>
      </c>
      <c r="K306" s="17">
        <f>IF(I306&lt;&gt;"",I306-J306,"")</f>
        <v/>
      </c>
      <c r="L306" s="17">
        <f>IF('Raw Data'!A293&lt;&gt;"",AVERAGE('Raw Data'!Z293,'Raw Data'!AB293,'Raw Data'!AD293,'Raw Data'!AF293,'Raw Data'!AH293),"")</f>
        <v/>
      </c>
      <c r="M306" s="17">
        <f>IF('Raw Data'!A293&lt;&gt;"",AVERAGE('Raw Data'!AA293,'Raw Data'!AC293,'Raw Data'!AE293,'Raw Data'!AG293,'Raw Data'!AI293),"")</f>
        <v/>
      </c>
      <c r="N306" s="17">
        <f>IF(L306&lt;&gt;"",L306-M306,"")</f>
        <v/>
      </c>
      <c r="O306" s="17">
        <f>IF('Raw Data'!A293&lt;&gt;"",AVERAGE('Raw Data'!AJ293,'Raw Data'!AL293,'Raw Data'!AN293,'Raw Data'!AP293,'Raw Data'!AR293),"")</f>
        <v/>
      </c>
      <c r="P306" s="17">
        <f>IF('Raw Data'!A293&lt;&gt;"",AVERAGE('Raw Data'!AK293,'Raw Data'!AM293,'Raw Data'!AO293,'Raw Data'!AQ293,'Raw Data'!AS293),"")</f>
        <v/>
      </c>
      <c r="Q306" s="17">
        <f>IF(O306&lt;&gt;"",O306-P306,"")</f>
        <v/>
      </c>
      <c r="R306" s="17">
        <f>IF('Raw Data'!A293&lt;&gt;"",AVERAGE('Raw Data'!AT293,'Raw Data'!AV293,'Raw Data'!AX293,'Raw Data'!AZ293,'Raw Data'!BB293),"")</f>
        <v/>
      </c>
      <c r="S306" s="17">
        <f>IF('Raw Data'!A293&lt;&gt;"",AVERAGE('Raw Data'!AU293,'Raw Data'!AW293,'Raw Data'!AY293,'Raw Data'!BA293,'Raw Data'!BC293),"")</f>
        <v/>
      </c>
      <c r="T306" s="17">
        <f>IF(R306&lt;&gt;"",R306-S306,"")</f>
        <v/>
      </c>
      <c r="U306" s="17">
        <f>IF('Raw Data'!A293&lt;&gt;"",AVERAGE('Raw Data'!BD293,'Raw Data'!BF293,'Raw Data'!BH293,'Raw Data'!BJ293,'Raw Data'!BL293),"")</f>
        <v/>
      </c>
      <c r="V306" s="17">
        <f>IF('Raw Data'!A293&lt;&gt;"",AVERAGE('Raw Data'!BE293,'Raw Data'!BG293,'Raw Data'!BI293,'Raw Data'!BK293,'Raw Data'!BM293),"")</f>
        <v/>
      </c>
      <c r="W306" s="17">
        <f>IF(U306&lt;&gt;"",U306-V306,"")</f>
        <v/>
      </c>
      <c r="X306" s="17">
        <f>IF(A306&lt;&gt;"",AVERAGE(F306,I306,L306,O306,R306,U306),"")</f>
        <v/>
      </c>
      <c r="Y306" s="17">
        <f>IF(A306&lt;&gt;"",AVERAGE(G306,J306,M306,P306,S306,V306),"")</f>
        <v/>
      </c>
      <c r="Z306" s="17">
        <f>IF(A306&lt;&gt;"",X306-Y306,"")</f>
        <v/>
      </c>
      <c r="AA306" s="18">
        <f>IF(A306&lt;&gt;"",ROUND(MIN(100,100*((MAX(0,K306)*0.25)+(MAX(0,Q306)*0.20)+(MAX(0,W306)*0.20)+(MAX(0,H306)*0.15)+(MAX(0,N306)*0.10)+(MAX(0,T306)*0.10))/9),1),"")</f>
        <v/>
      </c>
      <c r="AB306" s="29">
        <f>IF(A306&lt;&gt;"",MIN(1,(0.5*AA306/100)+(0.3*MAX(0,K306)/9)+(0.2*MAX(0,Q306)/9)),"")</f>
        <v/>
      </c>
    </row>
    <row r="307">
      <c r="A307" s="4">
        <f>IF('Raw Data'!A294&lt;&gt;"",'Raw Data'!A294,"")</f>
        <v/>
      </c>
      <c r="B307" s="4">
        <f>IF('Raw Data'!B294&lt;&gt;"",'Raw Data'!B294,"")</f>
        <v/>
      </c>
      <c r="C307" s="4">
        <f>IF('Raw Data'!C294&lt;&gt;"",'Raw Data'!C294,"")</f>
        <v/>
      </c>
      <c r="D307" s="4">
        <f>IF('Raw Data'!D294&lt;&gt;"",'Raw Data'!D294,"")</f>
        <v/>
      </c>
      <c r="E307" s="4">
        <f>IF('Raw Data'!E294&lt;&gt;"",'Raw Data'!E294,"")</f>
        <v/>
      </c>
      <c r="F307" s="14">
        <f>IF('Raw Data'!A294&lt;&gt;"",AVERAGE('Raw Data'!F294,'Raw Data'!H294,'Raw Data'!J294,'Raw Data'!L294,'Raw Data'!N294),"")</f>
        <v/>
      </c>
      <c r="G307" s="14">
        <f>IF('Raw Data'!A294&lt;&gt;"",AVERAGE('Raw Data'!G294,'Raw Data'!I294,'Raw Data'!K294,'Raw Data'!M294,'Raw Data'!O294),"")</f>
        <v/>
      </c>
      <c r="H307" s="14">
        <f>IF(F307&lt;&gt;"",F307-G307,"")</f>
        <v/>
      </c>
      <c r="I307" s="14">
        <f>IF('Raw Data'!A294&lt;&gt;"",AVERAGE('Raw Data'!P294,'Raw Data'!R294,'Raw Data'!T294,'Raw Data'!V294,'Raw Data'!X294),"")</f>
        <v/>
      </c>
      <c r="J307" s="14">
        <f>IF('Raw Data'!A294&lt;&gt;"",AVERAGE('Raw Data'!Q294,'Raw Data'!S294,'Raw Data'!U294,'Raw Data'!W294,'Raw Data'!Y294),"")</f>
        <v/>
      </c>
      <c r="K307" s="14">
        <f>IF(I307&lt;&gt;"",I307-J307,"")</f>
        <v/>
      </c>
      <c r="L307" s="14">
        <f>IF('Raw Data'!A294&lt;&gt;"",AVERAGE('Raw Data'!Z294,'Raw Data'!AB294,'Raw Data'!AD294,'Raw Data'!AF294,'Raw Data'!AH294),"")</f>
        <v/>
      </c>
      <c r="M307" s="14">
        <f>IF('Raw Data'!A294&lt;&gt;"",AVERAGE('Raw Data'!AA294,'Raw Data'!AC294,'Raw Data'!AE294,'Raw Data'!AG294,'Raw Data'!AI294),"")</f>
        <v/>
      </c>
      <c r="N307" s="14">
        <f>IF(L307&lt;&gt;"",L307-M307,"")</f>
        <v/>
      </c>
      <c r="O307" s="14">
        <f>IF('Raw Data'!A294&lt;&gt;"",AVERAGE('Raw Data'!AJ294,'Raw Data'!AL294,'Raw Data'!AN294,'Raw Data'!AP294,'Raw Data'!AR294),"")</f>
        <v/>
      </c>
      <c r="P307" s="14">
        <f>IF('Raw Data'!A294&lt;&gt;"",AVERAGE('Raw Data'!AK294,'Raw Data'!AM294,'Raw Data'!AO294,'Raw Data'!AQ294,'Raw Data'!AS294),"")</f>
        <v/>
      </c>
      <c r="Q307" s="14">
        <f>IF(O307&lt;&gt;"",O307-P307,"")</f>
        <v/>
      </c>
      <c r="R307" s="14">
        <f>IF('Raw Data'!A294&lt;&gt;"",AVERAGE('Raw Data'!AT294,'Raw Data'!AV294,'Raw Data'!AX294,'Raw Data'!AZ294,'Raw Data'!BB294),"")</f>
        <v/>
      </c>
      <c r="S307" s="14">
        <f>IF('Raw Data'!A294&lt;&gt;"",AVERAGE('Raw Data'!AU294,'Raw Data'!AW294,'Raw Data'!AY294,'Raw Data'!BA294,'Raw Data'!BC294),"")</f>
        <v/>
      </c>
      <c r="T307" s="14">
        <f>IF(R307&lt;&gt;"",R307-S307,"")</f>
        <v/>
      </c>
      <c r="U307" s="14">
        <f>IF('Raw Data'!A294&lt;&gt;"",AVERAGE('Raw Data'!BD294,'Raw Data'!BF294,'Raw Data'!BH294,'Raw Data'!BJ294,'Raw Data'!BL294),"")</f>
        <v/>
      </c>
      <c r="V307" s="14">
        <f>IF('Raw Data'!A294&lt;&gt;"",AVERAGE('Raw Data'!BE294,'Raw Data'!BG294,'Raw Data'!BI294,'Raw Data'!BK294,'Raw Data'!BM294),"")</f>
        <v/>
      </c>
      <c r="W307" s="14">
        <f>IF(U307&lt;&gt;"",U307-V307,"")</f>
        <v/>
      </c>
      <c r="X307" s="14">
        <f>IF(A307&lt;&gt;"",AVERAGE(F307,I307,L307,O307,R307,U307),"")</f>
        <v/>
      </c>
      <c r="Y307" s="14">
        <f>IF(A307&lt;&gt;"",AVERAGE(G307,J307,M307,P307,S307,V307),"")</f>
        <v/>
      </c>
      <c r="Z307" s="14">
        <f>IF(A307&lt;&gt;"",X307-Y307,"")</f>
        <v/>
      </c>
      <c r="AA307" s="15">
        <f>IF(A307&lt;&gt;"",ROUND(MIN(100,100*((MAX(0,K307)*0.25)+(MAX(0,Q307)*0.20)+(MAX(0,W307)*0.20)+(MAX(0,H307)*0.15)+(MAX(0,N307)*0.10)+(MAX(0,T307)*0.10))/9),1),"")</f>
        <v/>
      </c>
      <c r="AB307" s="28">
        <f>IF(A307&lt;&gt;"",MIN(1,(0.5*AA307/100)+(0.3*MAX(0,K307)/9)+(0.2*MAX(0,Q307)/9)),"")</f>
        <v/>
      </c>
    </row>
    <row r="308">
      <c r="A308" s="13">
        <f>IF('Raw Data'!A295&lt;&gt;"",'Raw Data'!A295,"")</f>
        <v/>
      </c>
      <c r="B308" s="13">
        <f>IF('Raw Data'!B295&lt;&gt;"",'Raw Data'!B295,"")</f>
        <v/>
      </c>
      <c r="C308" s="13">
        <f>IF('Raw Data'!C295&lt;&gt;"",'Raw Data'!C295,"")</f>
        <v/>
      </c>
      <c r="D308" s="13">
        <f>IF('Raw Data'!D295&lt;&gt;"",'Raw Data'!D295,"")</f>
        <v/>
      </c>
      <c r="E308" s="13">
        <f>IF('Raw Data'!E295&lt;&gt;"",'Raw Data'!E295,"")</f>
        <v/>
      </c>
      <c r="F308" s="17">
        <f>IF('Raw Data'!A295&lt;&gt;"",AVERAGE('Raw Data'!F295,'Raw Data'!H295,'Raw Data'!J295,'Raw Data'!L295,'Raw Data'!N295),"")</f>
        <v/>
      </c>
      <c r="G308" s="17">
        <f>IF('Raw Data'!A295&lt;&gt;"",AVERAGE('Raw Data'!G295,'Raw Data'!I295,'Raw Data'!K295,'Raw Data'!M295,'Raw Data'!O295),"")</f>
        <v/>
      </c>
      <c r="H308" s="17">
        <f>IF(F308&lt;&gt;"",F308-G308,"")</f>
        <v/>
      </c>
      <c r="I308" s="17">
        <f>IF('Raw Data'!A295&lt;&gt;"",AVERAGE('Raw Data'!P295,'Raw Data'!R295,'Raw Data'!T295,'Raw Data'!V295,'Raw Data'!X295),"")</f>
        <v/>
      </c>
      <c r="J308" s="17">
        <f>IF('Raw Data'!A295&lt;&gt;"",AVERAGE('Raw Data'!Q295,'Raw Data'!S295,'Raw Data'!U295,'Raw Data'!W295,'Raw Data'!Y295),"")</f>
        <v/>
      </c>
      <c r="K308" s="17">
        <f>IF(I308&lt;&gt;"",I308-J308,"")</f>
        <v/>
      </c>
      <c r="L308" s="17">
        <f>IF('Raw Data'!A295&lt;&gt;"",AVERAGE('Raw Data'!Z295,'Raw Data'!AB295,'Raw Data'!AD295,'Raw Data'!AF295,'Raw Data'!AH295),"")</f>
        <v/>
      </c>
      <c r="M308" s="17">
        <f>IF('Raw Data'!A295&lt;&gt;"",AVERAGE('Raw Data'!AA295,'Raw Data'!AC295,'Raw Data'!AE295,'Raw Data'!AG295,'Raw Data'!AI295),"")</f>
        <v/>
      </c>
      <c r="N308" s="17">
        <f>IF(L308&lt;&gt;"",L308-M308,"")</f>
        <v/>
      </c>
      <c r="O308" s="17">
        <f>IF('Raw Data'!A295&lt;&gt;"",AVERAGE('Raw Data'!AJ295,'Raw Data'!AL295,'Raw Data'!AN295,'Raw Data'!AP295,'Raw Data'!AR295),"")</f>
        <v/>
      </c>
      <c r="P308" s="17">
        <f>IF('Raw Data'!A295&lt;&gt;"",AVERAGE('Raw Data'!AK295,'Raw Data'!AM295,'Raw Data'!AO295,'Raw Data'!AQ295,'Raw Data'!AS295),"")</f>
        <v/>
      </c>
      <c r="Q308" s="17">
        <f>IF(O308&lt;&gt;"",O308-P308,"")</f>
        <v/>
      </c>
      <c r="R308" s="17">
        <f>IF('Raw Data'!A295&lt;&gt;"",AVERAGE('Raw Data'!AT295,'Raw Data'!AV295,'Raw Data'!AX295,'Raw Data'!AZ295,'Raw Data'!BB295),"")</f>
        <v/>
      </c>
      <c r="S308" s="17">
        <f>IF('Raw Data'!A295&lt;&gt;"",AVERAGE('Raw Data'!AU295,'Raw Data'!AW295,'Raw Data'!AY295,'Raw Data'!BA295,'Raw Data'!BC295),"")</f>
        <v/>
      </c>
      <c r="T308" s="17">
        <f>IF(R308&lt;&gt;"",R308-S308,"")</f>
        <v/>
      </c>
      <c r="U308" s="17">
        <f>IF('Raw Data'!A295&lt;&gt;"",AVERAGE('Raw Data'!BD295,'Raw Data'!BF295,'Raw Data'!BH295,'Raw Data'!BJ295,'Raw Data'!BL295),"")</f>
        <v/>
      </c>
      <c r="V308" s="17">
        <f>IF('Raw Data'!A295&lt;&gt;"",AVERAGE('Raw Data'!BE295,'Raw Data'!BG295,'Raw Data'!BI295,'Raw Data'!BK295,'Raw Data'!BM295),"")</f>
        <v/>
      </c>
      <c r="W308" s="17">
        <f>IF(U308&lt;&gt;"",U308-V308,"")</f>
        <v/>
      </c>
      <c r="X308" s="17">
        <f>IF(A308&lt;&gt;"",AVERAGE(F308,I308,L308,O308,R308,U308),"")</f>
        <v/>
      </c>
      <c r="Y308" s="17">
        <f>IF(A308&lt;&gt;"",AVERAGE(G308,J308,M308,P308,S308,V308),"")</f>
        <v/>
      </c>
      <c r="Z308" s="17">
        <f>IF(A308&lt;&gt;"",X308-Y308,"")</f>
        <v/>
      </c>
      <c r="AA308" s="18">
        <f>IF(A308&lt;&gt;"",ROUND(MIN(100,100*((MAX(0,K308)*0.25)+(MAX(0,Q308)*0.20)+(MAX(0,W308)*0.20)+(MAX(0,H308)*0.15)+(MAX(0,N308)*0.10)+(MAX(0,T308)*0.10))/9),1),"")</f>
        <v/>
      </c>
      <c r="AB308" s="29">
        <f>IF(A308&lt;&gt;"",MIN(1,(0.5*AA308/100)+(0.3*MAX(0,K308)/9)+(0.2*MAX(0,Q308)/9)),"")</f>
        <v/>
      </c>
    </row>
    <row r="309">
      <c r="A309" s="4">
        <f>IF('Raw Data'!A296&lt;&gt;"",'Raw Data'!A296,"")</f>
        <v/>
      </c>
      <c r="B309" s="4">
        <f>IF('Raw Data'!B296&lt;&gt;"",'Raw Data'!B296,"")</f>
        <v/>
      </c>
      <c r="C309" s="4">
        <f>IF('Raw Data'!C296&lt;&gt;"",'Raw Data'!C296,"")</f>
        <v/>
      </c>
      <c r="D309" s="4">
        <f>IF('Raw Data'!D296&lt;&gt;"",'Raw Data'!D296,"")</f>
        <v/>
      </c>
      <c r="E309" s="4">
        <f>IF('Raw Data'!E296&lt;&gt;"",'Raw Data'!E296,"")</f>
        <v/>
      </c>
      <c r="F309" s="14">
        <f>IF('Raw Data'!A296&lt;&gt;"",AVERAGE('Raw Data'!F296,'Raw Data'!H296,'Raw Data'!J296,'Raw Data'!L296,'Raw Data'!N296),"")</f>
        <v/>
      </c>
      <c r="G309" s="14">
        <f>IF('Raw Data'!A296&lt;&gt;"",AVERAGE('Raw Data'!G296,'Raw Data'!I296,'Raw Data'!K296,'Raw Data'!M296,'Raw Data'!O296),"")</f>
        <v/>
      </c>
      <c r="H309" s="14">
        <f>IF(F309&lt;&gt;"",F309-G309,"")</f>
        <v/>
      </c>
      <c r="I309" s="14">
        <f>IF('Raw Data'!A296&lt;&gt;"",AVERAGE('Raw Data'!P296,'Raw Data'!R296,'Raw Data'!T296,'Raw Data'!V296,'Raw Data'!X296),"")</f>
        <v/>
      </c>
      <c r="J309" s="14">
        <f>IF('Raw Data'!A296&lt;&gt;"",AVERAGE('Raw Data'!Q296,'Raw Data'!S296,'Raw Data'!U296,'Raw Data'!W296,'Raw Data'!Y296),"")</f>
        <v/>
      </c>
      <c r="K309" s="14">
        <f>IF(I309&lt;&gt;"",I309-J309,"")</f>
        <v/>
      </c>
      <c r="L309" s="14">
        <f>IF('Raw Data'!A296&lt;&gt;"",AVERAGE('Raw Data'!Z296,'Raw Data'!AB296,'Raw Data'!AD296,'Raw Data'!AF296,'Raw Data'!AH296),"")</f>
        <v/>
      </c>
      <c r="M309" s="14">
        <f>IF('Raw Data'!A296&lt;&gt;"",AVERAGE('Raw Data'!AA296,'Raw Data'!AC296,'Raw Data'!AE296,'Raw Data'!AG296,'Raw Data'!AI296),"")</f>
        <v/>
      </c>
      <c r="N309" s="14">
        <f>IF(L309&lt;&gt;"",L309-M309,"")</f>
        <v/>
      </c>
      <c r="O309" s="14">
        <f>IF('Raw Data'!A296&lt;&gt;"",AVERAGE('Raw Data'!AJ296,'Raw Data'!AL296,'Raw Data'!AN296,'Raw Data'!AP296,'Raw Data'!AR296),"")</f>
        <v/>
      </c>
      <c r="P309" s="14">
        <f>IF('Raw Data'!A296&lt;&gt;"",AVERAGE('Raw Data'!AK296,'Raw Data'!AM296,'Raw Data'!AO296,'Raw Data'!AQ296,'Raw Data'!AS296),"")</f>
        <v/>
      </c>
      <c r="Q309" s="14">
        <f>IF(O309&lt;&gt;"",O309-P309,"")</f>
        <v/>
      </c>
      <c r="R309" s="14">
        <f>IF('Raw Data'!A296&lt;&gt;"",AVERAGE('Raw Data'!AT296,'Raw Data'!AV296,'Raw Data'!AX296,'Raw Data'!AZ296,'Raw Data'!BB296),"")</f>
        <v/>
      </c>
      <c r="S309" s="14">
        <f>IF('Raw Data'!A296&lt;&gt;"",AVERAGE('Raw Data'!AU296,'Raw Data'!AW296,'Raw Data'!AY296,'Raw Data'!BA296,'Raw Data'!BC296),"")</f>
        <v/>
      </c>
      <c r="T309" s="14">
        <f>IF(R309&lt;&gt;"",R309-S309,"")</f>
        <v/>
      </c>
      <c r="U309" s="14">
        <f>IF('Raw Data'!A296&lt;&gt;"",AVERAGE('Raw Data'!BD296,'Raw Data'!BF296,'Raw Data'!BH296,'Raw Data'!BJ296,'Raw Data'!BL296),"")</f>
        <v/>
      </c>
      <c r="V309" s="14">
        <f>IF('Raw Data'!A296&lt;&gt;"",AVERAGE('Raw Data'!BE296,'Raw Data'!BG296,'Raw Data'!BI296,'Raw Data'!BK296,'Raw Data'!BM296),"")</f>
        <v/>
      </c>
      <c r="W309" s="14">
        <f>IF(U309&lt;&gt;"",U309-V309,"")</f>
        <v/>
      </c>
      <c r="X309" s="14">
        <f>IF(A309&lt;&gt;"",AVERAGE(F309,I309,L309,O309,R309,U309),"")</f>
        <v/>
      </c>
      <c r="Y309" s="14">
        <f>IF(A309&lt;&gt;"",AVERAGE(G309,J309,M309,P309,S309,V309),"")</f>
        <v/>
      </c>
      <c r="Z309" s="14">
        <f>IF(A309&lt;&gt;"",X309-Y309,"")</f>
        <v/>
      </c>
      <c r="AA309" s="15">
        <f>IF(A309&lt;&gt;"",ROUND(MIN(100,100*((MAX(0,K309)*0.25)+(MAX(0,Q309)*0.20)+(MAX(0,W309)*0.20)+(MAX(0,H309)*0.15)+(MAX(0,N309)*0.10)+(MAX(0,T309)*0.10))/9),1),"")</f>
        <v/>
      </c>
      <c r="AB309" s="28">
        <f>IF(A309&lt;&gt;"",MIN(1,(0.5*AA309/100)+(0.3*MAX(0,K309)/9)+(0.2*MAX(0,Q309)/9)),"")</f>
        <v/>
      </c>
    </row>
    <row r="310">
      <c r="A310" s="13">
        <f>IF('Raw Data'!A297&lt;&gt;"",'Raw Data'!A297,"")</f>
        <v/>
      </c>
      <c r="B310" s="13">
        <f>IF('Raw Data'!B297&lt;&gt;"",'Raw Data'!B297,"")</f>
        <v/>
      </c>
      <c r="C310" s="13">
        <f>IF('Raw Data'!C297&lt;&gt;"",'Raw Data'!C297,"")</f>
        <v/>
      </c>
      <c r="D310" s="13">
        <f>IF('Raw Data'!D297&lt;&gt;"",'Raw Data'!D297,"")</f>
        <v/>
      </c>
      <c r="E310" s="13">
        <f>IF('Raw Data'!E297&lt;&gt;"",'Raw Data'!E297,"")</f>
        <v/>
      </c>
      <c r="F310" s="17">
        <f>IF('Raw Data'!A297&lt;&gt;"",AVERAGE('Raw Data'!F297,'Raw Data'!H297,'Raw Data'!J297,'Raw Data'!L297,'Raw Data'!N297),"")</f>
        <v/>
      </c>
      <c r="G310" s="17">
        <f>IF('Raw Data'!A297&lt;&gt;"",AVERAGE('Raw Data'!G297,'Raw Data'!I297,'Raw Data'!K297,'Raw Data'!M297,'Raw Data'!O297),"")</f>
        <v/>
      </c>
      <c r="H310" s="17">
        <f>IF(F310&lt;&gt;"",F310-G310,"")</f>
        <v/>
      </c>
      <c r="I310" s="17">
        <f>IF('Raw Data'!A297&lt;&gt;"",AVERAGE('Raw Data'!P297,'Raw Data'!R297,'Raw Data'!T297,'Raw Data'!V297,'Raw Data'!X297),"")</f>
        <v/>
      </c>
      <c r="J310" s="17">
        <f>IF('Raw Data'!A297&lt;&gt;"",AVERAGE('Raw Data'!Q297,'Raw Data'!S297,'Raw Data'!U297,'Raw Data'!W297,'Raw Data'!Y297),"")</f>
        <v/>
      </c>
      <c r="K310" s="17">
        <f>IF(I310&lt;&gt;"",I310-J310,"")</f>
        <v/>
      </c>
      <c r="L310" s="17">
        <f>IF('Raw Data'!A297&lt;&gt;"",AVERAGE('Raw Data'!Z297,'Raw Data'!AB297,'Raw Data'!AD297,'Raw Data'!AF297,'Raw Data'!AH297),"")</f>
        <v/>
      </c>
      <c r="M310" s="17">
        <f>IF('Raw Data'!A297&lt;&gt;"",AVERAGE('Raw Data'!AA297,'Raw Data'!AC297,'Raw Data'!AE297,'Raw Data'!AG297,'Raw Data'!AI297),"")</f>
        <v/>
      </c>
      <c r="N310" s="17">
        <f>IF(L310&lt;&gt;"",L310-M310,"")</f>
        <v/>
      </c>
      <c r="O310" s="17">
        <f>IF('Raw Data'!A297&lt;&gt;"",AVERAGE('Raw Data'!AJ297,'Raw Data'!AL297,'Raw Data'!AN297,'Raw Data'!AP297,'Raw Data'!AR297),"")</f>
        <v/>
      </c>
      <c r="P310" s="17">
        <f>IF('Raw Data'!A297&lt;&gt;"",AVERAGE('Raw Data'!AK297,'Raw Data'!AM297,'Raw Data'!AO297,'Raw Data'!AQ297,'Raw Data'!AS297),"")</f>
        <v/>
      </c>
      <c r="Q310" s="17">
        <f>IF(O310&lt;&gt;"",O310-P310,"")</f>
        <v/>
      </c>
      <c r="R310" s="17">
        <f>IF('Raw Data'!A297&lt;&gt;"",AVERAGE('Raw Data'!AT297,'Raw Data'!AV297,'Raw Data'!AX297,'Raw Data'!AZ297,'Raw Data'!BB297),"")</f>
        <v/>
      </c>
      <c r="S310" s="17">
        <f>IF('Raw Data'!A297&lt;&gt;"",AVERAGE('Raw Data'!AU297,'Raw Data'!AW297,'Raw Data'!AY297,'Raw Data'!BA297,'Raw Data'!BC297),"")</f>
        <v/>
      </c>
      <c r="T310" s="17">
        <f>IF(R310&lt;&gt;"",R310-S310,"")</f>
        <v/>
      </c>
      <c r="U310" s="17">
        <f>IF('Raw Data'!A297&lt;&gt;"",AVERAGE('Raw Data'!BD297,'Raw Data'!BF297,'Raw Data'!BH297,'Raw Data'!BJ297,'Raw Data'!BL297),"")</f>
        <v/>
      </c>
      <c r="V310" s="17">
        <f>IF('Raw Data'!A297&lt;&gt;"",AVERAGE('Raw Data'!BE297,'Raw Data'!BG297,'Raw Data'!BI297,'Raw Data'!BK297,'Raw Data'!BM297),"")</f>
        <v/>
      </c>
      <c r="W310" s="17">
        <f>IF(U310&lt;&gt;"",U310-V310,"")</f>
        <v/>
      </c>
      <c r="X310" s="17">
        <f>IF(A310&lt;&gt;"",AVERAGE(F310,I310,L310,O310,R310,U310),"")</f>
        <v/>
      </c>
      <c r="Y310" s="17">
        <f>IF(A310&lt;&gt;"",AVERAGE(G310,J310,M310,P310,S310,V310),"")</f>
        <v/>
      </c>
      <c r="Z310" s="17">
        <f>IF(A310&lt;&gt;"",X310-Y310,"")</f>
        <v/>
      </c>
      <c r="AA310" s="18">
        <f>IF(A310&lt;&gt;"",ROUND(MIN(100,100*((MAX(0,K310)*0.25)+(MAX(0,Q310)*0.20)+(MAX(0,W310)*0.20)+(MAX(0,H310)*0.15)+(MAX(0,N310)*0.10)+(MAX(0,T310)*0.10))/9),1),"")</f>
        <v/>
      </c>
      <c r="AB310" s="29">
        <f>IF(A310&lt;&gt;"",MIN(1,(0.5*AA310/100)+(0.3*MAX(0,K310)/9)+(0.2*MAX(0,Q310)/9)),"")</f>
        <v/>
      </c>
    </row>
    <row r="311">
      <c r="A311" s="4">
        <f>IF('Raw Data'!A298&lt;&gt;"",'Raw Data'!A298,"")</f>
        <v/>
      </c>
      <c r="B311" s="4">
        <f>IF('Raw Data'!B298&lt;&gt;"",'Raw Data'!B298,"")</f>
        <v/>
      </c>
      <c r="C311" s="4">
        <f>IF('Raw Data'!C298&lt;&gt;"",'Raw Data'!C298,"")</f>
        <v/>
      </c>
      <c r="D311" s="4">
        <f>IF('Raw Data'!D298&lt;&gt;"",'Raw Data'!D298,"")</f>
        <v/>
      </c>
      <c r="E311" s="4">
        <f>IF('Raw Data'!E298&lt;&gt;"",'Raw Data'!E298,"")</f>
        <v/>
      </c>
      <c r="F311" s="14">
        <f>IF('Raw Data'!A298&lt;&gt;"",AVERAGE('Raw Data'!F298,'Raw Data'!H298,'Raw Data'!J298,'Raw Data'!L298,'Raw Data'!N298),"")</f>
        <v/>
      </c>
      <c r="G311" s="14">
        <f>IF('Raw Data'!A298&lt;&gt;"",AVERAGE('Raw Data'!G298,'Raw Data'!I298,'Raw Data'!K298,'Raw Data'!M298,'Raw Data'!O298),"")</f>
        <v/>
      </c>
      <c r="H311" s="14">
        <f>IF(F311&lt;&gt;"",F311-G311,"")</f>
        <v/>
      </c>
      <c r="I311" s="14">
        <f>IF('Raw Data'!A298&lt;&gt;"",AVERAGE('Raw Data'!P298,'Raw Data'!R298,'Raw Data'!T298,'Raw Data'!V298,'Raw Data'!X298),"")</f>
        <v/>
      </c>
      <c r="J311" s="14">
        <f>IF('Raw Data'!A298&lt;&gt;"",AVERAGE('Raw Data'!Q298,'Raw Data'!S298,'Raw Data'!U298,'Raw Data'!W298,'Raw Data'!Y298),"")</f>
        <v/>
      </c>
      <c r="K311" s="14">
        <f>IF(I311&lt;&gt;"",I311-J311,"")</f>
        <v/>
      </c>
      <c r="L311" s="14">
        <f>IF('Raw Data'!A298&lt;&gt;"",AVERAGE('Raw Data'!Z298,'Raw Data'!AB298,'Raw Data'!AD298,'Raw Data'!AF298,'Raw Data'!AH298),"")</f>
        <v/>
      </c>
      <c r="M311" s="14">
        <f>IF('Raw Data'!A298&lt;&gt;"",AVERAGE('Raw Data'!AA298,'Raw Data'!AC298,'Raw Data'!AE298,'Raw Data'!AG298,'Raw Data'!AI298),"")</f>
        <v/>
      </c>
      <c r="N311" s="14">
        <f>IF(L311&lt;&gt;"",L311-M311,"")</f>
        <v/>
      </c>
      <c r="O311" s="14">
        <f>IF('Raw Data'!A298&lt;&gt;"",AVERAGE('Raw Data'!AJ298,'Raw Data'!AL298,'Raw Data'!AN298,'Raw Data'!AP298,'Raw Data'!AR298),"")</f>
        <v/>
      </c>
      <c r="P311" s="14">
        <f>IF('Raw Data'!A298&lt;&gt;"",AVERAGE('Raw Data'!AK298,'Raw Data'!AM298,'Raw Data'!AO298,'Raw Data'!AQ298,'Raw Data'!AS298),"")</f>
        <v/>
      </c>
      <c r="Q311" s="14">
        <f>IF(O311&lt;&gt;"",O311-P311,"")</f>
        <v/>
      </c>
      <c r="R311" s="14">
        <f>IF('Raw Data'!A298&lt;&gt;"",AVERAGE('Raw Data'!AT298,'Raw Data'!AV298,'Raw Data'!AX298,'Raw Data'!AZ298,'Raw Data'!BB298),"")</f>
        <v/>
      </c>
      <c r="S311" s="14">
        <f>IF('Raw Data'!A298&lt;&gt;"",AVERAGE('Raw Data'!AU298,'Raw Data'!AW298,'Raw Data'!AY298,'Raw Data'!BA298,'Raw Data'!BC298),"")</f>
        <v/>
      </c>
      <c r="T311" s="14">
        <f>IF(R311&lt;&gt;"",R311-S311,"")</f>
        <v/>
      </c>
      <c r="U311" s="14">
        <f>IF('Raw Data'!A298&lt;&gt;"",AVERAGE('Raw Data'!BD298,'Raw Data'!BF298,'Raw Data'!BH298,'Raw Data'!BJ298,'Raw Data'!BL298),"")</f>
        <v/>
      </c>
      <c r="V311" s="14">
        <f>IF('Raw Data'!A298&lt;&gt;"",AVERAGE('Raw Data'!BE298,'Raw Data'!BG298,'Raw Data'!BI298,'Raw Data'!BK298,'Raw Data'!BM298),"")</f>
        <v/>
      </c>
      <c r="W311" s="14">
        <f>IF(U311&lt;&gt;"",U311-V311,"")</f>
        <v/>
      </c>
      <c r="X311" s="14">
        <f>IF(A311&lt;&gt;"",AVERAGE(F311,I311,L311,O311,R311,U311),"")</f>
        <v/>
      </c>
      <c r="Y311" s="14">
        <f>IF(A311&lt;&gt;"",AVERAGE(G311,J311,M311,P311,S311,V311),"")</f>
        <v/>
      </c>
      <c r="Z311" s="14">
        <f>IF(A311&lt;&gt;"",X311-Y311,"")</f>
        <v/>
      </c>
      <c r="AA311" s="15">
        <f>IF(A311&lt;&gt;"",ROUND(MIN(100,100*((MAX(0,K311)*0.25)+(MAX(0,Q311)*0.20)+(MAX(0,W311)*0.20)+(MAX(0,H311)*0.15)+(MAX(0,N311)*0.10)+(MAX(0,T311)*0.10))/9),1),"")</f>
        <v/>
      </c>
      <c r="AB311" s="28">
        <f>IF(A311&lt;&gt;"",MIN(1,(0.5*AA311/100)+(0.3*MAX(0,K311)/9)+(0.2*MAX(0,Q311)/9)),"")</f>
        <v/>
      </c>
    </row>
    <row r="312">
      <c r="A312" s="13">
        <f>IF('Raw Data'!A299&lt;&gt;"",'Raw Data'!A299,"")</f>
        <v/>
      </c>
      <c r="B312" s="13">
        <f>IF('Raw Data'!B299&lt;&gt;"",'Raw Data'!B299,"")</f>
        <v/>
      </c>
      <c r="C312" s="13">
        <f>IF('Raw Data'!C299&lt;&gt;"",'Raw Data'!C299,"")</f>
        <v/>
      </c>
      <c r="D312" s="13">
        <f>IF('Raw Data'!D299&lt;&gt;"",'Raw Data'!D299,"")</f>
        <v/>
      </c>
      <c r="E312" s="13">
        <f>IF('Raw Data'!E299&lt;&gt;"",'Raw Data'!E299,"")</f>
        <v/>
      </c>
      <c r="F312" s="17">
        <f>IF('Raw Data'!A299&lt;&gt;"",AVERAGE('Raw Data'!F299,'Raw Data'!H299,'Raw Data'!J299,'Raw Data'!L299,'Raw Data'!N299),"")</f>
        <v/>
      </c>
      <c r="G312" s="17">
        <f>IF('Raw Data'!A299&lt;&gt;"",AVERAGE('Raw Data'!G299,'Raw Data'!I299,'Raw Data'!K299,'Raw Data'!M299,'Raw Data'!O299),"")</f>
        <v/>
      </c>
      <c r="H312" s="17">
        <f>IF(F312&lt;&gt;"",F312-G312,"")</f>
        <v/>
      </c>
      <c r="I312" s="17">
        <f>IF('Raw Data'!A299&lt;&gt;"",AVERAGE('Raw Data'!P299,'Raw Data'!R299,'Raw Data'!T299,'Raw Data'!V299,'Raw Data'!X299),"")</f>
        <v/>
      </c>
      <c r="J312" s="17">
        <f>IF('Raw Data'!A299&lt;&gt;"",AVERAGE('Raw Data'!Q299,'Raw Data'!S299,'Raw Data'!U299,'Raw Data'!W299,'Raw Data'!Y299),"")</f>
        <v/>
      </c>
      <c r="K312" s="17">
        <f>IF(I312&lt;&gt;"",I312-J312,"")</f>
        <v/>
      </c>
      <c r="L312" s="17">
        <f>IF('Raw Data'!A299&lt;&gt;"",AVERAGE('Raw Data'!Z299,'Raw Data'!AB299,'Raw Data'!AD299,'Raw Data'!AF299,'Raw Data'!AH299),"")</f>
        <v/>
      </c>
      <c r="M312" s="17">
        <f>IF('Raw Data'!A299&lt;&gt;"",AVERAGE('Raw Data'!AA299,'Raw Data'!AC299,'Raw Data'!AE299,'Raw Data'!AG299,'Raw Data'!AI299),"")</f>
        <v/>
      </c>
      <c r="N312" s="17">
        <f>IF(L312&lt;&gt;"",L312-M312,"")</f>
        <v/>
      </c>
      <c r="O312" s="17">
        <f>IF('Raw Data'!A299&lt;&gt;"",AVERAGE('Raw Data'!AJ299,'Raw Data'!AL299,'Raw Data'!AN299,'Raw Data'!AP299,'Raw Data'!AR299),"")</f>
        <v/>
      </c>
      <c r="P312" s="17">
        <f>IF('Raw Data'!A299&lt;&gt;"",AVERAGE('Raw Data'!AK299,'Raw Data'!AM299,'Raw Data'!AO299,'Raw Data'!AQ299,'Raw Data'!AS299),"")</f>
        <v/>
      </c>
      <c r="Q312" s="17">
        <f>IF(O312&lt;&gt;"",O312-P312,"")</f>
        <v/>
      </c>
      <c r="R312" s="17">
        <f>IF('Raw Data'!A299&lt;&gt;"",AVERAGE('Raw Data'!AT299,'Raw Data'!AV299,'Raw Data'!AX299,'Raw Data'!AZ299,'Raw Data'!BB299),"")</f>
        <v/>
      </c>
      <c r="S312" s="17">
        <f>IF('Raw Data'!A299&lt;&gt;"",AVERAGE('Raw Data'!AU299,'Raw Data'!AW299,'Raw Data'!AY299,'Raw Data'!BA299,'Raw Data'!BC299),"")</f>
        <v/>
      </c>
      <c r="T312" s="17">
        <f>IF(R312&lt;&gt;"",R312-S312,"")</f>
        <v/>
      </c>
      <c r="U312" s="17">
        <f>IF('Raw Data'!A299&lt;&gt;"",AVERAGE('Raw Data'!BD299,'Raw Data'!BF299,'Raw Data'!BH299,'Raw Data'!BJ299,'Raw Data'!BL299),"")</f>
        <v/>
      </c>
      <c r="V312" s="17">
        <f>IF('Raw Data'!A299&lt;&gt;"",AVERAGE('Raw Data'!BE299,'Raw Data'!BG299,'Raw Data'!BI299,'Raw Data'!BK299,'Raw Data'!BM299),"")</f>
        <v/>
      </c>
      <c r="W312" s="17">
        <f>IF(U312&lt;&gt;"",U312-V312,"")</f>
        <v/>
      </c>
      <c r="X312" s="17">
        <f>IF(A312&lt;&gt;"",AVERAGE(F312,I312,L312,O312,R312,U312),"")</f>
        <v/>
      </c>
      <c r="Y312" s="17">
        <f>IF(A312&lt;&gt;"",AVERAGE(G312,J312,M312,P312,S312,V312),"")</f>
        <v/>
      </c>
      <c r="Z312" s="17">
        <f>IF(A312&lt;&gt;"",X312-Y312,"")</f>
        <v/>
      </c>
      <c r="AA312" s="18">
        <f>IF(A312&lt;&gt;"",ROUND(MIN(100,100*((MAX(0,K312)*0.25)+(MAX(0,Q312)*0.20)+(MAX(0,W312)*0.20)+(MAX(0,H312)*0.15)+(MAX(0,N312)*0.10)+(MAX(0,T312)*0.10))/9),1),"")</f>
        <v/>
      </c>
      <c r="AB312" s="29">
        <f>IF(A312&lt;&gt;"",MIN(1,(0.5*AA312/100)+(0.3*MAX(0,K312)/9)+(0.2*MAX(0,Q312)/9)),"")</f>
        <v/>
      </c>
    </row>
    <row r="313">
      <c r="A313" s="4">
        <f>IF('Raw Data'!A300&lt;&gt;"",'Raw Data'!A300,"")</f>
        <v/>
      </c>
      <c r="B313" s="4">
        <f>IF('Raw Data'!B300&lt;&gt;"",'Raw Data'!B300,"")</f>
        <v/>
      </c>
      <c r="C313" s="4">
        <f>IF('Raw Data'!C300&lt;&gt;"",'Raw Data'!C300,"")</f>
        <v/>
      </c>
      <c r="D313" s="4">
        <f>IF('Raw Data'!D300&lt;&gt;"",'Raw Data'!D300,"")</f>
        <v/>
      </c>
      <c r="E313" s="4">
        <f>IF('Raw Data'!E300&lt;&gt;"",'Raw Data'!E300,"")</f>
        <v/>
      </c>
      <c r="F313" s="14">
        <f>IF('Raw Data'!A300&lt;&gt;"",AVERAGE('Raw Data'!F300,'Raw Data'!H300,'Raw Data'!J300,'Raw Data'!L300,'Raw Data'!N300),"")</f>
        <v/>
      </c>
      <c r="G313" s="14">
        <f>IF('Raw Data'!A300&lt;&gt;"",AVERAGE('Raw Data'!G300,'Raw Data'!I300,'Raw Data'!K300,'Raw Data'!M300,'Raw Data'!O300),"")</f>
        <v/>
      </c>
      <c r="H313" s="14">
        <f>IF(F313&lt;&gt;"",F313-G313,"")</f>
        <v/>
      </c>
      <c r="I313" s="14">
        <f>IF('Raw Data'!A300&lt;&gt;"",AVERAGE('Raw Data'!P300,'Raw Data'!R300,'Raw Data'!T300,'Raw Data'!V300,'Raw Data'!X300),"")</f>
        <v/>
      </c>
      <c r="J313" s="14">
        <f>IF('Raw Data'!A300&lt;&gt;"",AVERAGE('Raw Data'!Q300,'Raw Data'!S300,'Raw Data'!U300,'Raw Data'!W300,'Raw Data'!Y300),"")</f>
        <v/>
      </c>
      <c r="K313" s="14">
        <f>IF(I313&lt;&gt;"",I313-J313,"")</f>
        <v/>
      </c>
      <c r="L313" s="14">
        <f>IF('Raw Data'!A300&lt;&gt;"",AVERAGE('Raw Data'!Z300,'Raw Data'!AB300,'Raw Data'!AD300,'Raw Data'!AF300,'Raw Data'!AH300),"")</f>
        <v/>
      </c>
      <c r="M313" s="14">
        <f>IF('Raw Data'!A300&lt;&gt;"",AVERAGE('Raw Data'!AA300,'Raw Data'!AC300,'Raw Data'!AE300,'Raw Data'!AG300,'Raw Data'!AI300),"")</f>
        <v/>
      </c>
      <c r="N313" s="14">
        <f>IF(L313&lt;&gt;"",L313-M313,"")</f>
        <v/>
      </c>
      <c r="O313" s="14">
        <f>IF('Raw Data'!A300&lt;&gt;"",AVERAGE('Raw Data'!AJ300,'Raw Data'!AL300,'Raw Data'!AN300,'Raw Data'!AP300,'Raw Data'!AR300),"")</f>
        <v/>
      </c>
      <c r="P313" s="14">
        <f>IF('Raw Data'!A300&lt;&gt;"",AVERAGE('Raw Data'!AK300,'Raw Data'!AM300,'Raw Data'!AO300,'Raw Data'!AQ300,'Raw Data'!AS300),"")</f>
        <v/>
      </c>
      <c r="Q313" s="14">
        <f>IF(O313&lt;&gt;"",O313-P313,"")</f>
        <v/>
      </c>
      <c r="R313" s="14">
        <f>IF('Raw Data'!A300&lt;&gt;"",AVERAGE('Raw Data'!AT300,'Raw Data'!AV300,'Raw Data'!AX300,'Raw Data'!AZ300,'Raw Data'!BB300),"")</f>
        <v/>
      </c>
      <c r="S313" s="14">
        <f>IF('Raw Data'!A300&lt;&gt;"",AVERAGE('Raw Data'!AU300,'Raw Data'!AW300,'Raw Data'!AY300,'Raw Data'!BA300,'Raw Data'!BC300),"")</f>
        <v/>
      </c>
      <c r="T313" s="14">
        <f>IF(R313&lt;&gt;"",R313-S313,"")</f>
        <v/>
      </c>
      <c r="U313" s="14">
        <f>IF('Raw Data'!A300&lt;&gt;"",AVERAGE('Raw Data'!BD300,'Raw Data'!BF300,'Raw Data'!BH300,'Raw Data'!BJ300,'Raw Data'!BL300),"")</f>
        <v/>
      </c>
      <c r="V313" s="14">
        <f>IF('Raw Data'!A300&lt;&gt;"",AVERAGE('Raw Data'!BE300,'Raw Data'!BG300,'Raw Data'!BI300,'Raw Data'!BK300,'Raw Data'!BM300),"")</f>
        <v/>
      </c>
      <c r="W313" s="14">
        <f>IF(U313&lt;&gt;"",U313-V313,"")</f>
        <v/>
      </c>
      <c r="X313" s="14">
        <f>IF(A313&lt;&gt;"",AVERAGE(F313,I313,L313,O313,R313,U313),"")</f>
        <v/>
      </c>
      <c r="Y313" s="14">
        <f>IF(A313&lt;&gt;"",AVERAGE(G313,J313,M313,P313,S313,V313),"")</f>
        <v/>
      </c>
      <c r="Z313" s="14">
        <f>IF(A313&lt;&gt;"",X313-Y313,"")</f>
        <v/>
      </c>
      <c r="AA313" s="15">
        <f>IF(A313&lt;&gt;"",ROUND(MIN(100,100*((MAX(0,K313)*0.25)+(MAX(0,Q313)*0.20)+(MAX(0,W313)*0.20)+(MAX(0,H313)*0.15)+(MAX(0,N313)*0.10)+(MAX(0,T313)*0.10))/9),1),"")</f>
        <v/>
      </c>
      <c r="AB313" s="28">
        <f>IF(A313&lt;&gt;"",MIN(1,(0.5*AA313/100)+(0.3*MAX(0,K313)/9)+(0.2*MAX(0,Q313)/9)),"")</f>
        <v/>
      </c>
    </row>
    <row r="314">
      <c r="A314" s="13">
        <f>IF('Raw Data'!A301&lt;&gt;"",'Raw Data'!A301,"")</f>
        <v/>
      </c>
      <c r="B314" s="13">
        <f>IF('Raw Data'!B301&lt;&gt;"",'Raw Data'!B301,"")</f>
        <v/>
      </c>
      <c r="C314" s="13">
        <f>IF('Raw Data'!C301&lt;&gt;"",'Raw Data'!C301,"")</f>
        <v/>
      </c>
      <c r="D314" s="13">
        <f>IF('Raw Data'!D301&lt;&gt;"",'Raw Data'!D301,"")</f>
        <v/>
      </c>
      <c r="E314" s="13">
        <f>IF('Raw Data'!E301&lt;&gt;"",'Raw Data'!E301,"")</f>
        <v/>
      </c>
      <c r="F314" s="17">
        <f>IF('Raw Data'!A301&lt;&gt;"",AVERAGE('Raw Data'!F301,'Raw Data'!H301,'Raw Data'!J301,'Raw Data'!L301,'Raw Data'!N301),"")</f>
        <v/>
      </c>
      <c r="G314" s="17">
        <f>IF('Raw Data'!A301&lt;&gt;"",AVERAGE('Raw Data'!G301,'Raw Data'!I301,'Raw Data'!K301,'Raw Data'!M301,'Raw Data'!O301),"")</f>
        <v/>
      </c>
      <c r="H314" s="17">
        <f>IF(F314&lt;&gt;"",F314-G314,"")</f>
        <v/>
      </c>
      <c r="I314" s="17">
        <f>IF('Raw Data'!A301&lt;&gt;"",AVERAGE('Raw Data'!P301,'Raw Data'!R301,'Raw Data'!T301,'Raw Data'!V301,'Raw Data'!X301),"")</f>
        <v/>
      </c>
      <c r="J314" s="17">
        <f>IF('Raw Data'!A301&lt;&gt;"",AVERAGE('Raw Data'!Q301,'Raw Data'!S301,'Raw Data'!U301,'Raw Data'!W301,'Raw Data'!Y301),"")</f>
        <v/>
      </c>
      <c r="K314" s="17">
        <f>IF(I314&lt;&gt;"",I314-J314,"")</f>
        <v/>
      </c>
      <c r="L314" s="17">
        <f>IF('Raw Data'!A301&lt;&gt;"",AVERAGE('Raw Data'!Z301,'Raw Data'!AB301,'Raw Data'!AD301,'Raw Data'!AF301,'Raw Data'!AH301),"")</f>
        <v/>
      </c>
      <c r="M314" s="17">
        <f>IF('Raw Data'!A301&lt;&gt;"",AVERAGE('Raw Data'!AA301,'Raw Data'!AC301,'Raw Data'!AE301,'Raw Data'!AG301,'Raw Data'!AI301),"")</f>
        <v/>
      </c>
      <c r="N314" s="17">
        <f>IF(L314&lt;&gt;"",L314-M314,"")</f>
        <v/>
      </c>
      <c r="O314" s="17">
        <f>IF('Raw Data'!A301&lt;&gt;"",AVERAGE('Raw Data'!AJ301,'Raw Data'!AL301,'Raw Data'!AN301,'Raw Data'!AP301,'Raw Data'!AR301),"")</f>
        <v/>
      </c>
      <c r="P314" s="17">
        <f>IF('Raw Data'!A301&lt;&gt;"",AVERAGE('Raw Data'!AK301,'Raw Data'!AM301,'Raw Data'!AO301,'Raw Data'!AQ301,'Raw Data'!AS301),"")</f>
        <v/>
      </c>
      <c r="Q314" s="17">
        <f>IF(O314&lt;&gt;"",O314-P314,"")</f>
        <v/>
      </c>
      <c r="R314" s="17">
        <f>IF('Raw Data'!A301&lt;&gt;"",AVERAGE('Raw Data'!AT301,'Raw Data'!AV301,'Raw Data'!AX301,'Raw Data'!AZ301,'Raw Data'!BB301),"")</f>
        <v/>
      </c>
      <c r="S314" s="17">
        <f>IF('Raw Data'!A301&lt;&gt;"",AVERAGE('Raw Data'!AU301,'Raw Data'!AW301,'Raw Data'!AY301,'Raw Data'!BA301,'Raw Data'!BC301),"")</f>
        <v/>
      </c>
      <c r="T314" s="17">
        <f>IF(R314&lt;&gt;"",R314-S314,"")</f>
        <v/>
      </c>
      <c r="U314" s="17">
        <f>IF('Raw Data'!A301&lt;&gt;"",AVERAGE('Raw Data'!BD301,'Raw Data'!BF301,'Raw Data'!BH301,'Raw Data'!BJ301,'Raw Data'!BL301),"")</f>
        <v/>
      </c>
      <c r="V314" s="17">
        <f>IF('Raw Data'!A301&lt;&gt;"",AVERAGE('Raw Data'!BE301,'Raw Data'!BG301,'Raw Data'!BI301,'Raw Data'!BK301,'Raw Data'!BM301),"")</f>
        <v/>
      </c>
      <c r="W314" s="17">
        <f>IF(U314&lt;&gt;"",U314-V314,"")</f>
        <v/>
      </c>
      <c r="X314" s="17">
        <f>IF(A314&lt;&gt;"",AVERAGE(F314,I314,L314,O314,R314,U314),"")</f>
        <v/>
      </c>
      <c r="Y314" s="17">
        <f>IF(A314&lt;&gt;"",AVERAGE(G314,J314,M314,P314,S314,V314),"")</f>
        <v/>
      </c>
      <c r="Z314" s="17">
        <f>IF(A314&lt;&gt;"",X314-Y314,"")</f>
        <v/>
      </c>
      <c r="AA314" s="18">
        <f>IF(A314&lt;&gt;"",ROUND(MIN(100,100*((MAX(0,K314)*0.25)+(MAX(0,Q314)*0.20)+(MAX(0,W314)*0.20)+(MAX(0,H314)*0.15)+(MAX(0,N314)*0.10)+(MAX(0,T314)*0.10))/9),1),"")</f>
        <v/>
      </c>
      <c r="AB314" s="29">
        <f>IF(A314&lt;&gt;"",MIN(1,(0.5*AA314/100)+(0.3*MAX(0,K314)/9)+(0.2*MAX(0,Q314)/9)),"")</f>
        <v/>
      </c>
    </row>
    <row r="315">
      <c r="A315" s="4">
        <f>IF('Raw Data'!A302&lt;&gt;"",'Raw Data'!A302,"")</f>
        <v/>
      </c>
      <c r="B315" s="4">
        <f>IF('Raw Data'!B302&lt;&gt;"",'Raw Data'!B302,"")</f>
        <v/>
      </c>
      <c r="C315" s="4">
        <f>IF('Raw Data'!C302&lt;&gt;"",'Raw Data'!C302,"")</f>
        <v/>
      </c>
      <c r="D315" s="4">
        <f>IF('Raw Data'!D302&lt;&gt;"",'Raw Data'!D302,"")</f>
        <v/>
      </c>
      <c r="E315" s="4">
        <f>IF('Raw Data'!E302&lt;&gt;"",'Raw Data'!E302,"")</f>
        <v/>
      </c>
      <c r="F315" s="14">
        <f>IF('Raw Data'!A302&lt;&gt;"",AVERAGE('Raw Data'!F302,'Raw Data'!H302,'Raw Data'!J302,'Raw Data'!L302,'Raw Data'!N302),"")</f>
        <v/>
      </c>
      <c r="G315" s="14">
        <f>IF('Raw Data'!A302&lt;&gt;"",AVERAGE('Raw Data'!G302,'Raw Data'!I302,'Raw Data'!K302,'Raw Data'!M302,'Raw Data'!O302),"")</f>
        <v/>
      </c>
      <c r="H315" s="14">
        <f>IF(F315&lt;&gt;"",F315-G315,"")</f>
        <v/>
      </c>
      <c r="I315" s="14">
        <f>IF('Raw Data'!A302&lt;&gt;"",AVERAGE('Raw Data'!P302,'Raw Data'!R302,'Raw Data'!T302,'Raw Data'!V302,'Raw Data'!X302),"")</f>
        <v/>
      </c>
      <c r="J315" s="14">
        <f>IF('Raw Data'!A302&lt;&gt;"",AVERAGE('Raw Data'!Q302,'Raw Data'!S302,'Raw Data'!U302,'Raw Data'!W302,'Raw Data'!Y302),"")</f>
        <v/>
      </c>
      <c r="K315" s="14">
        <f>IF(I315&lt;&gt;"",I315-J315,"")</f>
        <v/>
      </c>
      <c r="L315" s="14">
        <f>IF('Raw Data'!A302&lt;&gt;"",AVERAGE('Raw Data'!Z302,'Raw Data'!AB302,'Raw Data'!AD302,'Raw Data'!AF302,'Raw Data'!AH302),"")</f>
        <v/>
      </c>
      <c r="M315" s="14">
        <f>IF('Raw Data'!A302&lt;&gt;"",AVERAGE('Raw Data'!AA302,'Raw Data'!AC302,'Raw Data'!AE302,'Raw Data'!AG302,'Raw Data'!AI302),"")</f>
        <v/>
      </c>
      <c r="N315" s="14">
        <f>IF(L315&lt;&gt;"",L315-M315,"")</f>
        <v/>
      </c>
      <c r="O315" s="14">
        <f>IF('Raw Data'!A302&lt;&gt;"",AVERAGE('Raw Data'!AJ302,'Raw Data'!AL302,'Raw Data'!AN302,'Raw Data'!AP302,'Raw Data'!AR302),"")</f>
        <v/>
      </c>
      <c r="P315" s="14">
        <f>IF('Raw Data'!A302&lt;&gt;"",AVERAGE('Raw Data'!AK302,'Raw Data'!AM302,'Raw Data'!AO302,'Raw Data'!AQ302,'Raw Data'!AS302),"")</f>
        <v/>
      </c>
      <c r="Q315" s="14">
        <f>IF(O315&lt;&gt;"",O315-P315,"")</f>
        <v/>
      </c>
      <c r="R315" s="14">
        <f>IF('Raw Data'!A302&lt;&gt;"",AVERAGE('Raw Data'!AT302,'Raw Data'!AV302,'Raw Data'!AX302,'Raw Data'!AZ302,'Raw Data'!BB302),"")</f>
        <v/>
      </c>
      <c r="S315" s="14">
        <f>IF('Raw Data'!A302&lt;&gt;"",AVERAGE('Raw Data'!AU302,'Raw Data'!AW302,'Raw Data'!AY302,'Raw Data'!BA302,'Raw Data'!BC302),"")</f>
        <v/>
      </c>
      <c r="T315" s="14">
        <f>IF(R315&lt;&gt;"",R315-S315,"")</f>
        <v/>
      </c>
      <c r="U315" s="14">
        <f>IF('Raw Data'!A302&lt;&gt;"",AVERAGE('Raw Data'!BD302,'Raw Data'!BF302,'Raw Data'!BH302,'Raw Data'!BJ302,'Raw Data'!BL302),"")</f>
        <v/>
      </c>
      <c r="V315" s="14">
        <f>IF('Raw Data'!A302&lt;&gt;"",AVERAGE('Raw Data'!BE302,'Raw Data'!BG302,'Raw Data'!BI302,'Raw Data'!BK302,'Raw Data'!BM302),"")</f>
        <v/>
      </c>
      <c r="W315" s="14">
        <f>IF(U315&lt;&gt;"",U315-V315,"")</f>
        <v/>
      </c>
      <c r="X315" s="14">
        <f>IF(A315&lt;&gt;"",AVERAGE(F315,I315,L315,O315,R315,U315),"")</f>
        <v/>
      </c>
      <c r="Y315" s="14">
        <f>IF(A315&lt;&gt;"",AVERAGE(G315,J315,M315,P315,S315,V315),"")</f>
        <v/>
      </c>
      <c r="Z315" s="14">
        <f>IF(A315&lt;&gt;"",X315-Y315,"")</f>
        <v/>
      </c>
      <c r="AA315" s="15">
        <f>IF(A315&lt;&gt;"",ROUND(MIN(100,100*((MAX(0,K315)*0.25)+(MAX(0,Q315)*0.20)+(MAX(0,W315)*0.20)+(MAX(0,H315)*0.15)+(MAX(0,N315)*0.10)+(MAX(0,T315)*0.10))/9),1),"")</f>
        <v/>
      </c>
      <c r="AB315" s="28">
        <f>IF(A315&lt;&gt;"",MIN(1,(0.5*AA315/100)+(0.3*MAX(0,K315)/9)+(0.2*MAX(0,Q315)/9)),"")</f>
        <v/>
      </c>
    </row>
    <row r="316">
      <c r="A316" s="13">
        <f>IF('Raw Data'!A303&lt;&gt;"",'Raw Data'!A303,"")</f>
        <v/>
      </c>
      <c r="B316" s="13">
        <f>IF('Raw Data'!B303&lt;&gt;"",'Raw Data'!B303,"")</f>
        <v/>
      </c>
      <c r="C316" s="13">
        <f>IF('Raw Data'!C303&lt;&gt;"",'Raw Data'!C303,"")</f>
        <v/>
      </c>
      <c r="D316" s="13">
        <f>IF('Raw Data'!D303&lt;&gt;"",'Raw Data'!D303,"")</f>
        <v/>
      </c>
      <c r="E316" s="13">
        <f>IF('Raw Data'!E303&lt;&gt;"",'Raw Data'!E303,"")</f>
        <v/>
      </c>
      <c r="F316" s="17">
        <f>IF('Raw Data'!A303&lt;&gt;"",AVERAGE('Raw Data'!F303,'Raw Data'!H303,'Raw Data'!J303,'Raw Data'!L303,'Raw Data'!N303),"")</f>
        <v/>
      </c>
      <c r="G316" s="17">
        <f>IF('Raw Data'!A303&lt;&gt;"",AVERAGE('Raw Data'!G303,'Raw Data'!I303,'Raw Data'!K303,'Raw Data'!M303,'Raw Data'!O303),"")</f>
        <v/>
      </c>
      <c r="H316" s="17">
        <f>IF(F316&lt;&gt;"",F316-G316,"")</f>
        <v/>
      </c>
      <c r="I316" s="17">
        <f>IF('Raw Data'!A303&lt;&gt;"",AVERAGE('Raw Data'!P303,'Raw Data'!R303,'Raw Data'!T303,'Raw Data'!V303,'Raw Data'!X303),"")</f>
        <v/>
      </c>
      <c r="J316" s="17">
        <f>IF('Raw Data'!A303&lt;&gt;"",AVERAGE('Raw Data'!Q303,'Raw Data'!S303,'Raw Data'!U303,'Raw Data'!W303,'Raw Data'!Y303),"")</f>
        <v/>
      </c>
      <c r="K316" s="17">
        <f>IF(I316&lt;&gt;"",I316-J316,"")</f>
        <v/>
      </c>
      <c r="L316" s="17">
        <f>IF('Raw Data'!A303&lt;&gt;"",AVERAGE('Raw Data'!Z303,'Raw Data'!AB303,'Raw Data'!AD303,'Raw Data'!AF303,'Raw Data'!AH303),"")</f>
        <v/>
      </c>
      <c r="M316" s="17">
        <f>IF('Raw Data'!A303&lt;&gt;"",AVERAGE('Raw Data'!AA303,'Raw Data'!AC303,'Raw Data'!AE303,'Raw Data'!AG303,'Raw Data'!AI303),"")</f>
        <v/>
      </c>
      <c r="N316" s="17">
        <f>IF(L316&lt;&gt;"",L316-M316,"")</f>
        <v/>
      </c>
      <c r="O316" s="17">
        <f>IF('Raw Data'!A303&lt;&gt;"",AVERAGE('Raw Data'!AJ303,'Raw Data'!AL303,'Raw Data'!AN303,'Raw Data'!AP303,'Raw Data'!AR303),"")</f>
        <v/>
      </c>
      <c r="P316" s="17">
        <f>IF('Raw Data'!A303&lt;&gt;"",AVERAGE('Raw Data'!AK303,'Raw Data'!AM303,'Raw Data'!AO303,'Raw Data'!AQ303,'Raw Data'!AS303),"")</f>
        <v/>
      </c>
      <c r="Q316" s="17">
        <f>IF(O316&lt;&gt;"",O316-P316,"")</f>
        <v/>
      </c>
      <c r="R316" s="17">
        <f>IF('Raw Data'!A303&lt;&gt;"",AVERAGE('Raw Data'!AT303,'Raw Data'!AV303,'Raw Data'!AX303,'Raw Data'!AZ303,'Raw Data'!BB303),"")</f>
        <v/>
      </c>
      <c r="S316" s="17">
        <f>IF('Raw Data'!A303&lt;&gt;"",AVERAGE('Raw Data'!AU303,'Raw Data'!AW303,'Raw Data'!AY303,'Raw Data'!BA303,'Raw Data'!BC303),"")</f>
        <v/>
      </c>
      <c r="T316" s="17">
        <f>IF(R316&lt;&gt;"",R316-S316,"")</f>
        <v/>
      </c>
      <c r="U316" s="17">
        <f>IF('Raw Data'!A303&lt;&gt;"",AVERAGE('Raw Data'!BD303,'Raw Data'!BF303,'Raw Data'!BH303,'Raw Data'!BJ303,'Raw Data'!BL303),"")</f>
        <v/>
      </c>
      <c r="V316" s="17">
        <f>IF('Raw Data'!A303&lt;&gt;"",AVERAGE('Raw Data'!BE303,'Raw Data'!BG303,'Raw Data'!BI303,'Raw Data'!BK303,'Raw Data'!BM303),"")</f>
        <v/>
      </c>
      <c r="W316" s="17">
        <f>IF(U316&lt;&gt;"",U316-V316,"")</f>
        <v/>
      </c>
      <c r="X316" s="17">
        <f>IF(A316&lt;&gt;"",AVERAGE(F316,I316,L316,O316,R316,U316),"")</f>
        <v/>
      </c>
      <c r="Y316" s="17">
        <f>IF(A316&lt;&gt;"",AVERAGE(G316,J316,M316,P316,S316,V316),"")</f>
        <v/>
      </c>
      <c r="Z316" s="17">
        <f>IF(A316&lt;&gt;"",X316-Y316,"")</f>
        <v/>
      </c>
      <c r="AA316" s="18">
        <f>IF(A316&lt;&gt;"",ROUND(MIN(100,100*((MAX(0,K316)*0.25)+(MAX(0,Q316)*0.20)+(MAX(0,W316)*0.20)+(MAX(0,H316)*0.15)+(MAX(0,N316)*0.10)+(MAX(0,T316)*0.10))/9),1),"")</f>
        <v/>
      </c>
      <c r="AB316" s="29">
        <f>IF(A316&lt;&gt;"",MIN(1,(0.5*AA316/100)+(0.3*MAX(0,K316)/9)+(0.2*MAX(0,Q316)/9)),"")</f>
        <v/>
      </c>
    </row>
    <row r="317">
      <c r="A317" s="4">
        <f>IF('Raw Data'!A304&lt;&gt;"",'Raw Data'!A304,"")</f>
        <v/>
      </c>
      <c r="B317" s="4">
        <f>IF('Raw Data'!B304&lt;&gt;"",'Raw Data'!B304,"")</f>
        <v/>
      </c>
      <c r="C317" s="4">
        <f>IF('Raw Data'!C304&lt;&gt;"",'Raw Data'!C304,"")</f>
        <v/>
      </c>
      <c r="D317" s="4">
        <f>IF('Raw Data'!D304&lt;&gt;"",'Raw Data'!D304,"")</f>
        <v/>
      </c>
      <c r="E317" s="4">
        <f>IF('Raw Data'!E304&lt;&gt;"",'Raw Data'!E304,"")</f>
        <v/>
      </c>
      <c r="F317" s="14">
        <f>IF('Raw Data'!A304&lt;&gt;"",AVERAGE('Raw Data'!F304,'Raw Data'!H304,'Raw Data'!J304,'Raw Data'!L304,'Raw Data'!N304),"")</f>
        <v/>
      </c>
      <c r="G317" s="14">
        <f>IF('Raw Data'!A304&lt;&gt;"",AVERAGE('Raw Data'!G304,'Raw Data'!I304,'Raw Data'!K304,'Raw Data'!M304,'Raw Data'!O304),"")</f>
        <v/>
      </c>
      <c r="H317" s="14">
        <f>IF(F317&lt;&gt;"",F317-G317,"")</f>
        <v/>
      </c>
      <c r="I317" s="14">
        <f>IF('Raw Data'!A304&lt;&gt;"",AVERAGE('Raw Data'!P304,'Raw Data'!R304,'Raw Data'!T304,'Raw Data'!V304,'Raw Data'!X304),"")</f>
        <v/>
      </c>
      <c r="J317" s="14">
        <f>IF('Raw Data'!A304&lt;&gt;"",AVERAGE('Raw Data'!Q304,'Raw Data'!S304,'Raw Data'!U304,'Raw Data'!W304,'Raw Data'!Y304),"")</f>
        <v/>
      </c>
      <c r="K317" s="14">
        <f>IF(I317&lt;&gt;"",I317-J317,"")</f>
        <v/>
      </c>
      <c r="L317" s="14">
        <f>IF('Raw Data'!A304&lt;&gt;"",AVERAGE('Raw Data'!Z304,'Raw Data'!AB304,'Raw Data'!AD304,'Raw Data'!AF304,'Raw Data'!AH304),"")</f>
        <v/>
      </c>
      <c r="M317" s="14">
        <f>IF('Raw Data'!A304&lt;&gt;"",AVERAGE('Raw Data'!AA304,'Raw Data'!AC304,'Raw Data'!AE304,'Raw Data'!AG304,'Raw Data'!AI304),"")</f>
        <v/>
      </c>
      <c r="N317" s="14">
        <f>IF(L317&lt;&gt;"",L317-M317,"")</f>
        <v/>
      </c>
      <c r="O317" s="14">
        <f>IF('Raw Data'!A304&lt;&gt;"",AVERAGE('Raw Data'!AJ304,'Raw Data'!AL304,'Raw Data'!AN304,'Raw Data'!AP304,'Raw Data'!AR304),"")</f>
        <v/>
      </c>
      <c r="P317" s="14">
        <f>IF('Raw Data'!A304&lt;&gt;"",AVERAGE('Raw Data'!AK304,'Raw Data'!AM304,'Raw Data'!AO304,'Raw Data'!AQ304,'Raw Data'!AS304),"")</f>
        <v/>
      </c>
      <c r="Q317" s="14">
        <f>IF(O317&lt;&gt;"",O317-P317,"")</f>
        <v/>
      </c>
      <c r="R317" s="14">
        <f>IF('Raw Data'!A304&lt;&gt;"",AVERAGE('Raw Data'!AT304,'Raw Data'!AV304,'Raw Data'!AX304,'Raw Data'!AZ304,'Raw Data'!BB304),"")</f>
        <v/>
      </c>
      <c r="S317" s="14">
        <f>IF('Raw Data'!A304&lt;&gt;"",AVERAGE('Raw Data'!AU304,'Raw Data'!AW304,'Raw Data'!AY304,'Raw Data'!BA304,'Raw Data'!BC304),"")</f>
        <v/>
      </c>
      <c r="T317" s="14">
        <f>IF(R317&lt;&gt;"",R317-S317,"")</f>
        <v/>
      </c>
      <c r="U317" s="14">
        <f>IF('Raw Data'!A304&lt;&gt;"",AVERAGE('Raw Data'!BD304,'Raw Data'!BF304,'Raw Data'!BH304,'Raw Data'!BJ304,'Raw Data'!BL304),"")</f>
        <v/>
      </c>
      <c r="V317" s="14">
        <f>IF('Raw Data'!A304&lt;&gt;"",AVERAGE('Raw Data'!BE304,'Raw Data'!BG304,'Raw Data'!BI304,'Raw Data'!BK304,'Raw Data'!BM304),"")</f>
        <v/>
      </c>
      <c r="W317" s="14">
        <f>IF(U317&lt;&gt;"",U317-V317,"")</f>
        <v/>
      </c>
      <c r="X317" s="14">
        <f>IF(A317&lt;&gt;"",AVERAGE(F317,I317,L317,O317,R317,U317),"")</f>
        <v/>
      </c>
      <c r="Y317" s="14">
        <f>IF(A317&lt;&gt;"",AVERAGE(G317,J317,M317,P317,S317,V317),"")</f>
        <v/>
      </c>
      <c r="Z317" s="14">
        <f>IF(A317&lt;&gt;"",X317-Y317,"")</f>
        <v/>
      </c>
      <c r="AA317" s="15">
        <f>IF(A317&lt;&gt;"",ROUND(MIN(100,100*((MAX(0,K317)*0.25)+(MAX(0,Q317)*0.20)+(MAX(0,W317)*0.20)+(MAX(0,H317)*0.15)+(MAX(0,N317)*0.10)+(MAX(0,T317)*0.10))/9),1),"")</f>
        <v/>
      </c>
      <c r="AB317" s="28">
        <f>IF(A317&lt;&gt;"",MIN(1,(0.5*AA317/100)+(0.3*MAX(0,K317)/9)+(0.2*MAX(0,Q317)/9)),"")</f>
        <v/>
      </c>
    </row>
    <row r="318">
      <c r="A318" s="13">
        <f>IF('Raw Data'!A305&lt;&gt;"",'Raw Data'!A305,"")</f>
        <v/>
      </c>
      <c r="B318" s="13">
        <f>IF('Raw Data'!B305&lt;&gt;"",'Raw Data'!B305,"")</f>
        <v/>
      </c>
      <c r="C318" s="13">
        <f>IF('Raw Data'!C305&lt;&gt;"",'Raw Data'!C305,"")</f>
        <v/>
      </c>
      <c r="D318" s="13">
        <f>IF('Raw Data'!D305&lt;&gt;"",'Raw Data'!D305,"")</f>
        <v/>
      </c>
      <c r="E318" s="13">
        <f>IF('Raw Data'!E305&lt;&gt;"",'Raw Data'!E305,"")</f>
        <v/>
      </c>
      <c r="F318" s="17">
        <f>IF('Raw Data'!A305&lt;&gt;"",AVERAGE('Raw Data'!F305,'Raw Data'!H305,'Raw Data'!J305,'Raw Data'!L305,'Raw Data'!N305),"")</f>
        <v/>
      </c>
      <c r="G318" s="17">
        <f>IF('Raw Data'!A305&lt;&gt;"",AVERAGE('Raw Data'!G305,'Raw Data'!I305,'Raw Data'!K305,'Raw Data'!M305,'Raw Data'!O305),"")</f>
        <v/>
      </c>
      <c r="H318" s="17">
        <f>IF(F318&lt;&gt;"",F318-G318,"")</f>
        <v/>
      </c>
      <c r="I318" s="17">
        <f>IF('Raw Data'!A305&lt;&gt;"",AVERAGE('Raw Data'!P305,'Raw Data'!R305,'Raw Data'!T305,'Raw Data'!V305,'Raw Data'!X305),"")</f>
        <v/>
      </c>
      <c r="J318" s="17">
        <f>IF('Raw Data'!A305&lt;&gt;"",AVERAGE('Raw Data'!Q305,'Raw Data'!S305,'Raw Data'!U305,'Raw Data'!W305,'Raw Data'!Y305),"")</f>
        <v/>
      </c>
      <c r="K318" s="17">
        <f>IF(I318&lt;&gt;"",I318-J318,"")</f>
        <v/>
      </c>
      <c r="L318" s="17">
        <f>IF('Raw Data'!A305&lt;&gt;"",AVERAGE('Raw Data'!Z305,'Raw Data'!AB305,'Raw Data'!AD305,'Raw Data'!AF305,'Raw Data'!AH305),"")</f>
        <v/>
      </c>
      <c r="M318" s="17">
        <f>IF('Raw Data'!A305&lt;&gt;"",AVERAGE('Raw Data'!AA305,'Raw Data'!AC305,'Raw Data'!AE305,'Raw Data'!AG305,'Raw Data'!AI305),"")</f>
        <v/>
      </c>
      <c r="N318" s="17">
        <f>IF(L318&lt;&gt;"",L318-M318,"")</f>
        <v/>
      </c>
      <c r="O318" s="17">
        <f>IF('Raw Data'!A305&lt;&gt;"",AVERAGE('Raw Data'!AJ305,'Raw Data'!AL305,'Raw Data'!AN305,'Raw Data'!AP305,'Raw Data'!AR305),"")</f>
        <v/>
      </c>
      <c r="P318" s="17">
        <f>IF('Raw Data'!A305&lt;&gt;"",AVERAGE('Raw Data'!AK305,'Raw Data'!AM305,'Raw Data'!AO305,'Raw Data'!AQ305,'Raw Data'!AS305),"")</f>
        <v/>
      </c>
      <c r="Q318" s="17">
        <f>IF(O318&lt;&gt;"",O318-P318,"")</f>
        <v/>
      </c>
      <c r="R318" s="17">
        <f>IF('Raw Data'!A305&lt;&gt;"",AVERAGE('Raw Data'!AT305,'Raw Data'!AV305,'Raw Data'!AX305,'Raw Data'!AZ305,'Raw Data'!BB305),"")</f>
        <v/>
      </c>
      <c r="S318" s="17">
        <f>IF('Raw Data'!A305&lt;&gt;"",AVERAGE('Raw Data'!AU305,'Raw Data'!AW305,'Raw Data'!AY305,'Raw Data'!BA305,'Raw Data'!BC305),"")</f>
        <v/>
      </c>
      <c r="T318" s="17">
        <f>IF(R318&lt;&gt;"",R318-S318,"")</f>
        <v/>
      </c>
      <c r="U318" s="17">
        <f>IF('Raw Data'!A305&lt;&gt;"",AVERAGE('Raw Data'!BD305,'Raw Data'!BF305,'Raw Data'!BH305,'Raw Data'!BJ305,'Raw Data'!BL305),"")</f>
        <v/>
      </c>
      <c r="V318" s="17">
        <f>IF('Raw Data'!A305&lt;&gt;"",AVERAGE('Raw Data'!BE305,'Raw Data'!BG305,'Raw Data'!BI305,'Raw Data'!BK305,'Raw Data'!BM305),"")</f>
        <v/>
      </c>
      <c r="W318" s="17">
        <f>IF(U318&lt;&gt;"",U318-V318,"")</f>
        <v/>
      </c>
      <c r="X318" s="17">
        <f>IF(A318&lt;&gt;"",AVERAGE(F318,I318,L318,O318,R318,U318),"")</f>
        <v/>
      </c>
      <c r="Y318" s="17">
        <f>IF(A318&lt;&gt;"",AVERAGE(G318,J318,M318,P318,S318,V318),"")</f>
        <v/>
      </c>
      <c r="Z318" s="17">
        <f>IF(A318&lt;&gt;"",X318-Y318,"")</f>
        <v/>
      </c>
      <c r="AA318" s="18">
        <f>IF(A318&lt;&gt;"",ROUND(MIN(100,100*((MAX(0,K318)*0.25)+(MAX(0,Q318)*0.20)+(MAX(0,W318)*0.20)+(MAX(0,H318)*0.15)+(MAX(0,N318)*0.10)+(MAX(0,T318)*0.10))/9),1),"")</f>
        <v/>
      </c>
      <c r="AB318" s="29">
        <f>IF(A318&lt;&gt;"",MIN(1,(0.5*AA318/100)+(0.3*MAX(0,K318)/9)+(0.2*MAX(0,Q318)/9)),"")</f>
        <v/>
      </c>
    </row>
    <row r="319">
      <c r="A319" s="4">
        <f>IF('Raw Data'!A306&lt;&gt;"",'Raw Data'!A306,"")</f>
        <v/>
      </c>
      <c r="B319" s="4">
        <f>IF('Raw Data'!B306&lt;&gt;"",'Raw Data'!B306,"")</f>
        <v/>
      </c>
      <c r="C319" s="4">
        <f>IF('Raw Data'!C306&lt;&gt;"",'Raw Data'!C306,"")</f>
        <v/>
      </c>
      <c r="D319" s="4">
        <f>IF('Raw Data'!D306&lt;&gt;"",'Raw Data'!D306,"")</f>
        <v/>
      </c>
      <c r="E319" s="4">
        <f>IF('Raw Data'!E306&lt;&gt;"",'Raw Data'!E306,"")</f>
        <v/>
      </c>
      <c r="F319" s="14">
        <f>IF('Raw Data'!A306&lt;&gt;"",AVERAGE('Raw Data'!F306,'Raw Data'!H306,'Raw Data'!J306,'Raw Data'!L306,'Raw Data'!N306),"")</f>
        <v/>
      </c>
      <c r="G319" s="14">
        <f>IF('Raw Data'!A306&lt;&gt;"",AVERAGE('Raw Data'!G306,'Raw Data'!I306,'Raw Data'!K306,'Raw Data'!M306,'Raw Data'!O306),"")</f>
        <v/>
      </c>
      <c r="H319" s="14">
        <f>IF(F319&lt;&gt;"",F319-G319,"")</f>
        <v/>
      </c>
      <c r="I319" s="14">
        <f>IF('Raw Data'!A306&lt;&gt;"",AVERAGE('Raw Data'!P306,'Raw Data'!R306,'Raw Data'!T306,'Raw Data'!V306,'Raw Data'!X306),"")</f>
        <v/>
      </c>
      <c r="J319" s="14">
        <f>IF('Raw Data'!A306&lt;&gt;"",AVERAGE('Raw Data'!Q306,'Raw Data'!S306,'Raw Data'!U306,'Raw Data'!W306,'Raw Data'!Y306),"")</f>
        <v/>
      </c>
      <c r="K319" s="14">
        <f>IF(I319&lt;&gt;"",I319-J319,"")</f>
        <v/>
      </c>
      <c r="L319" s="14">
        <f>IF('Raw Data'!A306&lt;&gt;"",AVERAGE('Raw Data'!Z306,'Raw Data'!AB306,'Raw Data'!AD306,'Raw Data'!AF306,'Raw Data'!AH306),"")</f>
        <v/>
      </c>
      <c r="M319" s="14">
        <f>IF('Raw Data'!A306&lt;&gt;"",AVERAGE('Raw Data'!AA306,'Raw Data'!AC306,'Raw Data'!AE306,'Raw Data'!AG306,'Raw Data'!AI306),"")</f>
        <v/>
      </c>
      <c r="N319" s="14">
        <f>IF(L319&lt;&gt;"",L319-M319,"")</f>
        <v/>
      </c>
      <c r="O319" s="14">
        <f>IF('Raw Data'!A306&lt;&gt;"",AVERAGE('Raw Data'!AJ306,'Raw Data'!AL306,'Raw Data'!AN306,'Raw Data'!AP306,'Raw Data'!AR306),"")</f>
        <v/>
      </c>
      <c r="P319" s="14">
        <f>IF('Raw Data'!A306&lt;&gt;"",AVERAGE('Raw Data'!AK306,'Raw Data'!AM306,'Raw Data'!AO306,'Raw Data'!AQ306,'Raw Data'!AS306),"")</f>
        <v/>
      </c>
      <c r="Q319" s="14">
        <f>IF(O319&lt;&gt;"",O319-P319,"")</f>
        <v/>
      </c>
      <c r="R319" s="14">
        <f>IF('Raw Data'!A306&lt;&gt;"",AVERAGE('Raw Data'!AT306,'Raw Data'!AV306,'Raw Data'!AX306,'Raw Data'!AZ306,'Raw Data'!BB306),"")</f>
        <v/>
      </c>
      <c r="S319" s="14">
        <f>IF('Raw Data'!A306&lt;&gt;"",AVERAGE('Raw Data'!AU306,'Raw Data'!AW306,'Raw Data'!AY306,'Raw Data'!BA306,'Raw Data'!BC306),"")</f>
        <v/>
      </c>
      <c r="T319" s="14">
        <f>IF(R319&lt;&gt;"",R319-S319,"")</f>
        <v/>
      </c>
      <c r="U319" s="14">
        <f>IF('Raw Data'!A306&lt;&gt;"",AVERAGE('Raw Data'!BD306,'Raw Data'!BF306,'Raw Data'!BH306,'Raw Data'!BJ306,'Raw Data'!BL306),"")</f>
        <v/>
      </c>
      <c r="V319" s="14">
        <f>IF('Raw Data'!A306&lt;&gt;"",AVERAGE('Raw Data'!BE306,'Raw Data'!BG306,'Raw Data'!BI306,'Raw Data'!BK306,'Raw Data'!BM306),"")</f>
        <v/>
      </c>
      <c r="W319" s="14">
        <f>IF(U319&lt;&gt;"",U319-V319,"")</f>
        <v/>
      </c>
      <c r="X319" s="14">
        <f>IF(A319&lt;&gt;"",AVERAGE(F319,I319,L319,O319,R319,U319),"")</f>
        <v/>
      </c>
      <c r="Y319" s="14">
        <f>IF(A319&lt;&gt;"",AVERAGE(G319,J319,M319,P319,S319,V319),"")</f>
        <v/>
      </c>
      <c r="Z319" s="14">
        <f>IF(A319&lt;&gt;"",X319-Y319,"")</f>
        <v/>
      </c>
      <c r="AA319" s="15">
        <f>IF(A319&lt;&gt;"",ROUND(MIN(100,100*((MAX(0,K319)*0.25)+(MAX(0,Q319)*0.20)+(MAX(0,W319)*0.20)+(MAX(0,H319)*0.15)+(MAX(0,N319)*0.10)+(MAX(0,T319)*0.10))/9),1),"")</f>
        <v/>
      </c>
      <c r="AB319" s="28">
        <f>IF(A319&lt;&gt;"",MIN(1,(0.5*AA319/100)+(0.3*MAX(0,K319)/9)+(0.2*MAX(0,Q319)/9)),"")</f>
        <v/>
      </c>
    </row>
    <row r="320">
      <c r="A320" s="13">
        <f>IF('Raw Data'!A307&lt;&gt;"",'Raw Data'!A307,"")</f>
        <v/>
      </c>
      <c r="B320" s="13">
        <f>IF('Raw Data'!B307&lt;&gt;"",'Raw Data'!B307,"")</f>
        <v/>
      </c>
      <c r="C320" s="13">
        <f>IF('Raw Data'!C307&lt;&gt;"",'Raw Data'!C307,"")</f>
        <v/>
      </c>
      <c r="D320" s="13">
        <f>IF('Raw Data'!D307&lt;&gt;"",'Raw Data'!D307,"")</f>
        <v/>
      </c>
      <c r="E320" s="13">
        <f>IF('Raw Data'!E307&lt;&gt;"",'Raw Data'!E307,"")</f>
        <v/>
      </c>
      <c r="F320" s="17">
        <f>IF('Raw Data'!A307&lt;&gt;"",AVERAGE('Raw Data'!F307,'Raw Data'!H307,'Raw Data'!J307,'Raw Data'!L307,'Raw Data'!N307),"")</f>
        <v/>
      </c>
      <c r="G320" s="17">
        <f>IF('Raw Data'!A307&lt;&gt;"",AVERAGE('Raw Data'!G307,'Raw Data'!I307,'Raw Data'!K307,'Raw Data'!M307,'Raw Data'!O307),"")</f>
        <v/>
      </c>
      <c r="H320" s="17">
        <f>IF(F320&lt;&gt;"",F320-G320,"")</f>
        <v/>
      </c>
      <c r="I320" s="17">
        <f>IF('Raw Data'!A307&lt;&gt;"",AVERAGE('Raw Data'!P307,'Raw Data'!R307,'Raw Data'!T307,'Raw Data'!V307,'Raw Data'!X307),"")</f>
        <v/>
      </c>
      <c r="J320" s="17">
        <f>IF('Raw Data'!A307&lt;&gt;"",AVERAGE('Raw Data'!Q307,'Raw Data'!S307,'Raw Data'!U307,'Raw Data'!W307,'Raw Data'!Y307),"")</f>
        <v/>
      </c>
      <c r="K320" s="17">
        <f>IF(I320&lt;&gt;"",I320-J320,"")</f>
        <v/>
      </c>
      <c r="L320" s="17">
        <f>IF('Raw Data'!A307&lt;&gt;"",AVERAGE('Raw Data'!Z307,'Raw Data'!AB307,'Raw Data'!AD307,'Raw Data'!AF307,'Raw Data'!AH307),"")</f>
        <v/>
      </c>
      <c r="M320" s="17">
        <f>IF('Raw Data'!A307&lt;&gt;"",AVERAGE('Raw Data'!AA307,'Raw Data'!AC307,'Raw Data'!AE307,'Raw Data'!AG307,'Raw Data'!AI307),"")</f>
        <v/>
      </c>
      <c r="N320" s="17">
        <f>IF(L320&lt;&gt;"",L320-M320,"")</f>
        <v/>
      </c>
      <c r="O320" s="17">
        <f>IF('Raw Data'!A307&lt;&gt;"",AVERAGE('Raw Data'!AJ307,'Raw Data'!AL307,'Raw Data'!AN307,'Raw Data'!AP307,'Raw Data'!AR307),"")</f>
        <v/>
      </c>
      <c r="P320" s="17">
        <f>IF('Raw Data'!A307&lt;&gt;"",AVERAGE('Raw Data'!AK307,'Raw Data'!AM307,'Raw Data'!AO307,'Raw Data'!AQ307,'Raw Data'!AS307),"")</f>
        <v/>
      </c>
      <c r="Q320" s="17">
        <f>IF(O320&lt;&gt;"",O320-P320,"")</f>
        <v/>
      </c>
      <c r="R320" s="17">
        <f>IF('Raw Data'!A307&lt;&gt;"",AVERAGE('Raw Data'!AT307,'Raw Data'!AV307,'Raw Data'!AX307,'Raw Data'!AZ307,'Raw Data'!BB307),"")</f>
        <v/>
      </c>
      <c r="S320" s="17">
        <f>IF('Raw Data'!A307&lt;&gt;"",AVERAGE('Raw Data'!AU307,'Raw Data'!AW307,'Raw Data'!AY307,'Raw Data'!BA307,'Raw Data'!BC307),"")</f>
        <v/>
      </c>
      <c r="T320" s="17">
        <f>IF(R320&lt;&gt;"",R320-S320,"")</f>
        <v/>
      </c>
      <c r="U320" s="17">
        <f>IF('Raw Data'!A307&lt;&gt;"",AVERAGE('Raw Data'!BD307,'Raw Data'!BF307,'Raw Data'!BH307,'Raw Data'!BJ307,'Raw Data'!BL307),"")</f>
        <v/>
      </c>
      <c r="V320" s="17">
        <f>IF('Raw Data'!A307&lt;&gt;"",AVERAGE('Raw Data'!BE307,'Raw Data'!BG307,'Raw Data'!BI307,'Raw Data'!BK307,'Raw Data'!BM307),"")</f>
        <v/>
      </c>
      <c r="W320" s="17">
        <f>IF(U320&lt;&gt;"",U320-V320,"")</f>
        <v/>
      </c>
      <c r="X320" s="17">
        <f>IF(A320&lt;&gt;"",AVERAGE(F320,I320,L320,O320,R320,U320),"")</f>
        <v/>
      </c>
      <c r="Y320" s="17">
        <f>IF(A320&lt;&gt;"",AVERAGE(G320,J320,M320,P320,S320,V320),"")</f>
        <v/>
      </c>
      <c r="Z320" s="17">
        <f>IF(A320&lt;&gt;"",X320-Y320,"")</f>
        <v/>
      </c>
      <c r="AA320" s="18">
        <f>IF(A320&lt;&gt;"",ROUND(MIN(100,100*((MAX(0,K320)*0.25)+(MAX(0,Q320)*0.20)+(MAX(0,W320)*0.20)+(MAX(0,H320)*0.15)+(MAX(0,N320)*0.10)+(MAX(0,T320)*0.10))/9),1),"")</f>
        <v/>
      </c>
      <c r="AB320" s="29">
        <f>IF(A320&lt;&gt;"",MIN(1,(0.5*AA320/100)+(0.3*MAX(0,K320)/9)+(0.2*MAX(0,Q320)/9)),"")</f>
        <v/>
      </c>
    </row>
    <row r="321">
      <c r="A321" s="4">
        <f>IF('Raw Data'!A308&lt;&gt;"",'Raw Data'!A308,"")</f>
        <v/>
      </c>
      <c r="B321" s="4">
        <f>IF('Raw Data'!B308&lt;&gt;"",'Raw Data'!B308,"")</f>
        <v/>
      </c>
      <c r="C321" s="4">
        <f>IF('Raw Data'!C308&lt;&gt;"",'Raw Data'!C308,"")</f>
        <v/>
      </c>
      <c r="D321" s="4">
        <f>IF('Raw Data'!D308&lt;&gt;"",'Raw Data'!D308,"")</f>
        <v/>
      </c>
      <c r="E321" s="4">
        <f>IF('Raw Data'!E308&lt;&gt;"",'Raw Data'!E308,"")</f>
        <v/>
      </c>
      <c r="F321" s="14">
        <f>IF('Raw Data'!A308&lt;&gt;"",AVERAGE('Raw Data'!F308,'Raw Data'!H308,'Raw Data'!J308,'Raw Data'!L308,'Raw Data'!N308),"")</f>
        <v/>
      </c>
      <c r="G321" s="14">
        <f>IF('Raw Data'!A308&lt;&gt;"",AVERAGE('Raw Data'!G308,'Raw Data'!I308,'Raw Data'!K308,'Raw Data'!M308,'Raw Data'!O308),"")</f>
        <v/>
      </c>
      <c r="H321" s="14">
        <f>IF(F321&lt;&gt;"",F321-G321,"")</f>
        <v/>
      </c>
      <c r="I321" s="14">
        <f>IF('Raw Data'!A308&lt;&gt;"",AVERAGE('Raw Data'!P308,'Raw Data'!R308,'Raw Data'!T308,'Raw Data'!V308,'Raw Data'!X308),"")</f>
        <v/>
      </c>
      <c r="J321" s="14">
        <f>IF('Raw Data'!A308&lt;&gt;"",AVERAGE('Raw Data'!Q308,'Raw Data'!S308,'Raw Data'!U308,'Raw Data'!W308,'Raw Data'!Y308),"")</f>
        <v/>
      </c>
      <c r="K321" s="14">
        <f>IF(I321&lt;&gt;"",I321-J321,"")</f>
        <v/>
      </c>
      <c r="L321" s="14">
        <f>IF('Raw Data'!A308&lt;&gt;"",AVERAGE('Raw Data'!Z308,'Raw Data'!AB308,'Raw Data'!AD308,'Raw Data'!AF308,'Raw Data'!AH308),"")</f>
        <v/>
      </c>
      <c r="M321" s="14">
        <f>IF('Raw Data'!A308&lt;&gt;"",AVERAGE('Raw Data'!AA308,'Raw Data'!AC308,'Raw Data'!AE308,'Raw Data'!AG308,'Raw Data'!AI308),"")</f>
        <v/>
      </c>
      <c r="N321" s="14">
        <f>IF(L321&lt;&gt;"",L321-M321,"")</f>
        <v/>
      </c>
      <c r="O321" s="14">
        <f>IF('Raw Data'!A308&lt;&gt;"",AVERAGE('Raw Data'!AJ308,'Raw Data'!AL308,'Raw Data'!AN308,'Raw Data'!AP308,'Raw Data'!AR308),"")</f>
        <v/>
      </c>
      <c r="P321" s="14">
        <f>IF('Raw Data'!A308&lt;&gt;"",AVERAGE('Raw Data'!AK308,'Raw Data'!AM308,'Raw Data'!AO308,'Raw Data'!AQ308,'Raw Data'!AS308),"")</f>
        <v/>
      </c>
      <c r="Q321" s="14">
        <f>IF(O321&lt;&gt;"",O321-P321,"")</f>
        <v/>
      </c>
      <c r="R321" s="14">
        <f>IF('Raw Data'!A308&lt;&gt;"",AVERAGE('Raw Data'!AT308,'Raw Data'!AV308,'Raw Data'!AX308,'Raw Data'!AZ308,'Raw Data'!BB308),"")</f>
        <v/>
      </c>
      <c r="S321" s="14">
        <f>IF('Raw Data'!A308&lt;&gt;"",AVERAGE('Raw Data'!AU308,'Raw Data'!AW308,'Raw Data'!AY308,'Raw Data'!BA308,'Raw Data'!BC308),"")</f>
        <v/>
      </c>
      <c r="T321" s="14">
        <f>IF(R321&lt;&gt;"",R321-S321,"")</f>
        <v/>
      </c>
      <c r="U321" s="14">
        <f>IF('Raw Data'!A308&lt;&gt;"",AVERAGE('Raw Data'!BD308,'Raw Data'!BF308,'Raw Data'!BH308,'Raw Data'!BJ308,'Raw Data'!BL308),"")</f>
        <v/>
      </c>
      <c r="V321" s="14">
        <f>IF('Raw Data'!A308&lt;&gt;"",AVERAGE('Raw Data'!BE308,'Raw Data'!BG308,'Raw Data'!BI308,'Raw Data'!BK308,'Raw Data'!BM308),"")</f>
        <v/>
      </c>
      <c r="W321" s="14">
        <f>IF(U321&lt;&gt;"",U321-V321,"")</f>
        <v/>
      </c>
      <c r="X321" s="14">
        <f>IF(A321&lt;&gt;"",AVERAGE(F321,I321,L321,O321,R321,U321),"")</f>
        <v/>
      </c>
      <c r="Y321" s="14">
        <f>IF(A321&lt;&gt;"",AVERAGE(G321,J321,M321,P321,S321,V321),"")</f>
        <v/>
      </c>
      <c r="Z321" s="14">
        <f>IF(A321&lt;&gt;"",X321-Y321,"")</f>
        <v/>
      </c>
      <c r="AA321" s="15">
        <f>IF(A321&lt;&gt;"",ROUND(MIN(100,100*((MAX(0,K321)*0.25)+(MAX(0,Q321)*0.20)+(MAX(0,W321)*0.20)+(MAX(0,H321)*0.15)+(MAX(0,N321)*0.10)+(MAX(0,T321)*0.10))/9),1),"")</f>
        <v/>
      </c>
      <c r="AB321" s="28">
        <f>IF(A321&lt;&gt;"",MIN(1,(0.5*AA321/100)+(0.3*MAX(0,K321)/9)+(0.2*MAX(0,Q321)/9)),"")</f>
        <v/>
      </c>
    </row>
    <row r="322">
      <c r="A322" s="13">
        <f>IF('Raw Data'!A309&lt;&gt;"",'Raw Data'!A309,"")</f>
        <v/>
      </c>
      <c r="B322" s="13">
        <f>IF('Raw Data'!B309&lt;&gt;"",'Raw Data'!B309,"")</f>
        <v/>
      </c>
      <c r="C322" s="13">
        <f>IF('Raw Data'!C309&lt;&gt;"",'Raw Data'!C309,"")</f>
        <v/>
      </c>
      <c r="D322" s="13">
        <f>IF('Raw Data'!D309&lt;&gt;"",'Raw Data'!D309,"")</f>
        <v/>
      </c>
      <c r="E322" s="13">
        <f>IF('Raw Data'!E309&lt;&gt;"",'Raw Data'!E309,"")</f>
        <v/>
      </c>
      <c r="F322" s="17">
        <f>IF('Raw Data'!A309&lt;&gt;"",AVERAGE('Raw Data'!F309,'Raw Data'!H309,'Raw Data'!J309,'Raw Data'!L309,'Raw Data'!N309),"")</f>
        <v/>
      </c>
      <c r="G322" s="17">
        <f>IF('Raw Data'!A309&lt;&gt;"",AVERAGE('Raw Data'!G309,'Raw Data'!I309,'Raw Data'!K309,'Raw Data'!M309,'Raw Data'!O309),"")</f>
        <v/>
      </c>
      <c r="H322" s="17">
        <f>IF(F322&lt;&gt;"",F322-G322,"")</f>
        <v/>
      </c>
      <c r="I322" s="17">
        <f>IF('Raw Data'!A309&lt;&gt;"",AVERAGE('Raw Data'!P309,'Raw Data'!R309,'Raw Data'!T309,'Raw Data'!V309,'Raw Data'!X309),"")</f>
        <v/>
      </c>
      <c r="J322" s="17">
        <f>IF('Raw Data'!A309&lt;&gt;"",AVERAGE('Raw Data'!Q309,'Raw Data'!S309,'Raw Data'!U309,'Raw Data'!W309,'Raw Data'!Y309),"")</f>
        <v/>
      </c>
      <c r="K322" s="17">
        <f>IF(I322&lt;&gt;"",I322-J322,"")</f>
        <v/>
      </c>
      <c r="L322" s="17">
        <f>IF('Raw Data'!A309&lt;&gt;"",AVERAGE('Raw Data'!Z309,'Raw Data'!AB309,'Raw Data'!AD309,'Raw Data'!AF309,'Raw Data'!AH309),"")</f>
        <v/>
      </c>
      <c r="M322" s="17">
        <f>IF('Raw Data'!A309&lt;&gt;"",AVERAGE('Raw Data'!AA309,'Raw Data'!AC309,'Raw Data'!AE309,'Raw Data'!AG309,'Raw Data'!AI309),"")</f>
        <v/>
      </c>
      <c r="N322" s="17">
        <f>IF(L322&lt;&gt;"",L322-M322,"")</f>
        <v/>
      </c>
      <c r="O322" s="17">
        <f>IF('Raw Data'!A309&lt;&gt;"",AVERAGE('Raw Data'!AJ309,'Raw Data'!AL309,'Raw Data'!AN309,'Raw Data'!AP309,'Raw Data'!AR309),"")</f>
        <v/>
      </c>
      <c r="P322" s="17">
        <f>IF('Raw Data'!A309&lt;&gt;"",AVERAGE('Raw Data'!AK309,'Raw Data'!AM309,'Raw Data'!AO309,'Raw Data'!AQ309,'Raw Data'!AS309),"")</f>
        <v/>
      </c>
      <c r="Q322" s="17">
        <f>IF(O322&lt;&gt;"",O322-P322,"")</f>
        <v/>
      </c>
      <c r="R322" s="17">
        <f>IF('Raw Data'!A309&lt;&gt;"",AVERAGE('Raw Data'!AT309,'Raw Data'!AV309,'Raw Data'!AX309,'Raw Data'!AZ309,'Raw Data'!BB309),"")</f>
        <v/>
      </c>
      <c r="S322" s="17">
        <f>IF('Raw Data'!A309&lt;&gt;"",AVERAGE('Raw Data'!AU309,'Raw Data'!AW309,'Raw Data'!AY309,'Raw Data'!BA309,'Raw Data'!BC309),"")</f>
        <v/>
      </c>
      <c r="T322" s="17">
        <f>IF(R322&lt;&gt;"",R322-S322,"")</f>
        <v/>
      </c>
      <c r="U322" s="17">
        <f>IF('Raw Data'!A309&lt;&gt;"",AVERAGE('Raw Data'!BD309,'Raw Data'!BF309,'Raw Data'!BH309,'Raw Data'!BJ309,'Raw Data'!BL309),"")</f>
        <v/>
      </c>
      <c r="V322" s="17">
        <f>IF('Raw Data'!A309&lt;&gt;"",AVERAGE('Raw Data'!BE309,'Raw Data'!BG309,'Raw Data'!BI309,'Raw Data'!BK309,'Raw Data'!BM309),"")</f>
        <v/>
      </c>
      <c r="W322" s="17">
        <f>IF(U322&lt;&gt;"",U322-V322,"")</f>
        <v/>
      </c>
      <c r="X322" s="17">
        <f>IF(A322&lt;&gt;"",AVERAGE(F322,I322,L322,O322,R322,U322),"")</f>
        <v/>
      </c>
      <c r="Y322" s="17">
        <f>IF(A322&lt;&gt;"",AVERAGE(G322,J322,M322,P322,S322,V322),"")</f>
        <v/>
      </c>
      <c r="Z322" s="17">
        <f>IF(A322&lt;&gt;"",X322-Y322,"")</f>
        <v/>
      </c>
      <c r="AA322" s="18">
        <f>IF(A322&lt;&gt;"",ROUND(MIN(100,100*((MAX(0,K322)*0.25)+(MAX(0,Q322)*0.20)+(MAX(0,W322)*0.20)+(MAX(0,H322)*0.15)+(MAX(0,N322)*0.10)+(MAX(0,T322)*0.10))/9),1),"")</f>
        <v/>
      </c>
      <c r="AB322" s="29">
        <f>IF(A322&lt;&gt;"",MIN(1,(0.5*AA322/100)+(0.3*MAX(0,K322)/9)+(0.2*MAX(0,Q322)/9)),"")</f>
        <v/>
      </c>
    </row>
    <row r="323">
      <c r="A323" s="4">
        <f>IF('Raw Data'!A310&lt;&gt;"",'Raw Data'!A310,"")</f>
        <v/>
      </c>
      <c r="B323" s="4">
        <f>IF('Raw Data'!B310&lt;&gt;"",'Raw Data'!B310,"")</f>
        <v/>
      </c>
      <c r="C323" s="4">
        <f>IF('Raw Data'!C310&lt;&gt;"",'Raw Data'!C310,"")</f>
        <v/>
      </c>
      <c r="D323" s="4">
        <f>IF('Raw Data'!D310&lt;&gt;"",'Raw Data'!D310,"")</f>
        <v/>
      </c>
      <c r="E323" s="4">
        <f>IF('Raw Data'!E310&lt;&gt;"",'Raw Data'!E310,"")</f>
        <v/>
      </c>
      <c r="F323" s="14">
        <f>IF('Raw Data'!A310&lt;&gt;"",AVERAGE('Raw Data'!F310,'Raw Data'!H310,'Raw Data'!J310,'Raw Data'!L310,'Raw Data'!N310),"")</f>
        <v/>
      </c>
      <c r="G323" s="14">
        <f>IF('Raw Data'!A310&lt;&gt;"",AVERAGE('Raw Data'!G310,'Raw Data'!I310,'Raw Data'!K310,'Raw Data'!M310,'Raw Data'!O310),"")</f>
        <v/>
      </c>
      <c r="H323" s="14">
        <f>IF(F323&lt;&gt;"",F323-G323,"")</f>
        <v/>
      </c>
      <c r="I323" s="14">
        <f>IF('Raw Data'!A310&lt;&gt;"",AVERAGE('Raw Data'!P310,'Raw Data'!R310,'Raw Data'!T310,'Raw Data'!V310,'Raw Data'!X310),"")</f>
        <v/>
      </c>
      <c r="J323" s="14">
        <f>IF('Raw Data'!A310&lt;&gt;"",AVERAGE('Raw Data'!Q310,'Raw Data'!S310,'Raw Data'!U310,'Raw Data'!W310,'Raw Data'!Y310),"")</f>
        <v/>
      </c>
      <c r="K323" s="14">
        <f>IF(I323&lt;&gt;"",I323-J323,"")</f>
        <v/>
      </c>
      <c r="L323" s="14">
        <f>IF('Raw Data'!A310&lt;&gt;"",AVERAGE('Raw Data'!Z310,'Raw Data'!AB310,'Raw Data'!AD310,'Raw Data'!AF310,'Raw Data'!AH310),"")</f>
        <v/>
      </c>
      <c r="M323" s="14">
        <f>IF('Raw Data'!A310&lt;&gt;"",AVERAGE('Raw Data'!AA310,'Raw Data'!AC310,'Raw Data'!AE310,'Raw Data'!AG310,'Raw Data'!AI310),"")</f>
        <v/>
      </c>
      <c r="N323" s="14">
        <f>IF(L323&lt;&gt;"",L323-M323,"")</f>
        <v/>
      </c>
      <c r="O323" s="14">
        <f>IF('Raw Data'!A310&lt;&gt;"",AVERAGE('Raw Data'!AJ310,'Raw Data'!AL310,'Raw Data'!AN310,'Raw Data'!AP310,'Raw Data'!AR310),"")</f>
        <v/>
      </c>
      <c r="P323" s="14">
        <f>IF('Raw Data'!A310&lt;&gt;"",AVERAGE('Raw Data'!AK310,'Raw Data'!AM310,'Raw Data'!AO310,'Raw Data'!AQ310,'Raw Data'!AS310),"")</f>
        <v/>
      </c>
      <c r="Q323" s="14">
        <f>IF(O323&lt;&gt;"",O323-P323,"")</f>
        <v/>
      </c>
      <c r="R323" s="14">
        <f>IF('Raw Data'!A310&lt;&gt;"",AVERAGE('Raw Data'!AT310,'Raw Data'!AV310,'Raw Data'!AX310,'Raw Data'!AZ310,'Raw Data'!BB310),"")</f>
        <v/>
      </c>
      <c r="S323" s="14">
        <f>IF('Raw Data'!A310&lt;&gt;"",AVERAGE('Raw Data'!AU310,'Raw Data'!AW310,'Raw Data'!AY310,'Raw Data'!BA310,'Raw Data'!BC310),"")</f>
        <v/>
      </c>
      <c r="T323" s="14">
        <f>IF(R323&lt;&gt;"",R323-S323,"")</f>
        <v/>
      </c>
      <c r="U323" s="14">
        <f>IF('Raw Data'!A310&lt;&gt;"",AVERAGE('Raw Data'!BD310,'Raw Data'!BF310,'Raw Data'!BH310,'Raw Data'!BJ310,'Raw Data'!BL310),"")</f>
        <v/>
      </c>
      <c r="V323" s="14">
        <f>IF('Raw Data'!A310&lt;&gt;"",AVERAGE('Raw Data'!BE310,'Raw Data'!BG310,'Raw Data'!BI310,'Raw Data'!BK310,'Raw Data'!BM310),"")</f>
        <v/>
      </c>
      <c r="W323" s="14">
        <f>IF(U323&lt;&gt;"",U323-V323,"")</f>
        <v/>
      </c>
      <c r="X323" s="14">
        <f>IF(A323&lt;&gt;"",AVERAGE(F323,I323,L323,O323,R323,U323),"")</f>
        <v/>
      </c>
      <c r="Y323" s="14">
        <f>IF(A323&lt;&gt;"",AVERAGE(G323,J323,M323,P323,S323,V323),"")</f>
        <v/>
      </c>
      <c r="Z323" s="14">
        <f>IF(A323&lt;&gt;"",X323-Y323,"")</f>
        <v/>
      </c>
      <c r="AA323" s="15">
        <f>IF(A323&lt;&gt;"",ROUND(MIN(100,100*((MAX(0,K323)*0.25)+(MAX(0,Q323)*0.20)+(MAX(0,W323)*0.20)+(MAX(0,H323)*0.15)+(MAX(0,N323)*0.10)+(MAX(0,T323)*0.10))/9),1),"")</f>
        <v/>
      </c>
      <c r="AB323" s="28">
        <f>IF(A323&lt;&gt;"",MIN(1,(0.5*AA323/100)+(0.3*MAX(0,K323)/9)+(0.2*MAX(0,Q323)/9)),"")</f>
        <v/>
      </c>
    </row>
    <row r="324">
      <c r="A324" s="13">
        <f>IF('Raw Data'!A311&lt;&gt;"",'Raw Data'!A311,"")</f>
        <v/>
      </c>
      <c r="B324" s="13">
        <f>IF('Raw Data'!B311&lt;&gt;"",'Raw Data'!B311,"")</f>
        <v/>
      </c>
      <c r="C324" s="13">
        <f>IF('Raw Data'!C311&lt;&gt;"",'Raw Data'!C311,"")</f>
        <v/>
      </c>
      <c r="D324" s="13">
        <f>IF('Raw Data'!D311&lt;&gt;"",'Raw Data'!D311,"")</f>
        <v/>
      </c>
      <c r="E324" s="13">
        <f>IF('Raw Data'!E311&lt;&gt;"",'Raw Data'!E311,"")</f>
        <v/>
      </c>
      <c r="F324" s="17">
        <f>IF('Raw Data'!A311&lt;&gt;"",AVERAGE('Raw Data'!F311,'Raw Data'!H311,'Raw Data'!J311,'Raw Data'!L311,'Raw Data'!N311),"")</f>
        <v/>
      </c>
      <c r="G324" s="17">
        <f>IF('Raw Data'!A311&lt;&gt;"",AVERAGE('Raw Data'!G311,'Raw Data'!I311,'Raw Data'!K311,'Raw Data'!M311,'Raw Data'!O311),"")</f>
        <v/>
      </c>
      <c r="H324" s="17">
        <f>IF(F324&lt;&gt;"",F324-G324,"")</f>
        <v/>
      </c>
      <c r="I324" s="17">
        <f>IF('Raw Data'!A311&lt;&gt;"",AVERAGE('Raw Data'!P311,'Raw Data'!R311,'Raw Data'!T311,'Raw Data'!V311,'Raw Data'!X311),"")</f>
        <v/>
      </c>
      <c r="J324" s="17">
        <f>IF('Raw Data'!A311&lt;&gt;"",AVERAGE('Raw Data'!Q311,'Raw Data'!S311,'Raw Data'!U311,'Raw Data'!W311,'Raw Data'!Y311),"")</f>
        <v/>
      </c>
      <c r="K324" s="17">
        <f>IF(I324&lt;&gt;"",I324-J324,"")</f>
        <v/>
      </c>
      <c r="L324" s="17">
        <f>IF('Raw Data'!A311&lt;&gt;"",AVERAGE('Raw Data'!Z311,'Raw Data'!AB311,'Raw Data'!AD311,'Raw Data'!AF311,'Raw Data'!AH311),"")</f>
        <v/>
      </c>
      <c r="M324" s="17">
        <f>IF('Raw Data'!A311&lt;&gt;"",AVERAGE('Raw Data'!AA311,'Raw Data'!AC311,'Raw Data'!AE311,'Raw Data'!AG311,'Raw Data'!AI311),"")</f>
        <v/>
      </c>
      <c r="N324" s="17">
        <f>IF(L324&lt;&gt;"",L324-M324,"")</f>
        <v/>
      </c>
      <c r="O324" s="17">
        <f>IF('Raw Data'!A311&lt;&gt;"",AVERAGE('Raw Data'!AJ311,'Raw Data'!AL311,'Raw Data'!AN311,'Raw Data'!AP311,'Raw Data'!AR311),"")</f>
        <v/>
      </c>
      <c r="P324" s="17">
        <f>IF('Raw Data'!A311&lt;&gt;"",AVERAGE('Raw Data'!AK311,'Raw Data'!AM311,'Raw Data'!AO311,'Raw Data'!AQ311,'Raw Data'!AS311),"")</f>
        <v/>
      </c>
      <c r="Q324" s="17">
        <f>IF(O324&lt;&gt;"",O324-P324,"")</f>
        <v/>
      </c>
      <c r="R324" s="17">
        <f>IF('Raw Data'!A311&lt;&gt;"",AVERAGE('Raw Data'!AT311,'Raw Data'!AV311,'Raw Data'!AX311,'Raw Data'!AZ311,'Raw Data'!BB311),"")</f>
        <v/>
      </c>
      <c r="S324" s="17">
        <f>IF('Raw Data'!A311&lt;&gt;"",AVERAGE('Raw Data'!AU311,'Raw Data'!AW311,'Raw Data'!AY311,'Raw Data'!BA311,'Raw Data'!BC311),"")</f>
        <v/>
      </c>
      <c r="T324" s="17">
        <f>IF(R324&lt;&gt;"",R324-S324,"")</f>
        <v/>
      </c>
      <c r="U324" s="17">
        <f>IF('Raw Data'!A311&lt;&gt;"",AVERAGE('Raw Data'!BD311,'Raw Data'!BF311,'Raw Data'!BH311,'Raw Data'!BJ311,'Raw Data'!BL311),"")</f>
        <v/>
      </c>
      <c r="V324" s="17">
        <f>IF('Raw Data'!A311&lt;&gt;"",AVERAGE('Raw Data'!BE311,'Raw Data'!BG311,'Raw Data'!BI311,'Raw Data'!BK311,'Raw Data'!BM311),"")</f>
        <v/>
      </c>
      <c r="W324" s="17">
        <f>IF(U324&lt;&gt;"",U324-V324,"")</f>
        <v/>
      </c>
      <c r="X324" s="17">
        <f>IF(A324&lt;&gt;"",AVERAGE(F324,I324,L324,O324,R324,U324),"")</f>
        <v/>
      </c>
      <c r="Y324" s="17">
        <f>IF(A324&lt;&gt;"",AVERAGE(G324,J324,M324,P324,S324,V324),"")</f>
        <v/>
      </c>
      <c r="Z324" s="17">
        <f>IF(A324&lt;&gt;"",X324-Y324,"")</f>
        <v/>
      </c>
      <c r="AA324" s="18">
        <f>IF(A324&lt;&gt;"",ROUND(MIN(100,100*((MAX(0,K324)*0.25)+(MAX(0,Q324)*0.20)+(MAX(0,W324)*0.20)+(MAX(0,H324)*0.15)+(MAX(0,N324)*0.10)+(MAX(0,T324)*0.10))/9),1),"")</f>
        <v/>
      </c>
      <c r="AB324" s="29">
        <f>IF(A324&lt;&gt;"",MIN(1,(0.5*AA324/100)+(0.3*MAX(0,K324)/9)+(0.2*MAX(0,Q324)/9)),"")</f>
        <v/>
      </c>
    </row>
    <row r="325">
      <c r="A325" s="4">
        <f>IF('Raw Data'!A312&lt;&gt;"",'Raw Data'!A312,"")</f>
        <v/>
      </c>
      <c r="B325" s="4">
        <f>IF('Raw Data'!B312&lt;&gt;"",'Raw Data'!B312,"")</f>
        <v/>
      </c>
      <c r="C325" s="4">
        <f>IF('Raw Data'!C312&lt;&gt;"",'Raw Data'!C312,"")</f>
        <v/>
      </c>
      <c r="D325" s="4">
        <f>IF('Raw Data'!D312&lt;&gt;"",'Raw Data'!D312,"")</f>
        <v/>
      </c>
      <c r="E325" s="4">
        <f>IF('Raw Data'!E312&lt;&gt;"",'Raw Data'!E312,"")</f>
        <v/>
      </c>
      <c r="F325" s="14">
        <f>IF('Raw Data'!A312&lt;&gt;"",AVERAGE('Raw Data'!F312,'Raw Data'!H312,'Raw Data'!J312,'Raw Data'!L312,'Raw Data'!N312),"")</f>
        <v/>
      </c>
      <c r="G325" s="14">
        <f>IF('Raw Data'!A312&lt;&gt;"",AVERAGE('Raw Data'!G312,'Raw Data'!I312,'Raw Data'!K312,'Raw Data'!M312,'Raw Data'!O312),"")</f>
        <v/>
      </c>
      <c r="H325" s="14">
        <f>IF(F325&lt;&gt;"",F325-G325,"")</f>
        <v/>
      </c>
      <c r="I325" s="14">
        <f>IF('Raw Data'!A312&lt;&gt;"",AVERAGE('Raw Data'!P312,'Raw Data'!R312,'Raw Data'!T312,'Raw Data'!V312,'Raw Data'!X312),"")</f>
        <v/>
      </c>
      <c r="J325" s="14">
        <f>IF('Raw Data'!A312&lt;&gt;"",AVERAGE('Raw Data'!Q312,'Raw Data'!S312,'Raw Data'!U312,'Raw Data'!W312,'Raw Data'!Y312),"")</f>
        <v/>
      </c>
      <c r="K325" s="14">
        <f>IF(I325&lt;&gt;"",I325-J325,"")</f>
        <v/>
      </c>
      <c r="L325" s="14">
        <f>IF('Raw Data'!A312&lt;&gt;"",AVERAGE('Raw Data'!Z312,'Raw Data'!AB312,'Raw Data'!AD312,'Raw Data'!AF312,'Raw Data'!AH312),"")</f>
        <v/>
      </c>
      <c r="M325" s="14">
        <f>IF('Raw Data'!A312&lt;&gt;"",AVERAGE('Raw Data'!AA312,'Raw Data'!AC312,'Raw Data'!AE312,'Raw Data'!AG312,'Raw Data'!AI312),"")</f>
        <v/>
      </c>
      <c r="N325" s="14">
        <f>IF(L325&lt;&gt;"",L325-M325,"")</f>
        <v/>
      </c>
      <c r="O325" s="14">
        <f>IF('Raw Data'!A312&lt;&gt;"",AVERAGE('Raw Data'!AJ312,'Raw Data'!AL312,'Raw Data'!AN312,'Raw Data'!AP312,'Raw Data'!AR312),"")</f>
        <v/>
      </c>
      <c r="P325" s="14">
        <f>IF('Raw Data'!A312&lt;&gt;"",AVERAGE('Raw Data'!AK312,'Raw Data'!AM312,'Raw Data'!AO312,'Raw Data'!AQ312,'Raw Data'!AS312),"")</f>
        <v/>
      </c>
      <c r="Q325" s="14">
        <f>IF(O325&lt;&gt;"",O325-P325,"")</f>
        <v/>
      </c>
      <c r="R325" s="14">
        <f>IF('Raw Data'!A312&lt;&gt;"",AVERAGE('Raw Data'!AT312,'Raw Data'!AV312,'Raw Data'!AX312,'Raw Data'!AZ312,'Raw Data'!BB312),"")</f>
        <v/>
      </c>
      <c r="S325" s="14">
        <f>IF('Raw Data'!A312&lt;&gt;"",AVERAGE('Raw Data'!AU312,'Raw Data'!AW312,'Raw Data'!AY312,'Raw Data'!BA312,'Raw Data'!BC312),"")</f>
        <v/>
      </c>
      <c r="T325" s="14">
        <f>IF(R325&lt;&gt;"",R325-S325,"")</f>
        <v/>
      </c>
      <c r="U325" s="14">
        <f>IF('Raw Data'!A312&lt;&gt;"",AVERAGE('Raw Data'!BD312,'Raw Data'!BF312,'Raw Data'!BH312,'Raw Data'!BJ312,'Raw Data'!BL312),"")</f>
        <v/>
      </c>
      <c r="V325" s="14">
        <f>IF('Raw Data'!A312&lt;&gt;"",AVERAGE('Raw Data'!BE312,'Raw Data'!BG312,'Raw Data'!BI312,'Raw Data'!BK312,'Raw Data'!BM312),"")</f>
        <v/>
      </c>
      <c r="W325" s="14">
        <f>IF(U325&lt;&gt;"",U325-V325,"")</f>
        <v/>
      </c>
      <c r="X325" s="14">
        <f>IF(A325&lt;&gt;"",AVERAGE(F325,I325,L325,O325,R325,U325),"")</f>
        <v/>
      </c>
      <c r="Y325" s="14">
        <f>IF(A325&lt;&gt;"",AVERAGE(G325,J325,M325,P325,S325,V325),"")</f>
        <v/>
      </c>
      <c r="Z325" s="14">
        <f>IF(A325&lt;&gt;"",X325-Y325,"")</f>
        <v/>
      </c>
      <c r="AA325" s="15">
        <f>IF(A325&lt;&gt;"",ROUND(MIN(100,100*((MAX(0,K325)*0.25)+(MAX(0,Q325)*0.20)+(MAX(0,W325)*0.20)+(MAX(0,H325)*0.15)+(MAX(0,N325)*0.10)+(MAX(0,T325)*0.10))/9),1),"")</f>
        <v/>
      </c>
      <c r="AB325" s="28">
        <f>IF(A325&lt;&gt;"",MIN(1,(0.5*AA325/100)+(0.3*MAX(0,K325)/9)+(0.2*MAX(0,Q325)/9)),"")</f>
        <v/>
      </c>
    </row>
    <row r="326">
      <c r="A326" s="13">
        <f>IF('Raw Data'!A313&lt;&gt;"",'Raw Data'!A313,"")</f>
        <v/>
      </c>
      <c r="B326" s="13">
        <f>IF('Raw Data'!B313&lt;&gt;"",'Raw Data'!B313,"")</f>
        <v/>
      </c>
      <c r="C326" s="13">
        <f>IF('Raw Data'!C313&lt;&gt;"",'Raw Data'!C313,"")</f>
        <v/>
      </c>
      <c r="D326" s="13">
        <f>IF('Raw Data'!D313&lt;&gt;"",'Raw Data'!D313,"")</f>
        <v/>
      </c>
      <c r="E326" s="13">
        <f>IF('Raw Data'!E313&lt;&gt;"",'Raw Data'!E313,"")</f>
        <v/>
      </c>
      <c r="F326" s="17">
        <f>IF('Raw Data'!A313&lt;&gt;"",AVERAGE('Raw Data'!F313,'Raw Data'!H313,'Raw Data'!J313,'Raw Data'!L313,'Raw Data'!N313),"")</f>
        <v/>
      </c>
      <c r="G326" s="17">
        <f>IF('Raw Data'!A313&lt;&gt;"",AVERAGE('Raw Data'!G313,'Raw Data'!I313,'Raw Data'!K313,'Raw Data'!M313,'Raw Data'!O313),"")</f>
        <v/>
      </c>
      <c r="H326" s="17">
        <f>IF(F326&lt;&gt;"",F326-G326,"")</f>
        <v/>
      </c>
      <c r="I326" s="17">
        <f>IF('Raw Data'!A313&lt;&gt;"",AVERAGE('Raw Data'!P313,'Raw Data'!R313,'Raw Data'!T313,'Raw Data'!V313,'Raw Data'!X313),"")</f>
        <v/>
      </c>
      <c r="J326" s="17">
        <f>IF('Raw Data'!A313&lt;&gt;"",AVERAGE('Raw Data'!Q313,'Raw Data'!S313,'Raw Data'!U313,'Raw Data'!W313,'Raw Data'!Y313),"")</f>
        <v/>
      </c>
      <c r="K326" s="17">
        <f>IF(I326&lt;&gt;"",I326-J326,"")</f>
        <v/>
      </c>
      <c r="L326" s="17">
        <f>IF('Raw Data'!A313&lt;&gt;"",AVERAGE('Raw Data'!Z313,'Raw Data'!AB313,'Raw Data'!AD313,'Raw Data'!AF313,'Raw Data'!AH313),"")</f>
        <v/>
      </c>
      <c r="M326" s="17">
        <f>IF('Raw Data'!A313&lt;&gt;"",AVERAGE('Raw Data'!AA313,'Raw Data'!AC313,'Raw Data'!AE313,'Raw Data'!AG313,'Raw Data'!AI313),"")</f>
        <v/>
      </c>
      <c r="N326" s="17">
        <f>IF(L326&lt;&gt;"",L326-M326,"")</f>
        <v/>
      </c>
      <c r="O326" s="17">
        <f>IF('Raw Data'!A313&lt;&gt;"",AVERAGE('Raw Data'!AJ313,'Raw Data'!AL313,'Raw Data'!AN313,'Raw Data'!AP313,'Raw Data'!AR313),"")</f>
        <v/>
      </c>
      <c r="P326" s="17">
        <f>IF('Raw Data'!A313&lt;&gt;"",AVERAGE('Raw Data'!AK313,'Raw Data'!AM313,'Raw Data'!AO313,'Raw Data'!AQ313,'Raw Data'!AS313),"")</f>
        <v/>
      </c>
      <c r="Q326" s="17">
        <f>IF(O326&lt;&gt;"",O326-P326,"")</f>
        <v/>
      </c>
      <c r="R326" s="17">
        <f>IF('Raw Data'!A313&lt;&gt;"",AVERAGE('Raw Data'!AT313,'Raw Data'!AV313,'Raw Data'!AX313,'Raw Data'!AZ313,'Raw Data'!BB313),"")</f>
        <v/>
      </c>
      <c r="S326" s="17">
        <f>IF('Raw Data'!A313&lt;&gt;"",AVERAGE('Raw Data'!AU313,'Raw Data'!AW313,'Raw Data'!AY313,'Raw Data'!BA313,'Raw Data'!BC313),"")</f>
        <v/>
      </c>
      <c r="T326" s="17">
        <f>IF(R326&lt;&gt;"",R326-S326,"")</f>
        <v/>
      </c>
      <c r="U326" s="17">
        <f>IF('Raw Data'!A313&lt;&gt;"",AVERAGE('Raw Data'!BD313,'Raw Data'!BF313,'Raw Data'!BH313,'Raw Data'!BJ313,'Raw Data'!BL313),"")</f>
        <v/>
      </c>
      <c r="V326" s="17">
        <f>IF('Raw Data'!A313&lt;&gt;"",AVERAGE('Raw Data'!BE313,'Raw Data'!BG313,'Raw Data'!BI313,'Raw Data'!BK313,'Raw Data'!BM313),"")</f>
        <v/>
      </c>
      <c r="W326" s="17">
        <f>IF(U326&lt;&gt;"",U326-V326,"")</f>
        <v/>
      </c>
      <c r="X326" s="17">
        <f>IF(A326&lt;&gt;"",AVERAGE(F326,I326,L326,O326,R326,U326),"")</f>
        <v/>
      </c>
      <c r="Y326" s="17">
        <f>IF(A326&lt;&gt;"",AVERAGE(G326,J326,M326,P326,S326,V326),"")</f>
        <v/>
      </c>
      <c r="Z326" s="17">
        <f>IF(A326&lt;&gt;"",X326-Y326,"")</f>
        <v/>
      </c>
      <c r="AA326" s="18">
        <f>IF(A326&lt;&gt;"",ROUND(MIN(100,100*((MAX(0,K326)*0.25)+(MAX(0,Q326)*0.20)+(MAX(0,W326)*0.20)+(MAX(0,H326)*0.15)+(MAX(0,N326)*0.10)+(MAX(0,T326)*0.10))/9),1),"")</f>
        <v/>
      </c>
      <c r="AB326" s="29">
        <f>IF(A326&lt;&gt;"",MIN(1,(0.5*AA326/100)+(0.3*MAX(0,K326)/9)+(0.2*MAX(0,Q326)/9)),"")</f>
        <v/>
      </c>
    </row>
    <row r="327">
      <c r="A327" s="4">
        <f>IF('Raw Data'!A314&lt;&gt;"",'Raw Data'!A314,"")</f>
        <v/>
      </c>
      <c r="B327" s="4">
        <f>IF('Raw Data'!B314&lt;&gt;"",'Raw Data'!B314,"")</f>
        <v/>
      </c>
      <c r="C327" s="4">
        <f>IF('Raw Data'!C314&lt;&gt;"",'Raw Data'!C314,"")</f>
        <v/>
      </c>
      <c r="D327" s="4">
        <f>IF('Raw Data'!D314&lt;&gt;"",'Raw Data'!D314,"")</f>
        <v/>
      </c>
      <c r="E327" s="4">
        <f>IF('Raw Data'!E314&lt;&gt;"",'Raw Data'!E314,"")</f>
        <v/>
      </c>
      <c r="F327" s="14">
        <f>IF('Raw Data'!A314&lt;&gt;"",AVERAGE('Raw Data'!F314,'Raw Data'!H314,'Raw Data'!J314,'Raw Data'!L314,'Raw Data'!N314),"")</f>
        <v/>
      </c>
      <c r="G327" s="14">
        <f>IF('Raw Data'!A314&lt;&gt;"",AVERAGE('Raw Data'!G314,'Raw Data'!I314,'Raw Data'!K314,'Raw Data'!M314,'Raw Data'!O314),"")</f>
        <v/>
      </c>
      <c r="H327" s="14">
        <f>IF(F327&lt;&gt;"",F327-G327,"")</f>
        <v/>
      </c>
      <c r="I327" s="14">
        <f>IF('Raw Data'!A314&lt;&gt;"",AVERAGE('Raw Data'!P314,'Raw Data'!R314,'Raw Data'!T314,'Raw Data'!V314,'Raw Data'!X314),"")</f>
        <v/>
      </c>
      <c r="J327" s="14">
        <f>IF('Raw Data'!A314&lt;&gt;"",AVERAGE('Raw Data'!Q314,'Raw Data'!S314,'Raw Data'!U314,'Raw Data'!W314,'Raw Data'!Y314),"")</f>
        <v/>
      </c>
      <c r="K327" s="14">
        <f>IF(I327&lt;&gt;"",I327-J327,"")</f>
        <v/>
      </c>
      <c r="L327" s="14">
        <f>IF('Raw Data'!A314&lt;&gt;"",AVERAGE('Raw Data'!Z314,'Raw Data'!AB314,'Raw Data'!AD314,'Raw Data'!AF314,'Raw Data'!AH314),"")</f>
        <v/>
      </c>
      <c r="M327" s="14">
        <f>IF('Raw Data'!A314&lt;&gt;"",AVERAGE('Raw Data'!AA314,'Raw Data'!AC314,'Raw Data'!AE314,'Raw Data'!AG314,'Raw Data'!AI314),"")</f>
        <v/>
      </c>
      <c r="N327" s="14">
        <f>IF(L327&lt;&gt;"",L327-M327,"")</f>
        <v/>
      </c>
      <c r="O327" s="14">
        <f>IF('Raw Data'!A314&lt;&gt;"",AVERAGE('Raw Data'!AJ314,'Raw Data'!AL314,'Raw Data'!AN314,'Raw Data'!AP314,'Raw Data'!AR314),"")</f>
        <v/>
      </c>
      <c r="P327" s="14">
        <f>IF('Raw Data'!A314&lt;&gt;"",AVERAGE('Raw Data'!AK314,'Raw Data'!AM314,'Raw Data'!AO314,'Raw Data'!AQ314,'Raw Data'!AS314),"")</f>
        <v/>
      </c>
      <c r="Q327" s="14">
        <f>IF(O327&lt;&gt;"",O327-P327,"")</f>
        <v/>
      </c>
      <c r="R327" s="14">
        <f>IF('Raw Data'!A314&lt;&gt;"",AVERAGE('Raw Data'!AT314,'Raw Data'!AV314,'Raw Data'!AX314,'Raw Data'!AZ314,'Raw Data'!BB314),"")</f>
        <v/>
      </c>
      <c r="S327" s="14">
        <f>IF('Raw Data'!A314&lt;&gt;"",AVERAGE('Raw Data'!AU314,'Raw Data'!AW314,'Raw Data'!AY314,'Raw Data'!BA314,'Raw Data'!BC314),"")</f>
        <v/>
      </c>
      <c r="T327" s="14">
        <f>IF(R327&lt;&gt;"",R327-S327,"")</f>
        <v/>
      </c>
      <c r="U327" s="14">
        <f>IF('Raw Data'!A314&lt;&gt;"",AVERAGE('Raw Data'!BD314,'Raw Data'!BF314,'Raw Data'!BH314,'Raw Data'!BJ314,'Raw Data'!BL314),"")</f>
        <v/>
      </c>
      <c r="V327" s="14">
        <f>IF('Raw Data'!A314&lt;&gt;"",AVERAGE('Raw Data'!BE314,'Raw Data'!BG314,'Raw Data'!BI314,'Raw Data'!BK314,'Raw Data'!BM314),"")</f>
        <v/>
      </c>
      <c r="W327" s="14">
        <f>IF(U327&lt;&gt;"",U327-V327,"")</f>
        <v/>
      </c>
      <c r="X327" s="14">
        <f>IF(A327&lt;&gt;"",AVERAGE(F327,I327,L327,O327,R327,U327),"")</f>
        <v/>
      </c>
      <c r="Y327" s="14">
        <f>IF(A327&lt;&gt;"",AVERAGE(G327,J327,M327,P327,S327,V327),"")</f>
        <v/>
      </c>
      <c r="Z327" s="14">
        <f>IF(A327&lt;&gt;"",X327-Y327,"")</f>
        <v/>
      </c>
      <c r="AA327" s="15">
        <f>IF(A327&lt;&gt;"",ROUND(MIN(100,100*((MAX(0,K327)*0.25)+(MAX(0,Q327)*0.20)+(MAX(0,W327)*0.20)+(MAX(0,H327)*0.15)+(MAX(0,N327)*0.10)+(MAX(0,T327)*0.10))/9),1),"")</f>
        <v/>
      </c>
      <c r="AB327" s="28">
        <f>IF(A327&lt;&gt;"",MIN(1,(0.5*AA327/100)+(0.3*MAX(0,K327)/9)+(0.2*MAX(0,Q327)/9)),"")</f>
        <v/>
      </c>
    </row>
    <row r="328">
      <c r="A328" s="13">
        <f>IF('Raw Data'!A315&lt;&gt;"",'Raw Data'!A315,"")</f>
        <v/>
      </c>
      <c r="B328" s="13">
        <f>IF('Raw Data'!B315&lt;&gt;"",'Raw Data'!B315,"")</f>
        <v/>
      </c>
      <c r="C328" s="13">
        <f>IF('Raw Data'!C315&lt;&gt;"",'Raw Data'!C315,"")</f>
        <v/>
      </c>
      <c r="D328" s="13">
        <f>IF('Raw Data'!D315&lt;&gt;"",'Raw Data'!D315,"")</f>
        <v/>
      </c>
      <c r="E328" s="13">
        <f>IF('Raw Data'!E315&lt;&gt;"",'Raw Data'!E315,"")</f>
        <v/>
      </c>
      <c r="F328" s="17">
        <f>IF('Raw Data'!A315&lt;&gt;"",AVERAGE('Raw Data'!F315,'Raw Data'!H315,'Raw Data'!J315,'Raw Data'!L315,'Raw Data'!N315),"")</f>
        <v/>
      </c>
      <c r="G328" s="17">
        <f>IF('Raw Data'!A315&lt;&gt;"",AVERAGE('Raw Data'!G315,'Raw Data'!I315,'Raw Data'!K315,'Raw Data'!M315,'Raw Data'!O315),"")</f>
        <v/>
      </c>
      <c r="H328" s="17">
        <f>IF(F328&lt;&gt;"",F328-G328,"")</f>
        <v/>
      </c>
      <c r="I328" s="17">
        <f>IF('Raw Data'!A315&lt;&gt;"",AVERAGE('Raw Data'!P315,'Raw Data'!R315,'Raw Data'!T315,'Raw Data'!V315,'Raw Data'!X315),"")</f>
        <v/>
      </c>
      <c r="J328" s="17">
        <f>IF('Raw Data'!A315&lt;&gt;"",AVERAGE('Raw Data'!Q315,'Raw Data'!S315,'Raw Data'!U315,'Raw Data'!W315,'Raw Data'!Y315),"")</f>
        <v/>
      </c>
      <c r="K328" s="17">
        <f>IF(I328&lt;&gt;"",I328-J328,"")</f>
        <v/>
      </c>
      <c r="L328" s="17">
        <f>IF('Raw Data'!A315&lt;&gt;"",AVERAGE('Raw Data'!Z315,'Raw Data'!AB315,'Raw Data'!AD315,'Raw Data'!AF315,'Raw Data'!AH315),"")</f>
        <v/>
      </c>
      <c r="M328" s="17">
        <f>IF('Raw Data'!A315&lt;&gt;"",AVERAGE('Raw Data'!AA315,'Raw Data'!AC315,'Raw Data'!AE315,'Raw Data'!AG315,'Raw Data'!AI315),"")</f>
        <v/>
      </c>
      <c r="N328" s="17">
        <f>IF(L328&lt;&gt;"",L328-M328,"")</f>
        <v/>
      </c>
      <c r="O328" s="17">
        <f>IF('Raw Data'!A315&lt;&gt;"",AVERAGE('Raw Data'!AJ315,'Raw Data'!AL315,'Raw Data'!AN315,'Raw Data'!AP315,'Raw Data'!AR315),"")</f>
        <v/>
      </c>
      <c r="P328" s="17">
        <f>IF('Raw Data'!A315&lt;&gt;"",AVERAGE('Raw Data'!AK315,'Raw Data'!AM315,'Raw Data'!AO315,'Raw Data'!AQ315,'Raw Data'!AS315),"")</f>
        <v/>
      </c>
      <c r="Q328" s="17">
        <f>IF(O328&lt;&gt;"",O328-P328,"")</f>
        <v/>
      </c>
      <c r="R328" s="17">
        <f>IF('Raw Data'!A315&lt;&gt;"",AVERAGE('Raw Data'!AT315,'Raw Data'!AV315,'Raw Data'!AX315,'Raw Data'!AZ315,'Raw Data'!BB315),"")</f>
        <v/>
      </c>
      <c r="S328" s="17">
        <f>IF('Raw Data'!A315&lt;&gt;"",AVERAGE('Raw Data'!AU315,'Raw Data'!AW315,'Raw Data'!AY315,'Raw Data'!BA315,'Raw Data'!BC315),"")</f>
        <v/>
      </c>
      <c r="T328" s="17">
        <f>IF(R328&lt;&gt;"",R328-S328,"")</f>
        <v/>
      </c>
      <c r="U328" s="17">
        <f>IF('Raw Data'!A315&lt;&gt;"",AVERAGE('Raw Data'!BD315,'Raw Data'!BF315,'Raw Data'!BH315,'Raw Data'!BJ315,'Raw Data'!BL315),"")</f>
        <v/>
      </c>
      <c r="V328" s="17">
        <f>IF('Raw Data'!A315&lt;&gt;"",AVERAGE('Raw Data'!BE315,'Raw Data'!BG315,'Raw Data'!BI315,'Raw Data'!BK315,'Raw Data'!BM315),"")</f>
        <v/>
      </c>
      <c r="W328" s="17">
        <f>IF(U328&lt;&gt;"",U328-V328,"")</f>
        <v/>
      </c>
      <c r="X328" s="17">
        <f>IF(A328&lt;&gt;"",AVERAGE(F328,I328,L328,O328,R328,U328),"")</f>
        <v/>
      </c>
      <c r="Y328" s="17">
        <f>IF(A328&lt;&gt;"",AVERAGE(G328,J328,M328,P328,S328,V328),"")</f>
        <v/>
      </c>
      <c r="Z328" s="17">
        <f>IF(A328&lt;&gt;"",X328-Y328,"")</f>
        <v/>
      </c>
      <c r="AA328" s="18">
        <f>IF(A328&lt;&gt;"",ROUND(MIN(100,100*((MAX(0,K328)*0.25)+(MAX(0,Q328)*0.20)+(MAX(0,W328)*0.20)+(MAX(0,H328)*0.15)+(MAX(0,N328)*0.10)+(MAX(0,T328)*0.10))/9),1),"")</f>
        <v/>
      </c>
      <c r="AB328" s="29">
        <f>IF(A328&lt;&gt;"",MIN(1,(0.5*AA328/100)+(0.3*MAX(0,K328)/9)+(0.2*MAX(0,Q328)/9)),"")</f>
        <v/>
      </c>
    </row>
    <row r="329">
      <c r="A329" s="4">
        <f>IF('Raw Data'!A316&lt;&gt;"",'Raw Data'!A316,"")</f>
        <v/>
      </c>
      <c r="B329" s="4">
        <f>IF('Raw Data'!B316&lt;&gt;"",'Raw Data'!B316,"")</f>
        <v/>
      </c>
      <c r="C329" s="4">
        <f>IF('Raw Data'!C316&lt;&gt;"",'Raw Data'!C316,"")</f>
        <v/>
      </c>
      <c r="D329" s="4">
        <f>IF('Raw Data'!D316&lt;&gt;"",'Raw Data'!D316,"")</f>
        <v/>
      </c>
      <c r="E329" s="4">
        <f>IF('Raw Data'!E316&lt;&gt;"",'Raw Data'!E316,"")</f>
        <v/>
      </c>
      <c r="F329" s="14">
        <f>IF('Raw Data'!A316&lt;&gt;"",AVERAGE('Raw Data'!F316,'Raw Data'!H316,'Raw Data'!J316,'Raw Data'!L316,'Raw Data'!N316),"")</f>
        <v/>
      </c>
      <c r="G329" s="14">
        <f>IF('Raw Data'!A316&lt;&gt;"",AVERAGE('Raw Data'!G316,'Raw Data'!I316,'Raw Data'!K316,'Raw Data'!M316,'Raw Data'!O316),"")</f>
        <v/>
      </c>
      <c r="H329" s="14">
        <f>IF(F329&lt;&gt;"",F329-G329,"")</f>
        <v/>
      </c>
      <c r="I329" s="14">
        <f>IF('Raw Data'!A316&lt;&gt;"",AVERAGE('Raw Data'!P316,'Raw Data'!R316,'Raw Data'!T316,'Raw Data'!V316,'Raw Data'!X316),"")</f>
        <v/>
      </c>
      <c r="J329" s="14">
        <f>IF('Raw Data'!A316&lt;&gt;"",AVERAGE('Raw Data'!Q316,'Raw Data'!S316,'Raw Data'!U316,'Raw Data'!W316,'Raw Data'!Y316),"")</f>
        <v/>
      </c>
      <c r="K329" s="14">
        <f>IF(I329&lt;&gt;"",I329-J329,"")</f>
        <v/>
      </c>
      <c r="L329" s="14">
        <f>IF('Raw Data'!A316&lt;&gt;"",AVERAGE('Raw Data'!Z316,'Raw Data'!AB316,'Raw Data'!AD316,'Raw Data'!AF316,'Raw Data'!AH316),"")</f>
        <v/>
      </c>
      <c r="M329" s="14">
        <f>IF('Raw Data'!A316&lt;&gt;"",AVERAGE('Raw Data'!AA316,'Raw Data'!AC316,'Raw Data'!AE316,'Raw Data'!AG316,'Raw Data'!AI316),"")</f>
        <v/>
      </c>
      <c r="N329" s="14">
        <f>IF(L329&lt;&gt;"",L329-M329,"")</f>
        <v/>
      </c>
      <c r="O329" s="14">
        <f>IF('Raw Data'!A316&lt;&gt;"",AVERAGE('Raw Data'!AJ316,'Raw Data'!AL316,'Raw Data'!AN316,'Raw Data'!AP316,'Raw Data'!AR316),"")</f>
        <v/>
      </c>
      <c r="P329" s="14">
        <f>IF('Raw Data'!A316&lt;&gt;"",AVERAGE('Raw Data'!AK316,'Raw Data'!AM316,'Raw Data'!AO316,'Raw Data'!AQ316,'Raw Data'!AS316),"")</f>
        <v/>
      </c>
      <c r="Q329" s="14">
        <f>IF(O329&lt;&gt;"",O329-P329,"")</f>
        <v/>
      </c>
      <c r="R329" s="14">
        <f>IF('Raw Data'!A316&lt;&gt;"",AVERAGE('Raw Data'!AT316,'Raw Data'!AV316,'Raw Data'!AX316,'Raw Data'!AZ316,'Raw Data'!BB316),"")</f>
        <v/>
      </c>
      <c r="S329" s="14">
        <f>IF('Raw Data'!A316&lt;&gt;"",AVERAGE('Raw Data'!AU316,'Raw Data'!AW316,'Raw Data'!AY316,'Raw Data'!BA316,'Raw Data'!BC316),"")</f>
        <v/>
      </c>
      <c r="T329" s="14">
        <f>IF(R329&lt;&gt;"",R329-S329,"")</f>
        <v/>
      </c>
      <c r="U329" s="14">
        <f>IF('Raw Data'!A316&lt;&gt;"",AVERAGE('Raw Data'!BD316,'Raw Data'!BF316,'Raw Data'!BH316,'Raw Data'!BJ316,'Raw Data'!BL316),"")</f>
        <v/>
      </c>
      <c r="V329" s="14">
        <f>IF('Raw Data'!A316&lt;&gt;"",AVERAGE('Raw Data'!BE316,'Raw Data'!BG316,'Raw Data'!BI316,'Raw Data'!BK316,'Raw Data'!BM316),"")</f>
        <v/>
      </c>
      <c r="W329" s="14">
        <f>IF(U329&lt;&gt;"",U329-V329,"")</f>
        <v/>
      </c>
      <c r="X329" s="14">
        <f>IF(A329&lt;&gt;"",AVERAGE(F329,I329,L329,O329,R329,U329),"")</f>
        <v/>
      </c>
      <c r="Y329" s="14">
        <f>IF(A329&lt;&gt;"",AVERAGE(G329,J329,M329,P329,S329,V329),"")</f>
        <v/>
      </c>
      <c r="Z329" s="14">
        <f>IF(A329&lt;&gt;"",X329-Y329,"")</f>
        <v/>
      </c>
      <c r="AA329" s="15">
        <f>IF(A329&lt;&gt;"",ROUND(MIN(100,100*((MAX(0,K329)*0.25)+(MAX(0,Q329)*0.20)+(MAX(0,W329)*0.20)+(MAX(0,H329)*0.15)+(MAX(0,N329)*0.10)+(MAX(0,T329)*0.10))/9),1),"")</f>
        <v/>
      </c>
      <c r="AB329" s="28">
        <f>IF(A329&lt;&gt;"",MIN(1,(0.5*AA329/100)+(0.3*MAX(0,K329)/9)+(0.2*MAX(0,Q329)/9)),"")</f>
        <v/>
      </c>
    </row>
    <row r="330">
      <c r="A330" s="13">
        <f>IF('Raw Data'!A317&lt;&gt;"",'Raw Data'!A317,"")</f>
        <v/>
      </c>
      <c r="B330" s="13">
        <f>IF('Raw Data'!B317&lt;&gt;"",'Raw Data'!B317,"")</f>
        <v/>
      </c>
      <c r="C330" s="13">
        <f>IF('Raw Data'!C317&lt;&gt;"",'Raw Data'!C317,"")</f>
        <v/>
      </c>
      <c r="D330" s="13">
        <f>IF('Raw Data'!D317&lt;&gt;"",'Raw Data'!D317,"")</f>
        <v/>
      </c>
      <c r="E330" s="13">
        <f>IF('Raw Data'!E317&lt;&gt;"",'Raw Data'!E317,"")</f>
        <v/>
      </c>
      <c r="F330" s="17">
        <f>IF('Raw Data'!A317&lt;&gt;"",AVERAGE('Raw Data'!F317,'Raw Data'!H317,'Raw Data'!J317,'Raw Data'!L317,'Raw Data'!N317),"")</f>
        <v/>
      </c>
      <c r="G330" s="17">
        <f>IF('Raw Data'!A317&lt;&gt;"",AVERAGE('Raw Data'!G317,'Raw Data'!I317,'Raw Data'!K317,'Raw Data'!M317,'Raw Data'!O317),"")</f>
        <v/>
      </c>
      <c r="H330" s="17">
        <f>IF(F330&lt;&gt;"",F330-G330,"")</f>
        <v/>
      </c>
      <c r="I330" s="17">
        <f>IF('Raw Data'!A317&lt;&gt;"",AVERAGE('Raw Data'!P317,'Raw Data'!R317,'Raw Data'!T317,'Raw Data'!V317,'Raw Data'!X317),"")</f>
        <v/>
      </c>
      <c r="J330" s="17">
        <f>IF('Raw Data'!A317&lt;&gt;"",AVERAGE('Raw Data'!Q317,'Raw Data'!S317,'Raw Data'!U317,'Raw Data'!W317,'Raw Data'!Y317),"")</f>
        <v/>
      </c>
      <c r="K330" s="17">
        <f>IF(I330&lt;&gt;"",I330-J330,"")</f>
        <v/>
      </c>
      <c r="L330" s="17">
        <f>IF('Raw Data'!A317&lt;&gt;"",AVERAGE('Raw Data'!Z317,'Raw Data'!AB317,'Raw Data'!AD317,'Raw Data'!AF317,'Raw Data'!AH317),"")</f>
        <v/>
      </c>
      <c r="M330" s="17">
        <f>IF('Raw Data'!A317&lt;&gt;"",AVERAGE('Raw Data'!AA317,'Raw Data'!AC317,'Raw Data'!AE317,'Raw Data'!AG317,'Raw Data'!AI317),"")</f>
        <v/>
      </c>
      <c r="N330" s="17">
        <f>IF(L330&lt;&gt;"",L330-M330,"")</f>
        <v/>
      </c>
      <c r="O330" s="17">
        <f>IF('Raw Data'!A317&lt;&gt;"",AVERAGE('Raw Data'!AJ317,'Raw Data'!AL317,'Raw Data'!AN317,'Raw Data'!AP317,'Raw Data'!AR317),"")</f>
        <v/>
      </c>
      <c r="P330" s="17">
        <f>IF('Raw Data'!A317&lt;&gt;"",AVERAGE('Raw Data'!AK317,'Raw Data'!AM317,'Raw Data'!AO317,'Raw Data'!AQ317,'Raw Data'!AS317),"")</f>
        <v/>
      </c>
      <c r="Q330" s="17">
        <f>IF(O330&lt;&gt;"",O330-P330,"")</f>
        <v/>
      </c>
      <c r="R330" s="17">
        <f>IF('Raw Data'!A317&lt;&gt;"",AVERAGE('Raw Data'!AT317,'Raw Data'!AV317,'Raw Data'!AX317,'Raw Data'!AZ317,'Raw Data'!BB317),"")</f>
        <v/>
      </c>
      <c r="S330" s="17">
        <f>IF('Raw Data'!A317&lt;&gt;"",AVERAGE('Raw Data'!AU317,'Raw Data'!AW317,'Raw Data'!AY317,'Raw Data'!BA317,'Raw Data'!BC317),"")</f>
        <v/>
      </c>
      <c r="T330" s="17">
        <f>IF(R330&lt;&gt;"",R330-S330,"")</f>
        <v/>
      </c>
      <c r="U330" s="17">
        <f>IF('Raw Data'!A317&lt;&gt;"",AVERAGE('Raw Data'!BD317,'Raw Data'!BF317,'Raw Data'!BH317,'Raw Data'!BJ317,'Raw Data'!BL317),"")</f>
        <v/>
      </c>
      <c r="V330" s="17">
        <f>IF('Raw Data'!A317&lt;&gt;"",AVERAGE('Raw Data'!BE317,'Raw Data'!BG317,'Raw Data'!BI317,'Raw Data'!BK317,'Raw Data'!BM317),"")</f>
        <v/>
      </c>
      <c r="W330" s="17">
        <f>IF(U330&lt;&gt;"",U330-V330,"")</f>
        <v/>
      </c>
      <c r="X330" s="17">
        <f>IF(A330&lt;&gt;"",AVERAGE(F330,I330,L330,O330,R330,U330),"")</f>
        <v/>
      </c>
      <c r="Y330" s="17">
        <f>IF(A330&lt;&gt;"",AVERAGE(G330,J330,M330,P330,S330,V330),"")</f>
        <v/>
      </c>
      <c r="Z330" s="17">
        <f>IF(A330&lt;&gt;"",X330-Y330,"")</f>
        <v/>
      </c>
      <c r="AA330" s="18">
        <f>IF(A330&lt;&gt;"",ROUND(MIN(100,100*((MAX(0,K330)*0.25)+(MAX(0,Q330)*0.20)+(MAX(0,W330)*0.20)+(MAX(0,H330)*0.15)+(MAX(0,N330)*0.10)+(MAX(0,T330)*0.10))/9),1),"")</f>
        <v/>
      </c>
      <c r="AB330" s="29">
        <f>IF(A330&lt;&gt;"",MIN(1,(0.5*AA330/100)+(0.3*MAX(0,K330)/9)+(0.2*MAX(0,Q330)/9)),"")</f>
        <v/>
      </c>
    </row>
    <row r="331">
      <c r="A331" s="4">
        <f>IF('Raw Data'!A318&lt;&gt;"",'Raw Data'!A318,"")</f>
        <v/>
      </c>
      <c r="B331" s="4">
        <f>IF('Raw Data'!B318&lt;&gt;"",'Raw Data'!B318,"")</f>
        <v/>
      </c>
      <c r="C331" s="4">
        <f>IF('Raw Data'!C318&lt;&gt;"",'Raw Data'!C318,"")</f>
        <v/>
      </c>
      <c r="D331" s="4">
        <f>IF('Raw Data'!D318&lt;&gt;"",'Raw Data'!D318,"")</f>
        <v/>
      </c>
      <c r="E331" s="4">
        <f>IF('Raw Data'!E318&lt;&gt;"",'Raw Data'!E318,"")</f>
        <v/>
      </c>
      <c r="F331" s="14">
        <f>IF('Raw Data'!A318&lt;&gt;"",AVERAGE('Raw Data'!F318,'Raw Data'!H318,'Raw Data'!J318,'Raw Data'!L318,'Raw Data'!N318),"")</f>
        <v/>
      </c>
      <c r="G331" s="14">
        <f>IF('Raw Data'!A318&lt;&gt;"",AVERAGE('Raw Data'!G318,'Raw Data'!I318,'Raw Data'!K318,'Raw Data'!M318,'Raw Data'!O318),"")</f>
        <v/>
      </c>
      <c r="H331" s="14">
        <f>IF(F331&lt;&gt;"",F331-G331,"")</f>
        <v/>
      </c>
      <c r="I331" s="14">
        <f>IF('Raw Data'!A318&lt;&gt;"",AVERAGE('Raw Data'!P318,'Raw Data'!R318,'Raw Data'!T318,'Raw Data'!V318,'Raw Data'!X318),"")</f>
        <v/>
      </c>
      <c r="J331" s="14">
        <f>IF('Raw Data'!A318&lt;&gt;"",AVERAGE('Raw Data'!Q318,'Raw Data'!S318,'Raw Data'!U318,'Raw Data'!W318,'Raw Data'!Y318),"")</f>
        <v/>
      </c>
      <c r="K331" s="14">
        <f>IF(I331&lt;&gt;"",I331-J331,"")</f>
        <v/>
      </c>
      <c r="L331" s="14">
        <f>IF('Raw Data'!A318&lt;&gt;"",AVERAGE('Raw Data'!Z318,'Raw Data'!AB318,'Raw Data'!AD318,'Raw Data'!AF318,'Raw Data'!AH318),"")</f>
        <v/>
      </c>
      <c r="M331" s="14">
        <f>IF('Raw Data'!A318&lt;&gt;"",AVERAGE('Raw Data'!AA318,'Raw Data'!AC318,'Raw Data'!AE318,'Raw Data'!AG318,'Raw Data'!AI318),"")</f>
        <v/>
      </c>
      <c r="N331" s="14">
        <f>IF(L331&lt;&gt;"",L331-M331,"")</f>
        <v/>
      </c>
      <c r="O331" s="14">
        <f>IF('Raw Data'!A318&lt;&gt;"",AVERAGE('Raw Data'!AJ318,'Raw Data'!AL318,'Raw Data'!AN318,'Raw Data'!AP318,'Raw Data'!AR318),"")</f>
        <v/>
      </c>
      <c r="P331" s="14">
        <f>IF('Raw Data'!A318&lt;&gt;"",AVERAGE('Raw Data'!AK318,'Raw Data'!AM318,'Raw Data'!AO318,'Raw Data'!AQ318,'Raw Data'!AS318),"")</f>
        <v/>
      </c>
      <c r="Q331" s="14">
        <f>IF(O331&lt;&gt;"",O331-P331,"")</f>
        <v/>
      </c>
      <c r="R331" s="14">
        <f>IF('Raw Data'!A318&lt;&gt;"",AVERAGE('Raw Data'!AT318,'Raw Data'!AV318,'Raw Data'!AX318,'Raw Data'!AZ318,'Raw Data'!BB318),"")</f>
        <v/>
      </c>
      <c r="S331" s="14">
        <f>IF('Raw Data'!A318&lt;&gt;"",AVERAGE('Raw Data'!AU318,'Raw Data'!AW318,'Raw Data'!AY318,'Raw Data'!BA318,'Raw Data'!BC318),"")</f>
        <v/>
      </c>
      <c r="T331" s="14">
        <f>IF(R331&lt;&gt;"",R331-S331,"")</f>
        <v/>
      </c>
      <c r="U331" s="14">
        <f>IF('Raw Data'!A318&lt;&gt;"",AVERAGE('Raw Data'!BD318,'Raw Data'!BF318,'Raw Data'!BH318,'Raw Data'!BJ318,'Raw Data'!BL318),"")</f>
        <v/>
      </c>
      <c r="V331" s="14">
        <f>IF('Raw Data'!A318&lt;&gt;"",AVERAGE('Raw Data'!BE318,'Raw Data'!BG318,'Raw Data'!BI318,'Raw Data'!BK318,'Raw Data'!BM318),"")</f>
        <v/>
      </c>
      <c r="W331" s="14">
        <f>IF(U331&lt;&gt;"",U331-V331,"")</f>
        <v/>
      </c>
      <c r="X331" s="14">
        <f>IF(A331&lt;&gt;"",AVERAGE(F331,I331,L331,O331,R331,U331),"")</f>
        <v/>
      </c>
      <c r="Y331" s="14">
        <f>IF(A331&lt;&gt;"",AVERAGE(G331,J331,M331,P331,S331,V331),"")</f>
        <v/>
      </c>
      <c r="Z331" s="14">
        <f>IF(A331&lt;&gt;"",X331-Y331,"")</f>
        <v/>
      </c>
      <c r="AA331" s="15">
        <f>IF(A331&lt;&gt;"",ROUND(MIN(100,100*((MAX(0,K331)*0.25)+(MAX(0,Q331)*0.20)+(MAX(0,W331)*0.20)+(MAX(0,H331)*0.15)+(MAX(0,N331)*0.10)+(MAX(0,T331)*0.10))/9),1),"")</f>
        <v/>
      </c>
      <c r="AB331" s="28">
        <f>IF(A331&lt;&gt;"",MIN(1,(0.5*AA331/100)+(0.3*MAX(0,K331)/9)+(0.2*MAX(0,Q331)/9)),"")</f>
        <v/>
      </c>
    </row>
    <row r="332">
      <c r="A332" s="13">
        <f>IF('Raw Data'!A319&lt;&gt;"",'Raw Data'!A319,"")</f>
        <v/>
      </c>
      <c r="B332" s="13">
        <f>IF('Raw Data'!B319&lt;&gt;"",'Raw Data'!B319,"")</f>
        <v/>
      </c>
      <c r="C332" s="13">
        <f>IF('Raw Data'!C319&lt;&gt;"",'Raw Data'!C319,"")</f>
        <v/>
      </c>
      <c r="D332" s="13">
        <f>IF('Raw Data'!D319&lt;&gt;"",'Raw Data'!D319,"")</f>
        <v/>
      </c>
      <c r="E332" s="13">
        <f>IF('Raw Data'!E319&lt;&gt;"",'Raw Data'!E319,"")</f>
        <v/>
      </c>
      <c r="F332" s="17">
        <f>IF('Raw Data'!A319&lt;&gt;"",AVERAGE('Raw Data'!F319,'Raw Data'!H319,'Raw Data'!J319,'Raw Data'!L319,'Raw Data'!N319),"")</f>
        <v/>
      </c>
      <c r="G332" s="17">
        <f>IF('Raw Data'!A319&lt;&gt;"",AVERAGE('Raw Data'!G319,'Raw Data'!I319,'Raw Data'!K319,'Raw Data'!M319,'Raw Data'!O319),"")</f>
        <v/>
      </c>
      <c r="H332" s="17">
        <f>IF(F332&lt;&gt;"",F332-G332,"")</f>
        <v/>
      </c>
      <c r="I332" s="17">
        <f>IF('Raw Data'!A319&lt;&gt;"",AVERAGE('Raw Data'!P319,'Raw Data'!R319,'Raw Data'!T319,'Raw Data'!V319,'Raw Data'!X319),"")</f>
        <v/>
      </c>
      <c r="J332" s="17">
        <f>IF('Raw Data'!A319&lt;&gt;"",AVERAGE('Raw Data'!Q319,'Raw Data'!S319,'Raw Data'!U319,'Raw Data'!W319,'Raw Data'!Y319),"")</f>
        <v/>
      </c>
      <c r="K332" s="17">
        <f>IF(I332&lt;&gt;"",I332-J332,"")</f>
        <v/>
      </c>
      <c r="L332" s="17">
        <f>IF('Raw Data'!A319&lt;&gt;"",AVERAGE('Raw Data'!Z319,'Raw Data'!AB319,'Raw Data'!AD319,'Raw Data'!AF319,'Raw Data'!AH319),"")</f>
        <v/>
      </c>
      <c r="M332" s="17">
        <f>IF('Raw Data'!A319&lt;&gt;"",AVERAGE('Raw Data'!AA319,'Raw Data'!AC319,'Raw Data'!AE319,'Raw Data'!AG319,'Raw Data'!AI319),"")</f>
        <v/>
      </c>
      <c r="N332" s="17">
        <f>IF(L332&lt;&gt;"",L332-M332,"")</f>
        <v/>
      </c>
      <c r="O332" s="17">
        <f>IF('Raw Data'!A319&lt;&gt;"",AVERAGE('Raw Data'!AJ319,'Raw Data'!AL319,'Raw Data'!AN319,'Raw Data'!AP319,'Raw Data'!AR319),"")</f>
        <v/>
      </c>
      <c r="P332" s="17">
        <f>IF('Raw Data'!A319&lt;&gt;"",AVERAGE('Raw Data'!AK319,'Raw Data'!AM319,'Raw Data'!AO319,'Raw Data'!AQ319,'Raw Data'!AS319),"")</f>
        <v/>
      </c>
      <c r="Q332" s="17">
        <f>IF(O332&lt;&gt;"",O332-P332,"")</f>
        <v/>
      </c>
      <c r="R332" s="17">
        <f>IF('Raw Data'!A319&lt;&gt;"",AVERAGE('Raw Data'!AT319,'Raw Data'!AV319,'Raw Data'!AX319,'Raw Data'!AZ319,'Raw Data'!BB319),"")</f>
        <v/>
      </c>
      <c r="S332" s="17">
        <f>IF('Raw Data'!A319&lt;&gt;"",AVERAGE('Raw Data'!AU319,'Raw Data'!AW319,'Raw Data'!AY319,'Raw Data'!BA319,'Raw Data'!BC319),"")</f>
        <v/>
      </c>
      <c r="T332" s="17">
        <f>IF(R332&lt;&gt;"",R332-S332,"")</f>
        <v/>
      </c>
      <c r="U332" s="17">
        <f>IF('Raw Data'!A319&lt;&gt;"",AVERAGE('Raw Data'!BD319,'Raw Data'!BF319,'Raw Data'!BH319,'Raw Data'!BJ319,'Raw Data'!BL319),"")</f>
        <v/>
      </c>
      <c r="V332" s="17">
        <f>IF('Raw Data'!A319&lt;&gt;"",AVERAGE('Raw Data'!BE319,'Raw Data'!BG319,'Raw Data'!BI319,'Raw Data'!BK319,'Raw Data'!BM319),"")</f>
        <v/>
      </c>
      <c r="W332" s="17">
        <f>IF(U332&lt;&gt;"",U332-V332,"")</f>
        <v/>
      </c>
      <c r="X332" s="17">
        <f>IF(A332&lt;&gt;"",AVERAGE(F332,I332,L332,O332,R332,U332),"")</f>
        <v/>
      </c>
      <c r="Y332" s="17">
        <f>IF(A332&lt;&gt;"",AVERAGE(G332,J332,M332,P332,S332,V332),"")</f>
        <v/>
      </c>
      <c r="Z332" s="17">
        <f>IF(A332&lt;&gt;"",X332-Y332,"")</f>
        <v/>
      </c>
      <c r="AA332" s="18">
        <f>IF(A332&lt;&gt;"",ROUND(MIN(100,100*((MAX(0,K332)*0.25)+(MAX(0,Q332)*0.20)+(MAX(0,W332)*0.20)+(MAX(0,H332)*0.15)+(MAX(0,N332)*0.10)+(MAX(0,T332)*0.10))/9),1),"")</f>
        <v/>
      </c>
      <c r="AB332" s="29">
        <f>IF(A332&lt;&gt;"",MIN(1,(0.5*AA332/100)+(0.3*MAX(0,K332)/9)+(0.2*MAX(0,Q332)/9)),"")</f>
        <v/>
      </c>
    </row>
    <row r="333">
      <c r="A333" s="4">
        <f>IF('Raw Data'!A320&lt;&gt;"",'Raw Data'!A320,"")</f>
        <v/>
      </c>
      <c r="B333" s="4">
        <f>IF('Raw Data'!B320&lt;&gt;"",'Raw Data'!B320,"")</f>
        <v/>
      </c>
      <c r="C333" s="4">
        <f>IF('Raw Data'!C320&lt;&gt;"",'Raw Data'!C320,"")</f>
        <v/>
      </c>
      <c r="D333" s="4">
        <f>IF('Raw Data'!D320&lt;&gt;"",'Raw Data'!D320,"")</f>
        <v/>
      </c>
      <c r="E333" s="4">
        <f>IF('Raw Data'!E320&lt;&gt;"",'Raw Data'!E320,"")</f>
        <v/>
      </c>
      <c r="F333" s="14">
        <f>IF('Raw Data'!A320&lt;&gt;"",AVERAGE('Raw Data'!F320,'Raw Data'!H320,'Raw Data'!J320,'Raw Data'!L320,'Raw Data'!N320),"")</f>
        <v/>
      </c>
      <c r="G333" s="14">
        <f>IF('Raw Data'!A320&lt;&gt;"",AVERAGE('Raw Data'!G320,'Raw Data'!I320,'Raw Data'!K320,'Raw Data'!M320,'Raw Data'!O320),"")</f>
        <v/>
      </c>
      <c r="H333" s="14">
        <f>IF(F333&lt;&gt;"",F333-G333,"")</f>
        <v/>
      </c>
      <c r="I333" s="14">
        <f>IF('Raw Data'!A320&lt;&gt;"",AVERAGE('Raw Data'!P320,'Raw Data'!R320,'Raw Data'!T320,'Raw Data'!V320,'Raw Data'!X320),"")</f>
        <v/>
      </c>
      <c r="J333" s="14">
        <f>IF('Raw Data'!A320&lt;&gt;"",AVERAGE('Raw Data'!Q320,'Raw Data'!S320,'Raw Data'!U320,'Raw Data'!W320,'Raw Data'!Y320),"")</f>
        <v/>
      </c>
      <c r="K333" s="14">
        <f>IF(I333&lt;&gt;"",I333-J333,"")</f>
        <v/>
      </c>
      <c r="L333" s="14">
        <f>IF('Raw Data'!A320&lt;&gt;"",AVERAGE('Raw Data'!Z320,'Raw Data'!AB320,'Raw Data'!AD320,'Raw Data'!AF320,'Raw Data'!AH320),"")</f>
        <v/>
      </c>
      <c r="M333" s="14">
        <f>IF('Raw Data'!A320&lt;&gt;"",AVERAGE('Raw Data'!AA320,'Raw Data'!AC320,'Raw Data'!AE320,'Raw Data'!AG320,'Raw Data'!AI320),"")</f>
        <v/>
      </c>
      <c r="N333" s="14">
        <f>IF(L333&lt;&gt;"",L333-M333,"")</f>
        <v/>
      </c>
      <c r="O333" s="14">
        <f>IF('Raw Data'!A320&lt;&gt;"",AVERAGE('Raw Data'!AJ320,'Raw Data'!AL320,'Raw Data'!AN320,'Raw Data'!AP320,'Raw Data'!AR320),"")</f>
        <v/>
      </c>
      <c r="P333" s="14">
        <f>IF('Raw Data'!A320&lt;&gt;"",AVERAGE('Raw Data'!AK320,'Raw Data'!AM320,'Raw Data'!AO320,'Raw Data'!AQ320,'Raw Data'!AS320),"")</f>
        <v/>
      </c>
      <c r="Q333" s="14">
        <f>IF(O333&lt;&gt;"",O333-P333,"")</f>
        <v/>
      </c>
      <c r="R333" s="14">
        <f>IF('Raw Data'!A320&lt;&gt;"",AVERAGE('Raw Data'!AT320,'Raw Data'!AV320,'Raw Data'!AX320,'Raw Data'!AZ320,'Raw Data'!BB320),"")</f>
        <v/>
      </c>
      <c r="S333" s="14">
        <f>IF('Raw Data'!A320&lt;&gt;"",AVERAGE('Raw Data'!AU320,'Raw Data'!AW320,'Raw Data'!AY320,'Raw Data'!BA320,'Raw Data'!BC320),"")</f>
        <v/>
      </c>
      <c r="T333" s="14">
        <f>IF(R333&lt;&gt;"",R333-S333,"")</f>
        <v/>
      </c>
      <c r="U333" s="14">
        <f>IF('Raw Data'!A320&lt;&gt;"",AVERAGE('Raw Data'!BD320,'Raw Data'!BF320,'Raw Data'!BH320,'Raw Data'!BJ320,'Raw Data'!BL320),"")</f>
        <v/>
      </c>
      <c r="V333" s="14">
        <f>IF('Raw Data'!A320&lt;&gt;"",AVERAGE('Raw Data'!BE320,'Raw Data'!BG320,'Raw Data'!BI320,'Raw Data'!BK320,'Raw Data'!BM320),"")</f>
        <v/>
      </c>
      <c r="W333" s="14">
        <f>IF(U333&lt;&gt;"",U333-V333,"")</f>
        <v/>
      </c>
      <c r="X333" s="14">
        <f>IF(A333&lt;&gt;"",AVERAGE(F333,I333,L333,O333,R333,U333),"")</f>
        <v/>
      </c>
      <c r="Y333" s="14">
        <f>IF(A333&lt;&gt;"",AVERAGE(G333,J333,M333,P333,S333,V333),"")</f>
        <v/>
      </c>
      <c r="Z333" s="14">
        <f>IF(A333&lt;&gt;"",X333-Y333,"")</f>
        <v/>
      </c>
      <c r="AA333" s="15">
        <f>IF(A333&lt;&gt;"",ROUND(MIN(100,100*((MAX(0,K333)*0.25)+(MAX(0,Q333)*0.20)+(MAX(0,W333)*0.20)+(MAX(0,H333)*0.15)+(MAX(0,N333)*0.10)+(MAX(0,T333)*0.10))/9),1),"")</f>
        <v/>
      </c>
      <c r="AB333" s="28">
        <f>IF(A333&lt;&gt;"",MIN(1,(0.5*AA333/100)+(0.3*MAX(0,K333)/9)+(0.2*MAX(0,Q333)/9)),"")</f>
        <v/>
      </c>
    </row>
    <row r="334">
      <c r="A334" s="13">
        <f>IF('Raw Data'!A321&lt;&gt;"",'Raw Data'!A321,"")</f>
        <v/>
      </c>
      <c r="B334" s="13">
        <f>IF('Raw Data'!B321&lt;&gt;"",'Raw Data'!B321,"")</f>
        <v/>
      </c>
      <c r="C334" s="13">
        <f>IF('Raw Data'!C321&lt;&gt;"",'Raw Data'!C321,"")</f>
        <v/>
      </c>
      <c r="D334" s="13">
        <f>IF('Raw Data'!D321&lt;&gt;"",'Raw Data'!D321,"")</f>
        <v/>
      </c>
      <c r="E334" s="13">
        <f>IF('Raw Data'!E321&lt;&gt;"",'Raw Data'!E321,"")</f>
        <v/>
      </c>
      <c r="F334" s="17">
        <f>IF('Raw Data'!A321&lt;&gt;"",AVERAGE('Raw Data'!F321,'Raw Data'!H321,'Raw Data'!J321,'Raw Data'!L321,'Raw Data'!N321),"")</f>
        <v/>
      </c>
      <c r="G334" s="17">
        <f>IF('Raw Data'!A321&lt;&gt;"",AVERAGE('Raw Data'!G321,'Raw Data'!I321,'Raw Data'!K321,'Raw Data'!M321,'Raw Data'!O321),"")</f>
        <v/>
      </c>
      <c r="H334" s="17">
        <f>IF(F334&lt;&gt;"",F334-G334,"")</f>
        <v/>
      </c>
      <c r="I334" s="17">
        <f>IF('Raw Data'!A321&lt;&gt;"",AVERAGE('Raw Data'!P321,'Raw Data'!R321,'Raw Data'!T321,'Raw Data'!V321,'Raw Data'!X321),"")</f>
        <v/>
      </c>
      <c r="J334" s="17">
        <f>IF('Raw Data'!A321&lt;&gt;"",AVERAGE('Raw Data'!Q321,'Raw Data'!S321,'Raw Data'!U321,'Raw Data'!W321,'Raw Data'!Y321),"")</f>
        <v/>
      </c>
      <c r="K334" s="17">
        <f>IF(I334&lt;&gt;"",I334-J334,"")</f>
        <v/>
      </c>
      <c r="L334" s="17">
        <f>IF('Raw Data'!A321&lt;&gt;"",AVERAGE('Raw Data'!Z321,'Raw Data'!AB321,'Raw Data'!AD321,'Raw Data'!AF321,'Raw Data'!AH321),"")</f>
        <v/>
      </c>
      <c r="M334" s="17">
        <f>IF('Raw Data'!A321&lt;&gt;"",AVERAGE('Raw Data'!AA321,'Raw Data'!AC321,'Raw Data'!AE321,'Raw Data'!AG321,'Raw Data'!AI321),"")</f>
        <v/>
      </c>
      <c r="N334" s="17">
        <f>IF(L334&lt;&gt;"",L334-M334,"")</f>
        <v/>
      </c>
      <c r="O334" s="17">
        <f>IF('Raw Data'!A321&lt;&gt;"",AVERAGE('Raw Data'!AJ321,'Raw Data'!AL321,'Raw Data'!AN321,'Raw Data'!AP321,'Raw Data'!AR321),"")</f>
        <v/>
      </c>
      <c r="P334" s="17">
        <f>IF('Raw Data'!A321&lt;&gt;"",AVERAGE('Raw Data'!AK321,'Raw Data'!AM321,'Raw Data'!AO321,'Raw Data'!AQ321,'Raw Data'!AS321),"")</f>
        <v/>
      </c>
      <c r="Q334" s="17">
        <f>IF(O334&lt;&gt;"",O334-P334,"")</f>
        <v/>
      </c>
      <c r="R334" s="17">
        <f>IF('Raw Data'!A321&lt;&gt;"",AVERAGE('Raw Data'!AT321,'Raw Data'!AV321,'Raw Data'!AX321,'Raw Data'!AZ321,'Raw Data'!BB321),"")</f>
        <v/>
      </c>
      <c r="S334" s="17">
        <f>IF('Raw Data'!A321&lt;&gt;"",AVERAGE('Raw Data'!AU321,'Raw Data'!AW321,'Raw Data'!AY321,'Raw Data'!BA321,'Raw Data'!BC321),"")</f>
        <v/>
      </c>
      <c r="T334" s="17">
        <f>IF(R334&lt;&gt;"",R334-S334,"")</f>
        <v/>
      </c>
      <c r="U334" s="17">
        <f>IF('Raw Data'!A321&lt;&gt;"",AVERAGE('Raw Data'!BD321,'Raw Data'!BF321,'Raw Data'!BH321,'Raw Data'!BJ321,'Raw Data'!BL321),"")</f>
        <v/>
      </c>
      <c r="V334" s="17">
        <f>IF('Raw Data'!A321&lt;&gt;"",AVERAGE('Raw Data'!BE321,'Raw Data'!BG321,'Raw Data'!BI321,'Raw Data'!BK321,'Raw Data'!BM321),"")</f>
        <v/>
      </c>
      <c r="W334" s="17">
        <f>IF(U334&lt;&gt;"",U334-V334,"")</f>
        <v/>
      </c>
      <c r="X334" s="17">
        <f>IF(A334&lt;&gt;"",AVERAGE(F334,I334,L334,O334,R334,U334),"")</f>
        <v/>
      </c>
      <c r="Y334" s="17">
        <f>IF(A334&lt;&gt;"",AVERAGE(G334,J334,M334,P334,S334,V334),"")</f>
        <v/>
      </c>
      <c r="Z334" s="17">
        <f>IF(A334&lt;&gt;"",X334-Y334,"")</f>
        <v/>
      </c>
      <c r="AA334" s="18">
        <f>IF(A334&lt;&gt;"",ROUND(MIN(100,100*((MAX(0,K334)*0.25)+(MAX(0,Q334)*0.20)+(MAX(0,W334)*0.20)+(MAX(0,H334)*0.15)+(MAX(0,N334)*0.10)+(MAX(0,T334)*0.10))/9),1),"")</f>
        <v/>
      </c>
      <c r="AB334" s="29">
        <f>IF(A334&lt;&gt;"",MIN(1,(0.5*AA334/100)+(0.3*MAX(0,K334)/9)+(0.2*MAX(0,Q334)/9)),"")</f>
        <v/>
      </c>
    </row>
    <row r="335">
      <c r="A335" s="4">
        <f>IF('Raw Data'!A322&lt;&gt;"",'Raw Data'!A322,"")</f>
        <v/>
      </c>
      <c r="B335" s="4">
        <f>IF('Raw Data'!B322&lt;&gt;"",'Raw Data'!B322,"")</f>
        <v/>
      </c>
      <c r="C335" s="4">
        <f>IF('Raw Data'!C322&lt;&gt;"",'Raw Data'!C322,"")</f>
        <v/>
      </c>
      <c r="D335" s="4">
        <f>IF('Raw Data'!D322&lt;&gt;"",'Raw Data'!D322,"")</f>
        <v/>
      </c>
      <c r="E335" s="4">
        <f>IF('Raw Data'!E322&lt;&gt;"",'Raw Data'!E322,"")</f>
        <v/>
      </c>
      <c r="F335" s="14">
        <f>IF('Raw Data'!A322&lt;&gt;"",AVERAGE('Raw Data'!F322,'Raw Data'!H322,'Raw Data'!J322,'Raw Data'!L322,'Raw Data'!N322),"")</f>
        <v/>
      </c>
      <c r="G335" s="14">
        <f>IF('Raw Data'!A322&lt;&gt;"",AVERAGE('Raw Data'!G322,'Raw Data'!I322,'Raw Data'!K322,'Raw Data'!M322,'Raw Data'!O322),"")</f>
        <v/>
      </c>
      <c r="H335" s="14">
        <f>IF(F335&lt;&gt;"",F335-G335,"")</f>
        <v/>
      </c>
      <c r="I335" s="14">
        <f>IF('Raw Data'!A322&lt;&gt;"",AVERAGE('Raw Data'!P322,'Raw Data'!R322,'Raw Data'!T322,'Raw Data'!V322,'Raw Data'!X322),"")</f>
        <v/>
      </c>
      <c r="J335" s="14">
        <f>IF('Raw Data'!A322&lt;&gt;"",AVERAGE('Raw Data'!Q322,'Raw Data'!S322,'Raw Data'!U322,'Raw Data'!W322,'Raw Data'!Y322),"")</f>
        <v/>
      </c>
      <c r="K335" s="14">
        <f>IF(I335&lt;&gt;"",I335-J335,"")</f>
        <v/>
      </c>
      <c r="L335" s="14">
        <f>IF('Raw Data'!A322&lt;&gt;"",AVERAGE('Raw Data'!Z322,'Raw Data'!AB322,'Raw Data'!AD322,'Raw Data'!AF322,'Raw Data'!AH322),"")</f>
        <v/>
      </c>
      <c r="M335" s="14">
        <f>IF('Raw Data'!A322&lt;&gt;"",AVERAGE('Raw Data'!AA322,'Raw Data'!AC322,'Raw Data'!AE322,'Raw Data'!AG322,'Raw Data'!AI322),"")</f>
        <v/>
      </c>
      <c r="N335" s="14">
        <f>IF(L335&lt;&gt;"",L335-M335,"")</f>
        <v/>
      </c>
      <c r="O335" s="14">
        <f>IF('Raw Data'!A322&lt;&gt;"",AVERAGE('Raw Data'!AJ322,'Raw Data'!AL322,'Raw Data'!AN322,'Raw Data'!AP322,'Raw Data'!AR322),"")</f>
        <v/>
      </c>
      <c r="P335" s="14">
        <f>IF('Raw Data'!A322&lt;&gt;"",AVERAGE('Raw Data'!AK322,'Raw Data'!AM322,'Raw Data'!AO322,'Raw Data'!AQ322,'Raw Data'!AS322),"")</f>
        <v/>
      </c>
      <c r="Q335" s="14">
        <f>IF(O335&lt;&gt;"",O335-P335,"")</f>
        <v/>
      </c>
      <c r="R335" s="14">
        <f>IF('Raw Data'!A322&lt;&gt;"",AVERAGE('Raw Data'!AT322,'Raw Data'!AV322,'Raw Data'!AX322,'Raw Data'!AZ322,'Raw Data'!BB322),"")</f>
        <v/>
      </c>
      <c r="S335" s="14">
        <f>IF('Raw Data'!A322&lt;&gt;"",AVERAGE('Raw Data'!AU322,'Raw Data'!AW322,'Raw Data'!AY322,'Raw Data'!BA322,'Raw Data'!BC322),"")</f>
        <v/>
      </c>
      <c r="T335" s="14">
        <f>IF(R335&lt;&gt;"",R335-S335,"")</f>
        <v/>
      </c>
      <c r="U335" s="14">
        <f>IF('Raw Data'!A322&lt;&gt;"",AVERAGE('Raw Data'!BD322,'Raw Data'!BF322,'Raw Data'!BH322,'Raw Data'!BJ322,'Raw Data'!BL322),"")</f>
        <v/>
      </c>
      <c r="V335" s="14">
        <f>IF('Raw Data'!A322&lt;&gt;"",AVERAGE('Raw Data'!BE322,'Raw Data'!BG322,'Raw Data'!BI322,'Raw Data'!BK322,'Raw Data'!BM322),"")</f>
        <v/>
      </c>
      <c r="W335" s="14">
        <f>IF(U335&lt;&gt;"",U335-V335,"")</f>
        <v/>
      </c>
      <c r="X335" s="14">
        <f>IF(A335&lt;&gt;"",AVERAGE(F335,I335,L335,O335,R335,U335),"")</f>
        <v/>
      </c>
      <c r="Y335" s="14">
        <f>IF(A335&lt;&gt;"",AVERAGE(G335,J335,M335,P335,S335,V335),"")</f>
        <v/>
      </c>
      <c r="Z335" s="14">
        <f>IF(A335&lt;&gt;"",X335-Y335,"")</f>
        <v/>
      </c>
      <c r="AA335" s="15">
        <f>IF(A335&lt;&gt;"",ROUND(MIN(100,100*((MAX(0,K335)*0.25)+(MAX(0,Q335)*0.20)+(MAX(0,W335)*0.20)+(MAX(0,H335)*0.15)+(MAX(0,N335)*0.10)+(MAX(0,T335)*0.10))/9),1),"")</f>
        <v/>
      </c>
      <c r="AB335" s="28">
        <f>IF(A335&lt;&gt;"",MIN(1,(0.5*AA335/100)+(0.3*MAX(0,K335)/9)+(0.2*MAX(0,Q335)/9)),"")</f>
        <v/>
      </c>
    </row>
    <row r="336">
      <c r="A336" s="13">
        <f>IF('Raw Data'!A323&lt;&gt;"",'Raw Data'!A323,"")</f>
        <v/>
      </c>
      <c r="B336" s="13">
        <f>IF('Raw Data'!B323&lt;&gt;"",'Raw Data'!B323,"")</f>
        <v/>
      </c>
      <c r="C336" s="13">
        <f>IF('Raw Data'!C323&lt;&gt;"",'Raw Data'!C323,"")</f>
        <v/>
      </c>
      <c r="D336" s="13">
        <f>IF('Raw Data'!D323&lt;&gt;"",'Raw Data'!D323,"")</f>
        <v/>
      </c>
      <c r="E336" s="13">
        <f>IF('Raw Data'!E323&lt;&gt;"",'Raw Data'!E323,"")</f>
        <v/>
      </c>
      <c r="F336" s="17">
        <f>IF('Raw Data'!A323&lt;&gt;"",AVERAGE('Raw Data'!F323,'Raw Data'!H323,'Raw Data'!J323,'Raw Data'!L323,'Raw Data'!N323),"")</f>
        <v/>
      </c>
      <c r="G336" s="17">
        <f>IF('Raw Data'!A323&lt;&gt;"",AVERAGE('Raw Data'!G323,'Raw Data'!I323,'Raw Data'!K323,'Raw Data'!M323,'Raw Data'!O323),"")</f>
        <v/>
      </c>
      <c r="H336" s="17">
        <f>IF(F336&lt;&gt;"",F336-G336,"")</f>
        <v/>
      </c>
      <c r="I336" s="17">
        <f>IF('Raw Data'!A323&lt;&gt;"",AVERAGE('Raw Data'!P323,'Raw Data'!R323,'Raw Data'!T323,'Raw Data'!V323,'Raw Data'!X323),"")</f>
        <v/>
      </c>
      <c r="J336" s="17">
        <f>IF('Raw Data'!A323&lt;&gt;"",AVERAGE('Raw Data'!Q323,'Raw Data'!S323,'Raw Data'!U323,'Raw Data'!W323,'Raw Data'!Y323),"")</f>
        <v/>
      </c>
      <c r="K336" s="17">
        <f>IF(I336&lt;&gt;"",I336-J336,"")</f>
        <v/>
      </c>
      <c r="L336" s="17">
        <f>IF('Raw Data'!A323&lt;&gt;"",AVERAGE('Raw Data'!Z323,'Raw Data'!AB323,'Raw Data'!AD323,'Raw Data'!AF323,'Raw Data'!AH323),"")</f>
        <v/>
      </c>
      <c r="M336" s="17">
        <f>IF('Raw Data'!A323&lt;&gt;"",AVERAGE('Raw Data'!AA323,'Raw Data'!AC323,'Raw Data'!AE323,'Raw Data'!AG323,'Raw Data'!AI323),"")</f>
        <v/>
      </c>
      <c r="N336" s="17">
        <f>IF(L336&lt;&gt;"",L336-M336,"")</f>
        <v/>
      </c>
      <c r="O336" s="17">
        <f>IF('Raw Data'!A323&lt;&gt;"",AVERAGE('Raw Data'!AJ323,'Raw Data'!AL323,'Raw Data'!AN323,'Raw Data'!AP323,'Raw Data'!AR323),"")</f>
        <v/>
      </c>
      <c r="P336" s="17">
        <f>IF('Raw Data'!A323&lt;&gt;"",AVERAGE('Raw Data'!AK323,'Raw Data'!AM323,'Raw Data'!AO323,'Raw Data'!AQ323,'Raw Data'!AS323),"")</f>
        <v/>
      </c>
      <c r="Q336" s="17">
        <f>IF(O336&lt;&gt;"",O336-P336,"")</f>
        <v/>
      </c>
      <c r="R336" s="17">
        <f>IF('Raw Data'!A323&lt;&gt;"",AVERAGE('Raw Data'!AT323,'Raw Data'!AV323,'Raw Data'!AX323,'Raw Data'!AZ323,'Raw Data'!BB323),"")</f>
        <v/>
      </c>
      <c r="S336" s="17">
        <f>IF('Raw Data'!A323&lt;&gt;"",AVERAGE('Raw Data'!AU323,'Raw Data'!AW323,'Raw Data'!AY323,'Raw Data'!BA323,'Raw Data'!BC323),"")</f>
        <v/>
      </c>
      <c r="T336" s="17">
        <f>IF(R336&lt;&gt;"",R336-S336,"")</f>
        <v/>
      </c>
      <c r="U336" s="17">
        <f>IF('Raw Data'!A323&lt;&gt;"",AVERAGE('Raw Data'!BD323,'Raw Data'!BF323,'Raw Data'!BH323,'Raw Data'!BJ323,'Raw Data'!BL323),"")</f>
        <v/>
      </c>
      <c r="V336" s="17">
        <f>IF('Raw Data'!A323&lt;&gt;"",AVERAGE('Raw Data'!BE323,'Raw Data'!BG323,'Raw Data'!BI323,'Raw Data'!BK323,'Raw Data'!BM323),"")</f>
        <v/>
      </c>
      <c r="W336" s="17">
        <f>IF(U336&lt;&gt;"",U336-V336,"")</f>
        <v/>
      </c>
      <c r="X336" s="17">
        <f>IF(A336&lt;&gt;"",AVERAGE(F336,I336,L336,O336,R336,U336),"")</f>
        <v/>
      </c>
      <c r="Y336" s="17">
        <f>IF(A336&lt;&gt;"",AVERAGE(G336,J336,M336,P336,S336,V336),"")</f>
        <v/>
      </c>
      <c r="Z336" s="17">
        <f>IF(A336&lt;&gt;"",X336-Y336,"")</f>
        <v/>
      </c>
      <c r="AA336" s="18">
        <f>IF(A336&lt;&gt;"",ROUND(MIN(100,100*((MAX(0,K336)*0.25)+(MAX(0,Q336)*0.20)+(MAX(0,W336)*0.20)+(MAX(0,H336)*0.15)+(MAX(0,N336)*0.10)+(MAX(0,T336)*0.10))/9),1),"")</f>
        <v/>
      </c>
      <c r="AB336" s="29">
        <f>IF(A336&lt;&gt;"",MIN(1,(0.5*AA336/100)+(0.3*MAX(0,K336)/9)+(0.2*MAX(0,Q336)/9)),"")</f>
        <v/>
      </c>
    </row>
    <row r="337">
      <c r="A337" s="4">
        <f>IF('Raw Data'!A324&lt;&gt;"",'Raw Data'!A324,"")</f>
        <v/>
      </c>
      <c r="B337" s="4">
        <f>IF('Raw Data'!B324&lt;&gt;"",'Raw Data'!B324,"")</f>
        <v/>
      </c>
      <c r="C337" s="4">
        <f>IF('Raw Data'!C324&lt;&gt;"",'Raw Data'!C324,"")</f>
        <v/>
      </c>
      <c r="D337" s="4">
        <f>IF('Raw Data'!D324&lt;&gt;"",'Raw Data'!D324,"")</f>
        <v/>
      </c>
      <c r="E337" s="4">
        <f>IF('Raw Data'!E324&lt;&gt;"",'Raw Data'!E324,"")</f>
        <v/>
      </c>
      <c r="F337" s="14">
        <f>IF('Raw Data'!A324&lt;&gt;"",AVERAGE('Raw Data'!F324,'Raw Data'!H324,'Raw Data'!J324,'Raw Data'!L324,'Raw Data'!N324),"")</f>
        <v/>
      </c>
      <c r="G337" s="14">
        <f>IF('Raw Data'!A324&lt;&gt;"",AVERAGE('Raw Data'!G324,'Raw Data'!I324,'Raw Data'!K324,'Raw Data'!M324,'Raw Data'!O324),"")</f>
        <v/>
      </c>
      <c r="H337" s="14">
        <f>IF(F337&lt;&gt;"",F337-G337,"")</f>
        <v/>
      </c>
      <c r="I337" s="14">
        <f>IF('Raw Data'!A324&lt;&gt;"",AVERAGE('Raw Data'!P324,'Raw Data'!R324,'Raw Data'!T324,'Raw Data'!V324,'Raw Data'!X324),"")</f>
        <v/>
      </c>
      <c r="J337" s="14">
        <f>IF('Raw Data'!A324&lt;&gt;"",AVERAGE('Raw Data'!Q324,'Raw Data'!S324,'Raw Data'!U324,'Raw Data'!W324,'Raw Data'!Y324),"")</f>
        <v/>
      </c>
      <c r="K337" s="14">
        <f>IF(I337&lt;&gt;"",I337-J337,"")</f>
        <v/>
      </c>
      <c r="L337" s="14">
        <f>IF('Raw Data'!A324&lt;&gt;"",AVERAGE('Raw Data'!Z324,'Raw Data'!AB324,'Raw Data'!AD324,'Raw Data'!AF324,'Raw Data'!AH324),"")</f>
        <v/>
      </c>
      <c r="M337" s="14">
        <f>IF('Raw Data'!A324&lt;&gt;"",AVERAGE('Raw Data'!AA324,'Raw Data'!AC324,'Raw Data'!AE324,'Raw Data'!AG324,'Raw Data'!AI324),"")</f>
        <v/>
      </c>
      <c r="N337" s="14">
        <f>IF(L337&lt;&gt;"",L337-M337,"")</f>
        <v/>
      </c>
      <c r="O337" s="14">
        <f>IF('Raw Data'!A324&lt;&gt;"",AVERAGE('Raw Data'!AJ324,'Raw Data'!AL324,'Raw Data'!AN324,'Raw Data'!AP324,'Raw Data'!AR324),"")</f>
        <v/>
      </c>
      <c r="P337" s="14">
        <f>IF('Raw Data'!A324&lt;&gt;"",AVERAGE('Raw Data'!AK324,'Raw Data'!AM324,'Raw Data'!AO324,'Raw Data'!AQ324,'Raw Data'!AS324),"")</f>
        <v/>
      </c>
      <c r="Q337" s="14">
        <f>IF(O337&lt;&gt;"",O337-P337,"")</f>
        <v/>
      </c>
      <c r="R337" s="14">
        <f>IF('Raw Data'!A324&lt;&gt;"",AVERAGE('Raw Data'!AT324,'Raw Data'!AV324,'Raw Data'!AX324,'Raw Data'!AZ324,'Raw Data'!BB324),"")</f>
        <v/>
      </c>
      <c r="S337" s="14">
        <f>IF('Raw Data'!A324&lt;&gt;"",AVERAGE('Raw Data'!AU324,'Raw Data'!AW324,'Raw Data'!AY324,'Raw Data'!BA324,'Raw Data'!BC324),"")</f>
        <v/>
      </c>
      <c r="T337" s="14">
        <f>IF(R337&lt;&gt;"",R337-S337,"")</f>
        <v/>
      </c>
      <c r="U337" s="14">
        <f>IF('Raw Data'!A324&lt;&gt;"",AVERAGE('Raw Data'!BD324,'Raw Data'!BF324,'Raw Data'!BH324,'Raw Data'!BJ324,'Raw Data'!BL324),"")</f>
        <v/>
      </c>
      <c r="V337" s="14">
        <f>IF('Raw Data'!A324&lt;&gt;"",AVERAGE('Raw Data'!BE324,'Raw Data'!BG324,'Raw Data'!BI324,'Raw Data'!BK324,'Raw Data'!BM324),"")</f>
        <v/>
      </c>
      <c r="W337" s="14">
        <f>IF(U337&lt;&gt;"",U337-V337,"")</f>
        <v/>
      </c>
      <c r="X337" s="14">
        <f>IF(A337&lt;&gt;"",AVERAGE(F337,I337,L337,O337,R337,U337),"")</f>
        <v/>
      </c>
      <c r="Y337" s="14">
        <f>IF(A337&lt;&gt;"",AVERAGE(G337,J337,M337,P337,S337,V337),"")</f>
        <v/>
      </c>
      <c r="Z337" s="14">
        <f>IF(A337&lt;&gt;"",X337-Y337,"")</f>
        <v/>
      </c>
      <c r="AA337" s="15">
        <f>IF(A337&lt;&gt;"",ROUND(MIN(100,100*((MAX(0,K337)*0.25)+(MAX(0,Q337)*0.20)+(MAX(0,W337)*0.20)+(MAX(0,H337)*0.15)+(MAX(0,N337)*0.10)+(MAX(0,T337)*0.10))/9),1),"")</f>
        <v/>
      </c>
      <c r="AB337" s="28">
        <f>IF(A337&lt;&gt;"",MIN(1,(0.5*AA337/100)+(0.3*MAX(0,K337)/9)+(0.2*MAX(0,Q337)/9)),"")</f>
        <v/>
      </c>
    </row>
    <row r="338">
      <c r="A338" s="13">
        <f>IF('Raw Data'!A325&lt;&gt;"",'Raw Data'!A325,"")</f>
        <v/>
      </c>
      <c r="B338" s="13">
        <f>IF('Raw Data'!B325&lt;&gt;"",'Raw Data'!B325,"")</f>
        <v/>
      </c>
      <c r="C338" s="13">
        <f>IF('Raw Data'!C325&lt;&gt;"",'Raw Data'!C325,"")</f>
        <v/>
      </c>
      <c r="D338" s="13">
        <f>IF('Raw Data'!D325&lt;&gt;"",'Raw Data'!D325,"")</f>
        <v/>
      </c>
      <c r="E338" s="13">
        <f>IF('Raw Data'!E325&lt;&gt;"",'Raw Data'!E325,"")</f>
        <v/>
      </c>
      <c r="F338" s="17">
        <f>IF('Raw Data'!A325&lt;&gt;"",AVERAGE('Raw Data'!F325,'Raw Data'!H325,'Raw Data'!J325,'Raw Data'!L325,'Raw Data'!N325),"")</f>
        <v/>
      </c>
      <c r="G338" s="17">
        <f>IF('Raw Data'!A325&lt;&gt;"",AVERAGE('Raw Data'!G325,'Raw Data'!I325,'Raw Data'!K325,'Raw Data'!M325,'Raw Data'!O325),"")</f>
        <v/>
      </c>
      <c r="H338" s="17">
        <f>IF(F338&lt;&gt;"",F338-G338,"")</f>
        <v/>
      </c>
      <c r="I338" s="17">
        <f>IF('Raw Data'!A325&lt;&gt;"",AVERAGE('Raw Data'!P325,'Raw Data'!R325,'Raw Data'!T325,'Raw Data'!V325,'Raw Data'!X325),"")</f>
        <v/>
      </c>
      <c r="J338" s="17">
        <f>IF('Raw Data'!A325&lt;&gt;"",AVERAGE('Raw Data'!Q325,'Raw Data'!S325,'Raw Data'!U325,'Raw Data'!W325,'Raw Data'!Y325),"")</f>
        <v/>
      </c>
      <c r="K338" s="17">
        <f>IF(I338&lt;&gt;"",I338-J338,"")</f>
        <v/>
      </c>
      <c r="L338" s="17">
        <f>IF('Raw Data'!A325&lt;&gt;"",AVERAGE('Raw Data'!Z325,'Raw Data'!AB325,'Raw Data'!AD325,'Raw Data'!AF325,'Raw Data'!AH325),"")</f>
        <v/>
      </c>
      <c r="M338" s="17">
        <f>IF('Raw Data'!A325&lt;&gt;"",AVERAGE('Raw Data'!AA325,'Raw Data'!AC325,'Raw Data'!AE325,'Raw Data'!AG325,'Raw Data'!AI325),"")</f>
        <v/>
      </c>
      <c r="N338" s="17">
        <f>IF(L338&lt;&gt;"",L338-M338,"")</f>
        <v/>
      </c>
      <c r="O338" s="17">
        <f>IF('Raw Data'!A325&lt;&gt;"",AVERAGE('Raw Data'!AJ325,'Raw Data'!AL325,'Raw Data'!AN325,'Raw Data'!AP325,'Raw Data'!AR325),"")</f>
        <v/>
      </c>
      <c r="P338" s="17">
        <f>IF('Raw Data'!A325&lt;&gt;"",AVERAGE('Raw Data'!AK325,'Raw Data'!AM325,'Raw Data'!AO325,'Raw Data'!AQ325,'Raw Data'!AS325),"")</f>
        <v/>
      </c>
      <c r="Q338" s="17">
        <f>IF(O338&lt;&gt;"",O338-P338,"")</f>
        <v/>
      </c>
      <c r="R338" s="17">
        <f>IF('Raw Data'!A325&lt;&gt;"",AVERAGE('Raw Data'!AT325,'Raw Data'!AV325,'Raw Data'!AX325,'Raw Data'!AZ325,'Raw Data'!BB325),"")</f>
        <v/>
      </c>
      <c r="S338" s="17">
        <f>IF('Raw Data'!A325&lt;&gt;"",AVERAGE('Raw Data'!AU325,'Raw Data'!AW325,'Raw Data'!AY325,'Raw Data'!BA325,'Raw Data'!BC325),"")</f>
        <v/>
      </c>
      <c r="T338" s="17">
        <f>IF(R338&lt;&gt;"",R338-S338,"")</f>
        <v/>
      </c>
      <c r="U338" s="17">
        <f>IF('Raw Data'!A325&lt;&gt;"",AVERAGE('Raw Data'!BD325,'Raw Data'!BF325,'Raw Data'!BH325,'Raw Data'!BJ325,'Raw Data'!BL325),"")</f>
        <v/>
      </c>
      <c r="V338" s="17">
        <f>IF('Raw Data'!A325&lt;&gt;"",AVERAGE('Raw Data'!BE325,'Raw Data'!BG325,'Raw Data'!BI325,'Raw Data'!BK325,'Raw Data'!BM325),"")</f>
        <v/>
      </c>
      <c r="W338" s="17">
        <f>IF(U338&lt;&gt;"",U338-V338,"")</f>
        <v/>
      </c>
      <c r="X338" s="17">
        <f>IF(A338&lt;&gt;"",AVERAGE(F338,I338,L338,O338,R338,U338),"")</f>
        <v/>
      </c>
      <c r="Y338" s="17">
        <f>IF(A338&lt;&gt;"",AVERAGE(G338,J338,M338,P338,S338,V338),"")</f>
        <v/>
      </c>
      <c r="Z338" s="17">
        <f>IF(A338&lt;&gt;"",X338-Y338,"")</f>
        <v/>
      </c>
      <c r="AA338" s="18">
        <f>IF(A338&lt;&gt;"",ROUND(MIN(100,100*((MAX(0,K338)*0.25)+(MAX(0,Q338)*0.20)+(MAX(0,W338)*0.20)+(MAX(0,H338)*0.15)+(MAX(0,N338)*0.10)+(MAX(0,T338)*0.10))/9),1),"")</f>
        <v/>
      </c>
      <c r="AB338" s="29">
        <f>IF(A338&lt;&gt;"",MIN(1,(0.5*AA338/100)+(0.3*MAX(0,K338)/9)+(0.2*MAX(0,Q338)/9)),"")</f>
        <v/>
      </c>
    </row>
    <row r="339">
      <c r="A339" s="4">
        <f>IF('Raw Data'!A326&lt;&gt;"",'Raw Data'!A326,"")</f>
        <v/>
      </c>
      <c r="B339" s="4">
        <f>IF('Raw Data'!B326&lt;&gt;"",'Raw Data'!B326,"")</f>
        <v/>
      </c>
      <c r="C339" s="4">
        <f>IF('Raw Data'!C326&lt;&gt;"",'Raw Data'!C326,"")</f>
        <v/>
      </c>
      <c r="D339" s="4">
        <f>IF('Raw Data'!D326&lt;&gt;"",'Raw Data'!D326,"")</f>
        <v/>
      </c>
      <c r="E339" s="4">
        <f>IF('Raw Data'!E326&lt;&gt;"",'Raw Data'!E326,"")</f>
        <v/>
      </c>
      <c r="F339" s="14">
        <f>IF('Raw Data'!A326&lt;&gt;"",AVERAGE('Raw Data'!F326,'Raw Data'!H326,'Raw Data'!J326,'Raw Data'!L326,'Raw Data'!N326),"")</f>
        <v/>
      </c>
      <c r="G339" s="14">
        <f>IF('Raw Data'!A326&lt;&gt;"",AVERAGE('Raw Data'!G326,'Raw Data'!I326,'Raw Data'!K326,'Raw Data'!M326,'Raw Data'!O326),"")</f>
        <v/>
      </c>
      <c r="H339" s="14">
        <f>IF(F339&lt;&gt;"",F339-G339,"")</f>
        <v/>
      </c>
      <c r="I339" s="14">
        <f>IF('Raw Data'!A326&lt;&gt;"",AVERAGE('Raw Data'!P326,'Raw Data'!R326,'Raw Data'!T326,'Raw Data'!V326,'Raw Data'!X326),"")</f>
        <v/>
      </c>
      <c r="J339" s="14">
        <f>IF('Raw Data'!A326&lt;&gt;"",AVERAGE('Raw Data'!Q326,'Raw Data'!S326,'Raw Data'!U326,'Raw Data'!W326,'Raw Data'!Y326),"")</f>
        <v/>
      </c>
      <c r="K339" s="14">
        <f>IF(I339&lt;&gt;"",I339-J339,"")</f>
        <v/>
      </c>
      <c r="L339" s="14">
        <f>IF('Raw Data'!A326&lt;&gt;"",AVERAGE('Raw Data'!Z326,'Raw Data'!AB326,'Raw Data'!AD326,'Raw Data'!AF326,'Raw Data'!AH326),"")</f>
        <v/>
      </c>
      <c r="M339" s="14">
        <f>IF('Raw Data'!A326&lt;&gt;"",AVERAGE('Raw Data'!AA326,'Raw Data'!AC326,'Raw Data'!AE326,'Raw Data'!AG326,'Raw Data'!AI326),"")</f>
        <v/>
      </c>
      <c r="N339" s="14">
        <f>IF(L339&lt;&gt;"",L339-M339,"")</f>
        <v/>
      </c>
      <c r="O339" s="14">
        <f>IF('Raw Data'!A326&lt;&gt;"",AVERAGE('Raw Data'!AJ326,'Raw Data'!AL326,'Raw Data'!AN326,'Raw Data'!AP326,'Raw Data'!AR326),"")</f>
        <v/>
      </c>
      <c r="P339" s="14">
        <f>IF('Raw Data'!A326&lt;&gt;"",AVERAGE('Raw Data'!AK326,'Raw Data'!AM326,'Raw Data'!AO326,'Raw Data'!AQ326,'Raw Data'!AS326),"")</f>
        <v/>
      </c>
      <c r="Q339" s="14">
        <f>IF(O339&lt;&gt;"",O339-P339,"")</f>
        <v/>
      </c>
      <c r="R339" s="14">
        <f>IF('Raw Data'!A326&lt;&gt;"",AVERAGE('Raw Data'!AT326,'Raw Data'!AV326,'Raw Data'!AX326,'Raw Data'!AZ326,'Raw Data'!BB326),"")</f>
        <v/>
      </c>
      <c r="S339" s="14">
        <f>IF('Raw Data'!A326&lt;&gt;"",AVERAGE('Raw Data'!AU326,'Raw Data'!AW326,'Raw Data'!AY326,'Raw Data'!BA326,'Raw Data'!BC326),"")</f>
        <v/>
      </c>
      <c r="T339" s="14">
        <f>IF(R339&lt;&gt;"",R339-S339,"")</f>
        <v/>
      </c>
      <c r="U339" s="14">
        <f>IF('Raw Data'!A326&lt;&gt;"",AVERAGE('Raw Data'!BD326,'Raw Data'!BF326,'Raw Data'!BH326,'Raw Data'!BJ326,'Raw Data'!BL326),"")</f>
        <v/>
      </c>
      <c r="V339" s="14">
        <f>IF('Raw Data'!A326&lt;&gt;"",AVERAGE('Raw Data'!BE326,'Raw Data'!BG326,'Raw Data'!BI326,'Raw Data'!BK326,'Raw Data'!BM326),"")</f>
        <v/>
      </c>
      <c r="W339" s="14">
        <f>IF(U339&lt;&gt;"",U339-V339,"")</f>
        <v/>
      </c>
      <c r="X339" s="14">
        <f>IF(A339&lt;&gt;"",AVERAGE(F339,I339,L339,O339,R339,U339),"")</f>
        <v/>
      </c>
      <c r="Y339" s="14">
        <f>IF(A339&lt;&gt;"",AVERAGE(G339,J339,M339,P339,S339,V339),"")</f>
        <v/>
      </c>
      <c r="Z339" s="14">
        <f>IF(A339&lt;&gt;"",X339-Y339,"")</f>
        <v/>
      </c>
      <c r="AA339" s="15">
        <f>IF(A339&lt;&gt;"",ROUND(MIN(100,100*((MAX(0,K339)*0.25)+(MAX(0,Q339)*0.20)+(MAX(0,W339)*0.20)+(MAX(0,H339)*0.15)+(MAX(0,N339)*0.10)+(MAX(0,T339)*0.10))/9),1),"")</f>
        <v/>
      </c>
      <c r="AB339" s="28">
        <f>IF(A339&lt;&gt;"",MIN(1,(0.5*AA339/100)+(0.3*MAX(0,K339)/9)+(0.2*MAX(0,Q339)/9)),"")</f>
        <v/>
      </c>
    </row>
    <row r="340">
      <c r="A340" s="13">
        <f>IF('Raw Data'!A327&lt;&gt;"",'Raw Data'!A327,"")</f>
        <v/>
      </c>
      <c r="B340" s="13">
        <f>IF('Raw Data'!B327&lt;&gt;"",'Raw Data'!B327,"")</f>
        <v/>
      </c>
      <c r="C340" s="13">
        <f>IF('Raw Data'!C327&lt;&gt;"",'Raw Data'!C327,"")</f>
        <v/>
      </c>
      <c r="D340" s="13">
        <f>IF('Raw Data'!D327&lt;&gt;"",'Raw Data'!D327,"")</f>
        <v/>
      </c>
      <c r="E340" s="13">
        <f>IF('Raw Data'!E327&lt;&gt;"",'Raw Data'!E327,"")</f>
        <v/>
      </c>
      <c r="F340" s="17">
        <f>IF('Raw Data'!A327&lt;&gt;"",AVERAGE('Raw Data'!F327,'Raw Data'!H327,'Raw Data'!J327,'Raw Data'!L327,'Raw Data'!N327),"")</f>
        <v/>
      </c>
      <c r="G340" s="17">
        <f>IF('Raw Data'!A327&lt;&gt;"",AVERAGE('Raw Data'!G327,'Raw Data'!I327,'Raw Data'!K327,'Raw Data'!M327,'Raw Data'!O327),"")</f>
        <v/>
      </c>
      <c r="H340" s="17">
        <f>IF(F340&lt;&gt;"",F340-G340,"")</f>
        <v/>
      </c>
      <c r="I340" s="17">
        <f>IF('Raw Data'!A327&lt;&gt;"",AVERAGE('Raw Data'!P327,'Raw Data'!R327,'Raw Data'!T327,'Raw Data'!V327,'Raw Data'!X327),"")</f>
        <v/>
      </c>
      <c r="J340" s="17">
        <f>IF('Raw Data'!A327&lt;&gt;"",AVERAGE('Raw Data'!Q327,'Raw Data'!S327,'Raw Data'!U327,'Raw Data'!W327,'Raw Data'!Y327),"")</f>
        <v/>
      </c>
      <c r="K340" s="17">
        <f>IF(I340&lt;&gt;"",I340-J340,"")</f>
        <v/>
      </c>
      <c r="L340" s="17">
        <f>IF('Raw Data'!A327&lt;&gt;"",AVERAGE('Raw Data'!Z327,'Raw Data'!AB327,'Raw Data'!AD327,'Raw Data'!AF327,'Raw Data'!AH327),"")</f>
        <v/>
      </c>
      <c r="M340" s="17">
        <f>IF('Raw Data'!A327&lt;&gt;"",AVERAGE('Raw Data'!AA327,'Raw Data'!AC327,'Raw Data'!AE327,'Raw Data'!AG327,'Raw Data'!AI327),"")</f>
        <v/>
      </c>
      <c r="N340" s="17">
        <f>IF(L340&lt;&gt;"",L340-M340,"")</f>
        <v/>
      </c>
      <c r="O340" s="17">
        <f>IF('Raw Data'!A327&lt;&gt;"",AVERAGE('Raw Data'!AJ327,'Raw Data'!AL327,'Raw Data'!AN327,'Raw Data'!AP327,'Raw Data'!AR327),"")</f>
        <v/>
      </c>
      <c r="P340" s="17">
        <f>IF('Raw Data'!A327&lt;&gt;"",AVERAGE('Raw Data'!AK327,'Raw Data'!AM327,'Raw Data'!AO327,'Raw Data'!AQ327,'Raw Data'!AS327),"")</f>
        <v/>
      </c>
      <c r="Q340" s="17">
        <f>IF(O340&lt;&gt;"",O340-P340,"")</f>
        <v/>
      </c>
      <c r="R340" s="17">
        <f>IF('Raw Data'!A327&lt;&gt;"",AVERAGE('Raw Data'!AT327,'Raw Data'!AV327,'Raw Data'!AX327,'Raw Data'!AZ327,'Raw Data'!BB327),"")</f>
        <v/>
      </c>
      <c r="S340" s="17">
        <f>IF('Raw Data'!A327&lt;&gt;"",AVERAGE('Raw Data'!AU327,'Raw Data'!AW327,'Raw Data'!AY327,'Raw Data'!BA327,'Raw Data'!BC327),"")</f>
        <v/>
      </c>
      <c r="T340" s="17">
        <f>IF(R340&lt;&gt;"",R340-S340,"")</f>
        <v/>
      </c>
      <c r="U340" s="17">
        <f>IF('Raw Data'!A327&lt;&gt;"",AVERAGE('Raw Data'!BD327,'Raw Data'!BF327,'Raw Data'!BH327,'Raw Data'!BJ327,'Raw Data'!BL327),"")</f>
        <v/>
      </c>
      <c r="V340" s="17">
        <f>IF('Raw Data'!A327&lt;&gt;"",AVERAGE('Raw Data'!BE327,'Raw Data'!BG327,'Raw Data'!BI327,'Raw Data'!BK327,'Raw Data'!BM327),"")</f>
        <v/>
      </c>
      <c r="W340" s="17">
        <f>IF(U340&lt;&gt;"",U340-V340,"")</f>
        <v/>
      </c>
      <c r="X340" s="17">
        <f>IF(A340&lt;&gt;"",AVERAGE(F340,I340,L340,O340,R340,U340),"")</f>
        <v/>
      </c>
      <c r="Y340" s="17">
        <f>IF(A340&lt;&gt;"",AVERAGE(G340,J340,M340,P340,S340,V340),"")</f>
        <v/>
      </c>
      <c r="Z340" s="17">
        <f>IF(A340&lt;&gt;"",X340-Y340,"")</f>
        <v/>
      </c>
      <c r="AA340" s="18">
        <f>IF(A340&lt;&gt;"",ROUND(MIN(100,100*((MAX(0,K340)*0.25)+(MAX(0,Q340)*0.20)+(MAX(0,W340)*0.20)+(MAX(0,H340)*0.15)+(MAX(0,N340)*0.10)+(MAX(0,T340)*0.10))/9),1),"")</f>
        <v/>
      </c>
      <c r="AB340" s="29">
        <f>IF(A340&lt;&gt;"",MIN(1,(0.5*AA340/100)+(0.3*MAX(0,K340)/9)+(0.2*MAX(0,Q340)/9)),"")</f>
        <v/>
      </c>
    </row>
    <row r="341">
      <c r="A341" s="4">
        <f>IF('Raw Data'!A328&lt;&gt;"",'Raw Data'!A328,"")</f>
        <v/>
      </c>
      <c r="B341" s="4">
        <f>IF('Raw Data'!B328&lt;&gt;"",'Raw Data'!B328,"")</f>
        <v/>
      </c>
      <c r="C341" s="4">
        <f>IF('Raw Data'!C328&lt;&gt;"",'Raw Data'!C328,"")</f>
        <v/>
      </c>
      <c r="D341" s="4">
        <f>IF('Raw Data'!D328&lt;&gt;"",'Raw Data'!D328,"")</f>
        <v/>
      </c>
      <c r="E341" s="4">
        <f>IF('Raw Data'!E328&lt;&gt;"",'Raw Data'!E328,"")</f>
        <v/>
      </c>
      <c r="F341" s="14">
        <f>IF('Raw Data'!A328&lt;&gt;"",AVERAGE('Raw Data'!F328,'Raw Data'!H328,'Raw Data'!J328,'Raw Data'!L328,'Raw Data'!N328),"")</f>
        <v/>
      </c>
      <c r="G341" s="14">
        <f>IF('Raw Data'!A328&lt;&gt;"",AVERAGE('Raw Data'!G328,'Raw Data'!I328,'Raw Data'!K328,'Raw Data'!M328,'Raw Data'!O328),"")</f>
        <v/>
      </c>
      <c r="H341" s="14">
        <f>IF(F341&lt;&gt;"",F341-G341,"")</f>
        <v/>
      </c>
      <c r="I341" s="14">
        <f>IF('Raw Data'!A328&lt;&gt;"",AVERAGE('Raw Data'!P328,'Raw Data'!R328,'Raw Data'!T328,'Raw Data'!V328,'Raw Data'!X328),"")</f>
        <v/>
      </c>
      <c r="J341" s="14">
        <f>IF('Raw Data'!A328&lt;&gt;"",AVERAGE('Raw Data'!Q328,'Raw Data'!S328,'Raw Data'!U328,'Raw Data'!W328,'Raw Data'!Y328),"")</f>
        <v/>
      </c>
      <c r="K341" s="14">
        <f>IF(I341&lt;&gt;"",I341-J341,"")</f>
        <v/>
      </c>
      <c r="L341" s="14">
        <f>IF('Raw Data'!A328&lt;&gt;"",AVERAGE('Raw Data'!Z328,'Raw Data'!AB328,'Raw Data'!AD328,'Raw Data'!AF328,'Raw Data'!AH328),"")</f>
        <v/>
      </c>
      <c r="M341" s="14">
        <f>IF('Raw Data'!A328&lt;&gt;"",AVERAGE('Raw Data'!AA328,'Raw Data'!AC328,'Raw Data'!AE328,'Raw Data'!AG328,'Raw Data'!AI328),"")</f>
        <v/>
      </c>
      <c r="N341" s="14">
        <f>IF(L341&lt;&gt;"",L341-M341,"")</f>
        <v/>
      </c>
      <c r="O341" s="14">
        <f>IF('Raw Data'!A328&lt;&gt;"",AVERAGE('Raw Data'!AJ328,'Raw Data'!AL328,'Raw Data'!AN328,'Raw Data'!AP328,'Raw Data'!AR328),"")</f>
        <v/>
      </c>
      <c r="P341" s="14">
        <f>IF('Raw Data'!A328&lt;&gt;"",AVERAGE('Raw Data'!AK328,'Raw Data'!AM328,'Raw Data'!AO328,'Raw Data'!AQ328,'Raw Data'!AS328),"")</f>
        <v/>
      </c>
      <c r="Q341" s="14">
        <f>IF(O341&lt;&gt;"",O341-P341,"")</f>
        <v/>
      </c>
      <c r="R341" s="14">
        <f>IF('Raw Data'!A328&lt;&gt;"",AVERAGE('Raw Data'!AT328,'Raw Data'!AV328,'Raw Data'!AX328,'Raw Data'!AZ328,'Raw Data'!BB328),"")</f>
        <v/>
      </c>
      <c r="S341" s="14">
        <f>IF('Raw Data'!A328&lt;&gt;"",AVERAGE('Raw Data'!AU328,'Raw Data'!AW328,'Raw Data'!AY328,'Raw Data'!BA328,'Raw Data'!BC328),"")</f>
        <v/>
      </c>
      <c r="T341" s="14">
        <f>IF(R341&lt;&gt;"",R341-S341,"")</f>
        <v/>
      </c>
      <c r="U341" s="14">
        <f>IF('Raw Data'!A328&lt;&gt;"",AVERAGE('Raw Data'!BD328,'Raw Data'!BF328,'Raw Data'!BH328,'Raw Data'!BJ328,'Raw Data'!BL328),"")</f>
        <v/>
      </c>
      <c r="V341" s="14">
        <f>IF('Raw Data'!A328&lt;&gt;"",AVERAGE('Raw Data'!BE328,'Raw Data'!BG328,'Raw Data'!BI328,'Raw Data'!BK328,'Raw Data'!BM328),"")</f>
        <v/>
      </c>
      <c r="W341" s="14">
        <f>IF(U341&lt;&gt;"",U341-V341,"")</f>
        <v/>
      </c>
      <c r="X341" s="14">
        <f>IF(A341&lt;&gt;"",AVERAGE(F341,I341,L341,O341,R341,U341),"")</f>
        <v/>
      </c>
      <c r="Y341" s="14">
        <f>IF(A341&lt;&gt;"",AVERAGE(G341,J341,M341,P341,S341,V341),"")</f>
        <v/>
      </c>
      <c r="Z341" s="14">
        <f>IF(A341&lt;&gt;"",X341-Y341,"")</f>
        <v/>
      </c>
      <c r="AA341" s="15">
        <f>IF(A341&lt;&gt;"",ROUND(MIN(100,100*((MAX(0,K341)*0.25)+(MAX(0,Q341)*0.20)+(MAX(0,W341)*0.20)+(MAX(0,H341)*0.15)+(MAX(0,N341)*0.10)+(MAX(0,T341)*0.10))/9),1),"")</f>
        <v/>
      </c>
      <c r="AB341" s="28">
        <f>IF(A341&lt;&gt;"",MIN(1,(0.5*AA341/100)+(0.3*MAX(0,K341)/9)+(0.2*MAX(0,Q341)/9)),"")</f>
        <v/>
      </c>
    </row>
    <row r="342">
      <c r="A342" s="13">
        <f>IF('Raw Data'!A329&lt;&gt;"",'Raw Data'!A329,"")</f>
        <v/>
      </c>
      <c r="B342" s="13">
        <f>IF('Raw Data'!B329&lt;&gt;"",'Raw Data'!B329,"")</f>
        <v/>
      </c>
      <c r="C342" s="13">
        <f>IF('Raw Data'!C329&lt;&gt;"",'Raw Data'!C329,"")</f>
        <v/>
      </c>
      <c r="D342" s="13">
        <f>IF('Raw Data'!D329&lt;&gt;"",'Raw Data'!D329,"")</f>
        <v/>
      </c>
      <c r="E342" s="13">
        <f>IF('Raw Data'!E329&lt;&gt;"",'Raw Data'!E329,"")</f>
        <v/>
      </c>
      <c r="F342" s="17">
        <f>IF('Raw Data'!A329&lt;&gt;"",AVERAGE('Raw Data'!F329,'Raw Data'!H329,'Raw Data'!J329,'Raw Data'!L329,'Raw Data'!N329),"")</f>
        <v/>
      </c>
      <c r="G342" s="17">
        <f>IF('Raw Data'!A329&lt;&gt;"",AVERAGE('Raw Data'!G329,'Raw Data'!I329,'Raw Data'!K329,'Raw Data'!M329,'Raw Data'!O329),"")</f>
        <v/>
      </c>
      <c r="H342" s="17">
        <f>IF(F342&lt;&gt;"",F342-G342,"")</f>
        <v/>
      </c>
      <c r="I342" s="17">
        <f>IF('Raw Data'!A329&lt;&gt;"",AVERAGE('Raw Data'!P329,'Raw Data'!R329,'Raw Data'!T329,'Raw Data'!V329,'Raw Data'!X329),"")</f>
        <v/>
      </c>
      <c r="J342" s="17">
        <f>IF('Raw Data'!A329&lt;&gt;"",AVERAGE('Raw Data'!Q329,'Raw Data'!S329,'Raw Data'!U329,'Raw Data'!W329,'Raw Data'!Y329),"")</f>
        <v/>
      </c>
      <c r="K342" s="17">
        <f>IF(I342&lt;&gt;"",I342-J342,"")</f>
        <v/>
      </c>
      <c r="L342" s="17">
        <f>IF('Raw Data'!A329&lt;&gt;"",AVERAGE('Raw Data'!Z329,'Raw Data'!AB329,'Raw Data'!AD329,'Raw Data'!AF329,'Raw Data'!AH329),"")</f>
        <v/>
      </c>
      <c r="M342" s="17">
        <f>IF('Raw Data'!A329&lt;&gt;"",AVERAGE('Raw Data'!AA329,'Raw Data'!AC329,'Raw Data'!AE329,'Raw Data'!AG329,'Raw Data'!AI329),"")</f>
        <v/>
      </c>
      <c r="N342" s="17">
        <f>IF(L342&lt;&gt;"",L342-M342,"")</f>
        <v/>
      </c>
      <c r="O342" s="17">
        <f>IF('Raw Data'!A329&lt;&gt;"",AVERAGE('Raw Data'!AJ329,'Raw Data'!AL329,'Raw Data'!AN329,'Raw Data'!AP329,'Raw Data'!AR329),"")</f>
        <v/>
      </c>
      <c r="P342" s="17">
        <f>IF('Raw Data'!A329&lt;&gt;"",AVERAGE('Raw Data'!AK329,'Raw Data'!AM329,'Raw Data'!AO329,'Raw Data'!AQ329,'Raw Data'!AS329),"")</f>
        <v/>
      </c>
      <c r="Q342" s="17">
        <f>IF(O342&lt;&gt;"",O342-P342,"")</f>
        <v/>
      </c>
      <c r="R342" s="17">
        <f>IF('Raw Data'!A329&lt;&gt;"",AVERAGE('Raw Data'!AT329,'Raw Data'!AV329,'Raw Data'!AX329,'Raw Data'!AZ329,'Raw Data'!BB329),"")</f>
        <v/>
      </c>
      <c r="S342" s="17">
        <f>IF('Raw Data'!A329&lt;&gt;"",AVERAGE('Raw Data'!AU329,'Raw Data'!AW329,'Raw Data'!AY329,'Raw Data'!BA329,'Raw Data'!BC329),"")</f>
        <v/>
      </c>
      <c r="T342" s="17">
        <f>IF(R342&lt;&gt;"",R342-S342,"")</f>
        <v/>
      </c>
      <c r="U342" s="17">
        <f>IF('Raw Data'!A329&lt;&gt;"",AVERAGE('Raw Data'!BD329,'Raw Data'!BF329,'Raw Data'!BH329,'Raw Data'!BJ329,'Raw Data'!BL329),"")</f>
        <v/>
      </c>
      <c r="V342" s="17">
        <f>IF('Raw Data'!A329&lt;&gt;"",AVERAGE('Raw Data'!BE329,'Raw Data'!BG329,'Raw Data'!BI329,'Raw Data'!BK329,'Raw Data'!BM329),"")</f>
        <v/>
      </c>
      <c r="W342" s="17">
        <f>IF(U342&lt;&gt;"",U342-V342,"")</f>
        <v/>
      </c>
      <c r="X342" s="17">
        <f>IF(A342&lt;&gt;"",AVERAGE(F342,I342,L342,O342,R342,U342),"")</f>
        <v/>
      </c>
      <c r="Y342" s="17">
        <f>IF(A342&lt;&gt;"",AVERAGE(G342,J342,M342,P342,S342,V342),"")</f>
        <v/>
      </c>
      <c r="Z342" s="17">
        <f>IF(A342&lt;&gt;"",X342-Y342,"")</f>
        <v/>
      </c>
      <c r="AA342" s="18">
        <f>IF(A342&lt;&gt;"",ROUND(MIN(100,100*((MAX(0,K342)*0.25)+(MAX(0,Q342)*0.20)+(MAX(0,W342)*0.20)+(MAX(0,H342)*0.15)+(MAX(0,N342)*0.10)+(MAX(0,T342)*0.10))/9),1),"")</f>
        <v/>
      </c>
      <c r="AB342" s="29">
        <f>IF(A342&lt;&gt;"",MIN(1,(0.5*AA342/100)+(0.3*MAX(0,K342)/9)+(0.2*MAX(0,Q342)/9)),"")</f>
        <v/>
      </c>
    </row>
    <row r="343">
      <c r="A343" s="4">
        <f>IF('Raw Data'!A330&lt;&gt;"",'Raw Data'!A330,"")</f>
        <v/>
      </c>
      <c r="B343" s="4">
        <f>IF('Raw Data'!B330&lt;&gt;"",'Raw Data'!B330,"")</f>
        <v/>
      </c>
      <c r="C343" s="4">
        <f>IF('Raw Data'!C330&lt;&gt;"",'Raw Data'!C330,"")</f>
        <v/>
      </c>
      <c r="D343" s="4">
        <f>IF('Raw Data'!D330&lt;&gt;"",'Raw Data'!D330,"")</f>
        <v/>
      </c>
      <c r="E343" s="4">
        <f>IF('Raw Data'!E330&lt;&gt;"",'Raw Data'!E330,"")</f>
        <v/>
      </c>
      <c r="F343" s="14">
        <f>IF('Raw Data'!A330&lt;&gt;"",AVERAGE('Raw Data'!F330,'Raw Data'!H330,'Raw Data'!J330,'Raw Data'!L330,'Raw Data'!N330),"")</f>
        <v/>
      </c>
      <c r="G343" s="14">
        <f>IF('Raw Data'!A330&lt;&gt;"",AVERAGE('Raw Data'!G330,'Raw Data'!I330,'Raw Data'!K330,'Raw Data'!M330,'Raw Data'!O330),"")</f>
        <v/>
      </c>
      <c r="H343" s="14">
        <f>IF(F343&lt;&gt;"",F343-G343,"")</f>
        <v/>
      </c>
      <c r="I343" s="14">
        <f>IF('Raw Data'!A330&lt;&gt;"",AVERAGE('Raw Data'!P330,'Raw Data'!R330,'Raw Data'!T330,'Raw Data'!V330,'Raw Data'!X330),"")</f>
        <v/>
      </c>
      <c r="J343" s="14">
        <f>IF('Raw Data'!A330&lt;&gt;"",AVERAGE('Raw Data'!Q330,'Raw Data'!S330,'Raw Data'!U330,'Raw Data'!W330,'Raw Data'!Y330),"")</f>
        <v/>
      </c>
      <c r="K343" s="14">
        <f>IF(I343&lt;&gt;"",I343-J343,"")</f>
        <v/>
      </c>
      <c r="L343" s="14">
        <f>IF('Raw Data'!A330&lt;&gt;"",AVERAGE('Raw Data'!Z330,'Raw Data'!AB330,'Raw Data'!AD330,'Raw Data'!AF330,'Raw Data'!AH330),"")</f>
        <v/>
      </c>
      <c r="M343" s="14">
        <f>IF('Raw Data'!A330&lt;&gt;"",AVERAGE('Raw Data'!AA330,'Raw Data'!AC330,'Raw Data'!AE330,'Raw Data'!AG330,'Raw Data'!AI330),"")</f>
        <v/>
      </c>
      <c r="N343" s="14">
        <f>IF(L343&lt;&gt;"",L343-M343,"")</f>
        <v/>
      </c>
      <c r="O343" s="14">
        <f>IF('Raw Data'!A330&lt;&gt;"",AVERAGE('Raw Data'!AJ330,'Raw Data'!AL330,'Raw Data'!AN330,'Raw Data'!AP330,'Raw Data'!AR330),"")</f>
        <v/>
      </c>
      <c r="P343" s="14">
        <f>IF('Raw Data'!A330&lt;&gt;"",AVERAGE('Raw Data'!AK330,'Raw Data'!AM330,'Raw Data'!AO330,'Raw Data'!AQ330,'Raw Data'!AS330),"")</f>
        <v/>
      </c>
      <c r="Q343" s="14">
        <f>IF(O343&lt;&gt;"",O343-P343,"")</f>
        <v/>
      </c>
      <c r="R343" s="14">
        <f>IF('Raw Data'!A330&lt;&gt;"",AVERAGE('Raw Data'!AT330,'Raw Data'!AV330,'Raw Data'!AX330,'Raw Data'!AZ330,'Raw Data'!BB330),"")</f>
        <v/>
      </c>
      <c r="S343" s="14">
        <f>IF('Raw Data'!A330&lt;&gt;"",AVERAGE('Raw Data'!AU330,'Raw Data'!AW330,'Raw Data'!AY330,'Raw Data'!BA330,'Raw Data'!BC330),"")</f>
        <v/>
      </c>
      <c r="T343" s="14">
        <f>IF(R343&lt;&gt;"",R343-S343,"")</f>
        <v/>
      </c>
      <c r="U343" s="14">
        <f>IF('Raw Data'!A330&lt;&gt;"",AVERAGE('Raw Data'!BD330,'Raw Data'!BF330,'Raw Data'!BH330,'Raw Data'!BJ330,'Raw Data'!BL330),"")</f>
        <v/>
      </c>
      <c r="V343" s="14">
        <f>IF('Raw Data'!A330&lt;&gt;"",AVERAGE('Raw Data'!BE330,'Raw Data'!BG330,'Raw Data'!BI330,'Raw Data'!BK330,'Raw Data'!BM330),"")</f>
        <v/>
      </c>
      <c r="W343" s="14">
        <f>IF(U343&lt;&gt;"",U343-V343,"")</f>
        <v/>
      </c>
      <c r="X343" s="14">
        <f>IF(A343&lt;&gt;"",AVERAGE(F343,I343,L343,O343,R343,U343),"")</f>
        <v/>
      </c>
      <c r="Y343" s="14">
        <f>IF(A343&lt;&gt;"",AVERAGE(G343,J343,M343,P343,S343,V343),"")</f>
        <v/>
      </c>
      <c r="Z343" s="14">
        <f>IF(A343&lt;&gt;"",X343-Y343,"")</f>
        <v/>
      </c>
      <c r="AA343" s="15">
        <f>IF(A343&lt;&gt;"",ROUND(MIN(100,100*((MAX(0,K343)*0.25)+(MAX(0,Q343)*0.20)+(MAX(0,W343)*0.20)+(MAX(0,H343)*0.15)+(MAX(0,N343)*0.10)+(MAX(0,T343)*0.10))/9),1),"")</f>
        <v/>
      </c>
      <c r="AB343" s="28">
        <f>IF(A343&lt;&gt;"",MIN(1,(0.5*AA343/100)+(0.3*MAX(0,K343)/9)+(0.2*MAX(0,Q343)/9)),"")</f>
        <v/>
      </c>
    </row>
    <row r="344">
      <c r="A344" s="13">
        <f>IF('Raw Data'!A331&lt;&gt;"",'Raw Data'!A331,"")</f>
        <v/>
      </c>
      <c r="B344" s="13">
        <f>IF('Raw Data'!B331&lt;&gt;"",'Raw Data'!B331,"")</f>
        <v/>
      </c>
      <c r="C344" s="13">
        <f>IF('Raw Data'!C331&lt;&gt;"",'Raw Data'!C331,"")</f>
        <v/>
      </c>
      <c r="D344" s="13">
        <f>IF('Raw Data'!D331&lt;&gt;"",'Raw Data'!D331,"")</f>
        <v/>
      </c>
      <c r="E344" s="13">
        <f>IF('Raw Data'!E331&lt;&gt;"",'Raw Data'!E331,"")</f>
        <v/>
      </c>
      <c r="F344" s="17">
        <f>IF('Raw Data'!A331&lt;&gt;"",AVERAGE('Raw Data'!F331,'Raw Data'!H331,'Raw Data'!J331,'Raw Data'!L331,'Raw Data'!N331),"")</f>
        <v/>
      </c>
      <c r="G344" s="17">
        <f>IF('Raw Data'!A331&lt;&gt;"",AVERAGE('Raw Data'!G331,'Raw Data'!I331,'Raw Data'!K331,'Raw Data'!M331,'Raw Data'!O331),"")</f>
        <v/>
      </c>
      <c r="H344" s="17">
        <f>IF(F344&lt;&gt;"",F344-G344,"")</f>
        <v/>
      </c>
      <c r="I344" s="17">
        <f>IF('Raw Data'!A331&lt;&gt;"",AVERAGE('Raw Data'!P331,'Raw Data'!R331,'Raw Data'!T331,'Raw Data'!V331,'Raw Data'!X331),"")</f>
        <v/>
      </c>
      <c r="J344" s="17">
        <f>IF('Raw Data'!A331&lt;&gt;"",AVERAGE('Raw Data'!Q331,'Raw Data'!S331,'Raw Data'!U331,'Raw Data'!W331,'Raw Data'!Y331),"")</f>
        <v/>
      </c>
      <c r="K344" s="17">
        <f>IF(I344&lt;&gt;"",I344-J344,"")</f>
        <v/>
      </c>
      <c r="L344" s="17">
        <f>IF('Raw Data'!A331&lt;&gt;"",AVERAGE('Raw Data'!Z331,'Raw Data'!AB331,'Raw Data'!AD331,'Raw Data'!AF331,'Raw Data'!AH331),"")</f>
        <v/>
      </c>
      <c r="M344" s="17">
        <f>IF('Raw Data'!A331&lt;&gt;"",AVERAGE('Raw Data'!AA331,'Raw Data'!AC331,'Raw Data'!AE331,'Raw Data'!AG331,'Raw Data'!AI331),"")</f>
        <v/>
      </c>
      <c r="N344" s="17">
        <f>IF(L344&lt;&gt;"",L344-M344,"")</f>
        <v/>
      </c>
      <c r="O344" s="17">
        <f>IF('Raw Data'!A331&lt;&gt;"",AVERAGE('Raw Data'!AJ331,'Raw Data'!AL331,'Raw Data'!AN331,'Raw Data'!AP331,'Raw Data'!AR331),"")</f>
        <v/>
      </c>
      <c r="P344" s="17">
        <f>IF('Raw Data'!A331&lt;&gt;"",AVERAGE('Raw Data'!AK331,'Raw Data'!AM331,'Raw Data'!AO331,'Raw Data'!AQ331,'Raw Data'!AS331),"")</f>
        <v/>
      </c>
      <c r="Q344" s="17">
        <f>IF(O344&lt;&gt;"",O344-P344,"")</f>
        <v/>
      </c>
      <c r="R344" s="17">
        <f>IF('Raw Data'!A331&lt;&gt;"",AVERAGE('Raw Data'!AT331,'Raw Data'!AV331,'Raw Data'!AX331,'Raw Data'!AZ331,'Raw Data'!BB331),"")</f>
        <v/>
      </c>
      <c r="S344" s="17">
        <f>IF('Raw Data'!A331&lt;&gt;"",AVERAGE('Raw Data'!AU331,'Raw Data'!AW331,'Raw Data'!AY331,'Raw Data'!BA331,'Raw Data'!BC331),"")</f>
        <v/>
      </c>
      <c r="T344" s="17">
        <f>IF(R344&lt;&gt;"",R344-S344,"")</f>
        <v/>
      </c>
      <c r="U344" s="17">
        <f>IF('Raw Data'!A331&lt;&gt;"",AVERAGE('Raw Data'!BD331,'Raw Data'!BF331,'Raw Data'!BH331,'Raw Data'!BJ331,'Raw Data'!BL331),"")</f>
        <v/>
      </c>
      <c r="V344" s="17">
        <f>IF('Raw Data'!A331&lt;&gt;"",AVERAGE('Raw Data'!BE331,'Raw Data'!BG331,'Raw Data'!BI331,'Raw Data'!BK331,'Raw Data'!BM331),"")</f>
        <v/>
      </c>
      <c r="W344" s="17">
        <f>IF(U344&lt;&gt;"",U344-V344,"")</f>
        <v/>
      </c>
      <c r="X344" s="17">
        <f>IF(A344&lt;&gt;"",AVERAGE(F344,I344,L344,O344,R344,U344),"")</f>
        <v/>
      </c>
      <c r="Y344" s="17">
        <f>IF(A344&lt;&gt;"",AVERAGE(G344,J344,M344,P344,S344,V344),"")</f>
        <v/>
      </c>
      <c r="Z344" s="17">
        <f>IF(A344&lt;&gt;"",X344-Y344,"")</f>
        <v/>
      </c>
      <c r="AA344" s="18">
        <f>IF(A344&lt;&gt;"",ROUND(MIN(100,100*((MAX(0,K344)*0.25)+(MAX(0,Q344)*0.20)+(MAX(0,W344)*0.20)+(MAX(0,H344)*0.15)+(MAX(0,N344)*0.10)+(MAX(0,T344)*0.10))/9),1),"")</f>
        <v/>
      </c>
      <c r="AB344" s="29">
        <f>IF(A344&lt;&gt;"",MIN(1,(0.5*AA344/100)+(0.3*MAX(0,K344)/9)+(0.2*MAX(0,Q344)/9)),"")</f>
        <v/>
      </c>
    </row>
    <row r="345">
      <c r="A345" s="4">
        <f>IF('Raw Data'!A332&lt;&gt;"",'Raw Data'!A332,"")</f>
        <v/>
      </c>
      <c r="B345" s="4">
        <f>IF('Raw Data'!B332&lt;&gt;"",'Raw Data'!B332,"")</f>
        <v/>
      </c>
      <c r="C345" s="4">
        <f>IF('Raw Data'!C332&lt;&gt;"",'Raw Data'!C332,"")</f>
        <v/>
      </c>
      <c r="D345" s="4">
        <f>IF('Raw Data'!D332&lt;&gt;"",'Raw Data'!D332,"")</f>
        <v/>
      </c>
      <c r="E345" s="4">
        <f>IF('Raw Data'!E332&lt;&gt;"",'Raw Data'!E332,"")</f>
        <v/>
      </c>
      <c r="F345" s="14">
        <f>IF('Raw Data'!A332&lt;&gt;"",AVERAGE('Raw Data'!F332,'Raw Data'!H332,'Raw Data'!J332,'Raw Data'!L332,'Raw Data'!N332),"")</f>
        <v/>
      </c>
      <c r="G345" s="14">
        <f>IF('Raw Data'!A332&lt;&gt;"",AVERAGE('Raw Data'!G332,'Raw Data'!I332,'Raw Data'!K332,'Raw Data'!M332,'Raw Data'!O332),"")</f>
        <v/>
      </c>
      <c r="H345" s="14">
        <f>IF(F345&lt;&gt;"",F345-G345,"")</f>
        <v/>
      </c>
      <c r="I345" s="14">
        <f>IF('Raw Data'!A332&lt;&gt;"",AVERAGE('Raw Data'!P332,'Raw Data'!R332,'Raw Data'!T332,'Raw Data'!V332,'Raw Data'!X332),"")</f>
        <v/>
      </c>
      <c r="J345" s="14">
        <f>IF('Raw Data'!A332&lt;&gt;"",AVERAGE('Raw Data'!Q332,'Raw Data'!S332,'Raw Data'!U332,'Raw Data'!W332,'Raw Data'!Y332),"")</f>
        <v/>
      </c>
      <c r="K345" s="14">
        <f>IF(I345&lt;&gt;"",I345-J345,"")</f>
        <v/>
      </c>
      <c r="L345" s="14">
        <f>IF('Raw Data'!A332&lt;&gt;"",AVERAGE('Raw Data'!Z332,'Raw Data'!AB332,'Raw Data'!AD332,'Raw Data'!AF332,'Raw Data'!AH332),"")</f>
        <v/>
      </c>
      <c r="M345" s="14">
        <f>IF('Raw Data'!A332&lt;&gt;"",AVERAGE('Raw Data'!AA332,'Raw Data'!AC332,'Raw Data'!AE332,'Raw Data'!AG332,'Raw Data'!AI332),"")</f>
        <v/>
      </c>
      <c r="N345" s="14">
        <f>IF(L345&lt;&gt;"",L345-M345,"")</f>
        <v/>
      </c>
      <c r="O345" s="14">
        <f>IF('Raw Data'!A332&lt;&gt;"",AVERAGE('Raw Data'!AJ332,'Raw Data'!AL332,'Raw Data'!AN332,'Raw Data'!AP332,'Raw Data'!AR332),"")</f>
        <v/>
      </c>
      <c r="P345" s="14">
        <f>IF('Raw Data'!A332&lt;&gt;"",AVERAGE('Raw Data'!AK332,'Raw Data'!AM332,'Raw Data'!AO332,'Raw Data'!AQ332,'Raw Data'!AS332),"")</f>
        <v/>
      </c>
      <c r="Q345" s="14">
        <f>IF(O345&lt;&gt;"",O345-P345,"")</f>
        <v/>
      </c>
      <c r="R345" s="14">
        <f>IF('Raw Data'!A332&lt;&gt;"",AVERAGE('Raw Data'!AT332,'Raw Data'!AV332,'Raw Data'!AX332,'Raw Data'!AZ332,'Raw Data'!BB332),"")</f>
        <v/>
      </c>
      <c r="S345" s="14">
        <f>IF('Raw Data'!A332&lt;&gt;"",AVERAGE('Raw Data'!AU332,'Raw Data'!AW332,'Raw Data'!AY332,'Raw Data'!BA332,'Raw Data'!BC332),"")</f>
        <v/>
      </c>
      <c r="T345" s="14">
        <f>IF(R345&lt;&gt;"",R345-S345,"")</f>
        <v/>
      </c>
      <c r="U345" s="14">
        <f>IF('Raw Data'!A332&lt;&gt;"",AVERAGE('Raw Data'!BD332,'Raw Data'!BF332,'Raw Data'!BH332,'Raw Data'!BJ332,'Raw Data'!BL332),"")</f>
        <v/>
      </c>
      <c r="V345" s="14">
        <f>IF('Raw Data'!A332&lt;&gt;"",AVERAGE('Raw Data'!BE332,'Raw Data'!BG332,'Raw Data'!BI332,'Raw Data'!BK332,'Raw Data'!BM332),"")</f>
        <v/>
      </c>
      <c r="W345" s="14">
        <f>IF(U345&lt;&gt;"",U345-V345,"")</f>
        <v/>
      </c>
      <c r="X345" s="14">
        <f>IF(A345&lt;&gt;"",AVERAGE(F345,I345,L345,O345,R345,U345),"")</f>
        <v/>
      </c>
      <c r="Y345" s="14">
        <f>IF(A345&lt;&gt;"",AVERAGE(G345,J345,M345,P345,S345,V345),"")</f>
        <v/>
      </c>
      <c r="Z345" s="14">
        <f>IF(A345&lt;&gt;"",X345-Y345,"")</f>
        <v/>
      </c>
      <c r="AA345" s="15">
        <f>IF(A345&lt;&gt;"",ROUND(MIN(100,100*((MAX(0,K345)*0.25)+(MAX(0,Q345)*0.20)+(MAX(0,W345)*0.20)+(MAX(0,H345)*0.15)+(MAX(0,N345)*0.10)+(MAX(0,T345)*0.10))/9),1),"")</f>
        <v/>
      </c>
      <c r="AB345" s="28">
        <f>IF(A345&lt;&gt;"",MIN(1,(0.5*AA345/100)+(0.3*MAX(0,K345)/9)+(0.2*MAX(0,Q345)/9)),"")</f>
        <v/>
      </c>
    </row>
    <row r="346">
      <c r="A346" s="13">
        <f>IF('Raw Data'!A333&lt;&gt;"",'Raw Data'!A333,"")</f>
        <v/>
      </c>
      <c r="B346" s="13">
        <f>IF('Raw Data'!B333&lt;&gt;"",'Raw Data'!B333,"")</f>
        <v/>
      </c>
      <c r="C346" s="13">
        <f>IF('Raw Data'!C333&lt;&gt;"",'Raw Data'!C333,"")</f>
        <v/>
      </c>
      <c r="D346" s="13">
        <f>IF('Raw Data'!D333&lt;&gt;"",'Raw Data'!D333,"")</f>
        <v/>
      </c>
      <c r="E346" s="13">
        <f>IF('Raw Data'!E333&lt;&gt;"",'Raw Data'!E333,"")</f>
        <v/>
      </c>
      <c r="F346" s="17">
        <f>IF('Raw Data'!A333&lt;&gt;"",AVERAGE('Raw Data'!F333,'Raw Data'!H333,'Raw Data'!J333,'Raw Data'!L333,'Raw Data'!N333),"")</f>
        <v/>
      </c>
      <c r="G346" s="17">
        <f>IF('Raw Data'!A333&lt;&gt;"",AVERAGE('Raw Data'!G333,'Raw Data'!I333,'Raw Data'!K333,'Raw Data'!M333,'Raw Data'!O333),"")</f>
        <v/>
      </c>
      <c r="H346" s="17">
        <f>IF(F346&lt;&gt;"",F346-G346,"")</f>
        <v/>
      </c>
      <c r="I346" s="17">
        <f>IF('Raw Data'!A333&lt;&gt;"",AVERAGE('Raw Data'!P333,'Raw Data'!R333,'Raw Data'!T333,'Raw Data'!V333,'Raw Data'!X333),"")</f>
        <v/>
      </c>
      <c r="J346" s="17">
        <f>IF('Raw Data'!A333&lt;&gt;"",AVERAGE('Raw Data'!Q333,'Raw Data'!S333,'Raw Data'!U333,'Raw Data'!W333,'Raw Data'!Y333),"")</f>
        <v/>
      </c>
      <c r="K346" s="17">
        <f>IF(I346&lt;&gt;"",I346-J346,"")</f>
        <v/>
      </c>
      <c r="L346" s="17">
        <f>IF('Raw Data'!A333&lt;&gt;"",AVERAGE('Raw Data'!Z333,'Raw Data'!AB333,'Raw Data'!AD333,'Raw Data'!AF333,'Raw Data'!AH333),"")</f>
        <v/>
      </c>
      <c r="M346" s="17">
        <f>IF('Raw Data'!A333&lt;&gt;"",AVERAGE('Raw Data'!AA333,'Raw Data'!AC333,'Raw Data'!AE333,'Raw Data'!AG333,'Raw Data'!AI333),"")</f>
        <v/>
      </c>
      <c r="N346" s="17">
        <f>IF(L346&lt;&gt;"",L346-M346,"")</f>
        <v/>
      </c>
      <c r="O346" s="17">
        <f>IF('Raw Data'!A333&lt;&gt;"",AVERAGE('Raw Data'!AJ333,'Raw Data'!AL333,'Raw Data'!AN333,'Raw Data'!AP333,'Raw Data'!AR333),"")</f>
        <v/>
      </c>
      <c r="P346" s="17">
        <f>IF('Raw Data'!A333&lt;&gt;"",AVERAGE('Raw Data'!AK333,'Raw Data'!AM333,'Raw Data'!AO333,'Raw Data'!AQ333,'Raw Data'!AS333),"")</f>
        <v/>
      </c>
      <c r="Q346" s="17">
        <f>IF(O346&lt;&gt;"",O346-P346,"")</f>
        <v/>
      </c>
      <c r="R346" s="17">
        <f>IF('Raw Data'!A333&lt;&gt;"",AVERAGE('Raw Data'!AT333,'Raw Data'!AV333,'Raw Data'!AX333,'Raw Data'!AZ333,'Raw Data'!BB333),"")</f>
        <v/>
      </c>
      <c r="S346" s="17">
        <f>IF('Raw Data'!A333&lt;&gt;"",AVERAGE('Raw Data'!AU333,'Raw Data'!AW333,'Raw Data'!AY333,'Raw Data'!BA333,'Raw Data'!BC333),"")</f>
        <v/>
      </c>
      <c r="T346" s="17">
        <f>IF(R346&lt;&gt;"",R346-S346,"")</f>
        <v/>
      </c>
      <c r="U346" s="17">
        <f>IF('Raw Data'!A333&lt;&gt;"",AVERAGE('Raw Data'!BD333,'Raw Data'!BF333,'Raw Data'!BH333,'Raw Data'!BJ333,'Raw Data'!BL333),"")</f>
        <v/>
      </c>
      <c r="V346" s="17">
        <f>IF('Raw Data'!A333&lt;&gt;"",AVERAGE('Raw Data'!BE333,'Raw Data'!BG333,'Raw Data'!BI333,'Raw Data'!BK333,'Raw Data'!BM333),"")</f>
        <v/>
      </c>
      <c r="W346" s="17">
        <f>IF(U346&lt;&gt;"",U346-V346,"")</f>
        <v/>
      </c>
      <c r="X346" s="17">
        <f>IF(A346&lt;&gt;"",AVERAGE(F346,I346,L346,O346,R346,U346),"")</f>
        <v/>
      </c>
      <c r="Y346" s="17">
        <f>IF(A346&lt;&gt;"",AVERAGE(G346,J346,M346,P346,S346,V346),"")</f>
        <v/>
      </c>
      <c r="Z346" s="17">
        <f>IF(A346&lt;&gt;"",X346-Y346,"")</f>
        <v/>
      </c>
      <c r="AA346" s="18">
        <f>IF(A346&lt;&gt;"",ROUND(MIN(100,100*((MAX(0,K346)*0.25)+(MAX(0,Q346)*0.20)+(MAX(0,W346)*0.20)+(MAX(0,H346)*0.15)+(MAX(0,N346)*0.10)+(MAX(0,T346)*0.10))/9),1),"")</f>
        <v/>
      </c>
      <c r="AB346" s="29">
        <f>IF(A346&lt;&gt;"",MIN(1,(0.5*AA346/100)+(0.3*MAX(0,K346)/9)+(0.2*MAX(0,Q346)/9)),"")</f>
        <v/>
      </c>
    </row>
    <row r="347">
      <c r="A347" s="4">
        <f>IF('Raw Data'!A334&lt;&gt;"",'Raw Data'!A334,"")</f>
        <v/>
      </c>
      <c r="B347" s="4">
        <f>IF('Raw Data'!B334&lt;&gt;"",'Raw Data'!B334,"")</f>
        <v/>
      </c>
      <c r="C347" s="4">
        <f>IF('Raw Data'!C334&lt;&gt;"",'Raw Data'!C334,"")</f>
        <v/>
      </c>
      <c r="D347" s="4">
        <f>IF('Raw Data'!D334&lt;&gt;"",'Raw Data'!D334,"")</f>
        <v/>
      </c>
      <c r="E347" s="4">
        <f>IF('Raw Data'!E334&lt;&gt;"",'Raw Data'!E334,"")</f>
        <v/>
      </c>
      <c r="F347" s="14">
        <f>IF('Raw Data'!A334&lt;&gt;"",AVERAGE('Raw Data'!F334,'Raw Data'!H334,'Raw Data'!J334,'Raw Data'!L334,'Raw Data'!N334),"")</f>
        <v/>
      </c>
      <c r="G347" s="14">
        <f>IF('Raw Data'!A334&lt;&gt;"",AVERAGE('Raw Data'!G334,'Raw Data'!I334,'Raw Data'!K334,'Raw Data'!M334,'Raw Data'!O334),"")</f>
        <v/>
      </c>
      <c r="H347" s="14">
        <f>IF(F347&lt;&gt;"",F347-G347,"")</f>
        <v/>
      </c>
      <c r="I347" s="14">
        <f>IF('Raw Data'!A334&lt;&gt;"",AVERAGE('Raw Data'!P334,'Raw Data'!R334,'Raw Data'!T334,'Raw Data'!V334,'Raw Data'!X334),"")</f>
        <v/>
      </c>
      <c r="J347" s="14">
        <f>IF('Raw Data'!A334&lt;&gt;"",AVERAGE('Raw Data'!Q334,'Raw Data'!S334,'Raw Data'!U334,'Raw Data'!W334,'Raw Data'!Y334),"")</f>
        <v/>
      </c>
      <c r="K347" s="14">
        <f>IF(I347&lt;&gt;"",I347-J347,"")</f>
        <v/>
      </c>
      <c r="L347" s="14">
        <f>IF('Raw Data'!A334&lt;&gt;"",AVERAGE('Raw Data'!Z334,'Raw Data'!AB334,'Raw Data'!AD334,'Raw Data'!AF334,'Raw Data'!AH334),"")</f>
        <v/>
      </c>
      <c r="M347" s="14">
        <f>IF('Raw Data'!A334&lt;&gt;"",AVERAGE('Raw Data'!AA334,'Raw Data'!AC334,'Raw Data'!AE334,'Raw Data'!AG334,'Raw Data'!AI334),"")</f>
        <v/>
      </c>
      <c r="N347" s="14">
        <f>IF(L347&lt;&gt;"",L347-M347,"")</f>
        <v/>
      </c>
      <c r="O347" s="14">
        <f>IF('Raw Data'!A334&lt;&gt;"",AVERAGE('Raw Data'!AJ334,'Raw Data'!AL334,'Raw Data'!AN334,'Raw Data'!AP334,'Raw Data'!AR334),"")</f>
        <v/>
      </c>
      <c r="P347" s="14">
        <f>IF('Raw Data'!A334&lt;&gt;"",AVERAGE('Raw Data'!AK334,'Raw Data'!AM334,'Raw Data'!AO334,'Raw Data'!AQ334,'Raw Data'!AS334),"")</f>
        <v/>
      </c>
      <c r="Q347" s="14">
        <f>IF(O347&lt;&gt;"",O347-P347,"")</f>
        <v/>
      </c>
      <c r="R347" s="14">
        <f>IF('Raw Data'!A334&lt;&gt;"",AVERAGE('Raw Data'!AT334,'Raw Data'!AV334,'Raw Data'!AX334,'Raw Data'!AZ334,'Raw Data'!BB334),"")</f>
        <v/>
      </c>
      <c r="S347" s="14">
        <f>IF('Raw Data'!A334&lt;&gt;"",AVERAGE('Raw Data'!AU334,'Raw Data'!AW334,'Raw Data'!AY334,'Raw Data'!BA334,'Raw Data'!BC334),"")</f>
        <v/>
      </c>
      <c r="T347" s="14">
        <f>IF(R347&lt;&gt;"",R347-S347,"")</f>
        <v/>
      </c>
      <c r="U347" s="14">
        <f>IF('Raw Data'!A334&lt;&gt;"",AVERAGE('Raw Data'!BD334,'Raw Data'!BF334,'Raw Data'!BH334,'Raw Data'!BJ334,'Raw Data'!BL334),"")</f>
        <v/>
      </c>
      <c r="V347" s="14">
        <f>IF('Raw Data'!A334&lt;&gt;"",AVERAGE('Raw Data'!BE334,'Raw Data'!BG334,'Raw Data'!BI334,'Raw Data'!BK334,'Raw Data'!BM334),"")</f>
        <v/>
      </c>
      <c r="W347" s="14">
        <f>IF(U347&lt;&gt;"",U347-V347,"")</f>
        <v/>
      </c>
      <c r="X347" s="14">
        <f>IF(A347&lt;&gt;"",AVERAGE(F347,I347,L347,O347,R347,U347),"")</f>
        <v/>
      </c>
      <c r="Y347" s="14">
        <f>IF(A347&lt;&gt;"",AVERAGE(G347,J347,M347,P347,S347,V347),"")</f>
        <v/>
      </c>
      <c r="Z347" s="14">
        <f>IF(A347&lt;&gt;"",X347-Y347,"")</f>
        <v/>
      </c>
      <c r="AA347" s="15">
        <f>IF(A347&lt;&gt;"",ROUND(MIN(100,100*((MAX(0,K347)*0.25)+(MAX(0,Q347)*0.20)+(MAX(0,W347)*0.20)+(MAX(0,H347)*0.15)+(MAX(0,N347)*0.10)+(MAX(0,T347)*0.10))/9),1),"")</f>
        <v/>
      </c>
      <c r="AB347" s="28">
        <f>IF(A347&lt;&gt;"",MIN(1,(0.5*AA347/100)+(0.3*MAX(0,K347)/9)+(0.2*MAX(0,Q347)/9)),"")</f>
        <v/>
      </c>
    </row>
    <row r="348">
      <c r="A348" s="13">
        <f>IF('Raw Data'!A335&lt;&gt;"",'Raw Data'!A335,"")</f>
        <v/>
      </c>
      <c r="B348" s="13">
        <f>IF('Raw Data'!B335&lt;&gt;"",'Raw Data'!B335,"")</f>
        <v/>
      </c>
      <c r="C348" s="13">
        <f>IF('Raw Data'!C335&lt;&gt;"",'Raw Data'!C335,"")</f>
        <v/>
      </c>
      <c r="D348" s="13">
        <f>IF('Raw Data'!D335&lt;&gt;"",'Raw Data'!D335,"")</f>
        <v/>
      </c>
      <c r="E348" s="13">
        <f>IF('Raw Data'!E335&lt;&gt;"",'Raw Data'!E335,"")</f>
        <v/>
      </c>
      <c r="F348" s="17">
        <f>IF('Raw Data'!A335&lt;&gt;"",AVERAGE('Raw Data'!F335,'Raw Data'!H335,'Raw Data'!J335,'Raw Data'!L335,'Raw Data'!N335),"")</f>
        <v/>
      </c>
      <c r="G348" s="17">
        <f>IF('Raw Data'!A335&lt;&gt;"",AVERAGE('Raw Data'!G335,'Raw Data'!I335,'Raw Data'!K335,'Raw Data'!M335,'Raw Data'!O335),"")</f>
        <v/>
      </c>
      <c r="H348" s="17">
        <f>IF(F348&lt;&gt;"",F348-G348,"")</f>
        <v/>
      </c>
      <c r="I348" s="17">
        <f>IF('Raw Data'!A335&lt;&gt;"",AVERAGE('Raw Data'!P335,'Raw Data'!R335,'Raw Data'!T335,'Raw Data'!V335,'Raw Data'!X335),"")</f>
        <v/>
      </c>
      <c r="J348" s="17">
        <f>IF('Raw Data'!A335&lt;&gt;"",AVERAGE('Raw Data'!Q335,'Raw Data'!S335,'Raw Data'!U335,'Raw Data'!W335,'Raw Data'!Y335),"")</f>
        <v/>
      </c>
      <c r="K348" s="17">
        <f>IF(I348&lt;&gt;"",I348-J348,"")</f>
        <v/>
      </c>
      <c r="L348" s="17">
        <f>IF('Raw Data'!A335&lt;&gt;"",AVERAGE('Raw Data'!Z335,'Raw Data'!AB335,'Raw Data'!AD335,'Raw Data'!AF335,'Raw Data'!AH335),"")</f>
        <v/>
      </c>
      <c r="M348" s="17">
        <f>IF('Raw Data'!A335&lt;&gt;"",AVERAGE('Raw Data'!AA335,'Raw Data'!AC335,'Raw Data'!AE335,'Raw Data'!AG335,'Raw Data'!AI335),"")</f>
        <v/>
      </c>
      <c r="N348" s="17">
        <f>IF(L348&lt;&gt;"",L348-M348,"")</f>
        <v/>
      </c>
      <c r="O348" s="17">
        <f>IF('Raw Data'!A335&lt;&gt;"",AVERAGE('Raw Data'!AJ335,'Raw Data'!AL335,'Raw Data'!AN335,'Raw Data'!AP335,'Raw Data'!AR335),"")</f>
        <v/>
      </c>
      <c r="P348" s="17">
        <f>IF('Raw Data'!A335&lt;&gt;"",AVERAGE('Raw Data'!AK335,'Raw Data'!AM335,'Raw Data'!AO335,'Raw Data'!AQ335,'Raw Data'!AS335),"")</f>
        <v/>
      </c>
      <c r="Q348" s="17">
        <f>IF(O348&lt;&gt;"",O348-P348,"")</f>
        <v/>
      </c>
      <c r="R348" s="17">
        <f>IF('Raw Data'!A335&lt;&gt;"",AVERAGE('Raw Data'!AT335,'Raw Data'!AV335,'Raw Data'!AX335,'Raw Data'!AZ335,'Raw Data'!BB335),"")</f>
        <v/>
      </c>
      <c r="S348" s="17">
        <f>IF('Raw Data'!A335&lt;&gt;"",AVERAGE('Raw Data'!AU335,'Raw Data'!AW335,'Raw Data'!AY335,'Raw Data'!BA335,'Raw Data'!BC335),"")</f>
        <v/>
      </c>
      <c r="T348" s="17">
        <f>IF(R348&lt;&gt;"",R348-S348,"")</f>
        <v/>
      </c>
      <c r="U348" s="17">
        <f>IF('Raw Data'!A335&lt;&gt;"",AVERAGE('Raw Data'!BD335,'Raw Data'!BF335,'Raw Data'!BH335,'Raw Data'!BJ335,'Raw Data'!BL335),"")</f>
        <v/>
      </c>
      <c r="V348" s="17">
        <f>IF('Raw Data'!A335&lt;&gt;"",AVERAGE('Raw Data'!BE335,'Raw Data'!BG335,'Raw Data'!BI335,'Raw Data'!BK335,'Raw Data'!BM335),"")</f>
        <v/>
      </c>
      <c r="W348" s="17">
        <f>IF(U348&lt;&gt;"",U348-V348,"")</f>
        <v/>
      </c>
      <c r="X348" s="17">
        <f>IF(A348&lt;&gt;"",AVERAGE(F348,I348,L348,O348,R348,U348),"")</f>
        <v/>
      </c>
      <c r="Y348" s="17">
        <f>IF(A348&lt;&gt;"",AVERAGE(G348,J348,M348,P348,S348,V348),"")</f>
        <v/>
      </c>
      <c r="Z348" s="17">
        <f>IF(A348&lt;&gt;"",X348-Y348,"")</f>
        <v/>
      </c>
      <c r="AA348" s="18">
        <f>IF(A348&lt;&gt;"",ROUND(MIN(100,100*((MAX(0,K348)*0.25)+(MAX(0,Q348)*0.20)+(MAX(0,W348)*0.20)+(MAX(0,H348)*0.15)+(MAX(0,N348)*0.10)+(MAX(0,T348)*0.10))/9),1),"")</f>
        <v/>
      </c>
      <c r="AB348" s="29">
        <f>IF(A348&lt;&gt;"",MIN(1,(0.5*AA348/100)+(0.3*MAX(0,K348)/9)+(0.2*MAX(0,Q348)/9)),"")</f>
        <v/>
      </c>
    </row>
    <row r="349">
      <c r="A349" s="4">
        <f>IF('Raw Data'!A336&lt;&gt;"",'Raw Data'!A336,"")</f>
        <v/>
      </c>
      <c r="B349" s="4">
        <f>IF('Raw Data'!B336&lt;&gt;"",'Raw Data'!B336,"")</f>
        <v/>
      </c>
      <c r="C349" s="4">
        <f>IF('Raw Data'!C336&lt;&gt;"",'Raw Data'!C336,"")</f>
        <v/>
      </c>
      <c r="D349" s="4">
        <f>IF('Raw Data'!D336&lt;&gt;"",'Raw Data'!D336,"")</f>
        <v/>
      </c>
      <c r="E349" s="4">
        <f>IF('Raw Data'!E336&lt;&gt;"",'Raw Data'!E336,"")</f>
        <v/>
      </c>
      <c r="F349" s="14">
        <f>IF('Raw Data'!A336&lt;&gt;"",AVERAGE('Raw Data'!F336,'Raw Data'!H336,'Raw Data'!J336,'Raw Data'!L336,'Raw Data'!N336),"")</f>
        <v/>
      </c>
      <c r="G349" s="14">
        <f>IF('Raw Data'!A336&lt;&gt;"",AVERAGE('Raw Data'!G336,'Raw Data'!I336,'Raw Data'!K336,'Raw Data'!M336,'Raw Data'!O336),"")</f>
        <v/>
      </c>
      <c r="H349" s="14">
        <f>IF(F349&lt;&gt;"",F349-G349,"")</f>
        <v/>
      </c>
      <c r="I349" s="14">
        <f>IF('Raw Data'!A336&lt;&gt;"",AVERAGE('Raw Data'!P336,'Raw Data'!R336,'Raw Data'!T336,'Raw Data'!V336,'Raw Data'!X336),"")</f>
        <v/>
      </c>
      <c r="J349" s="14">
        <f>IF('Raw Data'!A336&lt;&gt;"",AVERAGE('Raw Data'!Q336,'Raw Data'!S336,'Raw Data'!U336,'Raw Data'!W336,'Raw Data'!Y336),"")</f>
        <v/>
      </c>
      <c r="K349" s="14">
        <f>IF(I349&lt;&gt;"",I349-J349,"")</f>
        <v/>
      </c>
      <c r="L349" s="14">
        <f>IF('Raw Data'!A336&lt;&gt;"",AVERAGE('Raw Data'!Z336,'Raw Data'!AB336,'Raw Data'!AD336,'Raw Data'!AF336,'Raw Data'!AH336),"")</f>
        <v/>
      </c>
      <c r="M349" s="14">
        <f>IF('Raw Data'!A336&lt;&gt;"",AVERAGE('Raw Data'!AA336,'Raw Data'!AC336,'Raw Data'!AE336,'Raw Data'!AG336,'Raw Data'!AI336),"")</f>
        <v/>
      </c>
      <c r="N349" s="14">
        <f>IF(L349&lt;&gt;"",L349-M349,"")</f>
        <v/>
      </c>
      <c r="O349" s="14">
        <f>IF('Raw Data'!A336&lt;&gt;"",AVERAGE('Raw Data'!AJ336,'Raw Data'!AL336,'Raw Data'!AN336,'Raw Data'!AP336,'Raw Data'!AR336),"")</f>
        <v/>
      </c>
      <c r="P349" s="14">
        <f>IF('Raw Data'!A336&lt;&gt;"",AVERAGE('Raw Data'!AK336,'Raw Data'!AM336,'Raw Data'!AO336,'Raw Data'!AQ336,'Raw Data'!AS336),"")</f>
        <v/>
      </c>
      <c r="Q349" s="14">
        <f>IF(O349&lt;&gt;"",O349-P349,"")</f>
        <v/>
      </c>
      <c r="R349" s="14">
        <f>IF('Raw Data'!A336&lt;&gt;"",AVERAGE('Raw Data'!AT336,'Raw Data'!AV336,'Raw Data'!AX336,'Raw Data'!AZ336,'Raw Data'!BB336),"")</f>
        <v/>
      </c>
      <c r="S349" s="14">
        <f>IF('Raw Data'!A336&lt;&gt;"",AVERAGE('Raw Data'!AU336,'Raw Data'!AW336,'Raw Data'!AY336,'Raw Data'!BA336,'Raw Data'!BC336),"")</f>
        <v/>
      </c>
      <c r="T349" s="14">
        <f>IF(R349&lt;&gt;"",R349-S349,"")</f>
        <v/>
      </c>
      <c r="U349" s="14">
        <f>IF('Raw Data'!A336&lt;&gt;"",AVERAGE('Raw Data'!BD336,'Raw Data'!BF336,'Raw Data'!BH336,'Raw Data'!BJ336,'Raw Data'!BL336),"")</f>
        <v/>
      </c>
      <c r="V349" s="14">
        <f>IF('Raw Data'!A336&lt;&gt;"",AVERAGE('Raw Data'!BE336,'Raw Data'!BG336,'Raw Data'!BI336,'Raw Data'!BK336,'Raw Data'!BM336),"")</f>
        <v/>
      </c>
      <c r="W349" s="14">
        <f>IF(U349&lt;&gt;"",U349-V349,"")</f>
        <v/>
      </c>
      <c r="X349" s="14">
        <f>IF(A349&lt;&gt;"",AVERAGE(F349,I349,L349,O349,R349,U349),"")</f>
        <v/>
      </c>
      <c r="Y349" s="14">
        <f>IF(A349&lt;&gt;"",AVERAGE(G349,J349,M349,P349,S349,V349),"")</f>
        <v/>
      </c>
      <c r="Z349" s="14">
        <f>IF(A349&lt;&gt;"",X349-Y349,"")</f>
        <v/>
      </c>
      <c r="AA349" s="15">
        <f>IF(A349&lt;&gt;"",ROUND(MIN(100,100*((MAX(0,K349)*0.25)+(MAX(0,Q349)*0.20)+(MAX(0,W349)*0.20)+(MAX(0,H349)*0.15)+(MAX(0,N349)*0.10)+(MAX(0,T349)*0.10))/9),1),"")</f>
        <v/>
      </c>
      <c r="AB349" s="28">
        <f>IF(A349&lt;&gt;"",MIN(1,(0.5*AA349/100)+(0.3*MAX(0,K349)/9)+(0.2*MAX(0,Q349)/9)),"")</f>
        <v/>
      </c>
    </row>
    <row r="350">
      <c r="A350" s="13">
        <f>IF('Raw Data'!A337&lt;&gt;"",'Raw Data'!A337,"")</f>
        <v/>
      </c>
      <c r="B350" s="13">
        <f>IF('Raw Data'!B337&lt;&gt;"",'Raw Data'!B337,"")</f>
        <v/>
      </c>
      <c r="C350" s="13">
        <f>IF('Raw Data'!C337&lt;&gt;"",'Raw Data'!C337,"")</f>
        <v/>
      </c>
      <c r="D350" s="13">
        <f>IF('Raw Data'!D337&lt;&gt;"",'Raw Data'!D337,"")</f>
        <v/>
      </c>
      <c r="E350" s="13">
        <f>IF('Raw Data'!E337&lt;&gt;"",'Raw Data'!E337,"")</f>
        <v/>
      </c>
      <c r="F350" s="17">
        <f>IF('Raw Data'!A337&lt;&gt;"",AVERAGE('Raw Data'!F337,'Raw Data'!H337,'Raw Data'!J337,'Raw Data'!L337,'Raw Data'!N337),"")</f>
        <v/>
      </c>
      <c r="G350" s="17">
        <f>IF('Raw Data'!A337&lt;&gt;"",AVERAGE('Raw Data'!G337,'Raw Data'!I337,'Raw Data'!K337,'Raw Data'!M337,'Raw Data'!O337),"")</f>
        <v/>
      </c>
      <c r="H350" s="17">
        <f>IF(F350&lt;&gt;"",F350-G350,"")</f>
        <v/>
      </c>
      <c r="I350" s="17">
        <f>IF('Raw Data'!A337&lt;&gt;"",AVERAGE('Raw Data'!P337,'Raw Data'!R337,'Raw Data'!T337,'Raw Data'!V337,'Raw Data'!X337),"")</f>
        <v/>
      </c>
      <c r="J350" s="17">
        <f>IF('Raw Data'!A337&lt;&gt;"",AVERAGE('Raw Data'!Q337,'Raw Data'!S337,'Raw Data'!U337,'Raw Data'!W337,'Raw Data'!Y337),"")</f>
        <v/>
      </c>
      <c r="K350" s="17">
        <f>IF(I350&lt;&gt;"",I350-J350,"")</f>
        <v/>
      </c>
      <c r="L350" s="17">
        <f>IF('Raw Data'!A337&lt;&gt;"",AVERAGE('Raw Data'!Z337,'Raw Data'!AB337,'Raw Data'!AD337,'Raw Data'!AF337,'Raw Data'!AH337),"")</f>
        <v/>
      </c>
      <c r="M350" s="17">
        <f>IF('Raw Data'!A337&lt;&gt;"",AVERAGE('Raw Data'!AA337,'Raw Data'!AC337,'Raw Data'!AE337,'Raw Data'!AG337,'Raw Data'!AI337),"")</f>
        <v/>
      </c>
      <c r="N350" s="17">
        <f>IF(L350&lt;&gt;"",L350-M350,"")</f>
        <v/>
      </c>
      <c r="O350" s="17">
        <f>IF('Raw Data'!A337&lt;&gt;"",AVERAGE('Raw Data'!AJ337,'Raw Data'!AL337,'Raw Data'!AN337,'Raw Data'!AP337,'Raw Data'!AR337),"")</f>
        <v/>
      </c>
      <c r="P350" s="17">
        <f>IF('Raw Data'!A337&lt;&gt;"",AVERAGE('Raw Data'!AK337,'Raw Data'!AM337,'Raw Data'!AO337,'Raw Data'!AQ337,'Raw Data'!AS337),"")</f>
        <v/>
      </c>
      <c r="Q350" s="17">
        <f>IF(O350&lt;&gt;"",O350-P350,"")</f>
        <v/>
      </c>
      <c r="R350" s="17">
        <f>IF('Raw Data'!A337&lt;&gt;"",AVERAGE('Raw Data'!AT337,'Raw Data'!AV337,'Raw Data'!AX337,'Raw Data'!AZ337,'Raw Data'!BB337),"")</f>
        <v/>
      </c>
      <c r="S350" s="17">
        <f>IF('Raw Data'!A337&lt;&gt;"",AVERAGE('Raw Data'!AU337,'Raw Data'!AW337,'Raw Data'!AY337,'Raw Data'!BA337,'Raw Data'!BC337),"")</f>
        <v/>
      </c>
      <c r="T350" s="17">
        <f>IF(R350&lt;&gt;"",R350-S350,"")</f>
        <v/>
      </c>
      <c r="U350" s="17">
        <f>IF('Raw Data'!A337&lt;&gt;"",AVERAGE('Raw Data'!BD337,'Raw Data'!BF337,'Raw Data'!BH337,'Raw Data'!BJ337,'Raw Data'!BL337),"")</f>
        <v/>
      </c>
      <c r="V350" s="17">
        <f>IF('Raw Data'!A337&lt;&gt;"",AVERAGE('Raw Data'!BE337,'Raw Data'!BG337,'Raw Data'!BI337,'Raw Data'!BK337,'Raw Data'!BM337),"")</f>
        <v/>
      </c>
      <c r="W350" s="17">
        <f>IF(U350&lt;&gt;"",U350-V350,"")</f>
        <v/>
      </c>
      <c r="X350" s="17">
        <f>IF(A350&lt;&gt;"",AVERAGE(F350,I350,L350,O350,R350,U350),"")</f>
        <v/>
      </c>
      <c r="Y350" s="17">
        <f>IF(A350&lt;&gt;"",AVERAGE(G350,J350,M350,P350,S350,V350),"")</f>
        <v/>
      </c>
      <c r="Z350" s="17">
        <f>IF(A350&lt;&gt;"",X350-Y350,"")</f>
        <v/>
      </c>
      <c r="AA350" s="18">
        <f>IF(A350&lt;&gt;"",ROUND(MIN(100,100*((MAX(0,K350)*0.25)+(MAX(0,Q350)*0.20)+(MAX(0,W350)*0.20)+(MAX(0,H350)*0.15)+(MAX(0,N350)*0.10)+(MAX(0,T350)*0.10))/9),1),"")</f>
        <v/>
      </c>
      <c r="AB350" s="29">
        <f>IF(A350&lt;&gt;"",MIN(1,(0.5*AA350/100)+(0.3*MAX(0,K350)/9)+(0.2*MAX(0,Q350)/9)),"")</f>
        <v/>
      </c>
    </row>
    <row r="351">
      <c r="A351" s="4">
        <f>IF('Raw Data'!A338&lt;&gt;"",'Raw Data'!A338,"")</f>
        <v/>
      </c>
      <c r="B351" s="4">
        <f>IF('Raw Data'!B338&lt;&gt;"",'Raw Data'!B338,"")</f>
        <v/>
      </c>
      <c r="C351" s="4">
        <f>IF('Raw Data'!C338&lt;&gt;"",'Raw Data'!C338,"")</f>
        <v/>
      </c>
      <c r="D351" s="4">
        <f>IF('Raw Data'!D338&lt;&gt;"",'Raw Data'!D338,"")</f>
        <v/>
      </c>
      <c r="E351" s="4">
        <f>IF('Raw Data'!E338&lt;&gt;"",'Raw Data'!E338,"")</f>
        <v/>
      </c>
      <c r="F351" s="14">
        <f>IF('Raw Data'!A338&lt;&gt;"",AVERAGE('Raw Data'!F338,'Raw Data'!H338,'Raw Data'!J338,'Raw Data'!L338,'Raw Data'!N338),"")</f>
        <v/>
      </c>
      <c r="G351" s="14">
        <f>IF('Raw Data'!A338&lt;&gt;"",AVERAGE('Raw Data'!G338,'Raw Data'!I338,'Raw Data'!K338,'Raw Data'!M338,'Raw Data'!O338),"")</f>
        <v/>
      </c>
      <c r="H351" s="14">
        <f>IF(F351&lt;&gt;"",F351-G351,"")</f>
        <v/>
      </c>
      <c r="I351" s="14">
        <f>IF('Raw Data'!A338&lt;&gt;"",AVERAGE('Raw Data'!P338,'Raw Data'!R338,'Raw Data'!T338,'Raw Data'!V338,'Raw Data'!X338),"")</f>
        <v/>
      </c>
      <c r="J351" s="14">
        <f>IF('Raw Data'!A338&lt;&gt;"",AVERAGE('Raw Data'!Q338,'Raw Data'!S338,'Raw Data'!U338,'Raw Data'!W338,'Raw Data'!Y338),"")</f>
        <v/>
      </c>
      <c r="K351" s="14">
        <f>IF(I351&lt;&gt;"",I351-J351,"")</f>
        <v/>
      </c>
      <c r="L351" s="14">
        <f>IF('Raw Data'!A338&lt;&gt;"",AVERAGE('Raw Data'!Z338,'Raw Data'!AB338,'Raw Data'!AD338,'Raw Data'!AF338,'Raw Data'!AH338),"")</f>
        <v/>
      </c>
      <c r="M351" s="14">
        <f>IF('Raw Data'!A338&lt;&gt;"",AVERAGE('Raw Data'!AA338,'Raw Data'!AC338,'Raw Data'!AE338,'Raw Data'!AG338,'Raw Data'!AI338),"")</f>
        <v/>
      </c>
      <c r="N351" s="14">
        <f>IF(L351&lt;&gt;"",L351-M351,"")</f>
        <v/>
      </c>
      <c r="O351" s="14">
        <f>IF('Raw Data'!A338&lt;&gt;"",AVERAGE('Raw Data'!AJ338,'Raw Data'!AL338,'Raw Data'!AN338,'Raw Data'!AP338,'Raw Data'!AR338),"")</f>
        <v/>
      </c>
      <c r="P351" s="14">
        <f>IF('Raw Data'!A338&lt;&gt;"",AVERAGE('Raw Data'!AK338,'Raw Data'!AM338,'Raw Data'!AO338,'Raw Data'!AQ338,'Raw Data'!AS338),"")</f>
        <v/>
      </c>
      <c r="Q351" s="14">
        <f>IF(O351&lt;&gt;"",O351-P351,"")</f>
        <v/>
      </c>
      <c r="R351" s="14">
        <f>IF('Raw Data'!A338&lt;&gt;"",AVERAGE('Raw Data'!AT338,'Raw Data'!AV338,'Raw Data'!AX338,'Raw Data'!AZ338,'Raw Data'!BB338),"")</f>
        <v/>
      </c>
      <c r="S351" s="14">
        <f>IF('Raw Data'!A338&lt;&gt;"",AVERAGE('Raw Data'!AU338,'Raw Data'!AW338,'Raw Data'!AY338,'Raw Data'!BA338,'Raw Data'!BC338),"")</f>
        <v/>
      </c>
      <c r="T351" s="14">
        <f>IF(R351&lt;&gt;"",R351-S351,"")</f>
        <v/>
      </c>
      <c r="U351" s="14">
        <f>IF('Raw Data'!A338&lt;&gt;"",AVERAGE('Raw Data'!BD338,'Raw Data'!BF338,'Raw Data'!BH338,'Raw Data'!BJ338,'Raw Data'!BL338),"")</f>
        <v/>
      </c>
      <c r="V351" s="14">
        <f>IF('Raw Data'!A338&lt;&gt;"",AVERAGE('Raw Data'!BE338,'Raw Data'!BG338,'Raw Data'!BI338,'Raw Data'!BK338,'Raw Data'!BM338),"")</f>
        <v/>
      </c>
      <c r="W351" s="14">
        <f>IF(U351&lt;&gt;"",U351-V351,"")</f>
        <v/>
      </c>
      <c r="X351" s="14">
        <f>IF(A351&lt;&gt;"",AVERAGE(F351,I351,L351,O351,R351,U351),"")</f>
        <v/>
      </c>
      <c r="Y351" s="14">
        <f>IF(A351&lt;&gt;"",AVERAGE(G351,J351,M351,P351,S351,V351),"")</f>
        <v/>
      </c>
      <c r="Z351" s="14">
        <f>IF(A351&lt;&gt;"",X351-Y351,"")</f>
        <v/>
      </c>
      <c r="AA351" s="15">
        <f>IF(A351&lt;&gt;"",ROUND(MIN(100,100*((MAX(0,K351)*0.25)+(MAX(0,Q351)*0.20)+(MAX(0,W351)*0.20)+(MAX(0,H351)*0.15)+(MAX(0,N351)*0.10)+(MAX(0,T351)*0.10))/9),1),"")</f>
        <v/>
      </c>
      <c r="AB351" s="28">
        <f>IF(A351&lt;&gt;"",MIN(1,(0.5*AA351/100)+(0.3*MAX(0,K351)/9)+(0.2*MAX(0,Q351)/9)),"")</f>
        <v/>
      </c>
    </row>
    <row r="352">
      <c r="A352" s="13">
        <f>IF('Raw Data'!A339&lt;&gt;"",'Raw Data'!A339,"")</f>
        <v/>
      </c>
      <c r="B352" s="13">
        <f>IF('Raw Data'!B339&lt;&gt;"",'Raw Data'!B339,"")</f>
        <v/>
      </c>
      <c r="C352" s="13">
        <f>IF('Raw Data'!C339&lt;&gt;"",'Raw Data'!C339,"")</f>
        <v/>
      </c>
      <c r="D352" s="13">
        <f>IF('Raw Data'!D339&lt;&gt;"",'Raw Data'!D339,"")</f>
        <v/>
      </c>
      <c r="E352" s="13">
        <f>IF('Raw Data'!E339&lt;&gt;"",'Raw Data'!E339,"")</f>
        <v/>
      </c>
      <c r="F352" s="17">
        <f>IF('Raw Data'!A339&lt;&gt;"",AVERAGE('Raw Data'!F339,'Raw Data'!H339,'Raw Data'!J339,'Raw Data'!L339,'Raw Data'!N339),"")</f>
        <v/>
      </c>
      <c r="G352" s="17">
        <f>IF('Raw Data'!A339&lt;&gt;"",AVERAGE('Raw Data'!G339,'Raw Data'!I339,'Raw Data'!K339,'Raw Data'!M339,'Raw Data'!O339),"")</f>
        <v/>
      </c>
      <c r="H352" s="17">
        <f>IF(F352&lt;&gt;"",F352-G352,"")</f>
        <v/>
      </c>
      <c r="I352" s="17">
        <f>IF('Raw Data'!A339&lt;&gt;"",AVERAGE('Raw Data'!P339,'Raw Data'!R339,'Raw Data'!T339,'Raw Data'!V339,'Raw Data'!X339),"")</f>
        <v/>
      </c>
      <c r="J352" s="17">
        <f>IF('Raw Data'!A339&lt;&gt;"",AVERAGE('Raw Data'!Q339,'Raw Data'!S339,'Raw Data'!U339,'Raw Data'!W339,'Raw Data'!Y339),"")</f>
        <v/>
      </c>
      <c r="K352" s="17">
        <f>IF(I352&lt;&gt;"",I352-J352,"")</f>
        <v/>
      </c>
      <c r="L352" s="17">
        <f>IF('Raw Data'!A339&lt;&gt;"",AVERAGE('Raw Data'!Z339,'Raw Data'!AB339,'Raw Data'!AD339,'Raw Data'!AF339,'Raw Data'!AH339),"")</f>
        <v/>
      </c>
      <c r="M352" s="17">
        <f>IF('Raw Data'!A339&lt;&gt;"",AVERAGE('Raw Data'!AA339,'Raw Data'!AC339,'Raw Data'!AE339,'Raw Data'!AG339,'Raw Data'!AI339),"")</f>
        <v/>
      </c>
      <c r="N352" s="17">
        <f>IF(L352&lt;&gt;"",L352-M352,"")</f>
        <v/>
      </c>
      <c r="O352" s="17">
        <f>IF('Raw Data'!A339&lt;&gt;"",AVERAGE('Raw Data'!AJ339,'Raw Data'!AL339,'Raw Data'!AN339,'Raw Data'!AP339,'Raw Data'!AR339),"")</f>
        <v/>
      </c>
      <c r="P352" s="17">
        <f>IF('Raw Data'!A339&lt;&gt;"",AVERAGE('Raw Data'!AK339,'Raw Data'!AM339,'Raw Data'!AO339,'Raw Data'!AQ339,'Raw Data'!AS339),"")</f>
        <v/>
      </c>
      <c r="Q352" s="17">
        <f>IF(O352&lt;&gt;"",O352-P352,"")</f>
        <v/>
      </c>
      <c r="R352" s="17">
        <f>IF('Raw Data'!A339&lt;&gt;"",AVERAGE('Raw Data'!AT339,'Raw Data'!AV339,'Raw Data'!AX339,'Raw Data'!AZ339,'Raw Data'!BB339),"")</f>
        <v/>
      </c>
      <c r="S352" s="17">
        <f>IF('Raw Data'!A339&lt;&gt;"",AVERAGE('Raw Data'!AU339,'Raw Data'!AW339,'Raw Data'!AY339,'Raw Data'!BA339,'Raw Data'!BC339),"")</f>
        <v/>
      </c>
      <c r="T352" s="17">
        <f>IF(R352&lt;&gt;"",R352-S352,"")</f>
        <v/>
      </c>
      <c r="U352" s="17">
        <f>IF('Raw Data'!A339&lt;&gt;"",AVERAGE('Raw Data'!BD339,'Raw Data'!BF339,'Raw Data'!BH339,'Raw Data'!BJ339,'Raw Data'!BL339),"")</f>
        <v/>
      </c>
      <c r="V352" s="17">
        <f>IF('Raw Data'!A339&lt;&gt;"",AVERAGE('Raw Data'!BE339,'Raw Data'!BG339,'Raw Data'!BI339,'Raw Data'!BK339,'Raw Data'!BM339),"")</f>
        <v/>
      </c>
      <c r="W352" s="17">
        <f>IF(U352&lt;&gt;"",U352-V352,"")</f>
        <v/>
      </c>
      <c r="X352" s="17">
        <f>IF(A352&lt;&gt;"",AVERAGE(F352,I352,L352,O352,R352,U352),"")</f>
        <v/>
      </c>
      <c r="Y352" s="17">
        <f>IF(A352&lt;&gt;"",AVERAGE(G352,J352,M352,P352,S352,V352),"")</f>
        <v/>
      </c>
      <c r="Z352" s="17">
        <f>IF(A352&lt;&gt;"",X352-Y352,"")</f>
        <v/>
      </c>
      <c r="AA352" s="18">
        <f>IF(A352&lt;&gt;"",ROUND(MIN(100,100*((MAX(0,K352)*0.25)+(MAX(0,Q352)*0.20)+(MAX(0,W352)*0.20)+(MAX(0,H352)*0.15)+(MAX(0,N352)*0.10)+(MAX(0,T352)*0.10))/9),1),"")</f>
        <v/>
      </c>
      <c r="AB352" s="29">
        <f>IF(A352&lt;&gt;"",MIN(1,(0.5*AA352/100)+(0.3*MAX(0,K352)/9)+(0.2*MAX(0,Q352)/9)),"")</f>
        <v/>
      </c>
    </row>
    <row r="353">
      <c r="A353" s="4">
        <f>IF('Raw Data'!A340&lt;&gt;"",'Raw Data'!A340,"")</f>
        <v/>
      </c>
      <c r="B353" s="4">
        <f>IF('Raw Data'!B340&lt;&gt;"",'Raw Data'!B340,"")</f>
        <v/>
      </c>
      <c r="C353" s="4">
        <f>IF('Raw Data'!C340&lt;&gt;"",'Raw Data'!C340,"")</f>
        <v/>
      </c>
      <c r="D353" s="4">
        <f>IF('Raw Data'!D340&lt;&gt;"",'Raw Data'!D340,"")</f>
        <v/>
      </c>
      <c r="E353" s="4">
        <f>IF('Raw Data'!E340&lt;&gt;"",'Raw Data'!E340,"")</f>
        <v/>
      </c>
      <c r="F353" s="14">
        <f>IF('Raw Data'!A340&lt;&gt;"",AVERAGE('Raw Data'!F340,'Raw Data'!H340,'Raw Data'!J340,'Raw Data'!L340,'Raw Data'!N340),"")</f>
        <v/>
      </c>
      <c r="G353" s="14">
        <f>IF('Raw Data'!A340&lt;&gt;"",AVERAGE('Raw Data'!G340,'Raw Data'!I340,'Raw Data'!K340,'Raw Data'!M340,'Raw Data'!O340),"")</f>
        <v/>
      </c>
      <c r="H353" s="14">
        <f>IF(F353&lt;&gt;"",F353-G353,"")</f>
        <v/>
      </c>
      <c r="I353" s="14">
        <f>IF('Raw Data'!A340&lt;&gt;"",AVERAGE('Raw Data'!P340,'Raw Data'!R340,'Raw Data'!T340,'Raw Data'!V340,'Raw Data'!X340),"")</f>
        <v/>
      </c>
      <c r="J353" s="14">
        <f>IF('Raw Data'!A340&lt;&gt;"",AVERAGE('Raw Data'!Q340,'Raw Data'!S340,'Raw Data'!U340,'Raw Data'!W340,'Raw Data'!Y340),"")</f>
        <v/>
      </c>
      <c r="K353" s="14">
        <f>IF(I353&lt;&gt;"",I353-J353,"")</f>
        <v/>
      </c>
      <c r="L353" s="14">
        <f>IF('Raw Data'!A340&lt;&gt;"",AVERAGE('Raw Data'!Z340,'Raw Data'!AB340,'Raw Data'!AD340,'Raw Data'!AF340,'Raw Data'!AH340),"")</f>
        <v/>
      </c>
      <c r="M353" s="14">
        <f>IF('Raw Data'!A340&lt;&gt;"",AVERAGE('Raw Data'!AA340,'Raw Data'!AC340,'Raw Data'!AE340,'Raw Data'!AG340,'Raw Data'!AI340),"")</f>
        <v/>
      </c>
      <c r="N353" s="14">
        <f>IF(L353&lt;&gt;"",L353-M353,"")</f>
        <v/>
      </c>
      <c r="O353" s="14">
        <f>IF('Raw Data'!A340&lt;&gt;"",AVERAGE('Raw Data'!AJ340,'Raw Data'!AL340,'Raw Data'!AN340,'Raw Data'!AP340,'Raw Data'!AR340),"")</f>
        <v/>
      </c>
      <c r="P353" s="14">
        <f>IF('Raw Data'!A340&lt;&gt;"",AVERAGE('Raw Data'!AK340,'Raw Data'!AM340,'Raw Data'!AO340,'Raw Data'!AQ340,'Raw Data'!AS340),"")</f>
        <v/>
      </c>
      <c r="Q353" s="14">
        <f>IF(O353&lt;&gt;"",O353-P353,"")</f>
        <v/>
      </c>
      <c r="R353" s="14">
        <f>IF('Raw Data'!A340&lt;&gt;"",AVERAGE('Raw Data'!AT340,'Raw Data'!AV340,'Raw Data'!AX340,'Raw Data'!AZ340,'Raw Data'!BB340),"")</f>
        <v/>
      </c>
      <c r="S353" s="14">
        <f>IF('Raw Data'!A340&lt;&gt;"",AVERAGE('Raw Data'!AU340,'Raw Data'!AW340,'Raw Data'!AY340,'Raw Data'!BA340,'Raw Data'!BC340),"")</f>
        <v/>
      </c>
      <c r="T353" s="14">
        <f>IF(R353&lt;&gt;"",R353-S353,"")</f>
        <v/>
      </c>
      <c r="U353" s="14">
        <f>IF('Raw Data'!A340&lt;&gt;"",AVERAGE('Raw Data'!BD340,'Raw Data'!BF340,'Raw Data'!BH340,'Raw Data'!BJ340,'Raw Data'!BL340),"")</f>
        <v/>
      </c>
      <c r="V353" s="14">
        <f>IF('Raw Data'!A340&lt;&gt;"",AVERAGE('Raw Data'!BE340,'Raw Data'!BG340,'Raw Data'!BI340,'Raw Data'!BK340,'Raw Data'!BM340),"")</f>
        <v/>
      </c>
      <c r="W353" s="14">
        <f>IF(U353&lt;&gt;"",U353-V353,"")</f>
        <v/>
      </c>
      <c r="X353" s="14">
        <f>IF(A353&lt;&gt;"",AVERAGE(F353,I353,L353,O353,R353,U353),"")</f>
        <v/>
      </c>
      <c r="Y353" s="14">
        <f>IF(A353&lt;&gt;"",AVERAGE(G353,J353,M353,P353,S353,V353),"")</f>
        <v/>
      </c>
      <c r="Z353" s="14">
        <f>IF(A353&lt;&gt;"",X353-Y353,"")</f>
        <v/>
      </c>
      <c r="AA353" s="15">
        <f>IF(A353&lt;&gt;"",ROUND(MIN(100,100*((MAX(0,K353)*0.25)+(MAX(0,Q353)*0.20)+(MAX(0,W353)*0.20)+(MAX(0,H353)*0.15)+(MAX(0,N353)*0.10)+(MAX(0,T353)*0.10))/9),1),"")</f>
        <v/>
      </c>
      <c r="AB353" s="28">
        <f>IF(A353&lt;&gt;"",MIN(1,(0.5*AA353/100)+(0.3*MAX(0,K353)/9)+(0.2*MAX(0,Q353)/9)),"")</f>
        <v/>
      </c>
    </row>
    <row r="354">
      <c r="A354" s="13">
        <f>IF('Raw Data'!A341&lt;&gt;"",'Raw Data'!A341,"")</f>
        <v/>
      </c>
      <c r="B354" s="13">
        <f>IF('Raw Data'!B341&lt;&gt;"",'Raw Data'!B341,"")</f>
        <v/>
      </c>
      <c r="C354" s="13">
        <f>IF('Raw Data'!C341&lt;&gt;"",'Raw Data'!C341,"")</f>
        <v/>
      </c>
      <c r="D354" s="13">
        <f>IF('Raw Data'!D341&lt;&gt;"",'Raw Data'!D341,"")</f>
        <v/>
      </c>
      <c r="E354" s="13">
        <f>IF('Raw Data'!E341&lt;&gt;"",'Raw Data'!E341,"")</f>
        <v/>
      </c>
      <c r="F354" s="17">
        <f>IF('Raw Data'!A341&lt;&gt;"",AVERAGE('Raw Data'!F341,'Raw Data'!H341,'Raw Data'!J341,'Raw Data'!L341,'Raw Data'!N341),"")</f>
        <v/>
      </c>
      <c r="G354" s="17">
        <f>IF('Raw Data'!A341&lt;&gt;"",AVERAGE('Raw Data'!G341,'Raw Data'!I341,'Raw Data'!K341,'Raw Data'!M341,'Raw Data'!O341),"")</f>
        <v/>
      </c>
      <c r="H354" s="17">
        <f>IF(F354&lt;&gt;"",F354-G354,"")</f>
        <v/>
      </c>
      <c r="I354" s="17">
        <f>IF('Raw Data'!A341&lt;&gt;"",AVERAGE('Raw Data'!P341,'Raw Data'!R341,'Raw Data'!T341,'Raw Data'!V341,'Raw Data'!X341),"")</f>
        <v/>
      </c>
      <c r="J354" s="17">
        <f>IF('Raw Data'!A341&lt;&gt;"",AVERAGE('Raw Data'!Q341,'Raw Data'!S341,'Raw Data'!U341,'Raw Data'!W341,'Raw Data'!Y341),"")</f>
        <v/>
      </c>
      <c r="K354" s="17">
        <f>IF(I354&lt;&gt;"",I354-J354,"")</f>
        <v/>
      </c>
      <c r="L354" s="17">
        <f>IF('Raw Data'!A341&lt;&gt;"",AVERAGE('Raw Data'!Z341,'Raw Data'!AB341,'Raw Data'!AD341,'Raw Data'!AF341,'Raw Data'!AH341),"")</f>
        <v/>
      </c>
      <c r="M354" s="17">
        <f>IF('Raw Data'!A341&lt;&gt;"",AVERAGE('Raw Data'!AA341,'Raw Data'!AC341,'Raw Data'!AE341,'Raw Data'!AG341,'Raw Data'!AI341),"")</f>
        <v/>
      </c>
      <c r="N354" s="17">
        <f>IF(L354&lt;&gt;"",L354-M354,"")</f>
        <v/>
      </c>
      <c r="O354" s="17">
        <f>IF('Raw Data'!A341&lt;&gt;"",AVERAGE('Raw Data'!AJ341,'Raw Data'!AL341,'Raw Data'!AN341,'Raw Data'!AP341,'Raw Data'!AR341),"")</f>
        <v/>
      </c>
      <c r="P354" s="17">
        <f>IF('Raw Data'!A341&lt;&gt;"",AVERAGE('Raw Data'!AK341,'Raw Data'!AM341,'Raw Data'!AO341,'Raw Data'!AQ341,'Raw Data'!AS341),"")</f>
        <v/>
      </c>
      <c r="Q354" s="17">
        <f>IF(O354&lt;&gt;"",O354-P354,"")</f>
        <v/>
      </c>
      <c r="R354" s="17">
        <f>IF('Raw Data'!A341&lt;&gt;"",AVERAGE('Raw Data'!AT341,'Raw Data'!AV341,'Raw Data'!AX341,'Raw Data'!AZ341,'Raw Data'!BB341),"")</f>
        <v/>
      </c>
      <c r="S354" s="17">
        <f>IF('Raw Data'!A341&lt;&gt;"",AVERAGE('Raw Data'!AU341,'Raw Data'!AW341,'Raw Data'!AY341,'Raw Data'!BA341,'Raw Data'!BC341),"")</f>
        <v/>
      </c>
      <c r="T354" s="17">
        <f>IF(R354&lt;&gt;"",R354-S354,"")</f>
        <v/>
      </c>
      <c r="U354" s="17">
        <f>IF('Raw Data'!A341&lt;&gt;"",AVERAGE('Raw Data'!BD341,'Raw Data'!BF341,'Raw Data'!BH341,'Raw Data'!BJ341,'Raw Data'!BL341),"")</f>
        <v/>
      </c>
      <c r="V354" s="17">
        <f>IF('Raw Data'!A341&lt;&gt;"",AVERAGE('Raw Data'!BE341,'Raw Data'!BG341,'Raw Data'!BI341,'Raw Data'!BK341,'Raw Data'!BM341),"")</f>
        <v/>
      </c>
      <c r="W354" s="17">
        <f>IF(U354&lt;&gt;"",U354-V354,"")</f>
        <v/>
      </c>
      <c r="X354" s="17">
        <f>IF(A354&lt;&gt;"",AVERAGE(F354,I354,L354,O354,R354,U354),"")</f>
        <v/>
      </c>
      <c r="Y354" s="17">
        <f>IF(A354&lt;&gt;"",AVERAGE(G354,J354,M354,P354,S354,V354),"")</f>
        <v/>
      </c>
      <c r="Z354" s="17">
        <f>IF(A354&lt;&gt;"",X354-Y354,"")</f>
        <v/>
      </c>
      <c r="AA354" s="18">
        <f>IF(A354&lt;&gt;"",ROUND(MIN(100,100*((MAX(0,K354)*0.25)+(MAX(0,Q354)*0.20)+(MAX(0,W354)*0.20)+(MAX(0,H354)*0.15)+(MAX(0,N354)*0.10)+(MAX(0,T354)*0.10))/9),1),"")</f>
        <v/>
      </c>
      <c r="AB354" s="29">
        <f>IF(A354&lt;&gt;"",MIN(1,(0.5*AA354/100)+(0.3*MAX(0,K354)/9)+(0.2*MAX(0,Q354)/9)),"")</f>
        <v/>
      </c>
    </row>
    <row r="355">
      <c r="A355" s="4">
        <f>IF('Raw Data'!A342&lt;&gt;"",'Raw Data'!A342,"")</f>
        <v/>
      </c>
      <c r="B355" s="4">
        <f>IF('Raw Data'!B342&lt;&gt;"",'Raw Data'!B342,"")</f>
        <v/>
      </c>
      <c r="C355" s="4">
        <f>IF('Raw Data'!C342&lt;&gt;"",'Raw Data'!C342,"")</f>
        <v/>
      </c>
      <c r="D355" s="4">
        <f>IF('Raw Data'!D342&lt;&gt;"",'Raw Data'!D342,"")</f>
        <v/>
      </c>
      <c r="E355" s="4">
        <f>IF('Raw Data'!E342&lt;&gt;"",'Raw Data'!E342,"")</f>
        <v/>
      </c>
      <c r="F355" s="14">
        <f>IF('Raw Data'!A342&lt;&gt;"",AVERAGE('Raw Data'!F342,'Raw Data'!H342,'Raw Data'!J342,'Raw Data'!L342,'Raw Data'!N342),"")</f>
        <v/>
      </c>
      <c r="G355" s="14">
        <f>IF('Raw Data'!A342&lt;&gt;"",AVERAGE('Raw Data'!G342,'Raw Data'!I342,'Raw Data'!K342,'Raw Data'!M342,'Raw Data'!O342),"")</f>
        <v/>
      </c>
      <c r="H355" s="14">
        <f>IF(F355&lt;&gt;"",F355-G355,"")</f>
        <v/>
      </c>
      <c r="I355" s="14">
        <f>IF('Raw Data'!A342&lt;&gt;"",AVERAGE('Raw Data'!P342,'Raw Data'!R342,'Raw Data'!T342,'Raw Data'!V342,'Raw Data'!X342),"")</f>
        <v/>
      </c>
      <c r="J355" s="14">
        <f>IF('Raw Data'!A342&lt;&gt;"",AVERAGE('Raw Data'!Q342,'Raw Data'!S342,'Raw Data'!U342,'Raw Data'!W342,'Raw Data'!Y342),"")</f>
        <v/>
      </c>
      <c r="K355" s="14">
        <f>IF(I355&lt;&gt;"",I355-J355,"")</f>
        <v/>
      </c>
      <c r="L355" s="14">
        <f>IF('Raw Data'!A342&lt;&gt;"",AVERAGE('Raw Data'!Z342,'Raw Data'!AB342,'Raw Data'!AD342,'Raw Data'!AF342,'Raw Data'!AH342),"")</f>
        <v/>
      </c>
      <c r="M355" s="14">
        <f>IF('Raw Data'!A342&lt;&gt;"",AVERAGE('Raw Data'!AA342,'Raw Data'!AC342,'Raw Data'!AE342,'Raw Data'!AG342,'Raw Data'!AI342),"")</f>
        <v/>
      </c>
      <c r="N355" s="14">
        <f>IF(L355&lt;&gt;"",L355-M355,"")</f>
        <v/>
      </c>
      <c r="O355" s="14">
        <f>IF('Raw Data'!A342&lt;&gt;"",AVERAGE('Raw Data'!AJ342,'Raw Data'!AL342,'Raw Data'!AN342,'Raw Data'!AP342,'Raw Data'!AR342),"")</f>
        <v/>
      </c>
      <c r="P355" s="14">
        <f>IF('Raw Data'!A342&lt;&gt;"",AVERAGE('Raw Data'!AK342,'Raw Data'!AM342,'Raw Data'!AO342,'Raw Data'!AQ342,'Raw Data'!AS342),"")</f>
        <v/>
      </c>
      <c r="Q355" s="14">
        <f>IF(O355&lt;&gt;"",O355-P355,"")</f>
        <v/>
      </c>
      <c r="R355" s="14">
        <f>IF('Raw Data'!A342&lt;&gt;"",AVERAGE('Raw Data'!AT342,'Raw Data'!AV342,'Raw Data'!AX342,'Raw Data'!AZ342,'Raw Data'!BB342),"")</f>
        <v/>
      </c>
      <c r="S355" s="14">
        <f>IF('Raw Data'!A342&lt;&gt;"",AVERAGE('Raw Data'!AU342,'Raw Data'!AW342,'Raw Data'!AY342,'Raw Data'!BA342,'Raw Data'!BC342),"")</f>
        <v/>
      </c>
      <c r="T355" s="14">
        <f>IF(R355&lt;&gt;"",R355-S355,"")</f>
        <v/>
      </c>
      <c r="U355" s="14">
        <f>IF('Raw Data'!A342&lt;&gt;"",AVERAGE('Raw Data'!BD342,'Raw Data'!BF342,'Raw Data'!BH342,'Raw Data'!BJ342,'Raw Data'!BL342),"")</f>
        <v/>
      </c>
      <c r="V355" s="14">
        <f>IF('Raw Data'!A342&lt;&gt;"",AVERAGE('Raw Data'!BE342,'Raw Data'!BG342,'Raw Data'!BI342,'Raw Data'!BK342,'Raw Data'!BM342),"")</f>
        <v/>
      </c>
      <c r="W355" s="14">
        <f>IF(U355&lt;&gt;"",U355-V355,"")</f>
        <v/>
      </c>
      <c r="X355" s="14">
        <f>IF(A355&lt;&gt;"",AVERAGE(F355,I355,L355,O355,R355,U355),"")</f>
        <v/>
      </c>
      <c r="Y355" s="14">
        <f>IF(A355&lt;&gt;"",AVERAGE(G355,J355,M355,P355,S355,V355),"")</f>
        <v/>
      </c>
      <c r="Z355" s="14">
        <f>IF(A355&lt;&gt;"",X355-Y355,"")</f>
        <v/>
      </c>
      <c r="AA355" s="15">
        <f>IF(A355&lt;&gt;"",ROUND(MIN(100,100*((MAX(0,K355)*0.25)+(MAX(0,Q355)*0.20)+(MAX(0,W355)*0.20)+(MAX(0,H355)*0.15)+(MAX(0,N355)*0.10)+(MAX(0,T355)*0.10))/9),1),"")</f>
        <v/>
      </c>
      <c r="AB355" s="28">
        <f>IF(A355&lt;&gt;"",MIN(1,(0.5*AA355/100)+(0.3*MAX(0,K355)/9)+(0.2*MAX(0,Q355)/9)),"")</f>
        <v/>
      </c>
    </row>
    <row r="356">
      <c r="A356" s="13">
        <f>IF('Raw Data'!A343&lt;&gt;"",'Raw Data'!A343,"")</f>
        <v/>
      </c>
      <c r="B356" s="13">
        <f>IF('Raw Data'!B343&lt;&gt;"",'Raw Data'!B343,"")</f>
        <v/>
      </c>
      <c r="C356" s="13">
        <f>IF('Raw Data'!C343&lt;&gt;"",'Raw Data'!C343,"")</f>
        <v/>
      </c>
      <c r="D356" s="13">
        <f>IF('Raw Data'!D343&lt;&gt;"",'Raw Data'!D343,"")</f>
        <v/>
      </c>
      <c r="E356" s="13">
        <f>IF('Raw Data'!E343&lt;&gt;"",'Raw Data'!E343,"")</f>
        <v/>
      </c>
      <c r="F356" s="17">
        <f>IF('Raw Data'!A343&lt;&gt;"",AVERAGE('Raw Data'!F343,'Raw Data'!H343,'Raw Data'!J343,'Raw Data'!L343,'Raw Data'!N343),"")</f>
        <v/>
      </c>
      <c r="G356" s="17">
        <f>IF('Raw Data'!A343&lt;&gt;"",AVERAGE('Raw Data'!G343,'Raw Data'!I343,'Raw Data'!K343,'Raw Data'!M343,'Raw Data'!O343),"")</f>
        <v/>
      </c>
      <c r="H356" s="17">
        <f>IF(F356&lt;&gt;"",F356-G356,"")</f>
        <v/>
      </c>
      <c r="I356" s="17">
        <f>IF('Raw Data'!A343&lt;&gt;"",AVERAGE('Raw Data'!P343,'Raw Data'!R343,'Raw Data'!T343,'Raw Data'!V343,'Raw Data'!X343),"")</f>
        <v/>
      </c>
      <c r="J356" s="17">
        <f>IF('Raw Data'!A343&lt;&gt;"",AVERAGE('Raw Data'!Q343,'Raw Data'!S343,'Raw Data'!U343,'Raw Data'!W343,'Raw Data'!Y343),"")</f>
        <v/>
      </c>
      <c r="K356" s="17">
        <f>IF(I356&lt;&gt;"",I356-J356,"")</f>
        <v/>
      </c>
      <c r="L356" s="17">
        <f>IF('Raw Data'!A343&lt;&gt;"",AVERAGE('Raw Data'!Z343,'Raw Data'!AB343,'Raw Data'!AD343,'Raw Data'!AF343,'Raw Data'!AH343),"")</f>
        <v/>
      </c>
      <c r="M356" s="17">
        <f>IF('Raw Data'!A343&lt;&gt;"",AVERAGE('Raw Data'!AA343,'Raw Data'!AC343,'Raw Data'!AE343,'Raw Data'!AG343,'Raw Data'!AI343),"")</f>
        <v/>
      </c>
      <c r="N356" s="17">
        <f>IF(L356&lt;&gt;"",L356-M356,"")</f>
        <v/>
      </c>
      <c r="O356" s="17">
        <f>IF('Raw Data'!A343&lt;&gt;"",AVERAGE('Raw Data'!AJ343,'Raw Data'!AL343,'Raw Data'!AN343,'Raw Data'!AP343,'Raw Data'!AR343),"")</f>
        <v/>
      </c>
      <c r="P356" s="17">
        <f>IF('Raw Data'!A343&lt;&gt;"",AVERAGE('Raw Data'!AK343,'Raw Data'!AM343,'Raw Data'!AO343,'Raw Data'!AQ343,'Raw Data'!AS343),"")</f>
        <v/>
      </c>
      <c r="Q356" s="17">
        <f>IF(O356&lt;&gt;"",O356-P356,"")</f>
        <v/>
      </c>
      <c r="R356" s="17">
        <f>IF('Raw Data'!A343&lt;&gt;"",AVERAGE('Raw Data'!AT343,'Raw Data'!AV343,'Raw Data'!AX343,'Raw Data'!AZ343,'Raw Data'!BB343),"")</f>
        <v/>
      </c>
      <c r="S356" s="17">
        <f>IF('Raw Data'!A343&lt;&gt;"",AVERAGE('Raw Data'!AU343,'Raw Data'!AW343,'Raw Data'!AY343,'Raw Data'!BA343,'Raw Data'!BC343),"")</f>
        <v/>
      </c>
      <c r="T356" s="17">
        <f>IF(R356&lt;&gt;"",R356-S356,"")</f>
        <v/>
      </c>
      <c r="U356" s="17">
        <f>IF('Raw Data'!A343&lt;&gt;"",AVERAGE('Raw Data'!BD343,'Raw Data'!BF343,'Raw Data'!BH343,'Raw Data'!BJ343,'Raw Data'!BL343),"")</f>
        <v/>
      </c>
      <c r="V356" s="17">
        <f>IF('Raw Data'!A343&lt;&gt;"",AVERAGE('Raw Data'!BE343,'Raw Data'!BG343,'Raw Data'!BI343,'Raw Data'!BK343,'Raw Data'!BM343),"")</f>
        <v/>
      </c>
      <c r="W356" s="17">
        <f>IF(U356&lt;&gt;"",U356-V356,"")</f>
        <v/>
      </c>
      <c r="X356" s="17">
        <f>IF(A356&lt;&gt;"",AVERAGE(F356,I356,L356,O356,R356,U356),"")</f>
        <v/>
      </c>
      <c r="Y356" s="17">
        <f>IF(A356&lt;&gt;"",AVERAGE(G356,J356,M356,P356,S356,V356),"")</f>
        <v/>
      </c>
      <c r="Z356" s="17">
        <f>IF(A356&lt;&gt;"",X356-Y356,"")</f>
        <v/>
      </c>
      <c r="AA356" s="18">
        <f>IF(A356&lt;&gt;"",ROUND(MIN(100,100*((MAX(0,K356)*0.25)+(MAX(0,Q356)*0.20)+(MAX(0,W356)*0.20)+(MAX(0,H356)*0.15)+(MAX(0,N356)*0.10)+(MAX(0,T356)*0.10))/9),1),"")</f>
        <v/>
      </c>
      <c r="AB356" s="29">
        <f>IF(A356&lt;&gt;"",MIN(1,(0.5*AA356/100)+(0.3*MAX(0,K356)/9)+(0.2*MAX(0,Q356)/9)),"")</f>
        <v/>
      </c>
    </row>
    <row r="357">
      <c r="A357" s="4">
        <f>IF('Raw Data'!A344&lt;&gt;"",'Raw Data'!A344,"")</f>
        <v/>
      </c>
      <c r="B357" s="4">
        <f>IF('Raw Data'!B344&lt;&gt;"",'Raw Data'!B344,"")</f>
        <v/>
      </c>
      <c r="C357" s="4">
        <f>IF('Raw Data'!C344&lt;&gt;"",'Raw Data'!C344,"")</f>
        <v/>
      </c>
      <c r="D357" s="4">
        <f>IF('Raw Data'!D344&lt;&gt;"",'Raw Data'!D344,"")</f>
        <v/>
      </c>
      <c r="E357" s="4">
        <f>IF('Raw Data'!E344&lt;&gt;"",'Raw Data'!E344,"")</f>
        <v/>
      </c>
      <c r="F357" s="14">
        <f>IF('Raw Data'!A344&lt;&gt;"",AVERAGE('Raw Data'!F344,'Raw Data'!H344,'Raw Data'!J344,'Raw Data'!L344,'Raw Data'!N344),"")</f>
        <v/>
      </c>
      <c r="G357" s="14">
        <f>IF('Raw Data'!A344&lt;&gt;"",AVERAGE('Raw Data'!G344,'Raw Data'!I344,'Raw Data'!K344,'Raw Data'!M344,'Raw Data'!O344),"")</f>
        <v/>
      </c>
      <c r="H357" s="14">
        <f>IF(F357&lt;&gt;"",F357-G357,"")</f>
        <v/>
      </c>
      <c r="I357" s="14">
        <f>IF('Raw Data'!A344&lt;&gt;"",AVERAGE('Raw Data'!P344,'Raw Data'!R344,'Raw Data'!T344,'Raw Data'!V344,'Raw Data'!X344),"")</f>
        <v/>
      </c>
      <c r="J357" s="14">
        <f>IF('Raw Data'!A344&lt;&gt;"",AVERAGE('Raw Data'!Q344,'Raw Data'!S344,'Raw Data'!U344,'Raw Data'!W344,'Raw Data'!Y344),"")</f>
        <v/>
      </c>
      <c r="K357" s="14">
        <f>IF(I357&lt;&gt;"",I357-J357,"")</f>
        <v/>
      </c>
      <c r="L357" s="14">
        <f>IF('Raw Data'!A344&lt;&gt;"",AVERAGE('Raw Data'!Z344,'Raw Data'!AB344,'Raw Data'!AD344,'Raw Data'!AF344,'Raw Data'!AH344),"")</f>
        <v/>
      </c>
      <c r="M357" s="14">
        <f>IF('Raw Data'!A344&lt;&gt;"",AVERAGE('Raw Data'!AA344,'Raw Data'!AC344,'Raw Data'!AE344,'Raw Data'!AG344,'Raw Data'!AI344),"")</f>
        <v/>
      </c>
      <c r="N357" s="14">
        <f>IF(L357&lt;&gt;"",L357-M357,"")</f>
        <v/>
      </c>
      <c r="O357" s="14">
        <f>IF('Raw Data'!A344&lt;&gt;"",AVERAGE('Raw Data'!AJ344,'Raw Data'!AL344,'Raw Data'!AN344,'Raw Data'!AP344,'Raw Data'!AR344),"")</f>
        <v/>
      </c>
      <c r="P357" s="14">
        <f>IF('Raw Data'!A344&lt;&gt;"",AVERAGE('Raw Data'!AK344,'Raw Data'!AM344,'Raw Data'!AO344,'Raw Data'!AQ344,'Raw Data'!AS344),"")</f>
        <v/>
      </c>
      <c r="Q357" s="14">
        <f>IF(O357&lt;&gt;"",O357-P357,"")</f>
        <v/>
      </c>
      <c r="R357" s="14">
        <f>IF('Raw Data'!A344&lt;&gt;"",AVERAGE('Raw Data'!AT344,'Raw Data'!AV344,'Raw Data'!AX344,'Raw Data'!AZ344,'Raw Data'!BB344),"")</f>
        <v/>
      </c>
      <c r="S357" s="14">
        <f>IF('Raw Data'!A344&lt;&gt;"",AVERAGE('Raw Data'!AU344,'Raw Data'!AW344,'Raw Data'!AY344,'Raw Data'!BA344,'Raw Data'!BC344),"")</f>
        <v/>
      </c>
      <c r="T357" s="14">
        <f>IF(R357&lt;&gt;"",R357-S357,"")</f>
        <v/>
      </c>
      <c r="U357" s="14">
        <f>IF('Raw Data'!A344&lt;&gt;"",AVERAGE('Raw Data'!BD344,'Raw Data'!BF344,'Raw Data'!BH344,'Raw Data'!BJ344,'Raw Data'!BL344),"")</f>
        <v/>
      </c>
      <c r="V357" s="14">
        <f>IF('Raw Data'!A344&lt;&gt;"",AVERAGE('Raw Data'!BE344,'Raw Data'!BG344,'Raw Data'!BI344,'Raw Data'!BK344,'Raw Data'!BM344),"")</f>
        <v/>
      </c>
      <c r="W357" s="14">
        <f>IF(U357&lt;&gt;"",U357-V357,"")</f>
        <v/>
      </c>
      <c r="X357" s="14">
        <f>IF(A357&lt;&gt;"",AVERAGE(F357,I357,L357,O357,R357,U357),"")</f>
        <v/>
      </c>
      <c r="Y357" s="14">
        <f>IF(A357&lt;&gt;"",AVERAGE(G357,J357,M357,P357,S357,V357),"")</f>
        <v/>
      </c>
      <c r="Z357" s="14">
        <f>IF(A357&lt;&gt;"",X357-Y357,"")</f>
        <v/>
      </c>
      <c r="AA357" s="15">
        <f>IF(A357&lt;&gt;"",ROUND(MIN(100,100*((MAX(0,K357)*0.25)+(MAX(0,Q357)*0.20)+(MAX(0,W357)*0.20)+(MAX(0,H357)*0.15)+(MAX(0,N357)*0.10)+(MAX(0,T357)*0.10))/9),1),"")</f>
        <v/>
      </c>
      <c r="AB357" s="28">
        <f>IF(A357&lt;&gt;"",MIN(1,(0.5*AA357/100)+(0.3*MAX(0,K357)/9)+(0.2*MAX(0,Q357)/9)),"")</f>
        <v/>
      </c>
    </row>
    <row r="358">
      <c r="A358" s="13">
        <f>IF('Raw Data'!A345&lt;&gt;"",'Raw Data'!A345,"")</f>
        <v/>
      </c>
      <c r="B358" s="13">
        <f>IF('Raw Data'!B345&lt;&gt;"",'Raw Data'!B345,"")</f>
        <v/>
      </c>
      <c r="C358" s="13">
        <f>IF('Raw Data'!C345&lt;&gt;"",'Raw Data'!C345,"")</f>
        <v/>
      </c>
      <c r="D358" s="13">
        <f>IF('Raw Data'!D345&lt;&gt;"",'Raw Data'!D345,"")</f>
        <v/>
      </c>
      <c r="E358" s="13">
        <f>IF('Raw Data'!E345&lt;&gt;"",'Raw Data'!E345,"")</f>
        <v/>
      </c>
      <c r="F358" s="17">
        <f>IF('Raw Data'!A345&lt;&gt;"",AVERAGE('Raw Data'!F345,'Raw Data'!H345,'Raw Data'!J345,'Raw Data'!L345,'Raw Data'!N345),"")</f>
        <v/>
      </c>
      <c r="G358" s="17">
        <f>IF('Raw Data'!A345&lt;&gt;"",AVERAGE('Raw Data'!G345,'Raw Data'!I345,'Raw Data'!K345,'Raw Data'!M345,'Raw Data'!O345),"")</f>
        <v/>
      </c>
      <c r="H358" s="17">
        <f>IF(F358&lt;&gt;"",F358-G358,"")</f>
        <v/>
      </c>
      <c r="I358" s="17">
        <f>IF('Raw Data'!A345&lt;&gt;"",AVERAGE('Raw Data'!P345,'Raw Data'!R345,'Raw Data'!T345,'Raw Data'!V345,'Raw Data'!X345),"")</f>
        <v/>
      </c>
      <c r="J358" s="17">
        <f>IF('Raw Data'!A345&lt;&gt;"",AVERAGE('Raw Data'!Q345,'Raw Data'!S345,'Raw Data'!U345,'Raw Data'!W345,'Raw Data'!Y345),"")</f>
        <v/>
      </c>
      <c r="K358" s="17">
        <f>IF(I358&lt;&gt;"",I358-J358,"")</f>
        <v/>
      </c>
      <c r="L358" s="17">
        <f>IF('Raw Data'!A345&lt;&gt;"",AVERAGE('Raw Data'!Z345,'Raw Data'!AB345,'Raw Data'!AD345,'Raw Data'!AF345,'Raw Data'!AH345),"")</f>
        <v/>
      </c>
      <c r="M358" s="17">
        <f>IF('Raw Data'!A345&lt;&gt;"",AVERAGE('Raw Data'!AA345,'Raw Data'!AC345,'Raw Data'!AE345,'Raw Data'!AG345,'Raw Data'!AI345),"")</f>
        <v/>
      </c>
      <c r="N358" s="17">
        <f>IF(L358&lt;&gt;"",L358-M358,"")</f>
        <v/>
      </c>
      <c r="O358" s="17">
        <f>IF('Raw Data'!A345&lt;&gt;"",AVERAGE('Raw Data'!AJ345,'Raw Data'!AL345,'Raw Data'!AN345,'Raw Data'!AP345,'Raw Data'!AR345),"")</f>
        <v/>
      </c>
      <c r="P358" s="17">
        <f>IF('Raw Data'!A345&lt;&gt;"",AVERAGE('Raw Data'!AK345,'Raw Data'!AM345,'Raw Data'!AO345,'Raw Data'!AQ345,'Raw Data'!AS345),"")</f>
        <v/>
      </c>
      <c r="Q358" s="17">
        <f>IF(O358&lt;&gt;"",O358-P358,"")</f>
        <v/>
      </c>
      <c r="R358" s="17">
        <f>IF('Raw Data'!A345&lt;&gt;"",AVERAGE('Raw Data'!AT345,'Raw Data'!AV345,'Raw Data'!AX345,'Raw Data'!AZ345,'Raw Data'!BB345),"")</f>
        <v/>
      </c>
      <c r="S358" s="17">
        <f>IF('Raw Data'!A345&lt;&gt;"",AVERAGE('Raw Data'!AU345,'Raw Data'!AW345,'Raw Data'!AY345,'Raw Data'!BA345,'Raw Data'!BC345),"")</f>
        <v/>
      </c>
      <c r="T358" s="17">
        <f>IF(R358&lt;&gt;"",R358-S358,"")</f>
        <v/>
      </c>
      <c r="U358" s="17">
        <f>IF('Raw Data'!A345&lt;&gt;"",AVERAGE('Raw Data'!BD345,'Raw Data'!BF345,'Raw Data'!BH345,'Raw Data'!BJ345,'Raw Data'!BL345),"")</f>
        <v/>
      </c>
      <c r="V358" s="17">
        <f>IF('Raw Data'!A345&lt;&gt;"",AVERAGE('Raw Data'!BE345,'Raw Data'!BG345,'Raw Data'!BI345,'Raw Data'!BK345,'Raw Data'!BM345),"")</f>
        <v/>
      </c>
      <c r="W358" s="17">
        <f>IF(U358&lt;&gt;"",U358-V358,"")</f>
        <v/>
      </c>
      <c r="X358" s="17">
        <f>IF(A358&lt;&gt;"",AVERAGE(F358,I358,L358,O358,R358,U358),"")</f>
        <v/>
      </c>
      <c r="Y358" s="17">
        <f>IF(A358&lt;&gt;"",AVERAGE(G358,J358,M358,P358,S358,V358),"")</f>
        <v/>
      </c>
      <c r="Z358" s="17">
        <f>IF(A358&lt;&gt;"",X358-Y358,"")</f>
        <v/>
      </c>
      <c r="AA358" s="18">
        <f>IF(A358&lt;&gt;"",ROUND(MIN(100,100*((MAX(0,K358)*0.25)+(MAX(0,Q358)*0.20)+(MAX(0,W358)*0.20)+(MAX(0,H358)*0.15)+(MAX(0,N358)*0.10)+(MAX(0,T358)*0.10))/9),1),"")</f>
        <v/>
      </c>
      <c r="AB358" s="29">
        <f>IF(A358&lt;&gt;"",MIN(1,(0.5*AA358/100)+(0.3*MAX(0,K358)/9)+(0.2*MAX(0,Q358)/9)),"")</f>
        <v/>
      </c>
    </row>
    <row r="359">
      <c r="A359" s="4">
        <f>IF('Raw Data'!A346&lt;&gt;"",'Raw Data'!A346,"")</f>
        <v/>
      </c>
      <c r="B359" s="4">
        <f>IF('Raw Data'!B346&lt;&gt;"",'Raw Data'!B346,"")</f>
        <v/>
      </c>
      <c r="C359" s="4">
        <f>IF('Raw Data'!C346&lt;&gt;"",'Raw Data'!C346,"")</f>
        <v/>
      </c>
      <c r="D359" s="4">
        <f>IF('Raw Data'!D346&lt;&gt;"",'Raw Data'!D346,"")</f>
        <v/>
      </c>
      <c r="E359" s="4">
        <f>IF('Raw Data'!E346&lt;&gt;"",'Raw Data'!E346,"")</f>
        <v/>
      </c>
      <c r="F359" s="14">
        <f>IF('Raw Data'!A346&lt;&gt;"",AVERAGE('Raw Data'!F346,'Raw Data'!H346,'Raw Data'!J346,'Raw Data'!L346,'Raw Data'!N346),"")</f>
        <v/>
      </c>
      <c r="G359" s="14">
        <f>IF('Raw Data'!A346&lt;&gt;"",AVERAGE('Raw Data'!G346,'Raw Data'!I346,'Raw Data'!K346,'Raw Data'!M346,'Raw Data'!O346),"")</f>
        <v/>
      </c>
      <c r="H359" s="14">
        <f>IF(F359&lt;&gt;"",F359-G359,"")</f>
        <v/>
      </c>
      <c r="I359" s="14">
        <f>IF('Raw Data'!A346&lt;&gt;"",AVERAGE('Raw Data'!P346,'Raw Data'!R346,'Raw Data'!T346,'Raw Data'!V346,'Raw Data'!X346),"")</f>
        <v/>
      </c>
      <c r="J359" s="14">
        <f>IF('Raw Data'!A346&lt;&gt;"",AVERAGE('Raw Data'!Q346,'Raw Data'!S346,'Raw Data'!U346,'Raw Data'!W346,'Raw Data'!Y346),"")</f>
        <v/>
      </c>
      <c r="K359" s="14">
        <f>IF(I359&lt;&gt;"",I359-J359,"")</f>
        <v/>
      </c>
      <c r="L359" s="14">
        <f>IF('Raw Data'!A346&lt;&gt;"",AVERAGE('Raw Data'!Z346,'Raw Data'!AB346,'Raw Data'!AD346,'Raw Data'!AF346,'Raw Data'!AH346),"")</f>
        <v/>
      </c>
      <c r="M359" s="14">
        <f>IF('Raw Data'!A346&lt;&gt;"",AVERAGE('Raw Data'!AA346,'Raw Data'!AC346,'Raw Data'!AE346,'Raw Data'!AG346,'Raw Data'!AI346),"")</f>
        <v/>
      </c>
      <c r="N359" s="14">
        <f>IF(L359&lt;&gt;"",L359-M359,"")</f>
        <v/>
      </c>
      <c r="O359" s="14">
        <f>IF('Raw Data'!A346&lt;&gt;"",AVERAGE('Raw Data'!AJ346,'Raw Data'!AL346,'Raw Data'!AN346,'Raw Data'!AP346,'Raw Data'!AR346),"")</f>
        <v/>
      </c>
      <c r="P359" s="14">
        <f>IF('Raw Data'!A346&lt;&gt;"",AVERAGE('Raw Data'!AK346,'Raw Data'!AM346,'Raw Data'!AO346,'Raw Data'!AQ346,'Raw Data'!AS346),"")</f>
        <v/>
      </c>
      <c r="Q359" s="14">
        <f>IF(O359&lt;&gt;"",O359-P359,"")</f>
        <v/>
      </c>
      <c r="R359" s="14">
        <f>IF('Raw Data'!A346&lt;&gt;"",AVERAGE('Raw Data'!AT346,'Raw Data'!AV346,'Raw Data'!AX346,'Raw Data'!AZ346,'Raw Data'!BB346),"")</f>
        <v/>
      </c>
      <c r="S359" s="14">
        <f>IF('Raw Data'!A346&lt;&gt;"",AVERAGE('Raw Data'!AU346,'Raw Data'!AW346,'Raw Data'!AY346,'Raw Data'!BA346,'Raw Data'!BC346),"")</f>
        <v/>
      </c>
      <c r="T359" s="14">
        <f>IF(R359&lt;&gt;"",R359-S359,"")</f>
        <v/>
      </c>
      <c r="U359" s="14">
        <f>IF('Raw Data'!A346&lt;&gt;"",AVERAGE('Raw Data'!BD346,'Raw Data'!BF346,'Raw Data'!BH346,'Raw Data'!BJ346,'Raw Data'!BL346),"")</f>
        <v/>
      </c>
      <c r="V359" s="14">
        <f>IF('Raw Data'!A346&lt;&gt;"",AVERAGE('Raw Data'!BE346,'Raw Data'!BG346,'Raw Data'!BI346,'Raw Data'!BK346,'Raw Data'!BM346),"")</f>
        <v/>
      </c>
      <c r="W359" s="14">
        <f>IF(U359&lt;&gt;"",U359-V359,"")</f>
        <v/>
      </c>
      <c r="X359" s="14">
        <f>IF(A359&lt;&gt;"",AVERAGE(F359,I359,L359,O359,R359,U359),"")</f>
        <v/>
      </c>
      <c r="Y359" s="14">
        <f>IF(A359&lt;&gt;"",AVERAGE(G359,J359,M359,P359,S359,V359),"")</f>
        <v/>
      </c>
      <c r="Z359" s="14">
        <f>IF(A359&lt;&gt;"",X359-Y359,"")</f>
        <v/>
      </c>
      <c r="AA359" s="15">
        <f>IF(A359&lt;&gt;"",ROUND(MIN(100,100*((MAX(0,K359)*0.25)+(MAX(0,Q359)*0.20)+(MAX(0,W359)*0.20)+(MAX(0,H359)*0.15)+(MAX(0,N359)*0.10)+(MAX(0,T359)*0.10))/9),1),"")</f>
        <v/>
      </c>
      <c r="AB359" s="28">
        <f>IF(A359&lt;&gt;"",MIN(1,(0.5*AA359/100)+(0.3*MAX(0,K359)/9)+(0.2*MAX(0,Q359)/9)),"")</f>
        <v/>
      </c>
    </row>
    <row r="360">
      <c r="A360" s="13">
        <f>IF('Raw Data'!A347&lt;&gt;"",'Raw Data'!A347,"")</f>
        <v/>
      </c>
      <c r="B360" s="13">
        <f>IF('Raw Data'!B347&lt;&gt;"",'Raw Data'!B347,"")</f>
        <v/>
      </c>
      <c r="C360" s="13">
        <f>IF('Raw Data'!C347&lt;&gt;"",'Raw Data'!C347,"")</f>
        <v/>
      </c>
      <c r="D360" s="13">
        <f>IF('Raw Data'!D347&lt;&gt;"",'Raw Data'!D347,"")</f>
        <v/>
      </c>
      <c r="E360" s="13">
        <f>IF('Raw Data'!E347&lt;&gt;"",'Raw Data'!E347,"")</f>
        <v/>
      </c>
      <c r="F360" s="17">
        <f>IF('Raw Data'!A347&lt;&gt;"",AVERAGE('Raw Data'!F347,'Raw Data'!H347,'Raw Data'!J347,'Raw Data'!L347,'Raw Data'!N347),"")</f>
        <v/>
      </c>
      <c r="G360" s="17">
        <f>IF('Raw Data'!A347&lt;&gt;"",AVERAGE('Raw Data'!G347,'Raw Data'!I347,'Raw Data'!K347,'Raw Data'!M347,'Raw Data'!O347),"")</f>
        <v/>
      </c>
      <c r="H360" s="17">
        <f>IF(F360&lt;&gt;"",F360-G360,"")</f>
        <v/>
      </c>
      <c r="I360" s="17">
        <f>IF('Raw Data'!A347&lt;&gt;"",AVERAGE('Raw Data'!P347,'Raw Data'!R347,'Raw Data'!T347,'Raw Data'!V347,'Raw Data'!X347),"")</f>
        <v/>
      </c>
      <c r="J360" s="17">
        <f>IF('Raw Data'!A347&lt;&gt;"",AVERAGE('Raw Data'!Q347,'Raw Data'!S347,'Raw Data'!U347,'Raw Data'!W347,'Raw Data'!Y347),"")</f>
        <v/>
      </c>
      <c r="K360" s="17">
        <f>IF(I360&lt;&gt;"",I360-J360,"")</f>
        <v/>
      </c>
      <c r="L360" s="17">
        <f>IF('Raw Data'!A347&lt;&gt;"",AVERAGE('Raw Data'!Z347,'Raw Data'!AB347,'Raw Data'!AD347,'Raw Data'!AF347,'Raw Data'!AH347),"")</f>
        <v/>
      </c>
      <c r="M360" s="17">
        <f>IF('Raw Data'!A347&lt;&gt;"",AVERAGE('Raw Data'!AA347,'Raw Data'!AC347,'Raw Data'!AE347,'Raw Data'!AG347,'Raw Data'!AI347),"")</f>
        <v/>
      </c>
      <c r="N360" s="17">
        <f>IF(L360&lt;&gt;"",L360-M360,"")</f>
        <v/>
      </c>
      <c r="O360" s="17">
        <f>IF('Raw Data'!A347&lt;&gt;"",AVERAGE('Raw Data'!AJ347,'Raw Data'!AL347,'Raw Data'!AN347,'Raw Data'!AP347,'Raw Data'!AR347),"")</f>
        <v/>
      </c>
      <c r="P360" s="17">
        <f>IF('Raw Data'!A347&lt;&gt;"",AVERAGE('Raw Data'!AK347,'Raw Data'!AM347,'Raw Data'!AO347,'Raw Data'!AQ347,'Raw Data'!AS347),"")</f>
        <v/>
      </c>
      <c r="Q360" s="17">
        <f>IF(O360&lt;&gt;"",O360-P360,"")</f>
        <v/>
      </c>
      <c r="R360" s="17">
        <f>IF('Raw Data'!A347&lt;&gt;"",AVERAGE('Raw Data'!AT347,'Raw Data'!AV347,'Raw Data'!AX347,'Raw Data'!AZ347,'Raw Data'!BB347),"")</f>
        <v/>
      </c>
      <c r="S360" s="17">
        <f>IF('Raw Data'!A347&lt;&gt;"",AVERAGE('Raw Data'!AU347,'Raw Data'!AW347,'Raw Data'!AY347,'Raw Data'!BA347,'Raw Data'!BC347),"")</f>
        <v/>
      </c>
      <c r="T360" s="17">
        <f>IF(R360&lt;&gt;"",R360-S360,"")</f>
        <v/>
      </c>
      <c r="U360" s="17">
        <f>IF('Raw Data'!A347&lt;&gt;"",AVERAGE('Raw Data'!BD347,'Raw Data'!BF347,'Raw Data'!BH347,'Raw Data'!BJ347,'Raw Data'!BL347),"")</f>
        <v/>
      </c>
      <c r="V360" s="17">
        <f>IF('Raw Data'!A347&lt;&gt;"",AVERAGE('Raw Data'!BE347,'Raw Data'!BG347,'Raw Data'!BI347,'Raw Data'!BK347,'Raw Data'!BM347),"")</f>
        <v/>
      </c>
      <c r="W360" s="17">
        <f>IF(U360&lt;&gt;"",U360-V360,"")</f>
        <v/>
      </c>
      <c r="X360" s="17">
        <f>IF(A360&lt;&gt;"",AVERAGE(F360,I360,L360,O360,R360,U360),"")</f>
        <v/>
      </c>
      <c r="Y360" s="17">
        <f>IF(A360&lt;&gt;"",AVERAGE(G360,J360,M360,P360,S360,V360),"")</f>
        <v/>
      </c>
      <c r="Z360" s="17">
        <f>IF(A360&lt;&gt;"",X360-Y360,"")</f>
        <v/>
      </c>
      <c r="AA360" s="18">
        <f>IF(A360&lt;&gt;"",ROUND(MIN(100,100*((MAX(0,K360)*0.25)+(MAX(0,Q360)*0.20)+(MAX(0,W360)*0.20)+(MAX(0,H360)*0.15)+(MAX(0,N360)*0.10)+(MAX(0,T360)*0.10))/9),1),"")</f>
        <v/>
      </c>
      <c r="AB360" s="29">
        <f>IF(A360&lt;&gt;"",MIN(1,(0.5*AA360/100)+(0.3*MAX(0,K360)/9)+(0.2*MAX(0,Q360)/9)),"")</f>
        <v/>
      </c>
    </row>
    <row r="361">
      <c r="A361" s="4">
        <f>IF('Raw Data'!A348&lt;&gt;"",'Raw Data'!A348,"")</f>
        <v/>
      </c>
      <c r="B361" s="4">
        <f>IF('Raw Data'!B348&lt;&gt;"",'Raw Data'!B348,"")</f>
        <v/>
      </c>
      <c r="C361" s="4">
        <f>IF('Raw Data'!C348&lt;&gt;"",'Raw Data'!C348,"")</f>
        <v/>
      </c>
      <c r="D361" s="4">
        <f>IF('Raw Data'!D348&lt;&gt;"",'Raw Data'!D348,"")</f>
        <v/>
      </c>
      <c r="E361" s="4">
        <f>IF('Raw Data'!E348&lt;&gt;"",'Raw Data'!E348,"")</f>
        <v/>
      </c>
      <c r="F361" s="14">
        <f>IF('Raw Data'!A348&lt;&gt;"",AVERAGE('Raw Data'!F348,'Raw Data'!H348,'Raw Data'!J348,'Raw Data'!L348,'Raw Data'!N348),"")</f>
        <v/>
      </c>
      <c r="G361" s="14">
        <f>IF('Raw Data'!A348&lt;&gt;"",AVERAGE('Raw Data'!G348,'Raw Data'!I348,'Raw Data'!K348,'Raw Data'!M348,'Raw Data'!O348),"")</f>
        <v/>
      </c>
      <c r="H361" s="14">
        <f>IF(F361&lt;&gt;"",F361-G361,"")</f>
        <v/>
      </c>
      <c r="I361" s="14">
        <f>IF('Raw Data'!A348&lt;&gt;"",AVERAGE('Raw Data'!P348,'Raw Data'!R348,'Raw Data'!T348,'Raw Data'!V348,'Raw Data'!X348),"")</f>
        <v/>
      </c>
      <c r="J361" s="14">
        <f>IF('Raw Data'!A348&lt;&gt;"",AVERAGE('Raw Data'!Q348,'Raw Data'!S348,'Raw Data'!U348,'Raw Data'!W348,'Raw Data'!Y348),"")</f>
        <v/>
      </c>
      <c r="K361" s="14">
        <f>IF(I361&lt;&gt;"",I361-J361,"")</f>
        <v/>
      </c>
      <c r="L361" s="14">
        <f>IF('Raw Data'!A348&lt;&gt;"",AVERAGE('Raw Data'!Z348,'Raw Data'!AB348,'Raw Data'!AD348,'Raw Data'!AF348,'Raw Data'!AH348),"")</f>
        <v/>
      </c>
      <c r="M361" s="14">
        <f>IF('Raw Data'!A348&lt;&gt;"",AVERAGE('Raw Data'!AA348,'Raw Data'!AC348,'Raw Data'!AE348,'Raw Data'!AG348,'Raw Data'!AI348),"")</f>
        <v/>
      </c>
      <c r="N361" s="14">
        <f>IF(L361&lt;&gt;"",L361-M361,"")</f>
        <v/>
      </c>
      <c r="O361" s="14">
        <f>IF('Raw Data'!A348&lt;&gt;"",AVERAGE('Raw Data'!AJ348,'Raw Data'!AL348,'Raw Data'!AN348,'Raw Data'!AP348,'Raw Data'!AR348),"")</f>
        <v/>
      </c>
      <c r="P361" s="14">
        <f>IF('Raw Data'!A348&lt;&gt;"",AVERAGE('Raw Data'!AK348,'Raw Data'!AM348,'Raw Data'!AO348,'Raw Data'!AQ348,'Raw Data'!AS348),"")</f>
        <v/>
      </c>
      <c r="Q361" s="14">
        <f>IF(O361&lt;&gt;"",O361-P361,"")</f>
        <v/>
      </c>
      <c r="R361" s="14">
        <f>IF('Raw Data'!A348&lt;&gt;"",AVERAGE('Raw Data'!AT348,'Raw Data'!AV348,'Raw Data'!AX348,'Raw Data'!AZ348,'Raw Data'!BB348),"")</f>
        <v/>
      </c>
      <c r="S361" s="14">
        <f>IF('Raw Data'!A348&lt;&gt;"",AVERAGE('Raw Data'!AU348,'Raw Data'!AW348,'Raw Data'!AY348,'Raw Data'!BA348,'Raw Data'!BC348),"")</f>
        <v/>
      </c>
      <c r="T361" s="14">
        <f>IF(R361&lt;&gt;"",R361-S361,"")</f>
        <v/>
      </c>
      <c r="U361" s="14">
        <f>IF('Raw Data'!A348&lt;&gt;"",AVERAGE('Raw Data'!BD348,'Raw Data'!BF348,'Raw Data'!BH348,'Raw Data'!BJ348,'Raw Data'!BL348),"")</f>
        <v/>
      </c>
      <c r="V361" s="14">
        <f>IF('Raw Data'!A348&lt;&gt;"",AVERAGE('Raw Data'!BE348,'Raw Data'!BG348,'Raw Data'!BI348,'Raw Data'!BK348,'Raw Data'!BM348),"")</f>
        <v/>
      </c>
      <c r="W361" s="14">
        <f>IF(U361&lt;&gt;"",U361-V361,"")</f>
        <v/>
      </c>
      <c r="X361" s="14">
        <f>IF(A361&lt;&gt;"",AVERAGE(F361,I361,L361,O361,R361,U361),"")</f>
        <v/>
      </c>
      <c r="Y361" s="14">
        <f>IF(A361&lt;&gt;"",AVERAGE(G361,J361,M361,P361,S361,V361),"")</f>
        <v/>
      </c>
      <c r="Z361" s="14">
        <f>IF(A361&lt;&gt;"",X361-Y361,"")</f>
        <v/>
      </c>
      <c r="AA361" s="15">
        <f>IF(A361&lt;&gt;"",ROUND(MIN(100,100*((MAX(0,K361)*0.25)+(MAX(0,Q361)*0.20)+(MAX(0,W361)*0.20)+(MAX(0,H361)*0.15)+(MAX(0,N361)*0.10)+(MAX(0,T361)*0.10))/9),1),"")</f>
        <v/>
      </c>
      <c r="AB361" s="28">
        <f>IF(A361&lt;&gt;"",MIN(1,(0.5*AA361/100)+(0.3*MAX(0,K361)/9)+(0.2*MAX(0,Q361)/9)),"")</f>
        <v/>
      </c>
    </row>
    <row r="362">
      <c r="A362" s="13">
        <f>IF('Raw Data'!A349&lt;&gt;"",'Raw Data'!A349,"")</f>
        <v/>
      </c>
      <c r="B362" s="13">
        <f>IF('Raw Data'!B349&lt;&gt;"",'Raw Data'!B349,"")</f>
        <v/>
      </c>
      <c r="C362" s="13">
        <f>IF('Raw Data'!C349&lt;&gt;"",'Raw Data'!C349,"")</f>
        <v/>
      </c>
      <c r="D362" s="13">
        <f>IF('Raw Data'!D349&lt;&gt;"",'Raw Data'!D349,"")</f>
        <v/>
      </c>
      <c r="E362" s="13">
        <f>IF('Raw Data'!E349&lt;&gt;"",'Raw Data'!E349,"")</f>
        <v/>
      </c>
      <c r="F362" s="17">
        <f>IF('Raw Data'!A349&lt;&gt;"",AVERAGE('Raw Data'!F349,'Raw Data'!H349,'Raw Data'!J349,'Raw Data'!L349,'Raw Data'!N349),"")</f>
        <v/>
      </c>
      <c r="G362" s="17">
        <f>IF('Raw Data'!A349&lt;&gt;"",AVERAGE('Raw Data'!G349,'Raw Data'!I349,'Raw Data'!K349,'Raw Data'!M349,'Raw Data'!O349),"")</f>
        <v/>
      </c>
      <c r="H362" s="17">
        <f>IF(F362&lt;&gt;"",F362-G362,"")</f>
        <v/>
      </c>
      <c r="I362" s="17">
        <f>IF('Raw Data'!A349&lt;&gt;"",AVERAGE('Raw Data'!P349,'Raw Data'!R349,'Raw Data'!T349,'Raw Data'!V349,'Raw Data'!X349),"")</f>
        <v/>
      </c>
      <c r="J362" s="17">
        <f>IF('Raw Data'!A349&lt;&gt;"",AVERAGE('Raw Data'!Q349,'Raw Data'!S349,'Raw Data'!U349,'Raw Data'!W349,'Raw Data'!Y349),"")</f>
        <v/>
      </c>
      <c r="K362" s="17">
        <f>IF(I362&lt;&gt;"",I362-J362,"")</f>
        <v/>
      </c>
      <c r="L362" s="17">
        <f>IF('Raw Data'!A349&lt;&gt;"",AVERAGE('Raw Data'!Z349,'Raw Data'!AB349,'Raw Data'!AD349,'Raw Data'!AF349,'Raw Data'!AH349),"")</f>
        <v/>
      </c>
      <c r="M362" s="17">
        <f>IF('Raw Data'!A349&lt;&gt;"",AVERAGE('Raw Data'!AA349,'Raw Data'!AC349,'Raw Data'!AE349,'Raw Data'!AG349,'Raw Data'!AI349),"")</f>
        <v/>
      </c>
      <c r="N362" s="17">
        <f>IF(L362&lt;&gt;"",L362-M362,"")</f>
        <v/>
      </c>
      <c r="O362" s="17">
        <f>IF('Raw Data'!A349&lt;&gt;"",AVERAGE('Raw Data'!AJ349,'Raw Data'!AL349,'Raw Data'!AN349,'Raw Data'!AP349,'Raw Data'!AR349),"")</f>
        <v/>
      </c>
      <c r="P362" s="17">
        <f>IF('Raw Data'!A349&lt;&gt;"",AVERAGE('Raw Data'!AK349,'Raw Data'!AM349,'Raw Data'!AO349,'Raw Data'!AQ349,'Raw Data'!AS349),"")</f>
        <v/>
      </c>
      <c r="Q362" s="17">
        <f>IF(O362&lt;&gt;"",O362-P362,"")</f>
        <v/>
      </c>
      <c r="R362" s="17">
        <f>IF('Raw Data'!A349&lt;&gt;"",AVERAGE('Raw Data'!AT349,'Raw Data'!AV349,'Raw Data'!AX349,'Raw Data'!AZ349,'Raw Data'!BB349),"")</f>
        <v/>
      </c>
      <c r="S362" s="17">
        <f>IF('Raw Data'!A349&lt;&gt;"",AVERAGE('Raw Data'!AU349,'Raw Data'!AW349,'Raw Data'!AY349,'Raw Data'!BA349,'Raw Data'!BC349),"")</f>
        <v/>
      </c>
      <c r="T362" s="17">
        <f>IF(R362&lt;&gt;"",R362-S362,"")</f>
        <v/>
      </c>
      <c r="U362" s="17">
        <f>IF('Raw Data'!A349&lt;&gt;"",AVERAGE('Raw Data'!BD349,'Raw Data'!BF349,'Raw Data'!BH349,'Raw Data'!BJ349,'Raw Data'!BL349),"")</f>
        <v/>
      </c>
      <c r="V362" s="17">
        <f>IF('Raw Data'!A349&lt;&gt;"",AVERAGE('Raw Data'!BE349,'Raw Data'!BG349,'Raw Data'!BI349,'Raw Data'!BK349,'Raw Data'!BM349),"")</f>
        <v/>
      </c>
      <c r="W362" s="17">
        <f>IF(U362&lt;&gt;"",U362-V362,"")</f>
        <v/>
      </c>
      <c r="X362" s="17">
        <f>IF(A362&lt;&gt;"",AVERAGE(F362,I362,L362,O362,R362,U362),"")</f>
        <v/>
      </c>
      <c r="Y362" s="17">
        <f>IF(A362&lt;&gt;"",AVERAGE(G362,J362,M362,P362,S362,V362),"")</f>
        <v/>
      </c>
      <c r="Z362" s="17">
        <f>IF(A362&lt;&gt;"",X362-Y362,"")</f>
        <v/>
      </c>
      <c r="AA362" s="18">
        <f>IF(A362&lt;&gt;"",ROUND(MIN(100,100*((MAX(0,K362)*0.25)+(MAX(0,Q362)*0.20)+(MAX(0,W362)*0.20)+(MAX(0,H362)*0.15)+(MAX(0,N362)*0.10)+(MAX(0,T362)*0.10))/9),1),"")</f>
        <v/>
      </c>
      <c r="AB362" s="29">
        <f>IF(A362&lt;&gt;"",MIN(1,(0.5*AA362/100)+(0.3*MAX(0,K362)/9)+(0.2*MAX(0,Q362)/9)),"")</f>
        <v/>
      </c>
    </row>
    <row r="363">
      <c r="A363" s="4">
        <f>IF('Raw Data'!A350&lt;&gt;"",'Raw Data'!A350,"")</f>
        <v/>
      </c>
      <c r="B363" s="4">
        <f>IF('Raw Data'!B350&lt;&gt;"",'Raw Data'!B350,"")</f>
        <v/>
      </c>
      <c r="C363" s="4">
        <f>IF('Raw Data'!C350&lt;&gt;"",'Raw Data'!C350,"")</f>
        <v/>
      </c>
      <c r="D363" s="4">
        <f>IF('Raw Data'!D350&lt;&gt;"",'Raw Data'!D350,"")</f>
        <v/>
      </c>
      <c r="E363" s="4">
        <f>IF('Raw Data'!E350&lt;&gt;"",'Raw Data'!E350,"")</f>
        <v/>
      </c>
      <c r="F363" s="14">
        <f>IF('Raw Data'!A350&lt;&gt;"",AVERAGE('Raw Data'!F350,'Raw Data'!H350,'Raw Data'!J350,'Raw Data'!L350,'Raw Data'!N350),"")</f>
        <v/>
      </c>
      <c r="G363" s="14">
        <f>IF('Raw Data'!A350&lt;&gt;"",AVERAGE('Raw Data'!G350,'Raw Data'!I350,'Raw Data'!K350,'Raw Data'!M350,'Raw Data'!O350),"")</f>
        <v/>
      </c>
      <c r="H363" s="14">
        <f>IF(F363&lt;&gt;"",F363-G363,"")</f>
        <v/>
      </c>
      <c r="I363" s="14">
        <f>IF('Raw Data'!A350&lt;&gt;"",AVERAGE('Raw Data'!P350,'Raw Data'!R350,'Raw Data'!T350,'Raw Data'!V350,'Raw Data'!X350),"")</f>
        <v/>
      </c>
      <c r="J363" s="14">
        <f>IF('Raw Data'!A350&lt;&gt;"",AVERAGE('Raw Data'!Q350,'Raw Data'!S350,'Raw Data'!U350,'Raw Data'!W350,'Raw Data'!Y350),"")</f>
        <v/>
      </c>
      <c r="K363" s="14">
        <f>IF(I363&lt;&gt;"",I363-J363,"")</f>
        <v/>
      </c>
      <c r="L363" s="14">
        <f>IF('Raw Data'!A350&lt;&gt;"",AVERAGE('Raw Data'!Z350,'Raw Data'!AB350,'Raw Data'!AD350,'Raw Data'!AF350,'Raw Data'!AH350),"")</f>
        <v/>
      </c>
      <c r="M363" s="14">
        <f>IF('Raw Data'!A350&lt;&gt;"",AVERAGE('Raw Data'!AA350,'Raw Data'!AC350,'Raw Data'!AE350,'Raw Data'!AG350,'Raw Data'!AI350),"")</f>
        <v/>
      </c>
      <c r="N363" s="14">
        <f>IF(L363&lt;&gt;"",L363-M363,"")</f>
        <v/>
      </c>
      <c r="O363" s="14">
        <f>IF('Raw Data'!A350&lt;&gt;"",AVERAGE('Raw Data'!AJ350,'Raw Data'!AL350,'Raw Data'!AN350,'Raw Data'!AP350,'Raw Data'!AR350),"")</f>
        <v/>
      </c>
      <c r="P363" s="14">
        <f>IF('Raw Data'!A350&lt;&gt;"",AVERAGE('Raw Data'!AK350,'Raw Data'!AM350,'Raw Data'!AO350,'Raw Data'!AQ350,'Raw Data'!AS350),"")</f>
        <v/>
      </c>
      <c r="Q363" s="14">
        <f>IF(O363&lt;&gt;"",O363-P363,"")</f>
        <v/>
      </c>
      <c r="R363" s="14">
        <f>IF('Raw Data'!A350&lt;&gt;"",AVERAGE('Raw Data'!AT350,'Raw Data'!AV350,'Raw Data'!AX350,'Raw Data'!AZ350,'Raw Data'!BB350),"")</f>
        <v/>
      </c>
      <c r="S363" s="14">
        <f>IF('Raw Data'!A350&lt;&gt;"",AVERAGE('Raw Data'!AU350,'Raw Data'!AW350,'Raw Data'!AY350,'Raw Data'!BA350,'Raw Data'!BC350),"")</f>
        <v/>
      </c>
      <c r="T363" s="14">
        <f>IF(R363&lt;&gt;"",R363-S363,"")</f>
        <v/>
      </c>
      <c r="U363" s="14">
        <f>IF('Raw Data'!A350&lt;&gt;"",AVERAGE('Raw Data'!BD350,'Raw Data'!BF350,'Raw Data'!BH350,'Raw Data'!BJ350,'Raw Data'!BL350),"")</f>
        <v/>
      </c>
      <c r="V363" s="14">
        <f>IF('Raw Data'!A350&lt;&gt;"",AVERAGE('Raw Data'!BE350,'Raw Data'!BG350,'Raw Data'!BI350,'Raw Data'!BK350,'Raw Data'!BM350),"")</f>
        <v/>
      </c>
      <c r="W363" s="14">
        <f>IF(U363&lt;&gt;"",U363-V363,"")</f>
        <v/>
      </c>
      <c r="X363" s="14">
        <f>IF(A363&lt;&gt;"",AVERAGE(F363,I363,L363,O363,R363,U363),"")</f>
        <v/>
      </c>
      <c r="Y363" s="14">
        <f>IF(A363&lt;&gt;"",AVERAGE(G363,J363,M363,P363,S363,V363),"")</f>
        <v/>
      </c>
      <c r="Z363" s="14">
        <f>IF(A363&lt;&gt;"",X363-Y363,"")</f>
        <v/>
      </c>
      <c r="AA363" s="15">
        <f>IF(A363&lt;&gt;"",ROUND(MIN(100,100*((MAX(0,K363)*0.25)+(MAX(0,Q363)*0.20)+(MAX(0,W363)*0.20)+(MAX(0,H363)*0.15)+(MAX(0,N363)*0.10)+(MAX(0,T363)*0.10))/9),1),"")</f>
        <v/>
      </c>
      <c r="AB363" s="28">
        <f>IF(A363&lt;&gt;"",MIN(1,(0.5*AA363/100)+(0.3*MAX(0,K363)/9)+(0.2*MAX(0,Q363)/9)),"")</f>
        <v/>
      </c>
    </row>
    <row r="364">
      <c r="A364" s="13">
        <f>IF('Raw Data'!A351&lt;&gt;"",'Raw Data'!A351,"")</f>
        <v/>
      </c>
      <c r="B364" s="13">
        <f>IF('Raw Data'!B351&lt;&gt;"",'Raw Data'!B351,"")</f>
        <v/>
      </c>
      <c r="C364" s="13">
        <f>IF('Raw Data'!C351&lt;&gt;"",'Raw Data'!C351,"")</f>
        <v/>
      </c>
      <c r="D364" s="13">
        <f>IF('Raw Data'!D351&lt;&gt;"",'Raw Data'!D351,"")</f>
        <v/>
      </c>
      <c r="E364" s="13">
        <f>IF('Raw Data'!E351&lt;&gt;"",'Raw Data'!E351,"")</f>
        <v/>
      </c>
      <c r="F364" s="17">
        <f>IF('Raw Data'!A351&lt;&gt;"",AVERAGE('Raw Data'!F351,'Raw Data'!H351,'Raw Data'!J351,'Raw Data'!L351,'Raw Data'!N351),"")</f>
        <v/>
      </c>
      <c r="G364" s="17">
        <f>IF('Raw Data'!A351&lt;&gt;"",AVERAGE('Raw Data'!G351,'Raw Data'!I351,'Raw Data'!K351,'Raw Data'!M351,'Raw Data'!O351),"")</f>
        <v/>
      </c>
      <c r="H364" s="17">
        <f>IF(F364&lt;&gt;"",F364-G364,"")</f>
        <v/>
      </c>
      <c r="I364" s="17">
        <f>IF('Raw Data'!A351&lt;&gt;"",AVERAGE('Raw Data'!P351,'Raw Data'!R351,'Raw Data'!T351,'Raw Data'!V351,'Raw Data'!X351),"")</f>
        <v/>
      </c>
      <c r="J364" s="17">
        <f>IF('Raw Data'!A351&lt;&gt;"",AVERAGE('Raw Data'!Q351,'Raw Data'!S351,'Raw Data'!U351,'Raw Data'!W351,'Raw Data'!Y351),"")</f>
        <v/>
      </c>
      <c r="K364" s="17">
        <f>IF(I364&lt;&gt;"",I364-J364,"")</f>
        <v/>
      </c>
      <c r="L364" s="17">
        <f>IF('Raw Data'!A351&lt;&gt;"",AVERAGE('Raw Data'!Z351,'Raw Data'!AB351,'Raw Data'!AD351,'Raw Data'!AF351,'Raw Data'!AH351),"")</f>
        <v/>
      </c>
      <c r="M364" s="17">
        <f>IF('Raw Data'!A351&lt;&gt;"",AVERAGE('Raw Data'!AA351,'Raw Data'!AC351,'Raw Data'!AE351,'Raw Data'!AG351,'Raw Data'!AI351),"")</f>
        <v/>
      </c>
      <c r="N364" s="17">
        <f>IF(L364&lt;&gt;"",L364-M364,"")</f>
        <v/>
      </c>
      <c r="O364" s="17">
        <f>IF('Raw Data'!A351&lt;&gt;"",AVERAGE('Raw Data'!AJ351,'Raw Data'!AL351,'Raw Data'!AN351,'Raw Data'!AP351,'Raw Data'!AR351),"")</f>
        <v/>
      </c>
      <c r="P364" s="17">
        <f>IF('Raw Data'!A351&lt;&gt;"",AVERAGE('Raw Data'!AK351,'Raw Data'!AM351,'Raw Data'!AO351,'Raw Data'!AQ351,'Raw Data'!AS351),"")</f>
        <v/>
      </c>
      <c r="Q364" s="17">
        <f>IF(O364&lt;&gt;"",O364-P364,"")</f>
        <v/>
      </c>
      <c r="R364" s="17">
        <f>IF('Raw Data'!A351&lt;&gt;"",AVERAGE('Raw Data'!AT351,'Raw Data'!AV351,'Raw Data'!AX351,'Raw Data'!AZ351,'Raw Data'!BB351),"")</f>
        <v/>
      </c>
      <c r="S364" s="17">
        <f>IF('Raw Data'!A351&lt;&gt;"",AVERAGE('Raw Data'!AU351,'Raw Data'!AW351,'Raw Data'!AY351,'Raw Data'!BA351,'Raw Data'!BC351),"")</f>
        <v/>
      </c>
      <c r="T364" s="17">
        <f>IF(R364&lt;&gt;"",R364-S364,"")</f>
        <v/>
      </c>
      <c r="U364" s="17">
        <f>IF('Raw Data'!A351&lt;&gt;"",AVERAGE('Raw Data'!BD351,'Raw Data'!BF351,'Raw Data'!BH351,'Raw Data'!BJ351,'Raw Data'!BL351),"")</f>
        <v/>
      </c>
      <c r="V364" s="17">
        <f>IF('Raw Data'!A351&lt;&gt;"",AVERAGE('Raw Data'!BE351,'Raw Data'!BG351,'Raw Data'!BI351,'Raw Data'!BK351,'Raw Data'!BM351),"")</f>
        <v/>
      </c>
      <c r="W364" s="17">
        <f>IF(U364&lt;&gt;"",U364-V364,"")</f>
        <v/>
      </c>
      <c r="X364" s="17">
        <f>IF(A364&lt;&gt;"",AVERAGE(F364,I364,L364,O364,R364,U364),"")</f>
        <v/>
      </c>
      <c r="Y364" s="17">
        <f>IF(A364&lt;&gt;"",AVERAGE(G364,J364,M364,P364,S364,V364),"")</f>
        <v/>
      </c>
      <c r="Z364" s="17">
        <f>IF(A364&lt;&gt;"",X364-Y364,"")</f>
        <v/>
      </c>
      <c r="AA364" s="18">
        <f>IF(A364&lt;&gt;"",ROUND(MIN(100,100*((MAX(0,K364)*0.25)+(MAX(0,Q364)*0.20)+(MAX(0,W364)*0.20)+(MAX(0,H364)*0.15)+(MAX(0,N364)*0.10)+(MAX(0,T364)*0.10))/9),1),"")</f>
        <v/>
      </c>
      <c r="AB364" s="29">
        <f>IF(A364&lt;&gt;"",MIN(1,(0.5*AA364/100)+(0.3*MAX(0,K364)/9)+(0.2*MAX(0,Q364)/9)),"")</f>
        <v/>
      </c>
    </row>
    <row r="365">
      <c r="A365" s="4">
        <f>IF('Raw Data'!A352&lt;&gt;"",'Raw Data'!A352,"")</f>
        <v/>
      </c>
      <c r="B365" s="4">
        <f>IF('Raw Data'!B352&lt;&gt;"",'Raw Data'!B352,"")</f>
        <v/>
      </c>
      <c r="C365" s="4">
        <f>IF('Raw Data'!C352&lt;&gt;"",'Raw Data'!C352,"")</f>
        <v/>
      </c>
      <c r="D365" s="4">
        <f>IF('Raw Data'!D352&lt;&gt;"",'Raw Data'!D352,"")</f>
        <v/>
      </c>
      <c r="E365" s="4">
        <f>IF('Raw Data'!E352&lt;&gt;"",'Raw Data'!E352,"")</f>
        <v/>
      </c>
      <c r="F365" s="14">
        <f>IF('Raw Data'!A352&lt;&gt;"",AVERAGE('Raw Data'!F352,'Raw Data'!H352,'Raw Data'!J352,'Raw Data'!L352,'Raw Data'!N352),"")</f>
        <v/>
      </c>
      <c r="G365" s="14">
        <f>IF('Raw Data'!A352&lt;&gt;"",AVERAGE('Raw Data'!G352,'Raw Data'!I352,'Raw Data'!K352,'Raw Data'!M352,'Raw Data'!O352),"")</f>
        <v/>
      </c>
      <c r="H365" s="14">
        <f>IF(F365&lt;&gt;"",F365-G365,"")</f>
        <v/>
      </c>
      <c r="I365" s="14">
        <f>IF('Raw Data'!A352&lt;&gt;"",AVERAGE('Raw Data'!P352,'Raw Data'!R352,'Raw Data'!T352,'Raw Data'!V352,'Raw Data'!X352),"")</f>
        <v/>
      </c>
      <c r="J365" s="14">
        <f>IF('Raw Data'!A352&lt;&gt;"",AVERAGE('Raw Data'!Q352,'Raw Data'!S352,'Raw Data'!U352,'Raw Data'!W352,'Raw Data'!Y352),"")</f>
        <v/>
      </c>
      <c r="K365" s="14">
        <f>IF(I365&lt;&gt;"",I365-J365,"")</f>
        <v/>
      </c>
      <c r="L365" s="14">
        <f>IF('Raw Data'!A352&lt;&gt;"",AVERAGE('Raw Data'!Z352,'Raw Data'!AB352,'Raw Data'!AD352,'Raw Data'!AF352,'Raw Data'!AH352),"")</f>
        <v/>
      </c>
      <c r="M365" s="14">
        <f>IF('Raw Data'!A352&lt;&gt;"",AVERAGE('Raw Data'!AA352,'Raw Data'!AC352,'Raw Data'!AE352,'Raw Data'!AG352,'Raw Data'!AI352),"")</f>
        <v/>
      </c>
      <c r="N365" s="14">
        <f>IF(L365&lt;&gt;"",L365-M365,"")</f>
        <v/>
      </c>
      <c r="O365" s="14">
        <f>IF('Raw Data'!A352&lt;&gt;"",AVERAGE('Raw Data'!AJ352,'Raw Data'!AL352,'Raw Data'!AN352,'Raw Data'!AP352,'Raw Data'!AR352),"")</f>
        <v/>
      </c>
      <c r="P365" s="14">
        <f>IF('Raw Data'!A352&lt;&gt;"",AVERAGE('Raw Data'!AK352,'Raw Data'!AM352,'Raw Data'!AO352,'Raw Data'!AQ352,'Raw Data'!AS352),"")</f>
        <v/>
      </c>
      <c r="Q365" s="14">
        <f>IF(O365&lt;&gt;"",O365-P365,"")</f>
        <v/>
      </c>
      <c r="R365" s="14">
        <f>IF('Raw Data'!A352&lt;&gt;"",AVERAGE('Raw Data'!AT352,'Raw Data'!AV352,'Raw Data'!AX352,'Raw Data'!AZ352,'Raw Data'!BB352),"")</f>
        <v/>
      </c>
      <c r="S365" s="14">
        <f>IF('Raw Data'!A352&lt;&gt;"",AVERAGE('Raw Data'!AU352,'Raw Data'!AW352,'Raw Data'!AY352,'Raw Data'!BA352,'Raw Data'!BC352),"")</f>
        <v/>
      </c>
      <c r="T365" s="14">
        <f>IF(R365&lt;&gt;"",R365-S365,"")</f>
        <v/>
      </c>
      <c r="U365" s="14">
        <f>IF('Raw Data'!A352&lt;&gt;"",AVERAGE('Raw Data'!BD352,'Raw Data'!BF352,'Raw Data'!BH352,'Raw Data'!BJ352,'Raw Data'!BL352),"")</f>
        <v/>
      </c>
      <c r="V365" s="14">
        <f>IF('Raw Data'!A352&lt;&gt;"",AVERAGE('Raw Data'!BE352,'Raw Data'!BG352,'Raw Data'!BI352,'Raw Data'!BK352,'Raw Data'!BM352),"")</f>
        <v/>
      </c>
      <c r="W365" s="14">
        <f>IF(U365&lt;&gt;"",U365-V365,"")</f>
        <v/>
      </c>
      <c r="X365" s="14">
        <f>IF(A365&lt;&gt;"",AVERAGE(F365,I365,L365,O365,R365,U365),"")</f>
        <v/>
      </c>
      <c r="Y365" s="14">
        <f>IF(A365&lt;&gt;"",AVERAGE(G365,J365,M365,P365,S365,V365),"")</f>
        <v/>
      </c>
      <c r="Z365" s="14">
        <f>IF(A365&lt;&gt;"",X365-Y365,"")</f>
        <v/>
      </c>
      <c r="AA365" s="15">
        <f>IF(A365&lt;&gt;"",ROUND(MIN(100,100*((MAX(0,K365)*0.25)+(MAX(0,Q365)*0.20)+(MAX(0,W365)*0.20)+(MAX(0,H365)*0.15)+(MAX(0,N365)*0.10)+(MAX(0,T365)*0.10))/9),1),"")</f>
        <v/>
      </c>
      <c r="AB365" s="28">
        <f>IF(A365&lt;&gt;"",MIN(1,(0.5*AA365/100)+(0.3*MAX(0,K365)/9)+(0.2*MAX(0,Q365)/9)),"")</f>
        <v/>
      </c>
    </row>
    <row r="366">
      <c r="A366" s="13">
        <f>IF('Raw Data'!A353&lt;&gt;"",'Raw Data'!A353,"")</f>
        <v/>
      </c>
      <c r="B366" s="13">
        <f>IF('Raw Data'!B353&lt;&gt;"",'Raw Data'!B353,"")</f>
        <v/>
      </c>
      <c r="C366" s="13">
        <f>IF('Raw Data'!C353&lt;&gt;"",'Raw Data'!C353,"")</f>
        <v/>
      </c>
      <c r="D366" s="13">
        <f>IF('Raw Data'!D353&lt;&gt;"",'Raw Data'!D353,"")</f>
        <v/>
      </c>
      <c r="E366" s="13">
        <f>IF('Raw Data'!E353&lt;&gt;"",'Raw Data'!E353,"")</f>
        <v/>
      </c>
      <c r="F366" s="17">
        <f>IF('Raw Data'!A353&lt;&gt;"",AVERAGE('Raw Data'!F353,'Raw Data'!H353,'Raw Data'!J353,'Raw Data'!L353,'Raw Data'!N353),"")</f>
        <v/>
      </c>
      <c r="G366" s="17">
        <f>IF('Raw Data'!A353&lt;&gt;"",AVERAGE('Raw Data'!G353,'Raw Data'!I353,'Raw Data'!K353,'Raw Data'!M353,'Raw Data'!O353),"")</f>
        <v/>
      </c>
      <c r="H366" s="17">
        <f>IF(F366&lt;&gt;"",F366-G366,"")</f>
        <v/>
      </c>
      <c r="I366" s="17">
        <f>IF('Raw Data'!A353&lt;&gt;"",AVERAGE('Raw Data'!P353,'Raw Data'!R353,'Raw Data'!T353,'Raw Data'!V353,'Raw Data'!X353),"")</f>
        <v/>
      </c>
      <c r="J366" s="17">
        <f>IF('Raw Data'!A353&lt;&gt;"",AVERAGE('Raw Data'!Q353,'Raw Data'!S353,'Raw Data'!U353,'Raw Data'!W353,'Raw Data'!Y353),"")</f>
        <v/>
      </c>
      <c r="K366" s="17">
        <f>IF(I366&lt;&gt;"",I366-J366,"")</f>
        <v/>
      </c>
      <c r="L366" s="17">
        <f>IF('Raw Data'!A353&lt;&gt;"",AVERAGE('Raw Data'!Z353,'Raw Data'!AB353,'Raw Data'!AD353,'Raw Data'!AF353,'Raw Data'!AH353),"")</f>
        <v/>
      </c>
      <c r="M366" s="17">
        <f>IF('Raw Data'!A353&lt;&gt;"",AVERAGE('Raw Data'!AA353,'Raw Data'!AC353,'Raw Data'!AE353,'Raw Data'!AG353,'Raw Data'!AI353),"")</f>
        <v/>
      </c>
      <c r="N366" s="17">
        <f>IF(L366&lt;&gt;"",L366-M366,"")</f>
        <v/>
      </c>
      <c r="O366" s="17">
        <f>IF('Raw Data'!A353&lt;&gt;"",AVERAGE('Raw Data'!AJ353,'Raw Data'!AL353,'Raw Data'!AN353,'Raw Data'!AP353,'Raw Data'!AR353),"")</f>
        <v/>
      </c>
      <c r="P366" s="17">
        <f>IF('Raw Data'!A353&lt;&gt;"",AVERAGE('Raw Data'!AK353,'Raw Data'!AM353,'Raw Data'!AO353,'Raw Data'!AQ353,'Raw Data'!AS353),"")</f>
        <v/>
      </c>
      <c r="Q366" s="17">
        <f>IF(O366&lt;&gt;"",O366-P366,"")</f>
        <v/>
      </c>
      <c r="R366" s="17">
        <f>IF('Raw Data'!A353&lt;&gt;"",AVERAGE('Raw Data'!AT353,'Raw Data'!AV353,'Raw Data'!AX353,'Raw Data'!AZ353,'Raw Data'!BB353),"")</f>
        <v/>
      </c>
      <c r="S366" s="17">
        <f>IF('Raw Data'!A353&lt;&gt;"",AVERAGE('Raw Data'!AU353,'Raw Data'!AW353,'Raw Data'!AY353,'Raw Data'!BA353,'Raw Data'!BC353),"")</f>
        <v/>
      </c>
      <c r="T366" s="17">
        <f>IF(R366&lt;&gt;"",R366-S366,"")</f>
        <v/>
      </c>
      <c r="U366" s="17">
        <f>IF('Raw Data'!A353&lt;&gt;"",AVERAGE('Raw Data'!BD353,'Raw Data'!BF353,'Raw Data'!BH353,'Raw Data'!BJ353,'Raw Data'!BL353),"")</f>
        <v/>
      </c>
      <c r="V366" s="17">
        <f>IF('Raw Data'!A353&lt;&gt;"",AVERAGE('Raw Data'!BE353,'Raw Data'!BG353,'Raw Data'!BI353,'Raw Data'!BK353,'Raw Data'!BM353),"")</f>
        <v/>
      </c>
      <c r="W366" s="17">
        <f>IF(U366&lt;&gt;"",U366-V366,"")</f>
        <v/>
      </c>
      <c r="X366" s="17">
        <f>IF(A366&lt;&gt;"",AVERAGE(F366,I366,L366,O366,R366,U366),"")</f>
        <v/>
      </c>
      <c r="Y366" s="17">
        <f>IF(A366&lt;&gt;"",AVERAGE(G366,J366,M366,P366,S366,V366),"")</f>
        <v/>
      </c>
      <c r="Z366" s="17">
        <f>IF(A366&lt;&gt;"",X366-Y366,"")</f>
        <v/>
      </c>
      <c r="AA366" s="18">
        <f>IF(A366&lt;&gt;"",ROUND(MIN(100,100*((MAX(0,K366)*0.25)+(MAX(0,Q366)*0.20)+(MAX(0,W366)*0.20)+(MAX(0,H366)*0.15)+(MAX(0,N366)*0.10)+(MAX(0,T366)*0.10))/9),1),"")</f>
        <v/>
      </c>
      <c r="AB366" s="29">
        <f>IF(A366&lt;&gt;"",MIN(1,(0.5*AA366/100)+(0.3*MAX(0,K366)/9)+(0.2*MAX(0,Q366)/9)),"")</f>
        <v/>
      </c>
    </row>
    <row r="367">
      <c r="A367" s="4">
        <f>IF('Raw Data'!A354&lt;&gt;"",'Raw Data'!A354,"")</f>
        <v/>
      </c>
      <c r="B367" s="4">
        <f>IF('Raw Data'!B354&lt;&gt;"",'Raw Data'!B354,"")</f>
        <v/>
      </c>
      <c r="C367" s="4">
        <f>IF('Raw Data'!C354&lt;&gt;"",'Raw Data'!C354,"")</f>
        <v/>
      </c>
      <c r="D367" s="4">
        <f>IF('Raw Data'!D354&lt;&gt;"",'Raw Data'!D354,"")</f>
        <v/>
      </c>
      <c r="E367" s="4">
        <f>IF('Raw Data'!E354&lt;&gt;"",'Raw Data'!E354,"")</f>
        <v/>
      </c>
      <c r="F367" s="14">
        <f>IF('Raw Data'!A354&lt;&gt;"",AVERAGE('Raw Data'!F354,'Raw Data'!H354,'Raw Data'!J354,'Raw Data'!L354,'Raw Data'!N354),"")</f>
        <v/>
      </c>
      <c r="G367" s="14">
        <f>IF('Raw Data'!A354&lt;&gt;"",AVERAGE('Raw Data'!G354,'Raw Data'!I354,'Raw Data'!K354,'Raw Data'!M354,'Raw Data'!O354),"")</f>
        <v/>
      </c>
      <c r="H367" s="14">
        <f>IF(F367&lt;&gt;"",F367-G367,"")</f>
        <v/>
      </c>
      <c r="I367" s="14">
        <f>IF('Raw Data'!A354&lt;&gt;"",AVERAGE('Raw Data'!P354,'Raw Data'!R354,'Raw Data'!T354,'Raw Data'!V354,'Raw Data'!X354),"")</f>
        <v/>
      </c>
      <c r="J367" s="14">
        <f>IF('Raw Data'!A354&lt;&gt;"",AVERAGE('Raw Data'!Q354,'Raw Data'!S354,'Raw Data'!U354,'Raw Data'!W354,'Raw Data'!Y354),"")</f>
        <v/>
      </c>
      <c r="K367" s="14">
        <f>IF(I367&lt;&gt;"",I367-J367,"")</f>
        <v/>
      </c>
      <c r="L367" s="14">
        <f>IF('Raw Data'!A354&lt;&gt;"",AVERAGE('Raw Data'!Z354,'Raw Data'!AB354,'Raw Data'!AD354,'Raw Data'!AF354,'Raw Data'!AH354),"")</f>
        <v/>
      </c>
      <c r="M367" s="14">
        <f>IF('Raw Data'!A354&lt;&gt;"",AVERAGE('Raw Data'!AA354,'Raw Data'!AC354,'Raw Data'!AE354,'Raw Data'!AG354,'Raw Data'!AI354),"")</f>
        <v/>
      </c>
      <c r="N367" s="14">
        <f>IF(L367&lt;&gt;"",L367-M367,"")</f>
        <v/>
      </c>
      <c r="O367" s="14">
        <f>IF('Raw Data'!A354&lt;&gt;"",AVERAGE('Raw Data'!AJ354,'Raw Data'!AL354,'Raw Data'!AN354,'Raw Data'!AP354,'Raw Data'!AR354),"")</f>
        <v/>
      </c>
      <c r="P367" s="14">
        <f>IF('Raw Data'!A354&lt;&gt;"",AVERAGE('Raw Data'!AK354,'Raw Data'!AM354,'Raw Data'!AO354,'Raw Data'!AQ354,'Raw Data'!AS354),"")</f>
        <v/>
      </c>
      <c r="Q367" s="14">
        <f>IF(O367&lt;&gt;"",O367-P367,"")</f>
        <v/>
      </c>
      <c r="R367" s="14">
        <f>IF('Raw Data'!A354&lt;&gt;"",AVERAGE('Raw Data'!AT354,'Raw Data'!AV354,'Raw Data'!AX354,'Raw Data'!AZ354,'Raw Data'!BB354),"")</f>
        <v/>
      </c>
      <c r="S367" s="14">
        <f>IF('Raw Data'!A354&lt;&gt;"",AVERAGE('Raw Data'!AU354,'Raw Data'!AW354,'Raw Data'!AY354,'Raw Data'!BA354,'Raw Data'!BC354),"")</f>
        <v/>
      </c>
      <c r="T367" s="14">
        <f>IF(R367&lt;&gt;"",R367-S367,"")</f>
        <v/>
      </c>
      <c r="U367" s="14">
        <f>IF('Raw Data'!A354&lt;&gt;"",AVERAGE('Raw Data'!BD354,'Raw Data'!BF354,'Raw Data'!BH354,'Raw Data'!BJ354,'Raw Data'!BL354),"")</f>
        <v/>
      </c>
      <c r="V367" s="14">
        <f>IF('Raw Data'!A354&lt;&gt;"",AVERAGE('Raw Data'!BE354,'Raw Data'!BG354,'Raw Data'!BI354,'Raw Data'!BK354,'Raw Data'!BM354),"")</f>
        <v/>
      </c>
      <c r="W367" s="14">
        <f>IF(U367&lt;&gt;"",U367-V367,"")</f>
        <v/>
      </c>
      <c r="X367" s="14">
        <f>IF(A367&lt;&gt;"",AVERAGE(F367,I367,L367,O367,R367,U367),"")</f>
        <v/>
      </c>
      <c r="Y367" s="14">
        <f>IF(A367&lt;&gt;"",AVERAGE(G367,J367,M367,P367,S367,V367),"")</f>
        <v/>
      </c>
      <c r="Z367" s="14">
        <f>IF(A367&lt;&gt;"",X367-Y367,"")</f>
        <v/>
      </c>
      <c r="AA367" s="15">
        <f>IF(A367&lt;&gt;"",ROUND(MIN(100,100*((MAX(0,K367)*0.25)+(MAX(0,Q367)*0.20)+(MAX(0,W367)*0.20)+(MAX(0,H367)*0.15)+(MAX(0,N367)*0.10)+(MAX(0,T367)*0.10))/9),1),"")</f>
        <v/>
      </c>
      <c r="AB367" s="28">
        <f>IF(A367&lt;&gt;"",MIN(1,(0.5*AA367/100)+(0.3*MAX(0,K367)/9)+(0.2*MAX(0,Q367)/9)),"")</f>
        <v/>
      </c>
    </row>
    <row r="368">
      <c r="A368" s="13">
        <f>IF('Raw Data'!A355&lt;&gt;"",'Raw Data'!A355,"")</f>
        <v/>
      </c>
      <c r="B368" s="13">
        <f>IF('Raw Data'!B355&lt;&gt;"",'Raw Data'!B355,"")</f>
        <v/>
      </c>
      <c r="C368" s="13">
        <f>IF('Raw Data'!C355&lt;&gt;"",'Raw Data'!C355,"")</f>
        <v/>
      </c>
      <c r="D368" s="13">
        <f>IF('Raw Data'!D355&lt;&gt;"",'Raw Data'!D355,"")</f>
        <v/>
      </c>
      <c r="E368" s="13">
        <f>IF('Raw Data'!E355&lt;&gt;"",'Raw Data'!E355,"")</f>
        <v/>
      </c>
      <c r="F368" s="17">
        <f>IF('Raw Data'!A355&lt;&gt;"",AVERAGE('Raw Data'!F355,'Raw Data'!H355,'Raw Data'!J355,'Raw Data'!L355,'Raw Data'!N355),"")</f>
        <v/>
      </c>
      <c r="G368" s="17">
        <f>IF('Raw Data'!A355&lt;&gt;"",AVERAGE('Raw Data'!G355,'Raw Data'!I355,'Raw Data'!K355,'Raw Data'!M355,'Raw Data'!O355),"")</f>
        <v/>
      </c>
      <c r="H368" s="17">
        <f>IF(F368&lt;&gt;"",F368-G368,"")</f>
        <v/>
      </c>
      <c r="I368" s="17">
        <f>IF('Raw Data'!A355&lt;&gt;"",AVERAGE('Raw Data'!P355,'Raw Data'!R355,'Raw Data'!T355,'Raw Data'!V355,'Raw Data'!X355),"")</f>
        <v/>
      </c>
      <c r="J368" s="17">
        <f>IF('Raw Data'!A355&lt;&gt;"",AVERAGE('Raw Data'!Q355,'Raw Data'!S355,'Raw Data'!U355,'Raw Data'!W355,'Raw Data'!Y355),"")</f>
        <v/>
      </c>
      <c r="K368" s="17">
        <f>IF(I368&lt;&gt;"",I368-J368,"")</f>
        <v/>
      </c>
      <c r="L368" s="17">
        <f>IF('Raw Data'!A355&lt;&gt;"",AVERAGE('Raw Data'!Z355,'Raw Data'!AB355,'Raw Data'!AD355,'Raw Data'!AF355,'Raw Data'!AH355),"")</f>
        <v/>
      </c>
      <c r="M368" s="17">
        <f>IF('Raw Data'!A355&lt;&gt;"",AVERAGE('Raw Data'!AA355,'Raw Data'!AC355,'Raw Data'!AE355,'Raw Data'!AG355,'Raw Data'!AI355),"")</f>
        <v/>
      </c>
      <c r="N368" s="17">
        <f>IF(L368&lt;&gt;"",L368-M368,"")</f>
        <v/>
      </c>
      <c r="O368" s="17">
        <f>IF('Raw Data'!A355&lt;&gt;"",AVERAGE('Raw Data'!AJ355,'Raw Data'!AL355,'Raw Data'!AN355,'Raw Data'!AP355,'Raw Data'!AR355),"")</f>
        <v/>
      </c>
      <c r="P368" s="17">
        <f>IF('Raw Data'!A355&lt;&gt;"",AVERAGE('Raw Data'!AK355,'Raw Data'!AM355,'Raw Data'!AO355,'Raw Data'!AQ355,'Raw Data'!AS355),"")</f>
        <v/>
      </c>
      <c r="Q368" s="17">
        <f>IF(O368&lt;&gt;"",O368-P368,"")</f>
        <v/>
      </c>
      <c r="R368" s="17">
        <f>IF('Raw Data'!A355&lt;&gt;"",AVERAGE('Raw Data'!AT355,'Raw Data'!AV355,'Raw Data'!AX355,'Raw Data'!AZ355,'Raw Data'!BB355),"")</f>
        <v/>
      </c>
      <c r="S368" s="17">
        <f>IF('Raw Data'!A355&lt;&gt;"",AVERAGE('Raw Data'!AU355,'Raw Data'!AW355,'Raw Data'!AY355,'Raw Data'!BA355,'Raw Data'!BC355),"")</f>
        <v/>
      </c>
      <c r="T368" s="17">
        <f>IF(R368&lt;&gt;"",R368-S368,"")</f>
        <v/>
      </c>
      <c r="U368" s="17">
        <f>IF('Raw Data'!A355&lt;&gt;"",AVERAGE('Raw Data'!BD355,'Raw Data'!BF355,'Raw Data'!BH355,'Raw Data'!BJ355,'Raw Data'!BL355),"")</f>
        <v/>
      </c>
      <c r="V368" s="17">
        <f>IF('Raw Data'!A355&lt;&gt;"",AVERAGE('Raw Data'!BE355,'Raw Data'!BG355,'Raw Data'!BI355,'Raw Data'!BK355,'Raw Data'!BM355),"")</f>
        <v/>
      </c>
      <c r="W368" s="17">
        <f>IF(U368&lt;&gt;"",U368-V368,"")</f>
        <v/>
      </c>
      <c r="X368" s="17">
        <f>IF(A368&lt;&gt;"",AVERAGE(F368,I368,L368,O368,R368,U368),"")</f>
        <v/>
      </c>
      <c r="Y368" s="17">
        <f>IF(A368&lt;&gt;"",AVERAGE(G368,J368,M368,P368,S368,V368),"")</f>
        <v/>
      </c>
      <c r="Z368" s="17">
        <f>IF(A368&lt;&gt;"",X368-Y368,"")</f>
        <v/>
      </c>
      <c r="AA368" s="18">
        <f>IF(A368&lt;&gt;"",ROUND(MIN(100,100*((MAX(0,K368)*0.25)+(MAX(0,Q368)*0.20)+(MAX(0,W368)*0.20)+(MAX(0,H368)*0.15)+(MAX(0,N368)*0.10)+(MAX(0,T368)*0.10))/9),1),"")</f>
        <v/>
      </c>
      <c r="AB368" s="29">
        <f>IF(A368&lt;&gt;"",MIN(1,(0.5*AA368/100)+(0.3*MAX(0,K368)/9)+(0.2*MAX(0,Q368)/9)),"")</f>
        <v/>
      </c>
    </row>
    <row r="369">
      <c r="A369" s="4">
        <f>IF('Raw Data'!A356&lt;&gt;"",'Raw Data'!A356,"")</f>
        <v/>
      </c>
      <c r="B369" s="4">
        <f>IF('Raw Data'!B356&lt;&gt;"",'Raw Data'!B356,"")</f>
        <v/>
      </c>
      <c r="C369" s="4">
        <f>IF('Raw Data'!C356&lt;&gt;"",'Raw Data'!C356,"")</f>
        <v/>
      </c>
      <c r="D369" s="4">
        <f>IF('Raw Data'!D356&lt;&gt;"",'Raw Data'!D356,"")</f>
        <v/>
      </c>
      <c r="E369" s="4">
        <f>IF('Raw Data'!E356&lt;&gt;"",'Raw Data'!E356,"")</f>
        <v/>
      </c>
      <c r="F369" s="14">
        <f>IF('Raw Data'!A356&lt;&gt;"",AVERAGE('Raw Data'!F356,'Raw Data'!H356,'Raw Data'!J356,'Raw Data'!L356,'Raw Data'!N356),"")</f>
        <v/>
      </c>
      <c r="G369" s="14">
        <f>IF('Raw Data'!A356&lt;&gt;"",AVERAGE('Raw Data'!G356,'Raw Data'!I356,'Raw Data'!K356,'Raw Data'!M356,'Raw Data'!O356),"")</f>
        <v/>
      </c>
      <c r="H369" s="14">
        <f>IF(F369&lt;&gt;"",F369-G369,"")</f>
        <v/>
      </c>
      <c r="I369" s="14">
        <f>IF('Raw Data'!A356&lt;&gt;"",AVERAGE('Raw Data'!P356,'Raw Data'!R356,'Raw Data'!T356,'Raw Data'!V356,'Raw Data'!X356),"")</f>
        <v/>
      </c>
      <c r="J369" s="14">
        <f>IF('Raw Data'!A356&lt;&gt;"",AVERAGE('Raw Data'!Q356,'Raw Data'!S356,'Raw Data'!U356,'Raw Data'!W356,'Raw Data'!Y356),"")</f>
        <v/>
      </c>
      <c r="K369" s="14">
        <f>IF(I369&lt;&gt;"",I369-J369,"")</f>
        <v/>
      </c>
      <c r="L369" s="14">
        <f>IF('Raw Data'!A356&lt;&gt;"",AVERAGE('Raw Data'!Z356,'Raw Data'!AB356,'Raw Data'!AD356,'Raw Data'!AF356,'Raw Data'!AH356),"")</f>
        <v/>
      </c>
      <c r="M369" s="14">
        <f>IF('Raw Data'!A356&lt;&gt;"",AVERAGE('Raw Data'!AA356,'Raw Data'!AC356,'Raw Data'!AE356,'Raw Data'!AG356,'Raw Data'!AI356),"")</f>
        <v/>
      </c>
      <c r="N369" s="14">
        <f>IF(L369&lt;&gt;"",L369-M369,"")</f>
        <v/>
      </c>
      <c r="O369" s="14">
        <f>IF('Raw Data'!A356&lt;&gt;"",AVERAGE('Raw Data'!AJ356,'Raw Data'!AL356,'Raw Data'!AN356,'Raw Data'!AP356,'Raw Data'!AR356),"")</f>
        <v/>
      </c>
      <c r="P369" s="14">
        <f>IF('Raw Data'!A356&lt;&gt;"",AVERAGE('Raw Data'!AK356,'Raw Data'!AM356,'Raw Data'!AO356,'Raw Data'!AQ356,'Raw Data'!AS356),"")</f>
        <v/>
      </c>
      <c r="Q369" s="14">
        <f>IF(O369&lt;&gt;"",O369-P369,"")</f>
        <v/>
      </c>
      <c r="R369" s="14">
        <f>IF('Raw Data'!A356&lt;&gt;"",AVERAGE('Raw Data'!AT356,'Raw Data'!AV356,'Raw Data'!AX356,'Raw Data'!AZ356,'Raw Data'!BB356),"")</f>
        <v/>
      </c>
      <c r="S369" s="14">
        <f>IF('Raw Data'!A356&lt;&gt;"",AVERAGE('Raw Data'!AU356,'Raw Data'!AW356,'Raw Data'!AY356,'Raw Data'!BA356,'Raw Data'!BC356),"")</f>
        <v/>
      </c>
      <c r="T369" s="14">
        <f>IF(R369&lt;&gt;"",R369-S369,"")</f>
        <v/>
      </c>
      <c r="U369" s="14">
        <f>IF('Raw Data'!A356&lt;&gt;"",AVERAGE('Raw Data'!BD356,'Raw Data'!BF356,'Raw Data'!BH356,'Raw Data'!BJ356,'Raw Data'!BL356),"")</f>
        <v/>
      </c>
      <c r="V369" s="14">
        <f>IF('Raw Data'!A356&lt;&gt;"",AVERAGE('Raw Data'!BE356,'Raw Data'!BG356,'Raw Data'!BI356,'Raw Data'!BK356,'Raw Data'!BM356),"")</f>
        <v/>
      </c>
      <c r="W369" s="14">
        <f>IF(U369&lt;&gt;"",U369-V369,"")</f>
        <v/>
      </c>
      <c r="X369" s="14">
        <f>IF(A369&lt;&gt;"",AVERAGE(F369,I369,L369,O369,R369,U369),"")</f>
        <v/>
      </c>
      <c r="Y369" s="14">
        <f>IF(A369&lt;&gt;"",AVERAGE(G369,J369,M369,P369,S369,V369),"")</f>
        <v/>
      </c>
      <c r="Z369" s="14">
        <f>IF(A369&lt;&gt;"",X369-Y369,"")</f>
        <v/>
      </c>
      <c r="AA369" s="15">
        <f>IF(A369&lt;&gt;"",ROUND(MIN(100,100*((MAX(0,K369)*0.25)+(MAX(0,Q369)*0.20)+(MAX(0,W369)*0.20)+(MAX(0,H369)*0.15)+(MAX(0,N369)*0.10)+(MAX(0,T369)*0.10))/9),1),"")</f>
        <v/>
      </c>
      <c r="AB369" s="28">
        <f>IF(A369&lt;&gt;"",MIN(1,(0.5*AA369/100)+(0.3*MAX(0,K369)/9)+(0.2*MAX(0,Q369)/9)),"")</f>
        <v/>
      </c>
    </row>
    <row r="370">
      <c r="A370" s="13">
        <f>IF('Raw Data'!A357&lt;&gt;"",'Raw Data'!A357,"")</f>
        <v/>
      </c>
      <c r="B370" s="13">
        <f>IF('Raw Data'!B357&lt;&gt;"",'Raw Data'!B357,"")</f>
        <v/>
      </c>
      <c r="C370" s="13">
        <f>IF('Raw Data'!C357&lt;&gt;"",'Raw Data'!C357,"")</f>
        <v/>
      </c>
      <c r="D370" s="13">
        <f>IF('Raw Data'!D357&lt;&gt;"",'Raw Data'!D357,"")</f>
        <v/>
      </c>
      <c r="E370" s="13">
        <f>IF('Raw Data'!E357&lt;&gt;"",'Raw Data'!E357,"")</f>
        <v/>
      </c>
      <c r="F370" s="17">
        <f>IF('Raw Data'!A357&lt;&gt;"",AVERAGE('Raw Data'!F357,'Raw Data'!H357,'Raw Data'!J357,'Raw Data'!L357,'Raw Data'!N357),"")</f>
        <v/>
      </c>
      <c r="G370" s="17">
        <f>IF('Raw Data'!A357&lt;&gt;"",AVERAGE('Raw Data'!G357,'Raw Data'!I357,'Raw Data'!K357,'Raw Data'!M357,'Raw Data'!O357),"")</f>
        <v/>
      </c>
      <c r="H370" s="17">
        <f>IF(F370&lt;&gt;"",F370-G370,"")</f>
        <v/>
      </c>
      <c r="I370" s="17">
        <f>IF('Raw Data'!A357&lt;&gt;"",AVERAGE('Raw Data'!P357,'Raw Data'!R357,'Raw Data'!T357,'Raw Data'!V357,'Raw Data'!X357),"")</f>
        <v/>
      </c>
      <c r="J370" s="17">
        <f>IF('Raw Data'!A357&lt;&gt;"",AVERAGE('Raw Data'!Q357,'Raw Data'!S357,'Raw Data'!U357,'Raw Data'!W357,'Raw Data'!Y357),"")</f>
        <v/>
      </c>
      <c r="K370" s="17">
        <f>IF(I370&lt;&gt;"",I370-J370,"")</f>
        <v/>
      </c>
      <c r="L370" s="17">
        <f>IF('Raw Data'!A357&lt;&gt;"",AVERAGE('Raw Data'!Z357,'Raw Data'!AB357,'Raw Data'!AD357,'Raw Data'!AF357,'Raw Data'!AH357),"")</f>
        <v/>
      </c>
      <c r="M370" s="17">
        <f>IF('Raw Data'!A357&lt;&gt;"",AVERAGE('Raw Data'!AA357,'Raw Data'!AC357,'Raw Data'!AE357,'Raw Data'!AG357,'Raw Data'!AI357),"")</f>
        <v/>
      </c>
      <c r="N370" s="17">
        <f>IF(L370&lt;&gt;"",L370-M370,"")</f>
        <v/>
      </c>
      <c r="O370" s="17">
        <f>IF('Raw Data'!A357&lt;&gt;"",AVERAGE('Raw Data'!AJ357,'Raw Data'!AL357,'Raw Data'!AN357,'Raw Data'!AP357,'Raw Data'!AR357),"")</f>
        <v/>
      </c>
      <c r="P370" s="17">
        <f>IF('Raw Data'!A357&lt;&gt;"",AVERAGE('Raw Data'!AK357,'Raw Data'!AM357,'Raw Data'!AO357,'Raw Data'!AQ357,'Raw Data'!AS357),"")</f>
        <v/>
      </c>
      <c r="Q370" s="17">
        <f>IF(O370&lt;&gt;"",O370-P370,"")</f>
        <v/>
      </c>
      <c r="R370" s="17">
        <f>IF('Raw Data'!A357&lt;&gt;"",AVERAGE('Raw Data'!AT357,'Raw Data'!AV357,'Raw Data'!AX357,'Raw Data'!AZ357,'Raw Data'!BB357),"")</f>
        <v/>
      </c>
      <c r="S370" s="17">
        <f>IF('Raw Data'!A357&lt;&gt;"",AVERAGE('Raw Data'!AU357,'Raw Data'!AW357,'Raw Data'!AY357,'Raw Data'!BA357,'Raw Data'!BC357),"")</f>
        <v/>
      </c>
      <c r="T370" s="17">
        <f>IF(R370&lt;&gt;"",R370-S370,"")</f>
        <v/>
      </c>
      <c r="U370" s="17">
        <f>IF('Raw Data'!A357&lt;&gt;"",AVERAGE('Raw Data'!BD357,'Raw Data'!BF357,'Raw Data'!BH357,'Raw Data'!BJ357,'Raw Data'!BL357),"")</f>
        <v/>
      </c>
      <c r="V370" s="17">
        <f>IF('Raw Data'!A357&lt;&gt;"",AVERAGE('Raw Data'!BE357,'Raw Data'!BG357,'Raw Data'!BI357,'Raw Data'!BK357,'Raw Data'!BM357),"")</f>
        <v/>
      </c>
      <c r="W370" s="17">
        <f>IF(U370&lt;&gt;"",U370-V370,"")</f>
        <v/>
      </c>
      <c r="X370" s="17">
        <f>IF(A370&lt;&gt;"",AVERAGE(F370,I370,L370,O370,R370,U370),"")</f>
        <v/>
      </c>
      <c r="Y370" s="17">
        <f>IF(A370&lt;&gt;"",AVERAGE(G370,J370,M370,P370,S370,V370),"")</f>
        <v/>
      </c>
      <c r="Z370" s="17">
        <f>IF(A370&lt;&gt;"",X370-Y370,"")</f>
        <v/>
      </c>
      <c r="AA370" s="18">
        <f>IF(A370&lt;&gt;"",ROUND(MIN(100,100*((MAX(0,K370)*0.25)+(MAX(0,Q370)*0.20)+(MAX(0,W370)*0.20)+(MAX(0,H370)*0.15)+(MAX(0,N370)*0.10)+(MAX(0,T370)*0.10))/9),1),"")</f>
        <v/>
      </c>
      <c r="AB370" s="29">
        <f>IF(A370&lt;&gt;"",MIN(1,(0.5*AA370/100)+(0.3*MAX(0,K370)/9)+(0.2*MAX(0,Q370)/9)),"")</f>
        <v/>
      </c>
    </row>
    <row r="371">
      <c r="A371" s="4">
        <f>IF('Raw Data'!A358&lt;&gt;"",'Raw Data'!A358,"")</f>
        <v/>
      </c>
      <c r="B371" s="4">
        <f>IF('Raw Data'!B358&lt;&gt;"",'Raw Data'!B358,"")</f>
        <v/>
      </c>
      <c r="C371" s="4">
        <f>IF('Raw Data'!C358&lt;&gt;"",'Raw Data'!C358,"")</f>
        <v/>
      </c>
      <c r="D371" s="4">
        <f>IF('Raw Data'!D358&lt;&gt;"",'Raw Data'!D358,"")</f>
        <v/>
      </c>
      <c r="E371" s="4">
        <f>IF('Raw Data'!E358&lt;&gt;"",'Raw Data'!E358,"")</f>
        <v/>
      </c>
      <c r="F371" s="14">
        <f>IF('Raw Data'!A358&lt;&gt;"",AVERAGE('Raw Data'!F358,'Raw Data'!H358,'Raw Data'!J358,'Raw Data'!L358,'Raw Data'!N358),"")</f>
        <v/>
      </c>
      <c r="G371" s="14">
        <f>IF('Raw Data'!A358&lt;&gt;"",AVERAGE('Raw Data'!G358,'Raw Data'!I358,'Raw Data'!K358,'Raw Data'!M358,'Raw Data'!O358),"")</f>
        <v/>
      </c>
      <c r="H371" s="14">
        <f>IF(F371&lt;&gt;"",F371-G371,"")</f>
        <v/>
      </c>
      <c r="I371" s="14">
        <f>IF('Raw Data'!A358&lt;&gt;"",AVERAGE('Raw Data'!P358,'Raw Data'!R358,'Raw Data'!T358,'Raw Data'!V358,'Raw Data'!X358),"")</f>
        <v/>
      </c>
      <c r="J371" s="14">
        <f>IF('Raw Data'!A358&lt;&gt;"",AVERAGE('Raw Data'!Q358,'Raw Data'!S358,'Raw Data'!U358,'Raw Data'!W358,'Raw Data'!Y358),"")</f>
        <v/>
      </c>
      <c r="K371" s="14">
        <f>IF(I371&lt;&gt;"",I371-J371,"")</f>
        <v/>
      </c>
      <c r="L371" s="14">
        <f>IF('Raw Data'!A358&lt;&gt;"",AVERAGE('Raw Data'!Z358,'Raw Data'!AB358,'Raw Data'!AD358,'Raw Data'!AF358,'Raw Data'!AH358),"")</f>
        <v/>
      </c>
      <c r="M371" s="14">
        <f>IF('Raw Data'!A358&lt;&gt;"",AVERAGE('Raw Data'!AA358,'Raw Data'!AC358,'Raw Data'!AE358,'Raw Data'!AG358,'Raw Data'!AI358),"")</f>
        <v/>
      </c>
      <c r="N371" s="14">
        <f>IF(L371&lt;&gt;"",L371-M371,"")</f>
        <v/>
      </c>
      <c r="O371" s="14">
        <f>IF('Raw Data'!A358&lt;&gt;"",AVERAGE('Raw Data'!AJ358,'Raw Data'!AL358,'Raw Data'!AN358,'Raw Data'!AP358,'Raw Data'!AR358),"")</f>
        <v/>
      </c>
      <c r="P371" s="14">
        <f>IF('Raw Data'!A358&lt;&gt;"",AVERAGE('Raw Data'!AK358,'Raw Data'!AM358,'Raw Data'!AO358,'Raw Data'!AQ358,'Raw Data'!AS358),"")</f>
        <v/>
      </c>
      <c r="Q371" s="14">
        <f>IF(O371&lt;&gt;"",O371-P371,"")</f>
        <v/>
      </c>
      <c r="R371" s="14">
        <f>IF('Raw Data'!A358&lt;&gt;"",AVERAGE('Raw Data'!AT358,'Raw Data'!AV358,'Raw Data'!AX358,'Raw Data'!AZ358,'Raw Data'!BB358),"")</f>
        <v/>
      </c>
      <c r="S371" s="14">
        <f>IF('Raw Data'!A358&lt;&gt;"",AVERAGE('Raw Data'!AU358,'Raw Data'!AW358,'Raw Data'!AY358,'Raw Data'!BA358,'Raw Data'!BC358),"")</f>
        <v/>
      </c>
      <c r="T371" s="14">
        <f>IF(R371&lt;&gt;"",R371-S371,"")</f>
        <v/>
      </c>
      <c r="U371" s="14">
        <f>IF('Raw Data'!A358&lt;&gt;"",AVERAGE('Raw Data'!BD358,'Raw Data'!BF358,'Raw Data'!BH358,'Raw Data'!BJ358,'Raw Data'!BL358),"")</f>
        <v/>
      </c>
      <c r="V371" s="14">
        <f>IF('Raw Data'!A358&lt;&gt;"",AVERAGE('Raw Data'!BE358,'Raw Data'!BG358,'Raw Data'!BI358,'Raw Data'!BK358,'Raw Data'!BM358),"")</f>
        <v/>
      </c>
      <c r="W371" s="14">
        <f>IF(U371&lt;&gt;"",U371-V371,"")</f>
        <v/>
      </c>
      <c r="X371" s="14">
        <f>IF(A371&lt;&gt;"",AVERAGE(F371,I371,L371,O371,R371,U371),"")</f>
        <v/>
      </c>
      <c r="Y371" s="14">
        <f>IF(A371&lt;&gt;"",AVERAGE(G371,J371,M371,P371,S371,V371),"")</f>
        <v/>
      </c>
      <c r="Z371" s="14">
        <f>IF(A371&lt;&gt;"",X371-Y371,"")</f>
        <v/>
      </c>
      <c r="AA371" s="15">
        <f>IF(A371&lt;&gt;"",ROUND(MIN(100,100*((MAX(0,K371)*0.25)+(MAX(0,Q371)*0.20)+(MAX(0,W371)*0.20)+(MAX(0,H371)*0.15)+(MAX(0,N371)*0.10)+(MAX(0,T371)*0.10))/9),1),"")</f>
        <v/>
      </c>
      <c r="AB371" s="28">
        <f>IF(A371&lt;&gt;"",MIN(1,(0.5*AA371/100)+(0.3*MAX(0,K371)/9)+(0.2*MAX(0,Q371)/9)),"")</f>
        <v/>
      </c>
    </row>
    <row r="372">
      <c r="A372" s="13">
        <f>IF('Raw Data'!A359&lt;&gt;"",'Raw Data'!A359,"")</f>
        <v/>
      </c>
      <c r="B372" s="13">
        <f>IF('Raw Data'!B359&lt;&gt;"",'Raw Data'!B359,"")</f>
        <v/>
      </c>
      <c r="C372" s="13">
        <f>IF('Raw Data'!C359&lt;&gt;"",'Raw Data'!C359,"")</f>
        <v/>
      </c>
      <c r="D372" s="13">
        <f>IF('Raw Data'!D359&lt;&gt;"",'Raw Data'!D359,"")</f>
        <v/>
      </c>
      <c r="E372" s="13">
        <f>IF('Raw Data'!E359&lt;&gt;"",'Raw Data'!E359,"")</f>
        <v/>
      </c>
      <c r="F372" s="17">
        <f>IF('Raw Data'!A359&lt;&gt;"",AVERAGE('Raw Data'!F359,'Raw Data'!H359,'Raw Data'!J359,'Raw Data'!L359,'Raw Data'!N359),"")</f>
        <v/>
      </c>
      <c r="G372" s="17">
        <f>IF('Raw Data'!A359&lt;&gt;"",AVERAGE('Raw Data'!G359,'Raw Data'!I359,'Raw Data'!K359,'Raw Data'!M359,'Raw Data'!O359),"")</f>
        <v/>
      </c>
      <c r="H372" s="17">
        <f>IF(F372&lt;&gt;"",F372-G372,"")</f>
        <v/>
      </c>
      <c r="I372" s="17">
        <f>IF('Raw Data'!A359&lt;&gt;"",AVERAGE('Raw Data'!P359,'Raw Data'!R359,'Raw Data'!T359,'Raw Data'!V359,'Raw Data'!X359),"")</f>
        <v/>
      </c>
      <c r="J372" s="17">
        <f>IF('Raw Data'!A359&lt;&gt;"",AVERAGE('Raw Data'!Q359,'Raw Data'!S359,'Raw Data'!U359,'Raw Data'!W359,'Raw Data'!Y359),"")</f>
        <v/>
      </c>
      <c r="K372" s="17">
        <f>IF(I372&lt;&gt;"",I372-J372,"")</f>
        <v/>
      </c>
      <c r="L372" s="17">
        <f>IF('Raw Data'!A359&lt;&gt;"",AVERAGE('Raw Data'!Z359,'Raw Data'!AB359,'Raw Data'!AD359,'Raw Data'!AF359,'Raw Data'!AH359),"")</f>
        <v/>
      </c>
      <c r="M372" s="17">
        <f>IF('Raw Data'!A359&lt;&gt;"",AVERAGE('Raw Data'!AA359,'Raw Data'!AC359,'Raw Data'!AE359,'Raw Data'!AG359,'Raw Data'!AI359),"")</f>
        <v/>
      </c>
      <c r="N372" s="17">
        <f>IF(L372&lt;&gt;"",L372-M372,"")</f>
        <v/>
      </c>
      <c r="O372" s="17">
        <f>IF('Raw Data'!A359&lt;&gt;"",AVERAGE('Raw Data'!AJ359,'Raw Data'!AL359,'Raw Data'!AN359,'Raw Data'!AP359,'Raw Data'!AR359),"")</f>
        <v/>
      </c>
      <c r="P372" s="17">
        <f>IF('Raw Data'!A359&lt;&gt;"",AVERAGE('Raw Data'!AK359,'Raw Data'!AM359,'Raw Data'!AO359,'Raw Data'!AQ359,'Raw Data'!AS359),"")</f>
        <v/>
      </c>
      <c r="Q372" s="17">
        <f>IF(O372&lt;&gt;"",O372-P372,"")</f>
        <v/>
      </c>
      <c r="R372" s="17">
        <f>IF('Raw Data'!A359&lt;&gt;"",AVERAGE('Raw Data'!AT359,'Raw Data'!AV359,'Raw Data'!AX359,'Raw Data'!AZ359,'Raw Data'!BB359),"")</f>
        <v/>
      </c>
      <c r="S372" s="17">
        <f>IF('Raw Data'!A359&lt;&gt;"",AVERAGE('Raw Data'!AU359,'Raw Data'!AW359,'Raw Data'!AY359,'Raw Data'!BA359,'Raw Data'!BC359),"")</f>
        <v/>
      </c>
      <c r="T372" s="17">
        <f>IF(R372&lt;&gt;"",R372-S372,"")</f>
        <v/>
      </c>
      <c r="U372" s="17">
        <f>IF('Raw Data'!A359&lt;&gt;"",AVERAGE('Raw Data'!BD359,'Raw Data'!BF359,'Raw Data'!BH359,'Raw Data'!BJ359,'Raw Data'!BL359),"")</f>
        <v/>
      </c>
      <c r="V372" s="17">
        <f>IF('Raw Data'!A359&lt;&gt;"",AVERAGE('Raw Data'!BE359,'Raw Data'!BG359,'Raw Data'!BI359,'Raw Data'!BK359,'Raw Data'!BM359),"")</f>
        <v/>
      </c>
      <c r="W372" s="17">
        <f>IF(U372&lt;&gt;"",U372-V372,"")</f>
        <v/>
      </c>
      <c r="X372" s="17">
        <f>IF(A372&lt;&gt;"",AVERAGE(F372,I372,L372,O372,R372,U372),"")</f>
        <v/>
      </c>
      <c r="Y372" s="17">
        <f>IF(A372&lt;&gt;"",AVERAGE(G372,J372,M372,P372,S372,V372),"")</f>
        <v/>
      </c>
      <c r="Z372" s="17">
        <f>IF(A372&lt;&gt;"",X372-Y372,"")</f>
        <v/>
      </c>
      <c r="AA372" s="18">
        <f>IF(A372&lt;&gt;"",ROUND(MIN(100,100*((MAX(0,K372)*0.25)+(MAX(0,Q372)*0.20)+(MAX(0,W372)*0.20)+(MAX(0,H372)*0.15)+(MAX(0,N372)*0.10)+(MAX(0,T372)*0.10))/9),1),"")</f>
        <v/>
      </c>
      <c r="AB372" s="29">
        <f>IF(A372&lt;&gt;"",MIN(1,(0.5*AA372/100)+(0.3*MAX(0,K372)/9)+(0.2*MAX(0,Q372)/9)),"")</f>
        <v/>
      </c>
    </row>
    <row r="373">
      <c r="A373" s="4">
        <f>IF('Raw Data'!A360&lt;&gt;"",'Raw Data'!A360,"")</f>
        <v/>
      </c>
      <c r="B373" s="4">
        <f>IF('Raw Data'!B360&lt;&gt;"",'Raw Data'!B360,"")</f>
        <v/>
      </c>
      <c r="C373" s="4">
        <f>IF('Raw Data'!C360&lt;&gt;"",'Raw Data'!C360,"")</f>
        <v/>
      </c>
      <c r="D373" s="4">
        <f>IF('Raw Data'!D360&lt;&gt;"",'Raw Data'!D360,"")</f>
        <v/>
      </c>
      <c r="E373" s="4">
        <f>IF('Raw Data'!E360&lt;&gt;"",'Raw Data'!E360,"")</f>
        <v/>
      </c>
      <c r="F373" s="14">
        <f>IF('Raw Data'!A360&lt;&gt;"",AVERAGE('Raw Data'!F360,'Raw Data'!H360,'Raw Data'!J360,'Raw Data'!L360,'Raw Data'!N360),"")</f>
        <v/>
      </c>
      <c r="G373" s="14">
        <f>IF('Raw Data'!A360&lt;&gt;"",AVERAGE('Raw Data'!G360,'Raw Data'!I360,'Raw Data'!K360,'Raw Data'!M360,'Raw Data'!O360),"")</f>
        <v/>
      </c>
      <c r="H373" s="14">
        <f>IF(F373&lt;&gt;"",F373-G373,"")</f>
        <v/>
      </c>
      <c r="I373" s="14">
        <f>IF('Raw Data'!A360&lt;&gt;"",AVERAGE('Raw Data'!P360,'Raw Data'!R360,'Raw Data'!T360,'Raw Data'!V360,'Raw Data'!X360),"")</f>
        <v/>
      </c>
      <c r="J373" s="14">
        <f>IF('Raw Data'!A360&lt;&gt;"",AVERAGE('Raw Data'!Q360,'Raw Data'!S360,'Raw Data'!U360,'Raw Data'!W360,'Raw Data'!Y360),"")</f>
        <v/>
      </c>
      <c r="K373" s="14">
        <f>IF(I373&lt;&gt;"",I373-J373,"")</f>
        <v/>
      </c>
      <c r="L373" s="14">
        <f>IF('Raw Data'!A360&lt;&gt;"",AVERAGE('Raw Data'!Z360,'Raw Data'!AB360,'Raw Data'!AD360,'Raw Data'!AF360,'Raw Data'!AH360),"")</f>
        <v/>
      </c>
      <c r="M373" s="14">
        <f>IF('Raw Data'!A360&lt;&gt;"",AVERAGE('Raw Data'!AA360,'Raw Data'!AC360,'Raw Data'!AE360,'Raw Data'!AG360,'Raw Data'!AI360),"")</f>
        <v/>
      </c>
      <c r="N373" s="14">
        <f>IF(L373&lt;&gt;"",L373-M373,"")</f>
        <v/>
      </c>
      <c r="O373" s="14">
        <f>IF('Raw Data'!A360&lt;&gt;"",AVERAGE('Raw Data'!AJ360,'Raw Data'!AL360,'Raw Data'!AN360,'Raw Data'!AP360,'Raw Data'!AR360),"")</f>
        <v/>
      </c>
      <c r="P373" s="14">
        <f>IF('Raw Data'!A360&lt;&gt;"",AVERAGE('Raw Data'!AK360,'Raw Data'!AM360,'Raw Data'!AO360,'Raw Data'!AQ360,'Raw Data'!AS360),"")</f>
        <v/>
      </c>
      <c r="Q373" s="14">
        <f>IF(O373&lt;&gt;"",O373-P373,"")</f>
        <v/>
      </c>
      <c r="R373" s="14">
        <f>IF('Raw Data'!A360&lt;&gt;"",AVERAGE('Raw Data'!AT360,'Raw Data'!AV360,'Raw Data'!AX360,'Raw Data'!AZ360,'Raw Data'!BB360),"")</f>
        <v/>
      </c>
      <c r="S373" s="14">
        <f>IF('Raw Data'!A360&lt;&gt;"",AVERAGE('Raw Data'!AU360,'Raw Data'!AW360,'Raw Data'!AY360,'Raw Data'!BA360,'Raw Data'!BC360),"")</f>
        <v/>
      </c>
      <c r="T373" s="14">
        <f>IF(R373&lt;&gt;"",R373-S373,"")</f>
        <v/>
      </c>
      <c r="U373" s="14">
        <f>IF('Raw Data'!A360&lt;&gt;"",AVERAGE('Raw Data'!BD360,'Raw Data'!BF360,'Raw Data'!BH360,'Raw Data'!BJ360,'Raw Data'!BL360),"")</f>
        <v/>
      </c>
      <c r="V373" s="14">
        <f>IF('Raw Data'!A360&lt;&gt;"",AVERAGE('Raw Data'!BE360,'Raw Data'!BG360,'Raw Data'!BI360,'Raw Data'!BK360,'Raw Data'!BM360),"")</f>
        <v/>
      </c>
      <c r="W373" s="14">
        <f>IF(U373&lt;&gt;"",U373-V373,"")</f>
        <v/>
      </c>
      <c r="X373" s="14">
        <f>IF(A373&lt;&gt;"",AVERAGE(F373,I373,L373,O373,R373,U373),"")</f>
        <v/>
      </c>
      <c r="Y373" s="14">
        <f>IF(A373&lt;&gt;"",AVERAGE(G373,J373,M373,P373,S373,V373),"")</f>
        <v/>
      </c>
      <c r="Z373" s="14">
        <f>IF(A373&lt;&gt;"",X373-Y373,"")</f>
        <v/>
      </c>
      <c r="AA373" s="15">
        <f>IF(A373&lt;&gt;"",ROUND(MIN(100,100*((MAX(0,K373)*0.25)+(MAX(0,Q373)*0.20)+(MAX(0,W373)*0.20)+(MAX(0,H373)*0.15)+(MAX(0,N373)*0.10)+(MAX(0,T373)*0.10))/9),1),"")</f>
        <v/>
      </c>
      <c r="AB373" s="28">
        <f>IF(A373&lt;&gt;"",MIN(1,(0.5*AA373/100)+(0.3*MAX(0,K373)/9)+(0.2*MAX(0,Q373)/9)),"")</f>
        <v/>
      </c>
    </row>
    <row r="374">
      <c r="A374" s="13">
        <f>IF('Raw Data'!A361&lt;&gt;"",'Raw Data'!A361,"")</f>
        <v/>
      </c>
      <c r="B374" s="13">
        <f>IF('Raw Data'!B361&lt;&gt;"",'Raw Data'!B361,"")</f>
        <v/>
      </c>
      <c r="C374" s="13">
        <f>IF('Raw Data'!C361&lt;&gt;"",'Raw Data'!C361,"")</f>
        <v/>
      </c>
      <c r="D374" s="13">
        <f>IF('Raw Data'!D361&lt;&gt;"",'Raw Data'!D361,"")</f>
        <v/>
      </c>
      <c r="E374" s="13">
        <f>IF('Raw Data'!E361&lt;&gt;"",'Raw Data'!E361,"")</f>
        <v/>
      </c>
      <c r="F374" s="17">
        <f>IF('Raw Data'!A361&lt;&gt;"",AVERAGE('Raw Data'!F361,'Raw Data'!H361,'Raw Data'!J361,'Raw Data'!L361,'Raw Data'!N361),"")</f>
        <v/>
      </c>
      <c r="G374" s="17">
        <f>IF('Raw Data'!A361&lt;&gt;"",AVERAGE('Raw Data'!G361,'Raw Data'!I361,'Raw Data'!K361,'Raw Data'!M361,'Raw Data'!O361),"")</f>
        <v/>
      </c>
      <c r="H374" s="17">
        <f>IF(F374&lt;&gt;"",F374-G374,"")</f>
        <v/>
      </c>
      <c r="I374" s="17">
        <f>IF('Raw Data'!A361&lt;&gt;"",AVERAGE('Raw Data'!P361,'Raw Data'!R361,'Raw Data'!T361,'Raw Data'!V361,'Raw Data'!X361),"")</f>
        <v/>
      </c>
      <c r="J374" s="17">
        <f>IF('Raw Data'!A361&lt;&gt;"",AVERAGE('Raw Data'!Q361,'Raw Data'!S361,'Raw Data'!U361,'Raw Data'!W361,'Raw Data'!Y361),"")</f>
        <v/>
      </c>
      <c r="K374" s="17">
        <f>IF(I374&lt;&gt;"",I374-J374,"")</f>
        <v/>
      </c>
      <c r="L374" s="17">
        <f>IF('Raw Data'!A361&lt;&gt;"",AVERAGE('Raw Data'!Z361,'Raw Data'!AB361,'Raw Data'!AD361,'Raw Data'!AF361,'Raw Data'!AH361),"")</f>
        <v/>
      </c>
      <c r="M374" s="17">
        <f>IF('Raw Data'!A361&lt;&gt;"",AVERAGE('Raw Data'!AA361,'Raw Data'!AC361,'Raw Data'!AE361,'Raw Data'!AG361,'Raw Data'!AI361),"")</f>
        <v/>
      </c>
      <c r="N374" s="17">
        <f>IF(L374&lt;&gt;"",L374-M374,"")</f>
        <v/>
      </c>
      <c r="O374" s="17">
        <f>IF('Raw Data'!A361&lt;&gt;"",AVERAGE('Raw Data'!AJ361,'Raw Data'!AL361,'Raw Data'!AN361,'Raw Data'!AP361,'Raw Data'!AR361),"")</f>
        <v/>
      </c>
      <c r="P374" s="17">
        <f>IF('Raw Data'!A361&lt;&gt;"",AVERAGE('Raw Data'!AK361,'Raw Data'!AM361,'Raw Data'!AO361,'Raw Data'!AQ361,'Raw Data'!AS361),"")</f>
        <v/>
      </c>
      <c r="Q374" s="17">
        <f>IF(O374&lt;&gt;"",O374-P374,"")</f>
        <v/>
      </c>
      <c r="R374" s="17">
        <f>IF('Raw Data'!A361&lt;&gt;"",AVERAGE('Raw Data'!AT361,'Raw Data'!AV361,'Raw Data'!AX361,'Raw Data'!AZ361,'Raw Data'!BB361),"")</f>
        <v/>
      </c>
      <c r="S374" s="17">
        <f>IF('Raw Data'!A361&lt;&gt;"",AVERAGE('Raw Data'!AU361,'Raw Data'!AW361,'Raw Data'!AY361,'Raw Data'!BA361,'Raw Data'!BC361),"")</f>
        <v/>
      </c>
      <c r="T374" s="17">
        <f>IF(R374&lt;&gt;"",R374-S374,"")</f>
        <v/>
      </c>
      <c r="U374" s="17">
        <f>IF('Raw Data'!A361&lt;&gt;"",AVERAGE('Raw Data'!BD361,'Raw Data'!BF361,'Raw Data'!BH361,'Raw Data'!BJ361,'Raw Data'!BL361),"")</f>
        <v/>
      </c>
      <c r="V374" s="17">
        <f>IF('Raw Data'!A361&lt;&gt;"",AVERAGE('Raw Data'!BE361,'Raw Data'!BG361,'Raw Data'!BI361,'Raw Data'!BK361,'Raw Data'!BM361),"")</f>
        <v/>
      </c>
      <c r="W374" s="17">
        <f>IF(U374&lt;&gt;"",U374-V374,"")</f>
        <v/>
      </c>
      <c r="X374" s="17">
        <f>IF(A374&lt;&gt;"",AVERAGE(F374,I374,L374,O374,R374,U374),"")</f>
        <v/>
      </c>
      <c r="Y374" s="17">
        <f>IF(A374&lt;&gt;"",AVERAGE(G374,J374,M374,P374,S374,V374),"")</f>
        <v/>
      </c>
      <c r="Z374" s="17">
        <f>IF(A374&lt;&gt;"",X374-Y374,"")</f>
        <v/>
      </c>
      <c r="AA374" s="18">
        <f>IF(A374&lt;&gt;"",ROUND(MIN(100,100*((MAX(0,K374)*0.25)+(MAX(0,Q374)*0.20)+(MAX(0,W374)*0.20)+(MAX(0,H374)*0.15)+(MAX(0,N374)*0.10)+(MAX(0,T374)*0.10))/9),1),"")</f>
        <v/>
      </c>
      <c r="AB374" s="29">
        <f>IF(A374&lt;&gt;"",MIN(1,(0.5*AA374/100)+(0.3*MAX(0,K374)/9)+(0.2*MAX(0,Q374)/9)),"")</f>
        <v/>
      </c>
    </row>
    <row r="375">
      <c r="A375" s="4">
        <f>IF('Raw Data'!A362&lt;&gt;"",'Raw Data'!A362,"")</f>
        <v/>
      </c>
      <c r="B375" s="4">
        <f>IF('Raw Data'!B362&lt;&gt;"",'Raw Data'!B362,"")</f>
        <v/>
      </c>
      <c r="C375" s="4">
        <f>IF('Raw Data'!C362&lt;&gt;"",'Raw Data'!C362,"")</f>
        <v/>
      </c>
      <c r="D375" s="4">
        <f>IF('Raw Data'!D362&lt;&gt;"",'Raw Data'!D362,"")</f>
        <v/>
      </c>
      <c r="E375" s="4">
        <f>IF('Raw Data'!E362&lt;&gt;"",'Raw Data'!E362,"")</f>
        <v/>
      </c>
      <c r="F375" s="14">
        <f>IF('Raw Data'!A362&lt;&gt;"",AVERAGE('Raw Data'!F362,'Raw Data'!H362,'Raw Data'!J362,'Raw Data'!L362,'Raw Data'!N362),"")</f>
        <v/>
      </c>
      <c r="G375" s="14">
        <f>IF('Raw Data'!A362&lt;&gt;"",AVERAGE('Raw Data'!G362,'Raw Data'!I362,'Raw Data'!K362,'Raw Data'!M362,'Raw Data'!O362),"")</f>
        <v/>
      </c>
      <c r="H375" s="14">
        <f>IF(F375&lt;&gt;"",F375-G375,"")</f>
        <v/>
      </c>
      <c r="I375" s="14">
        <f>IF('Raw Data'!A362&lt;&gt;"",AVERAGE('Raw Data'!P362,'Raw Data'!R362,'Raw Data'!T362,'Raw Data'!V362,'Raw Data'!X362),"")</f>
        <v/>
      </c>
      <c r="J375" s="14">
        <f>IF('Raw Data'!A362&lt;&gt;"",AVERAGE('Raw Data'!Q362,'Raw Data'!S362,'Raw Data'!U362,'Raw Data'!W362,'Raw Data'!Y362),"")</f>
        <v/>
      </c>
      <c r="K375" s="14">
        <f>IF(I375&lt;&gt;"",I375-J375,"")</f>
        <v/>
      </c>
      <c r="L375" s="14">
        <f>IF('Raw Data'!A362&lt;&gt;"",AVERAGE('Raw Data'!Z362,'Raw Data'!AB362,'Raw Data'!AD362,'Raw Data'!AF362,'Raw Data'!AH362),"")</f>
        <v/>
      </c>
      <c r="M375" s="14">
        <f>IF('Raw Data'!A362&lt;&gt;"",AVERAGE('Raw Data'!AA362,'Raw Data'!AC362,'Raw Data'!AE362,'Raw Data'!AG362,'Raw Data'!AI362),"")</f>
        <v/>
      </c>
      <c r="N375" s="14">
        <f>IF(L375&lt;&gt;"",L375-M375,"")</f>
        <v/>
      </c>
      <c r="O375" s="14">
        <f>IF('Raw Data'!A362&lt;&gt;"",AVERAGE('Raw Data'!AJ362,'Raw Data'!AL362,'Raw Data'!AN362,'Raw Data'!AP362,'Raw Data'!AR362),"")</f>
        <v/>
      </c>
      <c r="P375" s="14">
        <f>IF('Raw Data'!A362&lt;&gt;"",AVERAGE('Raw Data'!AK362,'Raw Data'!AM362,'Raw Data'!AO362,'Raw Data'!AQ362,'Raw Data'!AS362),"")</f>
        <v/>
      </c>
      <c r="Q375" s="14">
        <f>IF(O375&lt;&gt;"",O375-P375,"")</f>
        <v/>
      </c>
      <c r="R375" s="14">
        <f>IF('Raw Data'!A362&lt;&gt;"",AVERAGE('Raw Data'!AT362,'Raw Data'!AV362,'Raw Data'!AX362,'Raw Data'!AZ362,'Raw Data'!BB362),"")</f>
        <v/>
      </c>
      <c r="S375" s="14">
        <f>IF('Raw Data'!A362&lt;&gt;"",AVERAGE('Raw Data'!AU362,'Raw Data'!AW362,'Raw Data'!AY362,'Raw Data'!BA362,'Raw Data'!BC362),"")</f>
        <v/>
      </c>
      <c r="T375" s="14">
        <f>IF(R375&lt;&gt;"",R375-S375,"")</f>
        <v/>
      </c>
      <c r="U375" s="14">
        <f>IF('Raw Data'!A362&lt;&gt;"",AVERAGE('Raw Data'!BD362,'Raw Data'!BF362,'Raw Data'!BH362,'Raw Data'!BJ362,'Raw Data'!BL362),"")</f>
        <v/>
      </c>
      <c r="V375" s="14">
        <f>IF('Raw Data'!A362&lt;&gt;"",AVERAGE('Raw Data'!BE362,'Raw Data'!BG362,'Raw Data'!BI362,'Raw Data'!BK362,'Raw Data'!BM362),"")</f>
        <v/>
      </c>
      <c r="W375" s="14">
        <f>IF(U375&lt;&gt;"",U375-V375,"")</f>
        <v/>
      </c>
      <c r="X375" s="14">
        <f>IF(A375&lt;&gt;"",AVERAGE(F375,I375,L375,O375,R375,U375),"")</f>
        <v/>
      </c>
      <c r="Y375" s="14">
        <f>IF(A375&lt;&gt;"",AVERAGE(G375,J375,M375,P375,S375,V375),"")</f>
        <v/>
      </c>
      <c r="Z375" s="14">
        <f>IF(A375&lt;&gt;"",X375-Y375,"")</f>
        <v/>
      </c>
      <c r="AA375" s="15">
        <f>IF(A375&lt;&gt;"",ROUND(MIN(100,100*((MAX(0,K375)*0.25)+(MAX(0,Q375)*0.20)+(MAX(0,W375)*0.20)+(MAX(0,H375)*0.15)+(MAX(0,N375)*0.10)+(MAX(0,T375)*0.10))/9),1),"")</f>
        <v/>
      </c>
      <c r="AB375" s="28">
        <f>IF(A375&lt;&gt;"",MIN(1,(0.5*AA375/100)+(0.3*MAX(0,K375)/9)+(0.2*MAX(0,Q375)/9)),"")</f>
        <v/>
      </c>
    </row>
    <row r="376">
      <c r="A376" s="13">
        <f>IF('Raw Data'!A363&lt;&gt;"",'Raw Data'!A363,"")</f>
        <v/>
      </c>
      <c r="B376" s="13">
        <f>IF('Raw Data'!B363&lt;&gt;"",'Raw Data'!B363,"")</f>
        <v/>
      </c>
      <c r="C376" s="13">
        <f>IF('Raw Data'!C363&lt;&gt;"",'Raw Data'!C363,"")</f>
        <v/>
      </c>
      <c r="D376" s="13">
        <f>IF('Raw Data'!D363&lt;&gt;"",'Raw Data'!D363,"")</f>
        <v/>
      </c>
      <c r="E376" s="13">
        <f>IF('Raw Data'!E363&lt;&gt;"",'Raw Data'!E363,"")</f>
        <v/>
      </c>
      <c r="F376" s="17">
        <f>IF('Raw Data'!A363&lt;&gt;"",AVERAGE('Raw Data'!F363,'Raw Data'!H363,'Raw Data'!J363,'Raw Data'!L363,'Raw Data'!N363),"")</f>
        <v/>
      </c>
      <c r="G376" s="17">
        <f>IF('Raw Data'!A363&lt;&gt;"",AVERAGE('Raw Data'!G363,'Raw Data'!I363,'Raw Data'!K363,'Raw Data'!M363,'Raw Data'!O363),"")</f>
        <v/>
      </c>
      <c r="H376" s="17">
        <f>IF(F376&lt;&gt;"",F376-G376,"")</f>
        <v/>
      </c>
      <c r="I376" s="17">
        <f>IF('Raw Data'!A363&lt;&gt;"",AVERAGE('Raw Data'!P363,'Raw Data'!R363,'Raw Data'!T363,'Raw Data'!V363,'Raw Data'!X363),"")</f>
        <v/>
      </c>
      <c r="J376" s="17">
        <f>IF('Raw Data'!A363&lt;&gt;"",AVERAGE('Raw Data'!Q363,'Raw Data'!S363,'Raw Data'!U363,'Raw Data'!W363,'Raw Data'!Y363),"")</f>
        <v/>
      </c>
      <c r="K376" s="17">
        <f>IF(I376&lt;&gt;"",I376-J376,"")</f>
        <v/>
      </c>
      <c r="L376" s="17">
        <f>IF('Raw Data'!A363&lt;&gt;"",AVERAGE('Raw Data'!Z363,'Raw Data'!AB363,'Raw Data'!AD363,'Raw Data'!AF363,'Raw Data'!AH363),"")</f>
        <v/>
      </c>
      <c r="M376" s="17">
        <f>IF('Raw Data'!A363&lt;&gt;"",AVERAGE('Raw Data'!AA363,'Raw Data'!AC363,'Raw Data'!AE363,'Raw Data'!AG363,'Raw Data'!AI363),"")</f>
        <v/>
      </c>
      <c r="N376" s="17">
        <f>IF(L376&lt;&gt;"",L376-M376,"")</f>
        <v/>
      </c>
      <c r="O376" s="17">
        <f>IF('Raw Data'!A363&lt;&gt;"",AVERAGE('Raw Data'!AJ363,'Raw Data'!AL363,'Raw Data'!AN363,'Raw Data'!AP363,'Raw Data'!AR363),"")</f>
        <v/>
      </c>
      <c r="P376" s="17">
        <f>IF('Raw Data'!A363&lt;&gt;"",AVERAGE('Raw Data'!AK363,'Raw Data'!AM363,'Raw Data'!AO363,'Raw Data'!AQ363,'Raw Data'!AS363),"")</f>
        <v/>
      </c>
      <c r="Q376" s="17">
        <f>IF(O376&lt;&gt;"",O376-P376,"")</f>
        <v/>
      </c>
      <c r="R376" s="17">
        <f>IF('Raw Data'!A363&lt;&gt;"",AVERAGE('Raw Data'!AT363,'Raw Data'!AV363,'Raw Data'!AX363,'Raw Data'!AZ363,'Raw Data'!BB363),"")</f>
        <v/>
      </c>
      <c r="S376" s="17">
        <f>IF('Raw Data'!A363&lt;&gt;"",AVERAGE('Raw Data'!AU363,'Raw Data'!AW363,'Raw Data'!AY363,'Raw Data'!BA363,'Raw Data'!BC363),"")</f>
        <v/>
      </c>
      <c r="T376" s="17">
        <f>IF(R376&lt;&gt;"",R376-S376,"")</f>
        <v/>
      </c>
      <c r="U376" s="17">
        <f>IF('Raw Data'!A363&lt;&gt;"",AVERAGE('Raw Data'!BD363,'Raw Data'!BF363,'Raw Data'!BH363,'Raw Data'!BJ363,'Raw Data'!BL363),"")</f>
        <v/>
      </c>
      <c r="V376" s="17">
        <f>IF('Raw Data'!A363&lt;&gt;"",AVERAGE('Raw Data'!BE363,'Raw Data'!BG363,'Raw Data'!BI363,'Raw Data'!BK363,'Raw Data'!BM363),"")</f>
        <v/>
      </c>
      <c r="W376" s="17">
        <f>IF(U376&lt;&gt;"",U376-V376,"")</f>
        <v/>
      </c>
      <c r="X376" s="17">
        <f>IF(A376&lt;&gt;"",AVERAGE(F376,I376,L376,O376,R376,U376),"")</f>
        <v/>
      </c>
      <c r="Y376" s="17">
        <f>IF(A376&lt;&gt;"",AVERAGE(G376,J376,M376,P376,S376,V376),"")</f>
        <v/>
      </c>
      <c r="Z376" s="17">
        <f>IF(A376&lt;&gt;"",X376-Y376,"")</f>
        <v/>
      </c>
      <c r="AA376" s="18">
        <f>IF(A376&lt;&gt;"",ROUND(MIN(100,100*((MAX(0,K376)*0.25)+(MAX(0,Q376)*0.20)+(MAX(0,W376)*0.20)+(MAX(0,H376)*0.15)+(MAX(0,N376)*0.10)+(MAX(0,T376)*0.10))/9),1),"")</f>
        <v/>
      </c>
      <c r="AB376" s="29">
        <f>IF(A376&lt;&gt;"",MIN(1,(0.5*AA376/100)+(0.3*MAX(0,K376)/9)+(0.2*MAX(0,Q376)/9)),"")</f>
        <v/>
      </c>
    </row>
    <row r="377">
      <c r="A377" s="4">
        <f>IF('Raw Data'!A364&lt;&gt;"",'Raw Data'!A364,"")</f>
        <v/>
      </c>
      <c r="B377" s="4">
        <f>IF('Raw Data'!B364&lt;&gt;"",'Raw Data'!B364,"")</f>
        <v/>
      </c>
      <c r="C377" s="4">
        <f>IF('Raw Data'!C364&lt;&gt;"",'Raw Data'!C364,"")</f>
        <v/>
      </c>
      <c r="D377" s="4">
        <f>IF('Raw Data'!D364&lt;&gt;"",'Raw Data'!D364,"")</f>
        <v/>
      </c>
      <c r="E377" s="4">
        <f>IF('Raw Data'!E364&lt;&gt;"",'Raw Data'!E364,"")</f>
        <v/>
      </c>
      <c r="F377" s="14">
        <f>IF('Raw Data'!A364&lt;&gt;"",AVERAGE('Raw Data'!F364,'Raw Data'!H364,'Raw Data'!J364,'Raw Data'!L364,'Raw Data'!N364),"")</f>
        <v/>
      </c>
      <c r="G377" s="14">
        <f>IF('Raw Data'!A364&lt;&gt;"",AVERAGE('Raw Data'!G364,'Raw Data'!I364,'Raw Data'!K364,'Raw Data'!M364,'Raw Data'!O364),"")</f>
        <v/>
      </c>
      <c r="H377" s="14">
        <f>IF(F377&lt;&gt;"",F377-G377,"")</f>
        <v/>
      </c>
      <c r="I377" s="14">
        <f>IF('Raw Data'!A364&lt;&gt;"",AVERAGE('Raw Data'!P364,'Raw Data'!R364,'Raw Data'!T364,'Raw Data'!V364,'Raw Data'!X364),"")</f>
        <v/>
      </c>
      <c r="J377" s="14">
        <f>IF('Raw Data'!A364&lt;&gt;"",AVERAGE('Raw Data'!Q364,'Raw Data'!S364,'Raw Data'!U364,'Raw Data'!W364,'Raw Data'!Y364),"")</f>
        <v/>
      </c>
      <c r="K377" s="14">
        <f>IF(I377&lt;&gt;"",I377-J377,"")</f>
        <v/>
      </c>
      <c r="L377" s="14">
        <f>IF('Raw Data'!A364&lt;&gt;"",AVERAGE('Raw Data'!Z364,'Raw Data'!AB364,'Raw Data'!AD364,'Raw Data'!AF364,'Raw Data'!AH364),"")</f>
        <v/>
      </c>
      <c r="M377" s="14">
        <f>IF('Raw Data'!A364&lt;&gt;"",AVERAGE('Raw Data'!AA364,'Raw Data'!AC364,'Raw Data'!AE364,'Raw Data'!AG364,'Raw Data'!AI364),"")</f>
        <v/>
      </c>
      <c r="N377" s="14">
        <f>IF(L377&lt;&gt;"",L377-M377,"")</f>
        <v/>
      </c>
      <c r="O377" s="14">
        <f>IF('Raw Data'!A364&lt;&gt;"",AVERAGE('Raw Data'!AJ364,'Raw Data'!AL364,'Raw Data'!AN364,'Raw Data'!AP364,'Raw Data'!AR364),"")</f>
        <v/>
      </c>
      <c r="P377" s="14">
        <f>IF('Raw Data'!A364&lt;&gt;"",AVERAGE('Raw Data'!AK364,'Raw Data'!AM364,'Raw Data'!AO364,'Raw Data'!AQ364,'Raw Data'!AS364),"")</f>
        <v/>
      </c>
      <c r="Q377" s="14">
        <f>IF(O377&lt;&gt;"",O377-P377,"")</f>
        <v/>
      </c>
      <c r="R377" s="14">
        <f>IF('Raw Data'!A364&lt;&gt;"",AVERAGE('Raw Data'!AT364,'Raw Data'!AV364,'Raw Data'!AX364,'Raw Data'!AZ364,'Raw Data'!BB364),"")</f>
        <v/>
      </c>
      <c r="S377" s="14">
        <f>IF('Raw Data'!A364&lt;&gt;"",AVERAGE('Raw Data'!AU364,'Raw Data'!AW364,'Raw Data'!AY364,'Raw Data'!BA364,'Raw Data'!BC364),"")</f>
        <v/>
      </c>
      <c r="T377" s="14">
        <f>IF(R377&lt;&gt;"",R377-S377,"")</f>
        <v/>
      </c>
      <c r="U377" s="14">
        <f>IF('Raw Data'!A364&lt;&gt;"",AVERAGE('Raw Data'!BD364,'Raw Data'!BF364,'Raw Data'!BH364,'Raw Data'!BJ364,'Raw Data'!BL364),"")</f>
        <v/>
      </c>
      <c r="V377" s="14">
        <f>IF('Raw Data'!A364&lt;&gt;"",AVERAGE('Raw Data'!BE364,'Raw Data'!BG364,'Raw Data'!BI364,'Raw Data'!BK364,'Raw Data'!BM364),"")</f>
        <v/>
      </c>
      <c r="W377" s="14">
        <f>IF(U377&lt;&gt;"",U377-V377,"")</f>
        <v/>
      </c>
      <c r="X377" s="14">
        <f>IF(A377&lt;&gt;"",AVERAGE(F377,I377,L377,O377,R377,U377),"")</f>
        <v/>
      </c>
      <c r="Y377" s="14">
        <f>IF(A377&lt;&gt;"",AVERAGE(G377,J377,M377,P377,S377,V377),"")</f>
        <v/>
      </c>
      <c r="Z377" s="14">
        <f>IF(A377&lt;&gt;"",X377-Y377,"")</f>
        <v/>
      </c>
      <c r="AA377" s="15">
        <f>IF(A377&lt;&gt;"",ROUND(MIN(100,100*((MAX(0,K377)*0.25)+(MAX(0,Q377)*0.20)+(MAX(0,W377)*0.20)+(MAX(0,H377)*0.15)+(MAX(0,N377)*0.10)+(MAX(0,T377)*0.10))/9),1),"")</f>
        <v/>
      </c>
      <c r="AB377" s="28">
        <f>IF(A377&lt;&gt;"",MIN(1,(0.5*AA377/100)+(0.3*MAX(0,K377)/9)+(0.2*MAX(0,Q377)/9)),"")</f>
        <v/>
      </c>
    </row>
    <row r="378">
      <c r="A378" s="13">
        <f>IF('Raw Data'!A365&lt;&gt;"",'Raw Data'!A365,"")</f>
        <v/>
      </c>
      <c r="B378" s="13">
        <f>IF('Raw Data'!B365&lt;&gt;"",'Raw Data'!B365,"")</f>
        <v/>
      </c>
      <c r="C378" s="13">
        <f>IF('Raw Data'!C365&lt;&gt;"",'Raw Data'!C365,"")</f>
        <v/>
      </c>
      <c r="D378" s="13">
        <f>IF('Raw Data'!D365&lt;&gt;"",'Raw Data'!D365,"")</f>
        <v/>
      </c>
      <c r="E378" s="13">
        <f>IF('Raw Data'!E365&lt;&gt;"",'Raw Data'!E365,"")</f>
        <v/>
      </c>
      <c r="F378" s="17">
        <f>IF('Raw Data'!A365&lt;&gt;"",AVERAGE('Raw Data'!F365,'Raw Data'!H365,'Raw Data'!J365,'Raw Data'!L365,'Raw Data'!N365),"")</f>
        <v/>
      </c>
      <c r="G378" s="17">
        <f>IF('Raw Data'!A365&lt;&gt;"",AVERAGE('Raw Data'!G365,'Raw Data'!I365,'Raw Data'!K365,'Raw Data'!M365,'Raw Data'!O365),"")</f>
        <v/>
      </c>
      <c r="H378" s="17">
        <f>IF(F378&lt;&gt;"",F378-G378,"")</f>
        <v/>
      </c>
      <c r="I378" s="17">
        <f>IF('Raw Data'!A365&lt;&gt;"",AVERAGE('Raw Data'!P365,'Raw Data'!R365,'Raw Data'!T365,'Raw Data'!V365,'Raw Data'!X365),"")</f>
        <v/>
      </c>
      <c r="J378" s="17">
        <f>IF('Raw Data'!A365&lt;&gt;"",AVERAGE('Raw Data'!Q365,'Raw Data'!S365,'Raw Data'!U365,'Raw Data'!W365,'Raw Data'!Y365),"")</f>
        <v/>
      </c>
      <c r="K378" s="17">
        <f>IF(I378&lt;&gt;"",I378-J378,"")</f>
        <v/>
      </c>
      <c r="L378" s="17">
        <f>IF('Raw Data'!A365&lt;&gt;"",AVERAGE('Raw Data'!Z365,'Raw Data'!AB365,'Raw Data'!AD365,'Raw Data'!AF365,'Raw Data'!AH365),"")</f>
        <v/>
      </c>
      <c r="M378" s="17">
        <f>IF('Raw Data'!A365&lt;&gt;"",AVERAGE('Raw Data'!AA365,'Raw Data'!AC365,'Raw Data'!AE365,'Raw Data'!AG365,'Raw Data'!AI365),"")</f>
        <v/>
      </c>
      <c r="N378" s="17">
        <f>IF(L378&lt;&gt;"",L378-M378,"")</f>
        <v/>
      </c>
      <c r="O378" s="17">
        <f>IF('Raw Data'!A365&lt;&gt;"",AVERAGE('Raw Data'!AJ365,'Raw Data'!AL365,'Raw Data'!AN365,'Raw Data'!AP365,'Raw Data'!AR365),"")</f>
        <v/>
      </c>
      <c r="P378" s="17">
        <f>IF('Raw Data'!A365&lt;&gt;"",AVERAGE('Raw Data'!AK365,'Raw Data'!AM365,'Raw Data'!AO365,'Raw Data'!AQ365,'Raw Data'!AS365),"")</f>
        <v/>
      </c>
      <c r="Q378" s="17">
        <f>IF(O378&lt;&gt;"",O378-P378,"")</f>
        <v/>
      </c>
      <c r="R378" s="17">
        <f>IF('Raw Data'!A365&lt;&gt;"",AVERAGE('Raw Data'!AT365,'Raw Data'!AV365,'Raw Data'!AX365,'Raw Data'!AZ365,'Raw Data'!BB365),"")</f>
        <v/>
      </c>
      <c r="S378" s="17">
        <f>IF('Raw Data'!A365&lt;&gt;"",AVERAGE('Raw Data'!AU365,'Raw Data'!AW365,'Raw Data'!AY365,'Raw Data'!BA365,'Raw Data'!BC365),"")</f>
        <v/>
      </c>
      <c r="T378" s="17">
        <f>IF(R378&lt;&gt;"",R378-S378,"")</f>
        <v/>
      </c>
      <c r="U378" s="17">
        <f>IF('Raw Data'!A365&lt;&gt;"",AVERAGE('Raw Data'!BD365,'Raw Data'!BF365,'Raw Data'!BH365,'Raw Data'!BJ365,'Raw Data'!BL365),"")</f>
        <v/>
      </c>
      <c r="V378" s="17">
        <f>IF('Raw Data'!A365&lt;&gt;"",AVERAGE('Raw Data'!BE365,'Raw Data'!BG365,'Raw Data'!BI365,'Raw Data'!BK365,'Raw Data'!BM365),"")</f>
        <v/>
      </c>
      <c r="W378" s="17">
        <f>IF(U378&lt;&gt;"",U378-V378,"")</f>
        <v/>
      </c>
      <c r="X378" s="17">
        <f>IF(A378&lt;&gt;"",AVERAGE(F378,I378,L378,O378,R378,U378),"")</f>
        <v/>
      </c>
      <c r="Y378" s="17">
        <f>IF(A378&lt;&gt;"",AVERAGE(G378,J378,M378,P378,S378,V378),"")</f>
        <v/>
      </c>
      <c r="Z378" s="17">
        <f>IF(A378&lt;&gt;"",X378-Y378,"")</f>
        <v/>
      </c>
      <c r="AA378" s="18">
        <f>IF(A378&lt;&gt;"",ROUND(MIN(100,100*((MAX(0,K378)*0.25)+(MAX(0,Q378)*0.20)+(MAX(0,W378)*0.20)+(MAX(0,H378)*0.15)+(MAX(0,N378)*0.10)+(MAX(0,T378)*0.10))/9),1),"")</f>
        <v/>
      </c>
      <c r="AB378" s="29">
        <f>IF(A378&lt;&gt;"",MIN(1,(0.5*AA378/100)+(0.3*MAX(0,K378)/9)+(0.2*MAX(0,Q378)/9)),"")</f>
        <v/>
      </c>
    </row>
    <row r="379">
      <c r="A379" s="4">
        <f>IF('Raw Data'!A366&lt;&gt;"",'Raw Data'!A366,"")</f>
        <v/>
      </c>
      <c r="B379" s="4">
        <f>IF('Raw Data'!B366&lt;&gt;"",'Raw Data'!B366,"")</f>
        <v/>
      </c>
      <c r="C379" s="4">
        <f>IF('Raw Data'!C366&lt;&gt;"",'Raw Data'!C366,"")</f>
        <v/>
      </c>
      <c r="D379" s="4">
        <f>IF('Raw Data'!D366&lt;&gt;"",'Raw Data'!D366,"")</f>
        <v/>
      </c>
      <c r="E379" s="4">
        <f>IF('Raw Data'!E366&lt;&gt;"",'Raw Data'!E366,"")</f>
        <v/>
      </c>
      <c r="F379" s="14">
        <f>IF('Raw Data'!A366&lt;&gt;"",AVERAGE('Raw Data'!F366,'Raw Data'!H366,'Raw Data'!J366,'Raw Data'!L366,'Raw Data'!N366),"")</f>
        <v/>
      </c>
      <c r="G379" s="14">
        <f>IF('Raw Data'!A366&lt;&gt;"",AVERAGE('Raw Data'!G366,'Raw Data'!I366,'Raw Data'!K366,'Raw Data'!M366,'Raw Data'!O366),"")</f>
        <v/>
      </c>
      <c r="H379" s="14">
        <f>IF(F379&lt;&gt;"",F379-G379,"")</f>
        <v/>
      </c>
      <c r="I379" s="14">
        <f>IF('Raw Data'!A366&lt;&gt;"",AVERAGE('Raw Data'!P366,'Raw Data'!R366,'Raw Data'!T366,'Raw Data'!V366,'Raw Data'!X366),"")</f>
        <v/>
      </c>
      <c r="J379" s="14">
        <f>IF('Raw Data'!A366&lt;&gt;"",AVERAGE('Raw Data'!Q366,'Raw Data'!S366,'Raw Data'!U366,'Raw Data'!W366,'Raw Data'!Y366),"")</f>
        <v/>
      </c>
      <c r="K379" s="14">
        <f>IF(I379&lt;&gt;"",I379-J379,"")</f>
        <v/>
      </c>
      <c r="L379" s="14">
        <f>IF('Raw Data'!A366&lt;&gt;"",AVERAGE('Raw Data'!Z366,'Raw Data'!AB366,'Raw Data'!AD366,'Raw Data'!AF366,'Raw Data'!AH366),"")</f>
        <v/>
      </c>
      <c r="M379" s="14">
        <f>IF('Raw Data'!A366&lt;&gt;"",AVERAGE('Raw Data'!AA366,'Raw Data'!AC366,'Raw Data'!AE366,'Raw Data'!AG366,'Raw Data'!AI366),"")</f>
        <v/>
      </c>
      <c r="N379" s="14">
        <f>IF(L379&lt;&gt;"",L379-M379,"")</f>
        <v/>
      </c>
      <c r="O379" s="14">
        <f>IF('Raw Data'!A366&lt;&gt;"",AVERAGE('Raw Data'!AJ366,'Raw Data'!AL366,'Raw Data'!AN366,'Raw Data'!AP366,'Raw Data'!AR366),"")</f>
        <v/>
      </c>
      <c r="P379" s="14">
        <f>IF('Raw Data'!A366&lt;&gt;"",AVERAGE('Raw Data'!AK366,'Raw Data'!AM366,'Raw Data'!AO366,'Raw Data'!AQ366,'Raw Data'!AS366),"")</f>
        <v/>
      </c>
      <c r="Q379" s="14">
        <f>IF(O379&lt;&gt;"",O379-P379,"")</f>
        <v/>
      </c>
      <c r="R379" s="14">
        <f>IF('Raw Data'!A366&lt;&gt;"",AVERAGE('Raw Data'!AT366,'Raw Data'!AV366,'Raw Data'!AX366,'Raw Data'!AZ366,'Raw Data'!BB366),"")</f>
        <v/>
      </c>
      <c r="S379" s="14">
        <f>IF('Raw Data'!A366&lt;&gt;"",AVERAGE('Raw Data'!AU366,'Raw Data'!AW366,'Raw Data'!AY366,'Raw Data'!BA366,'Raw Data'!BC366),"")</f>
        <v/>
      </c>
      <c r="T379" s="14">
        <f>IF(R379&lt;&gt;"",R379-S379,"")</f>
        <v/>
      </c>
      <c r="U379" s="14">
        <f>IF('Raw Data'!A366&lt;&gt;"",AVERAGE('Raw Data'!BD366,'Raw Data'!BF366,'Raw Data'!BH366,'Raw Data'!BJ366,'Raw Data'!BL366),"")</f>
        <v/>
      </c>
      <c r="V379" s="14">
        <f>IF('Raw Data'!A366&lt;&gt;"",AVERAGE('Raw Data'!BE366,'Raw Data'!BG366,'Raw Data'!BI366,'Raw Data'!BK366,'Raw Data'!BM366),"")</f>
        <v/>
      </c>
      <c r="W379" s="14">
        <f>IF(U379&lt;&gt;"",U379-V379,"")</f>
        <v/>
      </c>
      <c r="X379" s="14">
        <f>IF(A379&lt;&gt;"",AVERAGE(F379,I379,L379,O379,R379,U379),"")</f>
        <v/>
      </c>
      <c r="Y379" s="14">
        <f>IF(A379&lt;&gt;"",AVERAGE(G379,J379,M379,P379,S379,V379),"")</f>
        <v/>
      </c>
      <c r="Z379" s="14">
        <f>IF(A379&lt;&gt;"",X379-Y379,"")</f>
        <v/>
      </c>
      <c r="AA379" s="15">
        <f>IF(A379&lt;&gt;"",ROUND(MIN(100,100*((MAX(0,K379)*0.25)+(MAX(0,Q379)*0.20)+(MAX(0,W379)*0.20)+(MAX(0,H379)*0.15)+(MAX(0,N379)*0.10)+(MAX(0,T379)*0.10))/9),1),"")</f>
        <v/>
      </c>
      <c r="AB379" s="28">
        <f>IF(A379&lt;&gt;"",MIN(1,(0.5*AA379/100)+(0.3*MAX(0,K379)/9)+(0.2*MAX(0,Q379)/9)),"")</f>
        <v/>
      </c>
    </row>
    <row r="380">
      <c r="A380" s="13">
        <f>IF('Raw Data'!A367&lt;&gt;"",'Raw Data'!A367,"")</f>
        <v/>
      </c>
      <c r="B380" s="13">
        <f>IF('Raw Data'!B367&lt;&gt;"",'Raw Data'!B367,"")</f>
        <v/>
      </c>
      <c r="C380" s="13">
        <f>IF('Raw Data'!C367&lt;&gt;"",'Raw Data'!C367,"")</f>
        <v/>
      </c>
      <c r="D380" s="13">
        <f>IF('Raw Data'!D367&lt;&gt;"",'Raw Data'!D367,"")</f>
        <v/>
      </c>
      <c r="E380" s="13">
        <f>IF('Raw Data'!E367&lt;&gt;"",'Raw Data'!E367,"")</f>
        <v/>
      </c>
      <c r="F380" s="17">
        <f>IF('Raw Data'!A367&lt;&gt;"",AVERAGE('Raw Data'!F367,'Raw Data'!H367,'Raw Data'!J367,'Raw Data'!L367,'Raw Data'!N367),"")</f>
        <v/>
      </c>
      <c r="G380" s="17">
        <f>IF('Raw Data'!A367&lt;&gt;"",AVERAGE('Raw Data'!G367,'Raw Data'!I367,'Raw Data'!K367,'Raw Data'!M367,'Raw Data'!O367),"")</f>
        <v/>
      </c>
      <c r="H380" s="17">
        <f>IF(F380&lt;&gt;"",F380-G380,"")</f>
        <v/>
      </c>
      <c r="I380" s="17">
        <f>IF('Raw Data'!A367&lt;&gt;"",AVERAGE('Raw Data'!P367,'Raw Data'!R367,'Raw Data'!T367,'Raw Data'!V367,'Raw Data'!X367),"")</f>
        <v/>
      </c>
      <c r="J380" s="17">
        <f>IF('Raw Data'!A367&lt;&gt;"",AVERAGE('Raw Data'!Q367,'Raw Data'!S367,'Raw Data'!U367,'Raw Data'!W367,'Raw Data'!Y367),"")</f>
        <v/>
      </c>
      <c r="K380" s="17">
        <f>IF(I380&lt;&gt;"",I380-J380,"")</f>
        <v/>
      </c>
      <c r="L380" s="17">
        <f>IF('Raw Data'!A367&lt;&gt;"",AVERAGE('Raw Data'!Z367,'Raw Data'!AB367,'Raw Data'!AD367,'Raw Data'!AF367,'Raw Data'!AH367),"")</f>
        <v/>
      </c>
      <c r="M380" s="17">
        <f>IF('Raw Data'!A367&lt;&gt;"",AVERAGE('Raw Data'!AA367,'Raw Data'!AC367,'Raw Data'!AE367,'Raw Data'!AG367,'Raw Data'!AI367),"")</f>
        <v/>
      </c>
      <c r="N380" s="17">
        <f>IF(L380&lt;&gt;"",L380-M380,"")</f>
        <v/>
      </c>
      <c r="O380" s="17">
        <f>IF('Raw Data'!A367&lt;&gt;"",AVERAGE('Raw Data'!AJ367,'Raw Data'!AL367,'Raw Data'!AN367,'Raw Data'!AP367,'Raw Data'!AR367),"")</f>
        <v/>
      </c>
      <c r="P380" s="17">
        <f>IF('Raw Data'!A367&lt;&gt;"",AVERAGE('Raw Data'!AK367,'Raw Data'!AM367,'Raw Data'!AO367,'Raw Data'!AQ367,'Raw Data'!AS367),"")</f>
        <v/>
      </c>
      <c r="Q380" s="17">
        <f>IF(O380&lt;&gt;"",O380-P380,"")</f>
        <v/>
      </c>
      <c r="R380" s="17">
        <f>IF('Raw Data'!A367&lt;&gt;"",AVERAGE('Raw Data'!AT367,'Raw Data'!AV367,'Raw Data'!AX367,'Raw Data'!AZ367,'Raw Data'!BB367),"")</f>
        <v/>
      </c>
      <c r="S380" s="17">
        <f>IF('Raw Data'!A367&lt;&gt;"",AVERAGE('Raw Data'!AU367,'Raw Data'!AW367,'Raw Data'!AY367,'Raw Data'!BA367,'Raw Data'!BC367),"")</f>
        <v/>
      </c>
      <c r="T380" s="17">
        <f>IF(R380&lt;&gt;"",R380-S380,"")</f>
        <v/>
      </c>
      <c r="U380" s="17">
        <f>IF('Raw Data'!A367&lt;&gt;"",AVERAGE('Raw Data'!BD367,'Raw Data'!BF367,'Raw Data'!BH367,'Raw Data'!BJ367,'Raw Data'!BL367),"")</f>
        <v/>
      </c>
      <c r="V380" s="17">
        <f>IF('Raw Data'!A367&lt;&gt;"",AVERAGE('Raw Data'!BE367,'Raw Data'!BG367,'Raw Data'!BI367,'Raw Data'!BK367,'Raw Data'!BM367),"")</f>
        <v/>
      </c>
      <c r="W380" s="17">
        <f>IF(U380&lt;&gt;"",U380-V380,"")</f>
        <v/>
      </c>
      <c r="X380" s="17">
        <f>IF(A380&lt;&gt;"",AVERAGE(F380,I380,L380,O380,R380,U380),"")</f>
        <v/>
      </c>
      <c r="Y380" s="17">
        <f>IF(A380&lt;&gt;"",AVERAGE(G380,J380,M380,P380,S380,V380),"")</f>
        <v/>
      </c>
      <c r="Z380" s="17">
        <f>IF(A380&lt;&gt;"",X380-Y380,"")</f>
        <v/>
      </c>
      <c r="AA380" s="18">
        <f>IF(A380&lt;&gt;"",ROUND(MIN(100,100*((MAX(0,K380)*0.25)+(MAX(0,Q380)*0.20)+(MAX(0,W380)*0.20)+(MAX(0,H380)*0.15)+(MAX(0,N380)*0.10)+(MAX(0,T380)*0.10))/9),1),"")</f>
        <v/>
      </c>
      <c r="AB380" s="29">
        <f>IF(A380&lt;&gt;"",MIN(1,(0.5*AA380/100)+(0.3*MAX(0,K380)/9)+(0.2*MAX(0,Q380)/9)),"")</f>
        <v/>
      </c>
    </row>
    <row r="381">
      <c r="A381" s="4">
        <f>IF('Raw Data'!A368&lt;&gt;"",'Raw Data'!A368,"")</f>
        <v/>
      </c>
      <c r="B381" s="4">
        <f>IF('Raw Data'!B368&lt;&gt;"",'Raw Data'!B368,"")</f>
        <v/>
      </c>
      <c r="C381" s="4">
        <f>IF('Raw Data'!C368&lt;&gt;"",'Raw Data'!C368,"")</f>
        <v/>
      </c>
      <c r="D381" s="4">
        <f>IF('Raw Data'!D368&lt;&gt;"",'Raw Data'!D368,"")</f>
        <v/>
      </c>
      <c r="E381" s="4">
        <f>IF('Raw Data'!E368&lt;&gt;"",'Raw Data'!E368,"")</f>
        <v/>
      </c>
      <c r="F381" s="14">
        <f>IF('Raw Data'!A368&lt;&gt;"",AVERAGE('Raw Data'!F368,'Raw Data'!H368,'Raw Data'!J368,'Raw Data'!L368,'Raw Data'!N368),"")</f>
        <v/>
      </c>
      <c r="G381" s="14">
        <f>IF('Raw Data'!A368&lt;&gt;"",AVERAGE('Raw Data'!G368,'Raw Data'!I368,'Raw Data'!K368,'Raw Data'!M368,'Raw Data'!O368),"")</f>
        <v/>
      </c>
      <c r="H381" s="14">
        <f>IF(F381&lt;&gt;"",F381-G381,"")</f>
        <v/>
      </c>
      <c r="I381" s="14">
        <f>IF('Raw Data'!A368&lt;&gt;"",AVERAGE('Raw Data'!P368,'Raw Data'!R368,'Raw Data'!T368,'Raw Data'!V368,'Raw Data'!X368),"")</f>
        <v/>
      </c>
      <c r="J381" s="14">
        <f>IF('Raw Data'!A368&lt;&gt;"",AVERAGE('Raw Data'!Q368,'Raw Data'!S368,'Raw Data'!U368,'Raw Data'!W368,'Raw Data'!Y368),"")</f>
        <v/>
      </c>
      <c r="K381" s="14">
        <f>IF(I381&lt;&gt;"",I381-J381,"")</f>
        <v/>
      </c>
      <c r="L381" s="14">
        <f>IF('Raw Data'!A368&lt;&gt;"",AVERAGE('Raw Data'!Z368,'Raw Data'!AB368,'Raw Data'!AD368,'Raw Data'!AF368,'Raw Data'!AH368),"")</f>
        <v/>
      </c>
      <c r="M381" s="14">
        <f>IF('Raw Data'!A368&lt;&gt;"",AVERAGE('Raw Data'!AA368,'Raw Data'!AC368,'Raw Data'!AE368,'Raw Data'!AG368,'Raw Data'!AI368),"")</f>
        <v/>
      </c>
      <c r="N381" s="14">
        <f>IF(L381&lt;&gt;"",L381-M381,"")</f>
        <v/>
      </c>
      <c r="O381" s="14">
        <f>IF('Raw Data'!A368&lt;&gt;"",AVERAGE('Raw Data'!AJ368,'Raw Data'!AL368,'Raw Data'!AN368,'Raw Data'!AP368,'Raw Data'!AR368),"")</f>
        <v/>
      </c>
      <c r="P381" s="14">
        <f>IF('Raw Data'!A368&lt;&gt;"",AVERAGE('Raw Data'!AK368,'Raw Data'!AM368,'Raw Data'!AO368,'Raw Data'!AQ368,'Raw Data'!AS368),"")</f>
        <v/>
      </c>
      <c r="Q381" s="14">
        <f>IF(O381&lt;&gt;"",O381-P381,"")</f>
        <v/>
      </c>
      <c r="R381" s="14">
        <f>IF('Raw Data'!A368&lt;&gt;"",AVERAGE('Raw Data'!AT368,'Raw Data'!AV368,'Raw Data'!AX368,'Raw Data'!AZ368,'Raw Data'!BB368),"")</f>
        <v/>
      </c>
      <c r="S381" s="14">
        <f>IF('Raw Data'!A368&lt;&gt;"",AVERAGE('Raw Data'!AU368,'Raw Data'!AW368,'Raw Data'!AY368,'Raw Data'!BA368,'Raw Data'!BC368),"")</f>
        <v/>
      </c>
      <c r="T381" s="14">
        <f>IF(R381&lt;&gt;"",R381-S381,"")</f>
        <v/>
      </c>
      <c r="U381" s="14">
        <f>IF('Raw Data'!A368&lt;&gt;"",AVERAGE('Raw Data'!BD368,'Raw Data'!BF368,'Raw Data'!BH368,'Raw Data'!BJ368,'Raw Data'!BL368),"")</f>
        <v/>
      </c>
      <c r="V381" s="14">
        <f>IF('Raw Data'!A368&lt;&gt;"",AVERAGE('Raw Data'!BE368,'Raw Data'!BG368,'Raw Data'!BI368,'Raw Data'!BK368,'Raw Data'!BM368),"")</f>
        <v/>
      </c>
      <c r="W381" s="14">
        <f>IF(U381&lt;&gt;"",U381-V381,"")</f>
        <v/>
      </c>
      <c r="X381" s="14">
        <f>IF(A381&lt;&gt;"",AVERAGE(F381,I381,L381,O381,R381,U381),"")</f>
        <v/>
      </c>
      <c r="Y381" s="14">
        <f>IF(A381&lt;&gt;"",AVERAGE(G381,J381,M381,P381,S381,V381),"")</f>
        <v/>
      </c>
      <c r="Z381" s="14">
        <f>IF(A381&lt;&gt;"",X381-Y381,"")</f>
        <v/>
      </c>
      <c r="AA381" s="15">
        <f>IF(A381&lt;&gt;"",ROUND(MIN(100,100*((MAX(0,K381)*0.25)+(MAX(0,Q381)*0.20)+(MAX(0,W381)*0.20)+(MAX(0,H381)*0.15)+(MAX(0,N381)*0.10)+(MAX(0,T381)*0.10))/9),1),"")</f>
        <v/>
      </c>
      <c r="AB381" s="28">
        <f>IF(A381&lt;&gt;"",MIN(1,(0.5*AA381/100)+(0.3*MAX(0,K381)/9)+(0.2*MAX(0,Q381)/9)),"")</f>
        <v/>
      </c>
    </row>
    <row r="382">
      <c r="A382" s="13">
        <f>IF('Raw Data'!A369&lt;&gt;"",'Raw Data'!A369,"")</f>
        <v/>
      </c>
      <c r="B382" s="13">
        <f>IF('Raw Data'!B369&lt;&gt;"",'Raw Data'!B369,"")</f>
        <v/>
      </c>
      <c r="C382" s="13">
        <f>IF('Raw Data'!C369&lt;&gt;"",'Raw Data'!C369,"")</f>
        <v/>
      </c>
      <c r="D382" s="13">
        <f>IF('Raw Data'!D369&lt;&gt;"",'Raw Data'!D369,"")</f>
        <v/>
      </c>
      <c r="E382" s="13">
        <f>IF('Raw Data'!E369&lt;&gt;"",'Raw Data'!E369,"")</f>
        <v/>
      </c>
      <c r="F382" s="17">
        <f>IF('Raw Data'!A369&lt;&gt;"",AVERAGE('Raw Data'!F369,'Raw Data'!H369,'Raw Data'!J369,'Raw Data'!L369,'Raw Data'!N369),"")</f>
        <v/>
      </c>
      <c r="G382" s="17">
        <f>IF('Raw Data'!A369&lt;&gt;"",AVERAGE('Raw Data'!G369,'Raw Data'!I369,'Raw Data'!K369,'Raw Data'!M369,'Raw Data'!O369),"")</f>
        <v/>
      </c>
      <c r="H382" s="17">
        <f>IF(F382&lt;&gt;"",F382-G382,"")</f>
        <v/>
      </c>
      <c r="I382" s="17">
        <f>IF('Raw Data'!A369&lt;&gt;"",AVERAGE('Raw Data'!P369,'Raw Data'!R369,'Raw Data'!T369,'Raw Data'!V369,'Raw Data'!X369),"")</f>
        <v/>
      </c>
      <c r="J382" s="17">
        <f>IF('Raw Data'!A369&lt;&gt;"",AVERAGE('Raw Data'!Q369,'Raw Data'!S369,'Raw Data'!U369,'Raw Data'!W369,'Raw Data'!Y369),"")</f>
        <v/>
      </c>
      <c r="K382" s="17">
        <f>IF(I382&lt;&gt;"",I382-J382,"")</f>
        <v/>
      </c>
      <c r="L382" s="17">
        <f>IF('Raw Data'!A369&lt;&gt;"",AVERAGE('Raw Data'!Z369,'Raw Data'!AB369,'Raw Data'!AD369,'Raw Data'!AF369,'Raw Data'!AH369),"")</f>
        <v/>
      </c>
      <c r="M382" s="17">
        <f>IF('Raw Data'!A369&lt;&gt;"",AVERAGE('Raw Data'!AA369,'Raw Data'!AC369,'Raw Data'!AE369,'Raw Data'!AG369,'Raw Data'!AI369),"")</f>
        <v/>
      </c>
      <c r="N382" s="17">
        <f>IF(L382&lt;&gt;"",L382-M382,"")</f>
        <v/>
      </c>
      <c r="O382" s="17">
        <f>IF('Raw Data'!A369&lt;&gt;"",AVERAGE('Raw Data'!AJ369,'Raw Data'!AL369,'Raw Data'!AN369,'Raw Data'!AP369,'Raw Data'!AR369),"")</f>
        <v/>
      </c>
      <c r="P382" s="17">
        <f>IF('Raw Data'!A369&lt;&gt;"",AVERAGE('Raw Data'!AK369,'Raw Data'!AM369,'Raw Data'!AO369,'Raw Data'!AQ369,'Raw Data'!AS369),"")</f>
        <v/>
      </c>
      <c r="Q382" s="17">
        <f>IF(O382&lt;&gt;"",O382-P382,"")</f>
        <v/>
      </c>
      <c r="R382" s="17">
        <f>IF('Raw Data'!A369&lt;&gt;"",AVERAGE('Raw Data'!AT369,'Raw Data'!AV369,'Raw Data'!AX369,'Raw Data'!AZ369,'Raw Data'!BB369),"")</f>
        <v/>
      </c>
      <c r="S382" s="17">
        <f>IF('Raw Data'!A369&lt;&gt;"",AVERAGE('Raw Data'!AU369,'Raw Data'!AW369,'Raw Data'!AY369,'Raw Data'!BA369,'Raw Data'!BC369),"")</f>
        <v/>
      </c>
      <c r="T382" s="17">
        <f>IF(R382&lt;&gt;"",R382-S382,"")</f>
        <v/>
      </c>
      <c r="U382" s="17">
        <f>IF('Raw Data'!A369&lt;&gt;"",AVERAGE('Raw Data'!BD369,'Raw Data'!BF369,'Raw Data'!BH369,'Raw Data'!BJ369,'Raw Data'!BL369),"")</f>
        <v/>
      </c>
      <c r="V382" s="17">
        <f>IF('Raw Data'!A369&lt;&gt;"",AVERAGE('Raw Data'!BE369,'Raw Data'!BG369,'Raw Data'!BI369,'Raw Data'!BK369,'Raw Data'!BM369),"")</f>
        <v/>
      </c>
      <c r="W382" s="17">
        <f>IF(U382&lt;&gt;"",U382-V382,"")</f>
        <v/>
      </c>
      <c r="X382" s="17">
        <f>IF(A382&lt;&gt;"",AVERAGE(F382,I382,L382,O382,R382,U382),"")</f>
        <v/>
      </c>
      <c r="Y382" s="17">
        <f>IF(A382&lt;&gt;"",AVERAGE(G382,J382,M382,P382,S382,V382),"")</f>
        <v/>
      </c>
      <c r="Z382" s="17">
        <f>IF(A382&lt;&gt;"",X382-Y382,"")</f>
        <v/>
      </c>
      <c r="AA382" s="18">
        <f>IF(A382&lt;&gt;"",ROUND(MIN(100,100*((MAX(0,K382)*0.25)+(MAX(0,Q382)*0.20)+(MAX(0,W382)*0.20)+(MAX(0,H382)*0.15)+(MAX(0,N382)*0.10)+(MAX(0,T382)*0.10))/9),1),"")</f>
        <v/>
      </c>
      <c r="AB382" s="29">
        <f>IF(A382&lt;&gt;"",MIN(1,(0.5*AA382/100)+(0.3*MAX(0,K382)/9)+(0.2*MAX(0,Q382)/9)),"")</f>
        <v/>
      </c>
    </row>
    <row r="383">
      <c r="A383" s="4">
        <f>IF('Raw Data'!A370&lt;&gt;"",'Raw Data'!A370,"")</f>
        <v/>
      </c>
      <c r="B383" s="4">
        <f>IF('Raw Data'!B370&lt;&gt;"",'Raw Data'!B370,"")</f>
        <v/>
      </c>
      <c r="C383" s="4">
        <f>IF('Raw Data'!C370&lt;&gt;"",'Raw Data'!C370,"")</f>
        <v/>
      </c>
      <c r="D383" s="4">
        <f>IF('Raw Data'!D370&lt;&gt;"",'Raw Data'!D370,"")</f>
        <v/>
      </c>
      <c r="E383" s="4">
        <f>IF('Raw Data'!E370&lt;&gt;"",'Raw Data'!E370,"")</f>
        <v/>
      </c>
      <c r="F383" s="14">
        <f>IF('Raw Data'!A370&lt;&gt;"",AVERAGE('Raw Data'!F370,'Raw Data'!H370,'Raw Data'!J370,'Raw Data'!L370,'Raw Data'!N370),"")</f>
        <v/>
      </c>
      <c r="G383" s="14">
        <f>IF('Raw Data'!A370&lt;&gt;"",AVERAGE('Raw Data'!G370,'Raw Data'!I370,'Raw Data'!K370,'Raw Data'!M370,'Raw Data'!O370),"")</f>
        <v/>
      </c>
      <c r="H383" s="14">
        <f>IF(F383&lt;&gt;"",F383-G383,"")</f>
        <v/>
      </c>
      <c r="I383" s="14">
        <f>IF('Raw Data'!A370&lt;&gt;"",AVERAGE('Raw Data'!P370,'Raw Data'!R370,'Raw Data'!T370,'Raw Data'!V370,'Raw Data'!X370),"")</f>
        <v/>
      </c>
      <c r="J383" s="14">
        <f>IF('Raw Data'!A370&lt;&gt;"",AVERAGE('Raw Data'!Q370,'Raw Data'!S370,'Raw Data'!U370,'Raw Data'!W370,'Raw Data'!Y370),"")</f>
        <v/>
      </c>
      <c r="K383" s="14">
        <f>IF(I383&lt;&gt;"",I383-J383,"")</f>
        <v/>
      </c>
      <c r="L383" s="14">
        <f>IF('Raw Data'!A370&lt;&gt;"",AVERAGE('Raw Data'!Z370,'Raw Data'!AB370,'Raw Data'!AD370,'Raw Data'!AF370,'Raw Data'!AH370),"")</f>
        <v/>
      </c>
      <c r="M383" s="14">
        <f>IF('Raw Data'!A370&lt;&gt;"",AVERAGE('Raw Data'!AA370,'Raw Data'!AC370,'Raw Data'!AE370,'Raw Data'!AG370,'Raw Data'!AI370),"")</f>
        <v/>
      </c>
      <c r="N383" s="14">
        <f>IF(L383&lt;&gt;"",L383-M383,"")</f>
        <v/>
      </c>
      <c r="O383" s="14">
        <f>IF('Raw Data'!A370&lt;&gt;"",AVERAGE('Raw Data'!AJ370,'Raw Data'!AL370,'Raw Data'!AN370,'Raw Data'!AP370,'Raw Data'!AR370),"")</f>
        <v/>
      </c>
      <c r="P383" s="14">
        <f>IF('Raw Data'!A370&lt;&gt;"",AVERAGE('Raw Data'!AK370,'Raw Data'!AM370,'Raw Data'!AO370,'Raw Data'!AQ370,'Raw Data'!AS370),"")</f>
        <v/>
      </c>
      <c r="Q383" s="14">
        <f>IF(O383&lt;&gt;"",O383-P383,"")</f>
        <v/>
      </c>
      <c r="R383" s="14">
        <f>IF('Raw Data'!A370&lt;&gt;"",AVERAGE('Raw Data'!AT370,'Raw Data'!AV370,'Raw Data'!AX370,'Raw Data'!AZ370,'Raw Data'!BB370),"")</f>
        <v/>
      </c>
      <c r="S383" s="14">
        <f>IF('Raw Data'!A370&lt;&gt;"",AVERAGE('Raw Data'!AU370,'Raw Data'!AW370,'Raw Data'!AY370,'Raw Data'!BA370,'Raw Data'!BC370),"")</f>
        <v/>
      </c>
      <c r="T383" s="14">
        <f>IF(R383&lt;&gt;"",R383-S383,"")</f>
        <v/>
      </c>
      <c r="U383" s="14">
        <f>IF('Raw Data'!A370&lt;&gt;"",AVERAGE('Raw Data'!BD370,'Raw Data'!BF370,'Raw Data'!BH370,'Raw Data'!BJ370,'Raw Data'!BL370),"")</f>
        <v/>
      </c>
      <c r="V383" s="14">
        <f>IF('Raw Data'!A370&lt;&gt;"",AVERAGE('Raw Data'!BE370,'Raw Data'!BG370,'Raw Data'!BI370,'Raw Data'!BK370,'Raw Data'!BM370),"")</f>
        <v/>
      </c>
      <c r="W383" s="14">
        <f>IF(U383&lt;&gt;"",U383-V383,"")</f>
        <v/>
      </c>
      <c r="X383" s="14">
        <f>IF(A383&lt;&gt;"",AVERAGE(F383,I383,L383,O383,R383,U383),"")</f>
        <v/>
      </c>
      <c r="Y383" s="14">
        <f>IF(A383&lt;&gt;"",AVERAGE(G383,J383,M383,P383,S383,V383),"")</f>
        <v/>
      </c>
      <c r="Z383" s="14">
        <f>IF(A383&lt;&gt;"",X383-Y383,"")</f>
        <v/>
      </c>
      <c r="AA383" s="15">
        <f>IF(A383&lt;&gt;"",ROUND(MIN(100,100*((MAX(0,K383)*0.25)+(MAX(0,Q383)*0.20)+(MAX(0,W383)*0.20)+(MAX(0,H383)*0.15)+(MAX(0,N383)*0.10)+(MAX(0,T383)*0.10))/9),1),"")</f>
        <v/>
      </c>
      <c r="AB383" s="28">
        <f>IF(A383&lt;&gt;"",MIN(1,(0.5*AA383/100)+(0.3*MAX(0,K383)/9)+(0.2*MAX(0,Q383)/9)),"")</f>
        <v/>
      </c>
    </row>
    <row r="384">
      <c r="A384" s="13">
        <f>IF('Raw Data'!A371&lt;&gt;"",'Raw Data'!A371,"")</f>
        <v/>
      </c>
      <c r="B384" s="13">
        <f>IF('Raw Data'!B371&lt;&gt;"",'Raw Data'!B371,"")</f>
        <v/>
      </c>
      <c r="C384" s="13">
        <f>IF('Raw Data'!C371&lt;&gt;"",'Raw Data'!C371,"")</f>
        <v/>
      </c>
      <c r="D384" s="13">
        <f>IF('Raw Data'!D371&lt;&gt;"",'Raw Data'!D371,"")</f>
        <v/>
      </c>
      <c r="E384" s="13">
        <f>IF('Raw Data'!E371&lt;&gt;"",'Raw Data'!E371,"")</f>
        <v/>
      </c>
      <c r="F384" s="17">
        <f>IF('Raw Data'!A371&lt;&gt;"",AVERAGE('Raw Data'!F371,'Raw Data'!H371,'Raw Data'!J371,'Raw Data'!L371,'Raw Data'!N371),"")</f>
        <v/>
      </c>
      <c r="G384" s="17">
        <f>IF('Raw Data'!A371&lt;&gt;"",AVERAGE('Raw Data'!G371,'Raw Data'!I371,'Raw Data'!K371,'Raw Data'!M371,'Raw Data'!O371),"")</f>
        <v/>
      </c>
      <c r="H384" s="17">
        <f>IF(F384&lt;&gt;"",F384-G384,"")</f>
        <v/>
      </c>
      <c r="I384" s="17">
        <f>IF('Raw Data'!A371&lt;&gt;"",AVERAGE('Raw Data'!P371,'Raw Data'!R371,'Raw Data'!T371,'Raw Data'!V371,'Raw Data'!X371),"")</f>
        <v/>
      </c>
      <c r="J384" s="17">
        <f>IF('Raw Data'!A371&lt;&gt;"",AVERAGE('Raw Data'!Q371,'Raw Data'!S371,'Raw Data'!U371,'Raw Data'!W371,'Raw Data'!Y371),"")</f>
        <v/>
      </c>
      <c r="K384" s="17">
        <f>IF(I384&lt;&gt;"",I384-J384,"")</f>
        <v/>
      </c>
      <c r="L384" s="17">
        <f>IF('Raw Data'!A371&lt;&gt;"",AVERAGE('Raw Data'!Z371,'Raw Data'!AB371,'Raw Data'!AD371,'Raw Data'!AF371,'Raw Data'!AH371),"")</f>
        <v/>
      </c>
      <c r="M384" s="17">
        <f>IF('Raw Data'!A371&lt;&gt;"",AVERAGE('Raw Data'!AA371,'Raw Data'!AC371,'Raw Data'!AE371,'Raw Data'!AG371,'Raw Data'!AI371),"")</f>
        <v/>
      </c>
      <c r="N384" s="17">
        <f>IF(L384&lt;&gt;"",L384-M384,"")</f>
        <v/>
      </c>
      <c r="O384" s="17">
        <f>IF('Raw Data'!A371&lt;&gt;"",AVERAGE('Raw Data'!AJ371,'Raw Data'!AL371,'Raw Data'!AN371,'Raw Data'!AP371,'Raw Data'!AR371),"")</f>
        <v/>
      </c>
      <c r="P384" s="17">
        <f>IF('Raw Data'!A371&lt;&gt;"",AVERAGE('Raw Data'!AK371,'Raw Data'!AM371,'Raw Data'!AO371,'Raw Data'!AQ371,'Raw Data'!AS371),"")</f>
        <v/>
      </c>
      <c r="Q384" s="17">
        <f>IF(O384&lt;&gt;"",O384-P384,"")</f>
        <v/>
      </c>
      <c r="R384" s="17">
        <f>IF('Raw Data'!A371&lt;&gt;"",AVERAGE('Raw Data'!AT371,'Raw Data'!AV371,'Raw Data'!AX371,'Raw Data'!AZ371,'Raw Data'!BB371),"")</f>
        <v/>
      </c>
      <c r="S384" s="17">
        <f>IF('Raw Data'!A371&lt;&gt;"",AVERAGE('Raw Data'!AU371,'Raw Data'!AW371,'Raw Data'!AY371,'Raw Data'!BA371,'Raw Data'!BC371),"")</f>
        <v/>
      </c>
      <c r="T384" s="17">
        <f>IF(R384&lt;&gt;"",R384-S384,"")</f>
        <v/>
      </c>
      <c r="U384" s="17">
        <f>IF('Raw Data'!A371&lt;&gt;"",AVERAGE('Raw Data'!BD371,'Raw Data'!BF371,'Raw Data'!BH371,'Raw Data'!BJ371,'Raw Data'!BL371),"")</f>
        <v/>
      </c>
      <c r="V384" s="17">
        <f>IF('Raw Data'!A371&lt;&gt;"",AVERAGE('Raw Data'!BE371,'Raw Data'!BG371,'Raw Data'!BI371,'Raw Data'!BK371,'Raw Data'!BM371),"")</f>
        <v/>
      </c>
      <c r="W384" s="17">
        <f>IF(U384&lt;&gt;"",U384-V384,"")</f>
        <v/>
      </c>
      <c r="X384" s="17">
        <f>IF(A384&lt;&gt;"",AVERAGE(F384,I384,L384,O384,R384,U384),"")</f>
        <v/>
      </c>
      <c r="Y384" s="17">
        <f>IF(A384&lt;&gt;"",AVERAGE(G384,J384,M384,P384,S384,V384),"")</f>
        <v/>
      </c>
      <c r="Z384" s="17">
        <f>IF(A384&lt;&gt;"",X384-Y384,"")</f>
        <v/>
      </c>
      <c r="AA384" s="18">
        <f>IF(A384&lt;&gt;"",ROUND(MIN(100,100*((MAX(0,K384)*0.25)+(MAX(0,Q384)*0.20)+(MAX(0,W384)*0.20)+(MAX(0,H384)*0.15)+(MAX(0,N384)*0.10)+(MAX(0,T384)*0.10))/9),1),"")</f>
        <v/>
      </c>
      <c r="AB384" s="29">
        <f>IF(A384&lt;&gt;"",MIN(1,(0.5*AA384/100)+(0.3*MAX(0,K384)/9)+(0.2*MAX(0,Q384)/9)),"")</f>
        <v/>
      </c>
    </row>
    <row r="385">
      <c r="A385" s="4">
        <f>IF('Raw Data'!A372&lt;&gt;"",'Raw Data'!A372,"")</f>
        <v/>
      </c>
      <c r="B385" s="4">
        <f>IF('Raw Data'!B372&lt;&gt;"",'Raw Data'!B372,"")</f>
        <v/>
      </c>
      <c r="C385" s="4">
        <f>IF('Raw Data'!C372&lt;&gt;"",'Raw Data'!C372,"")</f>
        <v/>
      </c>
      <c r="D385" s="4">
        <f>IF('Raw Data'!D372&lt;&gt;"",'Raw Data'!D372,"")</f>
        <v/>
      </c>
      <c r="E385" s="4">
        <f>IF('Raw Data'!E372&lt;&gt;"",'Raw Data'!E372,"")</f>
        <v/>
      </c>
      <c r="F385" s="14">
        <f>IF('Raw Data'!A372&lt;&gt;"",AVERAGE('Raw Data'!F372,'Raw Data'!H372,'Raw Data'!J372,'Raw Data'!L372,'Raw Data'!N372),"")</f>
        <v/>
      </c>
      <c r="G385" s="14">
        <f>IF('Raw Data'!A372&lt;&gt;"",AVERAGE('Raw Data'!G372,'Raw Data'!I372,'Raw Data'!K372,'Raw Data'!M372,'Raw Data'!O372),"")</f>
        <v/>
      </c>
      <c r="H385" s="14">
        <f>IF(F385&lt;&gt;"",F385-G385,"")</f>
        <v/>
      </c>
      <c r="I385" s="14">
        <f>IF('Raw Data'!A372&lt;&gt;"",AVERAGE('Raw Data'!P372,'Raw Data'!R372,'Raw Data'!T372,'Raw Data'!V372,'Raw Data'!X372),"")</f>
        <v/>
      </c>
      <c r="J385" s="14">
        <f>IF('Raw Data'!A372&lt;&gt;"",AVERAGE('Raw Data'!Q372,'Raw Data'!S372,'Raw Data'!U372,'Raw Data'!W372,'Raw Data'!Y372),"")</f>
        <v/>
      </c>
      <c r="K385" s="14">
        <f>IF(I385&lt;&gt;"",I385-J385,"")</f>
        <v/>
      </c>
      <c r="L385" s="14">
        <f>IF('Raw Data'!A372&lt;&gt;"",AVERAGE('Raw Data'!Z372,'Raw Data'!AB372,'Raw Data'!AD372,'Raw Data'!AF372,'Raw Data'!AH372),"")</f>
        <v/>
      </c>
      <c r="M385" s="14">
        <f>IF('Raw Data'!A372&lt;&gt;"",AVERAGE('Raw Data'!AA372,'Raw Data'!AC372,'Raw Data'!AE372,'Raw Data'!AG372,'Raw Data'!AI372),"")</f>
        <v/>
      </c>
      <c r="N385" s="14">
        <f>IF(L385&lt;&gt;"",L385-M385,"")</f>
        <v/>
      </c>
      <c r="O385" s="14">
        <f>IF('Raw Data'!A372&lt;&gt;"",AVERAGE('Raw Data'!AJ372,'Raw Data'!AL372,'Raw Data'!AN372,'Raw Data'!AP372,'Raw Data'!AR372),"")</f>
        <v/>
      </c>
      <c r="P385" s="14">
        <f>IF('Raw Data'!A372&lt;&gt;"",AVERAGE('Raw Data'!AK372,'Raw Data'!AM372,'Raw Data'!AO372,'Raw Data'!AQ372,'Raw Data'!AS372),"")</f>
        <v/>
      </c>
      <c r="Q385" s="14">
        <f>IF(O385&lt;&gt;"",O385-P385,"")</f>
        <v/>
      </c>
      <c r="R385" s="14">
        <f>IF('Raw Data'!A372&lt;&gt;"",AVERAGE('Raw Data'!AT372,'Raw Data'!AV372,'Raw Data'!AX372,'Raw Data'!AZ372,'Raw Data'!BB372),"")</f>
        <v/>
      </c>
      <c r="S385" s="14">
        <f>IF('Raw Data'!A372&lt;&gt;"",AVERAGE('Raw Data'!AU372,'Raw Data'!AW372,'Raw Data'!AY372,'Raw Data'!BA372,'Raw Data'!BC372),"")</f>
        <v/>
      </c>
      <c r="T385" s="14">
        <f>IF(R385&lt;&gt;"",R385-S385,"")</f>
        <v/>
      </c>
      <c r="U385" s="14">
        <f>IF('Raw Data'!A372&lt;&gt;"",AVERAGE('Raw Data'!BD372,'Raw Data'!BF372,'Raw Data'!BH372,'Raw Data'!BJ372,'Raw Data'!BL372),"")</f>
        <v/>
      </c>
      <c r="V385" s="14">
        <f>IF('Raw Data'!A372&lt;&gt;"",AVERAGE('Raw Data'!BE372,'Raw Data'!BG372,'Raw Data'!BI372,'Raw Data'!BK372,'Raw Data'!BM372),"")</f>
        <v/>
      </c>
      <c r="W385" s="14">
        <f>IF(U385&lt;&gt;"",U385-V385,"")</f>
        <v/>
      </c>
      <c r="X385" s="14">
        <f>IF(A385&lt;&gt;"",AVERAGE(F385,I385,L385,O385,R385,U385),"")</f>
        <v/>
      </c>
      <c r="Y385" s="14">
        <f>IF(A385&lt;&gt;"",AVERAGE(G385,J385,M385,P385,S385,V385),"")</f>
        <v/>
      </c>
      <c r="Z385" s="14">
        <f>IF(A385&lt;&gt;"",X385-Y385,"")</f>
        <v/>
      </c>
      <c r="AA385" s="15">
        <f>IF(A385&lt;&gt;"",ROUND(MIN(100,100*((MAX(0,K385)*0.25)+(MAX(0,Q385)*0.20)+(MAX(0,W385)*0.20)+(MAX(0,H385)*0.15)+(MAX(0,N385)*0.10)+(MAX(0,T385)*0.10))/9),1),"")</f>
        <v/>
      </c>
      <c r="AB385" s="28">
        <f>IF(A385&lt;&gt;"",MIN(1,(0.5*AA385/100)+(0.3*MAX(0,K385)/9)+(0.2*MAX(0,Q385)/9)),"")</f>
        <v/>
      </c>
    </row>
    <row r="386">
      <c r="A386" s="13">
        <f>IF('Raw Data'!A373&lt;&gt;"",'Raw Data'!A373,"")</f>
        <v/>
      </c>
      <c r="B386" s="13">
        <f>IF('Raw Data'!B373&lt;&gt;"",'Raw Data'!B373,"")</f>
        <v/>
      </c>
      <c r="C386" s="13">
        <f>IF('Raw Data'!C373&lt;&gt;"",'Raw Data'!C373,"")</f>
        <v/>
      </c>
      <c r="D386" s="13">
        <f>IF('Raw Data'!D373&lt;&gt;"",'Raw Data'!D373,"")</f>
        <v/>
      </c>
      <c r="E386" s="13">
        <f>IF('Raw Data'!E373&lt;&gt;"",'Raw Data'!E373,"")</f>
        <v/>
      </c>
      <c r="F386" s="17">
        <f>IF('Raw Data'!A373&lt;&gt;"",AVERAGE('Raw Data'!F373,'Raw Data'!H373,'Raw Data'!J373,'Raw Data'!L373,'Raw Data'!N373),"")</f>
        <v/>
      </c>
      <c r="G386" s="17">
        <f>IF('Raw Data'!A373&lt;&gt;"",AVERAGE('Raw Data'!G373,'Raw Data'!I373,'Raw Data'!K373,'Raw Data'!M373,'Raw Data'!O373),"")</f>
        <v/>
      </c>
      <c r="H386" s="17">
        <f>IF(F386&lt;&gt;"",F386-G386,"")</f>
        <v/>
      </c>
      <c r="I386" s="17">
        <f>IF('Raw Data'!A373&lt;&gt;"",AVERAGE('Raw Data'!P373,'Raw Data'!R373,'Raw Data'!T373,'Raw Data'!V373,'Raw Data'!X373),"")</f>
        <v/>
      </c>
      <c r="J386" s="17">
        <f>IF('Raw Data'!A373&lt;&gt;"",AVERAGE('Raw Data'!Q373,'Raw Data'!S373,'Raw Data'!U373,'Raw Data'!W373,'Raw Data'!Y373),"")</f>
        <v/>
      </c>
      <c r="K386" s="17">
        <f>IF(I386&lt;&gt;"",I386-J386,"")</f>
        <v/>
      </c>
      <c r="L386" s="17">
        <f>IF('Raw Data'!A373&lt;&gt;"",AVERAGE('Raw Data'!Z373,'Raw Data'!AB373,'Raw Data'!AD373,'Raw Data'!AF373,'Raw Data'!AH373),"")</f>
        <v/>
      </c>
      <c r="M386" s="17">
        <f>IF('Raw Data'!A373&lt;&gt;"",AVERAGE('Raw Data'!AA373,'Raw Data'!AC373,'Raw Data'!AE373,'Raw Data'!AG373,'Raw Data'!AI373),"")</f>
        <v/>
      </c>
      <c r="N386" s="17">
        <f>IF(L386&lt;&gt;"",L386-M386,"")</f>
        <v/>
      </c>
      <c r="O386" s="17">
        <f>IF('Raw Data'!A373&lt;&gt;"",AVERAGE('Raw Data'!AJ373,'Raw Data'!AL373,'Raw Data'!AN373,'Raw Data'!AP373,'Raw Data'!AR373),"")</f>
        <v/>
      </c>
      <c r="P386" s="17">
        <f>IF('Raw Data'!A373&lt;&gt;"",AVERAGE('Raw Data'!AK373,'Raw Data'!AM373,'Raw Data'!AO373,'Raw Data'!AQ373,'Raw Data'!AS373),"")</f>
        <v/>
      </c>
      <c r="Q386" s="17">
        <f>IF(O386&lt;&gt;"",O386-P386,"")</f>
        <v/>
      </c>
      <c r="R386" s="17">
        <f>IF('Raw Data'!A373&lt;&gt;"",AVERAGE('Raw Data'!AT373,'Raw Data'!AV373,'Raw Data'!AX373,'Raw Data'!AZ373,'Raw Data'!BB373),"")</f>
        <v/>
      </c>
      <c r="S386" s="17">
        <f>IF('Raw Data'!A373&lt;&gt;"",AVERAGE('Raw Data'!AU373,'Raw Data'!AW373,'Raw Data'!AY373,'Raw Data'!BA373,'Raw Data'!BC373),"")</f>
        <v/>
      </c>
      <c r="T386" s="17">
        <f>IF(R386&lt;&gt;"",R386-S386,"")</f>
        <v/>
      </c>
      <c r="U386" s="17">
        <f>IF('Raw Data'!A373&lt;&gt;"",AVERAGE('Raw Data'!BD373,'Raw Data'!BF373,'Raw Data'!BH373,'Raw Data'!BJ373,'Raw Data'!BL373),"")</f>
        <v/>
      </c>
      <c r="V386" s="17">
        <f>IF('Raw Data'!A373&lt;&gt;"",AVERAGE('Raw Data'!BE373,'Raw Data'!BG373,'Raw Data'!BI373,'Raw Data'!BK373,'Raw Data'!BM373),"")</f>
        <v/>
      </c>
      <c r="W386" s="17">
        <f>IF(U386&lt;&gt;"",U386-V386,"")</f>
        <v/>
      </c>
      <c r="X386" s="17">
        <f>IF(A386&lt;&gt;"",AVERAGE(F386,I386,L386,O386,R386,U386),"")</f>
        <v/>
      </c>
      <c r="Y386" s="17">
        <f>IF(A386&lt;&gt;"",AVERAGE(G386,J386,M386,P386,S386,V386),"")</f>
        <v/>
      </c>
      <c r="Z386" s="17">
        <f>IF(A386&lt;&gt;"",X386-Y386,"")</f>
        <v/>
      </c>
      <c r="AA386" s="18">
        <f>IF(A386&lt;&gt;"",ROUND(MIN(100,100*((MAX(0,K386)*0.25)+(MAX(0,Q386)*0.20)+(MAX(0,W386)*0.20)+(MAX(0,H386)*0.15)+(MAX(0,N386)*0.10)+(MAX(0,T386)*0.10))/9),1),"")</f>
        <v/>
      </c>
      <c r="AB386" s="29">
        <f>IF(A386&lt;&gt;"",MIN(1,(0.5*AA386/100)+(0.3*MAX(0,K386)/9)+(0.2*MAX(0,Q386)/9)),"")</f>
        <v/>
      </c>
    </row>
    <row r="387">
      <c r="A387" s="4">
        <f>IF('Raw Data'!A374&lt;&gt;"",'Raw Data'!A374,"")</f>
        <v/>
      </c>
      <c r="B387" s="4">
        <f>IF('Raw Data'!B374&lt;&gt;"",'Raw Data'!B374,"")</f>
        <v/>
      </c>
      <c r="C387" s="4">
        <f>IF('Raw Data'!C374&lt;&gt;"",'Raw Data'!C374,"")</f>
        <v/>
      </c>
      <c r="D387" s="4">
        <f>IF('Raw Data'!D374&lt;&gt;"",'Raw Data'!D374,"")</f>
        <v/>
      </c>
      <c r="E387" s="4">
        <f>IF('Raw Data'!E374&lt;&gt;"",'Raw Data'!E374,"")</f>
        <v/>
      </c>
      <c r="F387" s="14">
        <f>IF('Raw Data'!A374&lt;&gt;"",AVERAGE('Raw Data'!F374,'Raw Data'!H374,'Raw Data'!J374,'Raw Data'!L374,'Raw Data'!N374),"")</f>
        <v/>
      </c>
      <c r="G387" s="14">
        <f>IF('Raw Data'!A374&lt;&gt;"",AVERAGE('Raw Data'!G374,'Raw Data'!I374,'Raw Data'!K374,'Raw Data'!M374,'Raw Data'!O374),"")</f>
        <v/>
      </c>
      <c r="H387" s="14">
        <f>IF(F387&lt;&gt;"",F387-G387,"")</f>
        <v/>
      </c>
      <c r="I387" s="14">
        <f>IF('Raw Data'!A374&lt;&gt;"",AVERAGE('Raw Data'!P374,'Raw Data'!R374,'Raw Data'!T374,'Raw Data'!V374,'Raw Data'!X374),"")</f>
        <v/>
      </c>
      <c r="J387" s="14">
        <f>IF('Raw Data'!A374&lt;&gt;"",AVERAGE('Raw Data'!Q374,'Raw Data'!S374,'Raw Data'!U374,'Raw Data'!W374,'Raw Data'!Y374),"")</f>
        <v/>
      </c>
      <c r="K387" s="14">
        <f>IF(I387&lt;&gt;"",I387-J387,"")</f>
        <v/>
      </c>
      <c r="L387" s="14">
        <f>IF('Raw Data'!A374&lt;&gt;"",AVERAGE('Raw Data'!Z374,'Raw Data'!AB374,'Raw Data'!AD374,'Raw Data'!AF374,'Raw Data'!AH374),"")</f>
        <v/>
      </c>
      <c r="M387" s="14">
        <f>IF('Raw Data'!A374&lt;&gt;"",AVERAGE('Raw Data'!AA374,'Raw Data'!AC374,'Raw Data'!AE374,'Raw Data'!AG374,'Raw Data'!AI374),"")</f>
        <v/>
      </c>
      <c r="N387" s="14">
        <f>IF(L387&lt;&gt;"",L387-M387,"")</f>
        <v/>
      </c>
      <c r="O387" s="14">
        <f>IF('Raw Data'!A374&lt;&gt;"",AVERAGE('Raw Data'!AJ374,'Raw Data'!AL374,'Raw Data'!AN374,'Raw Data'!AP374,'Raw Data'!AR374),"")</f>
        <v/>
      </c>
      <c r="P387" s="14">
        <f>IF('Raw Data'!A374&lt;&gt;"",AVERAGE('Raw Data'!AK374,'Raw Data'!AM374,'Raw Data'!AO374,'Raw Data'!AQ374,'Raw Data'!AS374),"")</f>
        <v/>
      </c>
      <c r="Q387" s="14">
        <f>IF(O387&lt;&gt;"",O387-P387,"")</f>
        <v/>
      </c>
      <c r="R387" s="14">
        <f>IF('Raw Data'!A374&lt;&gt;"",AVERAGE('Raw Data'!AT374,'Raw Data'!AV374,'Raw Data'!AX374,'Raw Data'!AZ374,'Raw Data'!BB374),"")</f>
        <v/>
      </c>
      <c r="S387" s="14">
        <f>IF('Raw Data'!A374&lt;&gt;"",AVERAGE('Raw Data'!AU374,'Raw Data'!AW374,'Raw Data'!AY374,'Raw Data'!BA374,'Raw Data'!BC374),"")</f>
        <v/>
      </c>
      <c r="T387" s="14">
        <f>IF(R387&lt;&gt;"",R387-S387,"")</f>
        <v/>
      </c>
      <c r="U387" s="14">
        <f>IF('Raw Data'!A374&lt;&gt;"",AVERAGE('Raw Data'!BD374,'Raw Data'!BF374,'Raw Data'!BH374,'Raw Data'!BJ374,'Raw Data'!BL374),"")</f>
        <v/>
      </c>
      <c r="V387" s="14">
        <f>IF('Raw Data'!A374&lt;&gt;"",AVERAGE('Raw Data'!BE374,'Raw Data'!BG374,'Raw Data'!BI374,'Raw Data'!BK374,'Raw Data'!BM374),"")</f>
        <v/>
      </c>
      <c r="W387" s="14">
        <f>IF(U387&lt;&gt;"",U387-V387,"")</f>
        <v/>
      </c>
      <c r="X387" s="14">
        <f>IF(A387&lt;&gt;"",AVERAGE(F387,I387,L387,O387,R387,U387),"")</f>
        <v/>
      </c>
      <c r="Y387" s="14">
        <f>IF(A387&lt;&gt;"",AVERAGE(G387,J387,M387,P387,S387,V387),"")</f>
        <v/>
      </c>
      <c r="Z387" s="14">
        <f>IF(A387&lt;&gt;"",X387-Y387,"")</f>
        <v/>
      </c>
      <c r="AA387" s="15">
        <f>IF(A387&lt;&gt;"",ROUND(MIN(100,100*((MAX(0,K387)*0.25)+(MAX(0,Q387)*0.20)+(MAX(0,W387)*0.20)+(MAX(0,H387)*0.15)+(MAX(0,N387)*0.10)+(MAX(0,T387)*0.10))/9),1),"")</f>
        <v/>
      </c>
      <c r="AB387" s="28">
        <f>IF(A387&lt;&gt;"",MIN(1,(0.5*AA387/100)+(0.3*MAX(0,K387)/9)+(0.2*MAX(0,Q387)/9)),"")</f>
        <v/>
      </c>
    </row>
    <row r="388">
      <c r="A388" s="13">
        <f>IF('Raw Data'!A375&lt;&gt;"",'Raw Data'!A375,"")</f>
        <v/>
      </c>
      <c r="B388" s="13">
        <f>IF('Raw Data'!B375&lt;&gt;"",'Raw Data'!B375,"")</f>
        <v/>
      </c>
      <c r="C388" s="13">
        <f>IF('Raw Data'!C375&lt;&gt;"",'Raw Data'!C375,"")</f>
        <v/>
      </c>
      <c r="D388" s="13">
        <f>IF('Raw Data'!D375&lt;&gt;"",'Raw Data'!D375,"")</f>
        <v/>
      </c>
      <c r="E388" s="13">
        <f>IF('Raw Data'!E375&lt;&gt;"",'Raw Data'!E375,"")</f>
        <v/>
      </c>
      <c r="F388" s="17">
        <f>IF('Raw Data'!A375&lt;&gt;"",AVERAGE('Raw Data'!F375,'Raw Data'!H375,'Raw Data'!J375,'Raw Data'!L375,'Raw Data'!N375),"")</f>
        <v/>
      </c>
      <c r="G388" s="17">
        <f>IF('Raw Data'!A375&lt;&gt;"",AVERAGE('Raw Data'!G375,'Raw Data'!I375,'Raw Data'!K375,'Raw Data'!M375,'Raw Data'!O375),"")</f>
        <v/>
      </c>
      <c r="H388" s="17">
        <f>IF(F388&lt;&gt;"",F388-G388,"")</f>
        <v/>
      </c>
      <c r="I388" s="17">
        <f>IF('Raw Data'!A375&lt;&gt;"",AVERAGE('Raw Data'!P375,'Raw Data'!R375,'Raw Data'!T375,'Raw Data'!V375,'Raw Data'!X375),"")</f>
        <v/>
      </c>
      <c r="J388" s="17">
        <f>IF('Raw Data'!A375&lt;&gt;"",AVERAGE('Raw Data'!Q375,'Raw Data'!S375,'Raw Data'!U375,'Raw Data'!W375,'Raw Data'!Y375),"")</f>
        <v/>
      </c>
      <c r="K388" s="17">
        <f>IF(I388&lt;&gt;"",I388-J388,"")</f>
        <v/>
      </c>
      <c r="L388" s="17">
        <f>IF('Raw Data'!A375&lt;&gt;"",AVERAGE('Raw Data'!Z375,'Raw Data'!AB375,'Raw Data'!AD375,'Raw Data'!AF375,'Raw Data'!AH375),"")</f>
        <v/>
      </c>
      <c r="M388" s="17">
        <f>IF('Raw Data'!A375&lt;&gt;"",AVERAGE('Raw Data'!AA375,'Raw Data'!AC375,'Raw Data'!AE375,'Raw Data'!AG375,'Raw Data'!AI375),"")</f>
        <v/>
      </c>
      <c r="N388" s="17">
        <f>IF(L388&lt;&gt;"",L388-M388,"")</f>
        <v/>
      </c>
      <c r="O388" s="17">
        <f>IF('Raw Data'!A375&lt;&gt;"",AVERAGE('Raw Data'!AJ375,'Raw Data'!AL375,'Raw Data'!AN375,'Raw Data'!AP375,'Raw Data'!AR375),"")</f>
        <v/>
      </c>
      <c r="P388" s="17">
        <f>IF('Raw Data'!A375&lt;&gt;"",AVERAGE('Raw Data'!AK375,'Raw Data'!AM375,'Raw Data'!AO375,'Raw Data'!AQ375,'Raw Data'!AS375),"")</f>
        <v/>
      </c>
      <c r="Q388" s="17">
        <f>IF(O388&lt;&gt;"",O388-P388,"")</f>
        <v/>
      </c>
      <c r="R388" s="17">
        <f>IF('Raw Data'!A375&lt;&gt;"",AVERAGE('Raw Data'!AT375,'Raw Data'!AV375,'Raw Data'!AX375,'Raw Data'!AZ375,'Raw Data'!BB375),"")</f>
        <v/>
      </c>
      <c r="S388" s="17">
        <f>IF('Raw Data'!A375&lt;&gt;"",AVERAGE('Raw Data'!AU375,'Raw Data'!AW375,'Raw Data'!AY375,'Raw Data'!BA375,'Raw Data'!BC375),"")</f>
        <v/>
      </c>
      <c r="T388" s="17">
        <f>IF(R388&lt;&gt;"",R388-S388,"")</f>
        <v/>
      </c>
      <c r="U388" s="17">
        <f>IF('Raw Data'!A375&lt;&gt;"",AVERAGE('Raw Data'!BD375,'Raw Data'!BF375,'Raw Data'!BH375,'Raw Data'!BJ375,'Raw Data'!BL375),"")</f>
        <v/>
      </c>
      <c r="V388" s="17">
        <f>IF('Raw Data'!A375&lt;&gt;"",AVERAGE('Raw Data'!BE375,'Raw Data'!BG375,'Raw Data'!BI375,'Raw Data'!BK375,'Raw Data'!BM375),"")</f>
        <v/>
      </c>
      <c r="W388" s="17">
        <f>IF(U388&lt;&gt;"",U388-V388,"")</f>
        <v/>
      </c>
      <c r="X388" s="17">
        <f>IF(A388&lt;&gt;"",AVERAGE(F388,I388,L388,O388,R388,U388),"")</f>
        <v/>
      </c>
      <c r="Y388" s="17">
        <f>IF(A388&lt;&gt;"",AVERAGE(G388,J388,M388,P388,S388,V388),"")</f>
        <v/>
      </c>
      <c r="Z388" s="17">
        <f>IF(A388&lt;&gt;"",X388-Y388,"")</f>
        <v/>
      </c>
      <c r="AA388" s="18">
        <f>IF(A388&lt;&gt;"",ROUND(MIN(100,100*((MAX(0,K388)*0.25)+(MAX(0,Q388)*0.20)+(MAX(0,W388)*0.20)+(MAX(0,H388)*0.15)+(MAX(0,N388)*0.10)+(MAX(0,T388)*0.10))/9),1),"")</f>
        <v/>
      </c>
      <c r="AB388" s="29">
        <f>IF(A388&lt;&gt;"",MIN(1,(0.5*AA388/100)+(0.3*MAX(0,K388)/9)+(0.2*MAX(0,Q388)/9)),"")</f>
        <v/>
      </c>
    </row>
    <row r="389">
      <c r="A389" s="4">
        <f>IF('Raw Data'!A376&lt;&gt;"",'Raw Data'!A376,"")</f>
        <v/>
      </c>
      <c r="B389" s="4">
        <f>IF('Raw Data'!B376&lt;&gt;"",'Raw Data'!B376,"")</f>
        <v/>
      </c>
      <c r="C389" s="4">
        <f>IF('Raw Data'!C376&lt;&gt;"",'Raw Data'!C376,"")</f>
        <v/>
      </c>
      <c r="D389" s="4">
        <f>IF('Raw Data'!D376&lt;&gt;"",'Raw Data'!D376,"")</f>
        <v/>
      </c>
      <c r="E389" s="4">
        <f>IF('Raw Data'!E376&lt;&gt;"",'Raw Data'!E376,"")</f>
        <v/>
      </c>
      <c r="F389" s="14">
        <f>IF('Raw Data'!A376&lt;&gt;"",AVERAGE('Raw Data'!F376,'Raw Data'!H376,'Raw Data'!J376,'Raw Data'!L376,'Raw Data'!N376),"")</f>
        <v/>
      </c>
      <c r="G389" s="14">
        <f>IF('Raw Data'!A376&lt;&gt;"",AVERAGE('Raw Data'!G376,'Raw Data'!I376,'Raw Data'!K376,'Raw Data'!M376,'Raw Data'!O376),"")</f>
        <v/>
      </c>
      <c r="H389" s="14">
        <f>IF(F389&lt;&gt;"",F389-G389,"")</f>
        <v/>
      </c>
      <c r="I389" s="14">
        <f>IF('Raw Data'!A376&lt;&gt;"",AVERAGE('Raw Data'!P376,'Raw Data'!R376,'Raw Data'!T376,'Raw Data'!V376,'Raw Data'!X376),"")</f>
        <v/>
      </c>
      <c r="J389" s="14">
        <f>IF('Raw Data'!A376&lt;&gt;"",AVERAGE('Raw Data'!Q376,'Raw Data'!S376,'Raw Data'!U376,'Raw Data'!W376,'Raw Data'!Y376),"")</f>
        <v/>
      </c>
      <c r="K389" s="14">
        <f>IF(I389&lt;&gt;"",I389-J389,"")</f>
        <v/>
      </c>
      <c r="L389" s="14">
        <f>IF('Raw Data'!A376&lt;&gt;"",AVERAGE('Raw Data'!Z376,'Raw Data'!AB376,'Raw Data'!AD376,'Raw Data'!AF376,'Raw Data'!AH376),"")</f>
        <v/>
      </c>
      <c r="M389" s="14">
        <f>IF('Raw Data'!A376&lt;&gt;"",AVERAGE('Raw Data'!AA376,'Raw Data'!AC376,'Raw Data'!AE376,'Raw Data'!AG376,'Raw Data'!AI376),"")</f>
        <v/>
      </c>
      <c r="N389" s="14">
        <f>IF(L389&lt;&gt;"",L389-M389,"")</f>
        <v/>
      </c>
      <c r="O389" s="14">
        <f>IF('Raw Data'!A376&lt;&gt;"",AVERAGE('Raw Data'!AJ376,'Raw Data'!AL376,'Raw Data'!AN376,'Raw Data'!AP376,'Raw Data'!AR376),"")</f>
        <v/>
      </c>
      <c r="P389" s="14">
        <f>IF('Raw Data'!A376&lt;&gt;"",AVERAGE('Raw Data'!AK376,'Raw Data'!AM376,'Raw Data'!AO376,'Raw Data'!AQ376,'Raw Data'!AS376),"")</f>
        <v/>
      </c>
      <c r="Q389" s="14">
        <f>IF(O389&lt;&gt;"",O389-P389,"")</f>
        <v/>
      </c>
      <c r="R389" s="14">
        <f>IF('Raw Data'!A376&lt;&gt;"",AVERAGE('Raw Data'!AT376,'Raw Data'!AV376,'Raw Data'!AX376,'Raw Data'!AZ376,'Raw Data'!BB376),"")</f>
        <v/>
      </c>
      <c r="S389" s="14">
        <f>IF('Raw Data'!A376&lt;&gt;"",AVERAGE('Raw Data'!AU376,'Raw Data'!AW376,'Raw Data'!AY376,'Raw Data'!BA376,'Raw Data'!BC376),"")</f>
        <v/>
      </c>
      <c r="T389" s="14">
        <f>IF(R389&lt;&gt;"",R389-S389,"")</f>
        <v/>
      </c>
      <c r="U389" s="14">
        <f>IF('Raw Data'!A376&lt;&gt;"",AVERAGE('Raw Data'!BD376,'Raw Data'!BF376,'Raw Data'!BH376,'Raw Data'!BJ376,'Raw Data'!BL376),"")</f>
        <v/>
      </c>
      <c r="V389" s="14">
        <f>IF('Raw Data'!A376&lt;&gt;"",AVERAGE('Raw Data'!BE376,'Raw Data'!BG376,'Raw Data'!BI376,'Raw Data'!BK376,'Raw Data'!BM376),"")</f>
        <v/>
      </c>
      <c r="W389" s="14">
        <f>IF(U389&lt;&gt;"",U389-V389,"")</f>
        <v/>
      </c>
      <c r="X389" s="14">
        <f>IF(A389&lt;&gt;"",AVERAGE(F389,I389,L389,O389,R389,U389),"")</f>
        <v/>
      </c>
      <c r="Y389" s="14">
        <f>IF(A389&lt;&gt;"",AVERAGE(G389,J389,M389,P389,S389,V389),"")</f>
        <v/>
      </c>
      <c r="Z389" s="14">
        <f>IF(A389&lt;&gt;"",X389-Y389,"")</f>
        <v/>
      </c>
      <c r="AA389" s="15">
        <f>IF(A389&lt;&gt;"",ROUND(MIN(100,100*((MAX(0,K389)*0.25)+(MAX(0,Q389)*0.20)+(MAX(0,W389)*0.20)+(MAX(0,H389)*0.15)+(MAX(0,N389)*0.10)+(MAX(0,T389)*0.10))/9),1),"")</f>
        <v/>
      </c>
      <c r="AB389" s="28">
        <f>IF(A389&lt;&gt;"",MIN(1,(0.5*AA389/100)+(0.3*MAX(0,K389)/9)+(0.2*MAX(0,Q389)/9)),"")</f>
        <v/>
      </c>
    </row>
    <row r="390">
      <c r="A390" s="13">
        <f>IF('Raw Data'!A377&lt;&gt;"",'Raw Data'!A377,"")</f>
        <v/>
      </c>
      <c r="B390" s="13">
        <f>IF('Raw Data'!B377&lt;&gt;"",'Raw Data'!B377,"")</f>
        <v/>
      </c>
      <c r="C390" s="13">
        <f>IF('Raw Data'!C377&lt;&gt;"",'Raw Data'!C377,"")</f>
        <v/>
      </c>
      <c r="D390" s="13">
        <f>IF('Raw Data'!D377&lt;&gt;"",'Raw Data'!D377,"")</f>
        <v/>
      </c>
      <c r="E390" s="13">
        <f>IF('Raw Data'!E377&lt;&gt;"",'Raw Data'!E377,"")</f>
        <v/>
      </c>
      <c r="F390" s="17">
        <f>IF('Raw Data'!A377&lt;&gt;"",AVERAGE('Raw Data'!F377,'Raw Data'!H377,'Raw Data'!J377,'Raw Data'!L377,'Raw Data'!N377),"")</f>
        <v/>
      </c>
      <c r="G390" s="17">
        <f>IF('Raw Data'!A377&lt;&gt;"",AVERAGE('Raw Data'!G377,'Raw Data'!I377,'Raw Data'!K377,'Raw Data'!M377,'Raw Data'!O377),"")</f>
        <v/>
      </c>
      <c r="H390" s="17">
        <f>IF(F390&lt;&gt;"",F390-G390,"")</f>
        <v/>
      </c>
      <c r="I390" s="17">
        <f>IF('Raw Data'!A377&lt;&gt;"",AVERAGE('Raw Data'!P377,'Raw Data'!R377,'Raw Data'!T377,'Raw Data'!V377,'Raw Data'!X377),"")</f>
        <v/>
      </c>
      <c r="J390" s="17">
        <f>IF('Raw Data'!A377&lt;&gt;"",AVERAGE('Raw Data'!Q377,'Raw Data'!S377,'Raw Data'!U377,'Raw Data'!W377,'Raw Data'!Y377),"")</f>
        <v/>
      </c>
      <c r="K390" s="17">
        <f>IF(I390&lt;&gt;"",I390-J390,"")</f>
        <v/>
      </c>
      <c r="L390" s="17">
        <f>IF('Raw Data'!A377&lt;&gt;"",AVERAGE('Raw Data'!Z377,'Raw Data'!AB377,'Raw Data'!AD377,'Raw Data'!AF377,'Raw Data'!AH377),"")</f>
        <v/>
      </c>
      <c r="M390" s="17">
        <f>IF('Raw Data'!A377&lt;&gt;"",AVERAGE('Raw Data'!AA377,'Raw Data'!AC377,'Raw Data'!AE377,'Raw Data'!AG377,'Raw Data'!AI377),"")</f>
        <v/>
      </c>
      <c r="N390" s="17">
        <f>IF(L390&lt;&gt;"",L390-M390,"")</f>
        <v/>
      </c>
      <c r="O390" s="17">
        <f>IF('Raw Data'!A377&lt;&gt;"",AVERAGE('Raw Data'!AJ377,'Raw Data'!AL377,'Raw Data'!AN377,'Raw Data'!AP377,'Raw Data'!AR377),"")</f>
        <v/>
      </c>
      <c r="P390" s="17">
        <f>IF('Raw Data'!A377&lt;&gt;"",AVERAGE('Raw Data'!AK377,'Raw Data'!AM377,'Raw Data'!AO377,'Raw Data'!AQ377,'Raw Data'!AS377),"")</f>
        <v/>
      </c>
      <c r="Q390" s="17">
        <f>IF(O390&lt;&gt;"",O390-P390,"")</f>
        <v/>
      </c>
      <c r="R390" s="17">
        <f>IF('Raw Data'!A377&lt;&gt;"",AVERAGE('Raw Data'!AT377,'Raw Data'!AV377,'Raw Data'!AX377,'Raw Data'!AZ377,'Raw Data'!BB377),"")</f>
        <v/>
      </c>
      <c r="S390" s="17">
        <f>IF('Raw Data'!A377&lt;&gt;"",AVERAGE('Raw Data'!AU377,'Raw Data'!AW377,'Raw Data'!AY377,'Raw Data'!BA377,'Raw Data'!BC377),"")</f>
        <v/>
      </c>
      <c r="T390" s="17">
        <f>IF(R390&lt;&gt;"",R390-S390,"")</f>
        <v/>
      </c>
      <c r="U390" s="17">
        <f>IF('Raw Data'!A377&lt;&gt;"",AVERAGE('Raw Data'!BD377,'Raw Data'!BF377,'Raw Data'!BH377,'Raw Data'!BJ377,'Raw Data'!BL377),"")</f>
        <v/>
      </c>
      <c r="V390" s="17">
        <f>IF('Raw Data'!A377&lt;&gt;"",AVERAGE('Raw Data'!BE377,'Raw Data'!BG377,'Raw Data'!BI377,'Raw Data'!BK377,'Raw Data'!BM377),"")</f>
        <v/>
      </c>
      <c r="W390" s="17">
        <f>IF(U390&lt;&gt;"",U390-V390,"")</f>
        <v/>
      </c>
      <c r="X390" s="17">
        <f>IF(A390&lt;&gt;"",AVERAGE(F390,I390,L390,O390,R390,U390),"")</f>
        <v/>
      </c>
      <c r="Y390" s="17">
        <f>IF(A390&lt;&gt;"",AVERAGE(G390,J390,M390,P390,S390,V390),"")</f>
        <v/>
      </c>
      <c r="Z390" s="17">
        <f>IF(A390&lt;&gt;"",X390-Y390,"")</f>
        <v/>
      </c>
      <c r="AA390" s="18">
        <f>IF(A390&lt;&gt;"",ROUND(MIN(100,100*((MAX(0,K390)*0.25)+(MAX(0,Q390)*0.20)+(MAX(0,W390)*0.20)+(MAX(0,H390)*0.15)+(MAX(0,N390)*0.10)+(MAX(0,T390)*0.10))/9),1),"")</f>
        <v/>
      </c>
      <c r="AB390" s="29">
        <f>IF(A390&lt;&gt;"",MIN(1,(0.5*AA390/100)+(0.3*MAX(0,K390)/9)+(0.2*MAX(0,Q390)/9)),"")</f>
        <v/>
      </c>
    </row>
    <row r="391">
      <c r="A391" s="4">
        <f>IF('Raw Data'!A378&lt;&gt;"",'Raw Data'!A378,"")</f>
        <v/>
      </c>
      <c r="B391" s="4">
        <f>IF('Raw Data'!B378&lt;&gt;"",'Raw Data'!B378,"")</f>
        <v/>
      </c>
      <c r="C391" s="4">
        <f>IF('Raw Data'!C378&lt;&gt;"",'Raw Data'!C378,"")</f>
        <v/>
      </c>
      <c r="D391" s="4">
        <f>IF('Raw Data'!D378&lt;&gt;"",'Raw Data'!D378,"")</f>
        <v/>
      </c>
      <c r="E391" s="4">
        <f>IF('Raw Data'!E378&lt;&gt;"",'Raw Data'!E378,"")</f>
        <v/>
      </c>
      <c r="F391" s="14">
        <f>IF('Raw Data'!A378&lt;&gt;"",AVERAGE('Raw Data'!F378,'Raw Data'!H378,'Raw Data'!J378,'Raw Data'!L378,'Raw Data'!N378),"")</f>
        <v/>
      </c>
      <c r="G391" s="14">
        <f>IF('Raw Data'!A378&lt;&gt;"",AVERAGE('Raw Data'!G378,'Raw Data'!I378,'Raw Data'!K378,'Raw Data'!M378,'Raw Data'!O378),"")</f>
        <v/>
      </c>
      <c r="H391" s="14">
        <f>IF(F391&lt;&gt;"",F391-G391,"")</f>
        <v/>
      </c>
      <c r="I391" s="14">
        <f>IF('Raw Data'!A378&lt;&gt;"",AVERAGE('Raw Data'!P378,'Raw Data'!R378,'Raw Data'!T378,'Raw Data'!V378,'Raw Data'!X378),"")</f>
        <v/>
      </c>
      <c r="J391" s="14">
        <f>IF('Raw Data'!A378&lt;&gt;"",AVERAGE('Raw Data'!Q378,'Raw Data'!S378,'Raw Data'!U378,'Raw Data'!W378,'Raw Data'!Y378),"")</f>
        <v/>
      </c>
      <c r="K391" s="14">
        <f>IF(I391&lt;&gt;"",I391-J391,"")</f>
        <v/>
      </c>
      <c r="L391" s="14">
        <f>IF('Raw Data'!A378&lt;&gt;"",AVERAGE('Raw Data'!Z378,'Raw Data'!AB378,'Raw Data'!AD378,'Raw Data'!AF378,'Raw Data'!AH378),"")</f>
        <v/>
      </c>
      <c r="M391" s="14">
        <f>IF('Raw Data'!A378&lt;&gt;"",AVERAGE('Raw Data'!AA378,'Raw Data'!AC378,'Raw Data'!AE378,'Raw Data'!AG378,'Raw Data'!AI378),"")</f>
        <v/>
      </c>
      <c r="N391" s="14">
        <f>IF(L391&lt;&gt;"",L391-M391,"")</f>
        <v/>
      </c>
      <c r="O391" s="14">
        <f>IF('Raw Data'!A378&lt;&gt;"",AVERAGE('Raw Data'!AJ378,'Raw Data'!AL378,'Raw Data'!AN378,'Raw Data'!AP378,'Raw Data'!AR378),"")</f>
        <v/>
      </c>
      <c r="P391" s="14">
        <f>IF('Raw Data'!A378&lt;&gt;"",AVERAGE('Raw Data'!AK378,'Raw Data'!AM378,'Raw Data'!AO378,'Raw Data'!AQ378,'Raw Data'!AS378),"")</f>
        <v/>
      </c>
      <c r="Q391" s="14">
        <f>IF(O391&lt;&gt;"",O391-P391,"")</f>
        <v/>
      </c>
      <c r="R391" s="14">
        <f>IF('Raw Data'!A378&lt;&gt;"",AVERAGE('Raw Data'!AT378,'Raw Data'!AV378,'Raw Data'!AX378,'Raw Data'!AZ378,'Raw Data'!BB378),"")</f>
        <v/>
      </c>
      <c r="S391" s="14">
        <f>IF('Raw Data'!A378&lt;&gt;"",AVERAGE('Raw Data'!AU378,'Raw Data'!AW378,'Raw Data'!AY378,'Raw Data'!BA378,'Raw Data'!BC378),"")</f>
        <v/>
      </c>
      <c r="T391" s="14">
        <f>IF(R391&lt;&gt;"",R391-S391,"")</f>
        <v/>
      </c>
      <c r="U391" s="14">
        <f>IF('Raw Data'!A378&lt;&gt;"",AVERAGE('Raw Data'!BD378,'Raw Data'!BF378,'Raw Data'!BH378,'Raw Data'!BJ378,'Raw Data'!BL378),"")</f>
        <v/>
      </c>
      <c r="V391" s="14">
        <f>IF('Raw Data'!A378&lt;&gt;"",AVERAGE('Raw Data'!BE378,'Raw Data'!BG378,'Raw Data'!BI378,'Raw Data'!BK378,'Raw Data'!BM378),"")</f>
        <v/>
      </c>
      <c r="W391" s="14">
        <f>IF(U391&lt;&gt;"",U391-V391,"")</f>
        <v/>
      </c>
      <c r="X391" s="14">
        <f>IF(A391&lt;&gt;"",AVERAGE(F391,I391,L391,O391,R391,U391),"")</f>
        <v/>
      </c>
      <c r="Y391" s="14">
        <f>IF(A391&lt;&gt;"",AVERAGE(G391,J391,M391,P391,S391,V391),"")</f>
        <v/>
      </c>
      <c r="Z391" s="14">
        <f>IF(A391&lt;&gt;"",X391-Y391,"")</f>
        <v/>
      </c>
      <c r="AA391" s="15">
        <f>IF(A391&lt;&gt;"",ROUND(MIN(100,100*((MAX(0,K391)*0.25)+(MAX(0,Q391)*0.20)+(MAX(0,W391)*0.20)+(MAX(0,H391)*0.15)+(MAX(0,N391)*0.10)+(MAX(0,T391)*0.10))/9),1),"")</f>
        <v/>
      </c>
      <c r="AB391" s="28">
        <f>IF(A391&lt;&gt;"",MIN(1,(0.5*AA391/100)+(0.3*MAX(0,K391)/9)+(0.2*MAX(0,Q391)/9)),"")</f>
        <v/>
      </c>
    </row>
    <row r="392">
      <c r="A392" s="13">
        <f>IF('Raw Data'!A379&lt;&gt;"",'Raw Data'!A379,"")</f>
        <v/>
      </c>
      <c r="B392" s="13">
        <f>IF('Raw Data'!B379&lt;&gt;"",'Raw Data'!B379,"")</f>
        <v/>
      </c>
      <c r="C392" s="13">
        <f>IF('Raw Data'!C379&lt;&gt;"",'Raw Data'!C379,"")</f>
        <v/>
      </c>
      <c r="D392" s="13">
        <f>IF('Raw Data'!D379&lt;&gt;"",'Raw Data'!D379,"")</f>
        <v/>
      </c>
      <c r="E392" s="13">
        <f>IF('Raw Data'!E379&lt;&gt;"",'Raw Data'!E379,"")</f>
        <v/>
      </c>
      <c r="F392" s="17">
        <f>IF('Raw Data'!A379&lt;&gt;"",AVERAGE('Raw Data'!F379,'Raw Data'!H379,'Raw Data'!J379,'Raw Data'!L379,'Raw Data'!N379),"")</f>
        <v/>
      </c>
      <c r="G392" s="17">
        <f>IF('Raw Data'!A379&lt;&gt;"",AVERAGE('Raw Data'!G379,'Raw Data'!I379,'Raw Data'!K379,'Raw Data'!M379,'Raw Data'!O379),"")</f>
        <v/>
      </c>
      <c r="H392" s="17">
        <f>IF(F392&lt;&gt;"",F392-G392,"")</f>
        <v/>
      </c>
      <c r="I392" s="17">
        <f>IF('Raw Data'!A379&lt;&gt;"",AVERAGE('Raw Data'!P379,'Raw Data'!R379,'Raw Data'!T379,'Raw Data'!V379,'Raw Data'!X379),"")</f>
        <v/>
      </c>
      <c r="J392" s="17">
        <f>IF('Raw Data'!A379&lt;&gt;"",AVERAGE('Raw Data'!Q379,'Raw Data'!S379,'Raw Data'!U379,'Raw Data'!W379,'Raw Data'!Y379),"")</f>
        <v/>
      </c>
      <c r="K392" s="17">
        <f>IF(I392&lt;&gt;"",I392-J392,"")</f>
        <v/>
      </c>
      <c r="L392" s="17">
        <f>IF('Raw Data'!A379&lt;&gt;"",AVERAGE('Raw Data'!Z379,'Raw Data'!AB379,'Raw Data'!AD379,'Raw Data'!AF379,'Raw Data'!AH379),"")</f>
        <v/>
      </c>
      <c r="M392" s="17">
        <f>IF('Raw Data'!A379&lt;&gt;"",AVERAGE('Raw Data'!AA379,'Raw Data'!AC379,'Raw Data'!AE379,'Raw Data'!AG379,'Raw Data'!AI379),"")</f>
        <v/>
      </c>
      <c r="N392" s="17">
        <f>IF(L392&lt;&gt;"",L392-M392,"")</f>
        <v/>
      </c>
      <c r="O392" s="17">
        <f>IF('Raw Data'!A379&lt;&gt;"",AVERAGE('Raw Data'!AJ379,'Raw Data'!AL379,'Raw Data'!AN379,'Raw Data'!AP379,'Raw Data'!AR379),"")</f>
        <v/>
      </c>
      <c r="P392" s="17">
        <f>IF('Raw Data'!A379&lt;&gt;"",AVERAGE('Raw Data'!AK379,'Raw Data'!AM379,'Raw Data'!AO379,'Raw Data'!AQ379,'Raw Data'!AS379),"")</f>
        <v/>
      </c>
      <c r="Q392" s="17">
        <f>IF(O392&lt;&gt;"",O392-P392,"")</f>
        <v/>
      </c>
      <c r="R392" s="17">
        <f>IF('Raw Data'!A379&lt;&gt;"",AVERAGE('Raw Data'!AT379,'Raw Data'!AV379,'Raw Data'!AX379,'Raw Data'!AZ379,'Raw Data'!BB379),"")</f>
        <v/>
      </c>
      <c r="S392" s="17">
        <f>IF('Raw Data'!A379&lt;&gt;"",AVERAGE('Raw Data'!AU379,'Raw Data'!AW379,'Raw Data'!AY379,'Raw Data'!BA379,'Raw Data'!BC379),"")</f>
        <v/>
      </c>
      <c r="T392" s="17">
        <f>IF(R392&lt;&gt;"",R392-S392,"")</f>
        <v/>
      </c>
      <c r="U392" s="17">
        <f>IF('Raw Data'!A379&lt;&gt;"",AVERAGE('Raw Data'!BD379,'Raw Data'!BF379,'Raw Data'!BH379,'Raw Data'!BJ379,'Raw Data'!BL379),"")</f>
        <v/>
      </c>
      <c r="V392" s="17">
        <f>IF('Raw Data'!A379&lt;&gt;"",AVERAGE('Raw Data'!BE379,'Raw Data'!BG379,'Raw Data'!BI379,'Raw Data'!BK379,'Raw Data'!BM379),"")</f>
        <v/>
      </c>
      <c r="W392" s="17">
        <f>IF(U392&lt;&gt;"",U392-V392,"")</f>
        <v/>
      </c>
      <c r="X392" s="17">
        <f>IF(A392&lt;&gt;"",AVERAGE(F392,I392,L392,O392,R392,U392),"")</f>
        <v/>
      </c>
      <c r="Y392" s="17">
        <f>IF(A392&lt;&gt;"",AVERAGE(G392,J392,M392,P392,S392,V392),"")</f>
        <v/>
      </c>
      <c r="Z392" s="17">
        <f>IF(A392&lt;&gt;"",X392-Y392,"")</f>
        <v/>
      </c>
      <c r="AA392" s="18">
        <f>IF(A392&lt;&gt;"",ROUND(MIN(100,100*((MAX(0,K392)*0.25)+(MAX(0,Q392)*0.20)+(MAX(0,W392)*0.20)+(MAX(0,H392)*0.15)+(MAX(0,N392)*0.10)+(MAX(0,T392)*0.10))/9),1),"")</f>
        <v/>
      </c>
      <c r="AB392" s="29">
        <f>IF(A392&lt;&gt;"",MIN(1,(0.5*AA392/100)+(0.3*MAX(0,K392)/9)+(0.2*MAX(0,Q392)/9)),"")</f>
        <v/>
      </c>
    </row>
    <row r="393">
      <c r="A393" s="4">
        <f>IF('Raw Data'!A380&lt;&gt;"",'Raw Data'!A380,"")</f>
        <v/>
      </c>
      <c r="B393" s="4">
        <f>IF('Raw Data'!B380&lt;&gt;"",'Raw Data'!B380,"")</f>
        <v/>
      </c>
      <c r="C393" s="4">
        <f>IF('Raw Data'!C380&lt;&gt;"",'Raw Data'!C380,"")</f>
        <v/>
      </c>
      <c r="D393" s="4">
        <f>IF('Raw Data'!D380&lt;&gt;"",'Raw Data'!D380,"")</f>
        <v/>
      </c>
      <c r="E393" s="4">
        <f>IF('Raw Data'!E380&lt;&gt;"",'Raw Data'!E380,"")</f>
        <v/>
      </c>
      <c r="F393" s="14">
        <f>IF('Raw Data'!A380&lt;&gt;"",AVERAGE('Raw Data'!F380,'Raw Data'!H380,'Raw Data'!J380,'Raw Data'!L380,'Raw Data'!N380),"")</f>
        <v/>
      </c>
      <c r="G393" s="14">
        <f>IF('Raw Data'!A380&lt;&gt;"",AVERAGE('Raw Data'!G380,'Raw Data'!I380,'Raw Data'!K380,'Raw Data'!M380,'Raw Data'!O380),"")</f>
        <v/>
      </c>
      <c r="H393" s="14">
        <f>IF(F393&lt;&gt;"",F393-G393,"")</f>
        <v/>
      </c>
      <c r="I393" s="14">
        <f>IF('Raw Data'!A380&lt;&gt;"",AVERAGE('Raw Data'!P380,'Raw Data'!R380,'Raw Data'!T380,'Raw Data'!V380,'Raw Data'!X380),"")</f>
        <v/>
      </c>
      <c r="J393" s="14">
        <f>IF('Raw Data'!A380&lt;&gt;"",AVERAGE('Raw Data'!Q380,'Raw Data'!S380,'Raw Data'!U380,'Raw Data'!W380,'Raw Data'!Y380),"")</f>
        <v/>
      </c>
      <c r="K393" s="14">
        <f>IF(I393&lt;&gt;"",I393-J393,"")</f>
        <v/>
      </c>
      <c r="L393" s="14">
        <f>IF('Raw Data'!A380&lt;&gt;"",AVERAGE('Raw Data'!Z380,'Raw Data'!AB380,'Raw Data'!AD380,'Raw Data'!AF380,'Raw Data'!AH380),"")</f>
        <v/>
      </c>
      <c r="M393" s="14">
        <f>IF('Raw Data'!A380&lt;&gt;"",AVERAGE('Raw Data'!AA380,'Raw Data'!AC380,'Raw Data'!AE380,'Raw Data'!AG380,'Raw Data'!AI380),"")</f>
        <v/>
      </c>
      <c r="N393" s="14">
        <f>IF(L393&lt;&gt;"",L393-M393,"")</f>
        <v/>
      </c>
      <c r="O393" s="14">
        <f>IF('Raw Data'!A380&lt;&gt;"",AVERAGE('Raw Data'!AJ380,'Raw Data'!AL380,'Raw Data'!AN380,'Raw Data'!AP380,'Raw Data'!AR380),"")</f>
        <v/>
      </c>
      <c r="P393" s="14">
        <f>IF('Raw Data'!A380&lt;&gt;"",AVERAGE('Raw Data'!AK380,'Raw Data'!AM380,'Raw Data'!AO380,'Raw Data'!AQ380,'Raw Data'!AS380),"")</f>
        <v/>
      </c>
      <c r="Q393" s="14">
        <f>IF(O393&lt;&gt;"",O393-P393,"")</f>
        <v/>
      </c>
      <c r="R393" s="14">
        <f>IF('Raw Data'!A380&lt;&gt;"",AVERAGE('Raw Data'!AT380,'Raw Data'!AV380,'Raw Data'!AX380,'Raw Data'!AZ380,'Raw Data'!BB380),"")</f>
        <v/>
      </c>
      <c r="S393" s="14">
        <f>IF('Raw Data'!A380&lt;&gt;"",AVERAGE('Raw Data'!AU380,'Raw Data'!AW380,'Raw Data'!AY380,'Raw Data'!BA380,'Raw Data'!BC380),"")</f>
        <v/>
      </c>
      <c r="T393" s="14">
        <f>IF(R393&lt;&gt;"",R393-S393,"")</f>
        <v/>
      </c>
      <c r="U393" s="14">
        <f>IF('Raw Data'!A380&lt;&gt;"",AVERAGE('Raw Data'!BD380,'Raw Data'!BF380,'Raw Data'!BH380,'Raw Data'!BJ380,'Raw Data'!BL380),"")</f>
        <v/>
      </c>
      <c r="V393" s="14">
        <f>IF('Raw Data'!A380&lt;&gt;"",AVERAGE('Raw Data'!BE380,'Raw Data'!BG380,'Raw Data'!BI380,'Raw Data'!BK380,'Raw Data'!BM380),"")</f>
        <v/>
      </c>
      <c r="W393" s="14">
        <f>IF(U393&lt;&gt;"",U393-V393,"")</f>
        <v/>
      </c>
      <c r="X393" s="14">
        <f>IF(A393&lt;&gt;"",AVERAGE(F393,I393,L393,O393,R393,U393),"")</f>
        <v/>
      </c>
      <c r="Y393" s="14">
        <f>IF(A393&lt;&gt;"",AVERAGE(G393,J393,M393,P393,S393,V393),"")</f>
        <v/>
      </c>
      <c r="Z393" s="14">
        <f>IF(A393&lt;&gt;"",X393-Y393,"")</f>
        <v/>
      </c>
      <c r="AA393" s="15">
        <f>IF(A393&lt;&gt;"",ROUND(MIN(100,100*((MAX(0,K393)*0.25)+(MAX(0,Q393)*0.20)+(MAX(0,W393)*0.20)+(MAX(0,H393)*0.15)+(MAX(0,N393)*0.10)+(MAX(0,T393)*0.10))/9),1),"")</f>
        <v/>
      </c>
      <c r="AB393" s="28">
        <f>IF(A393&lt;&gt;"",MIN(1,(0.5*AA393/100)+(0.3*MAX(0,K393)/9)+(0.2*MAX(0,Q393)/9)),"")</f>
        <v/>
      </c>
    </row>
    <row r="394">
      <c r="A394" s="13">
        <f>IF('Raw Data'!A381&lt;&gt;"",'Raw Data'!A381,"")</f>
        <v/>
      </c>
      <c r="B394" s="13">
        <f>IF('Raw Data'!B381&lt;&gt;"",'Raw Data'!B381,"")</f>
        <v/>
      </c>
      <c r="C394" s="13">
        <f>IF('Raw Data'!C381&lt;&gt;"",'Raw Data'!C381,"")</f>
        <v/>
      </c>
      <c r="D394" s="13">
        <f>IF('Raw Data'!D381&lt;&gt;"",'Raw Data'!D381,"")</f>
        <v/>
      </c>
      <c r="E394" s="13">
        <f>IF('Raw Data'!E381&lt;&gt;"",'Raw Data'!E381,"")</f>
        <v/>
      </c>
      <c r="F394" s="17">
        <f>IF('Raw Data'!A381&lt;&gt;"",AVERAGE('Raw Data'!F381,'Raw Data'!H381,'Raw Data'!J381,'Raw Data'!L381,'Raw Data'!N381),"")</f>
        <v/>
      </c>
      <c r="G394" s="17">
        <f>IF('Raw Data'!A381&lt;&gt;"",AVERAGE('Raw Data'!G381,'Raw Data'!I381,'Raw Data'!K381,'Raw Data'!M381,'Raw Data'!O381),"")</f>
        <v/>
      </c>
      <c r="H394" s="17">
        <f>IF(F394&lt;&gt;"",F394-G394,"")</f>
        <v/>
      </c>
      <c r="I394" s="17">
        <f>IF('Raw Data'!A381&lt;&gt;"",AVERAGE('Raw Data'!P381,'Raw Data'!R381,'Raw Data'!T381,'Raw Data'!V381,'Raw Data'!X381),"")</f>
        <v/>
      </c>
      <c r="J394" s="17">
        <f>IF('Raw Data'!A381&lt;&gt;"",AVERAGE('Raw Data'!Q381,'Raw Data'!S381,'Raw Data'!U381,'Raw Data'!W381,'Raw Data'!Y381),"")</f>
        <v/>
      </c>
      <c r="K394" s="17">
        <f>IF(I394&lt;&gt;"",I394-J394,"")</f>
        <v/>
      </c>
      <c r="L394" s="17">
        <f>IF('Raw Data'!A381&lt;&gt;"",AVERAGE('Raw Data'!Z381,'Raw Data'!AB381,'Raw Data'!AD381,'Raw Data'!AF381,'Raw Data'!AH381),"")</f>
        <v/>
      </c>
      <c r="M394" s="17">
        <f>IF('Raw Data'!A381&lt;&gt;"",AVERAGE('Raw Data'!AA381,'Raw Data'!AC381,'Raw Data'!AE381,'Raw Data'!AG381,'Raw Data'!AI381),"")</f>
        <v/>
      </c>
      <c r="N394" s="17">
        <f>IF(L394&lt;&gt;"",L394-M394,"")</f>
        <v/>
      </c>
      <c r="O394" s="17">
        <f>IF('Raw Data'!A381&lt;&gt;"",AVERAGE('Raw Data'!AJ381,'Raw Data'!AL381,'Raw Data'!AN381,'Raw Data'!AP381,'Raw Data'!AR381),"")</f>
        <v/>
      </c>
      <c r="P394" s="17">
        <f>IF('Raw Data'!A381&lt;&gt;"",AVERAGE('Raw Data'!AK381,'Raw Data'!AM381,'Raw Data'!AO381,'Raw Data'!AQ381,'Raw Data'!AS381),"")</f>
        <v/>
      </c>
      <c r="Q394" s="17">
        <f>IF(O394&lt;&gt;"",O394-P394,"")</f>
        <v/>
      </c>
      <c r="R394" s="17">
        <f>IF('Raw Data'!A381&lt;&gt;"",AVERAGE('Raw Data'!AT381,'Raw Data'!AV381,'Raw Data'!AX381,'Raw Data'!AZ381,'Raw Data'!BB381),"")</f>
        <v/>
      </c>
      <c r="S394" s="17">
        <f>IF('Raw Data'!A381&lt;&gt;"",AVERAGE('Raw Data'!AU381,'Raw Data'!AW381,'Raw Data'!AY381,'Raw Data'!BA381,'Raw Data'!BC381),"")</f>
        <v/>
      </c>
      <c r="T394" s="17">
        <f>IF(R394&lt;&gt;"",R394-S394,"")</f>
        <v/>
      </c>
      <c r="U394" s="17">
        <f>IF('Raw Data'!A381&lt;&gt;"",AVERAGE('Raw Data'!BD381,'Raw Data'!BF381,'Raw Data'!BH381,'Raw Data'!BJ381,'Raw Data'!BL381),"")</f>
        <v/>
      </c>
      <c r="V394" s="17">
        <f>IF('Raw Data'!A381&lt;&gt;"",AVERAGE('Raw Data'!BE381,'Raw Data'!BG381,'Raw Data'!BI381,'Raw Data'!BK381,'Raw Data'!BM381),"")</f>
        <v/>
      </c>
      <c r="W394" s="17">
        <f>IF(U394&lt;&gt;"",U394-V394,"")</f>
        <v/>
      </c>
      <c r="X394" s="17">
        <f>IF(A394&lt;&gt;"",AVERAGE(F394,I394,L394,O394,R394,U394),"")</f>
        <v/>
      </c>
      <c r="Y394" s="17">
        <f>IF(A394&lt;&gt;"",AVERAGE(G394,J394,M394,P394,S394,V394),"")</f>
        <v/>
      </c>
      <c r="Z394" s="17">
        <f>IF(A394&lt;&gt;"",X394-Y394,"")</f>
        <v/>
      </c>
      <c r="AA394" s="18">
        <f>IF(A394&lt;&gt;"",ROUND(MIN(100,100*((MAX(0,K394)*0.25)+(MAX(0,Q394)*0.20)+(MAX(0,W394)*0.20)+(MAX(0,H394)*0.15)+(MAX(0,N394)*0.10)+(MAX(0,T394)*0.10))/9),1),"")</f>
        <v/>
      </c>
      <c r="AB394" s="29">
        <f>IF(A394&lt;&gt;"",MIN(1,(0.5*AA394/100)+(0.3*MAX(0,K394)/9)+(0.2*MAX(0,Q394)/9)),"")</f>
        <v/>
      </c>
    </row>
    <row r="395">
      <c r="A395" s="4">
        <f>IF('Raw Data'!A382&lt;&gt;"",'Raw Data'!A382,"")</f>
        <v/>
      </c>
      <c r="B395" s="4">
        <f>IF('Raw Data'!B382&lt;&gt;"",'Raw Data'!B382,"")</f>
        <v/>
      </c>
      <c r="C395" s="4">
        <f>IF('Raw Data'!C382&lt;&gt;"",'Raw Data'!C382,"")</f>
        <v/>
      </c>
      <c r="D395" s="4">
        <f>IF('Raw Data'!D382&lt;&gt;"",'Raw Data'!D382,"")</f>
        <v/>
      </c>
      <c r="E395" s="4">
        <f>IF('Raw Data'!E382&lt;&gt;"",'Raw Data'!E382,"")</f>
        <v/>
      </c>
      <c r="F395" s="14">
        <f>IF('Raw Data'!A382&lt;&gt;"",AVERAGE('Raw Data'!F382,'Raw Data'!H382,'Raw Data'!J382,'Raw Data'!L382,'Raw Data'!N382),"")</f>
        <v/>
      </c>
      <c r="G395" s="14">
        <f>IF('Raw Data'!A382&lt;&gt;"",AVERAGE('Raw Data'!G382,'Raw Data'!I382,'Raw Data'!K382,'Raw Data'!M382,'Raw Data'!O382),"")</f>
        <v/>
      </c>
      <c r="H395" s="14">
        <f>IF(F395&lt;&gt;"",F395-G395,"")</f>
        <v/>
      </c>
      <c r="I395" s="14">
        <f>IF('Raw Data'!A382&lt;&gt;"",AVERAGE('Raw Data'!P382,'Raw Data'!R382,'Raw Data'!T382,'Raw Data'!V382,'Raw Data'!X382),"")</f>
        <v/>
      </c>
      <c r="J395" s="14">
        <f>IF('Raw Data'!A382&lt;&gt;"",AVERAGE('Raw Data'!Q382,'Raw Data'!S382,'Raw Data'!U382,'Raw Data'!W382,'Raw Data'!Y382),"")</f>
        <v/>
      </c>
      <c r="K395" s="14">
        <f>IF(I395&lt;&gt;"",I395-J395,"")</f>
        <v/>
      </c>
      <c r="L395" s="14">
        <f>IF('Raw Data'!A382&lt;&gt;"",AVERAGE('Raw Data'!Z382,'Raw Data'!AB382,'Raw Data'!AD382,'Raw Data'!AF382,'Raw Data'!AH382),"")</f>
        <v/>
      </c>
      <c r="M395" s="14">
        <f>IF('Raw Data'!A382&lt;&gt;"",AVERAGE('Raw Data'!AA382,'Raw Data'!AC382,'Raw Data'!AE382,'Raw Data'!AG382,'Raw Data'!AI382),"")</f>
        <v/>
      </c>
      <c r="N395" s="14">
        <f>IF(L395&lt;&gt;"",L395-M395,"")</f>
        <v/>
      </c>
      <c r="O395" s="14">
        <f>IF('Raw Data'!A382&lt;&gt;"",AVERAGE('Raw Data'!AJ382,'Raw Data'!AL382,'Raw Data'!AN382,'Raw Data'!AP382,'Raw Data'!AR382),"")</f>
        <v/>
      </c>
      <c r="P395" s="14">
        <f>IF('Raw Data'!A382&lt;&gt;"",AVERAGE('Raw Data'!AK382,'Raw Data'!AM382,'Raw Data'!AO382,'Raw Data'!AQ382,'Raw Data'!AS382),"")</f>
        <v/>
      </c>
      <c r="Q395" s="14">
        <f>IF(O395&lt;&gt;"",O395-P395,"")</f>
        <v/>
      </c>
      <c r="R395" s="14">
        <f>IF('Raw Data'!A382&lt;&gt;"",AVERAGE('Raw Data'!AT382,'Raw Data'!AV382,'Raw Data'!AX382,'Raw Data'!AZ382,'Raw Data'!BB382),"")</f>
        <v/>
      </c>
      <c r="S395" s="14">
        <f>IF('Raw Data'!A382&lt;&gt;"",AVERAGE('Raw Data'!AU382,'Raw Data'!AW382,'Raw Data'!AY382,'Raw Data'!BA382,'Raw Data'!BC382),"")</f>
        <v/>
      </c>
      <c r="T395" s="14">
        <f>IF(R395&lt;&gt;"",R395-S395,"")</f>
        <v/>
      </c>
      <c r="U395" s="14">
        <f>IF('Raw Data'!A382&lt;&gt;"",AVERAGE('Raw Data'!BD382,'Raw Data'!BF382,'Raw Data'!BH382,'Raw Data'!BJ382,'Raw Data'!BL382),"")</f>
        <v/>
      </c>
      <c r="V395" s="14">
        <f>IF('Raw Data'!A382&lt;&gt;"",AVERAGE('Raw Data'!BE382,'Raw Data'!BG382,'Raw Data'!BI382,'Raw Data'!BK382,'Raw Data'!BM382),"")</f>
        <v/>
      </c>
      <c r="W395" s="14">
        <f>IF(U395&lt;&gt;"",U395-V395,"")</f>
        <v/>
      </c>
      <c r="X395" s="14">
        <f>IF(A395&lt;&gt;"",AVERAGE(F395,I395,L395,O395,R395,U395),"")</f>
        <v/>
      </c>
      <c r="Y395" s="14">
        <f>IF(A395&lt;&gt;"",AVERAGE(G395,J395,M395,P395,S395,V395),"")</f>
        <v/>
      </c>
      <c r="Z395" s="14">
        <f>IF(A395&lt;&gt;"",X395-Y395,"")</f>
        <v/>
      </c>
      <c r="AA395" s="15">
        <f>IF(A395&lt;&gt;"",ROUND(MIN(100,100*((MAX(0,K395)*0.25)+(MAX(0,Q395)*0.20)+(MAX(0,W395)*0.20)+(MAX(0,H395)*0.15)+(MAX(0,N395)*0.10)+(MAX(0,T395)*0.10))/9),1),"")</f>
        <v/>
      </c>
      <c r="AB395" s="28">
        <f>IF(A395&lt;&gt;"",MIN(1,(0.5*AA395/100)+(0.3*MAX(0,K395)/9)+(0.2*MAX(0,Q395)/9)),"")</f>
        <v/>
      </c>
    </row>
    <row r="396">
      <c r="A396" s="13">
        <f>IF('Raw Data'!A383&lt;&gt;"",'Raw Data'!A383,"")</f>
        <v/>
      </c>
      <c r="B396" s="13">
        <f>IF('Raw Data'!B383&lt;&gt;"",'Raw Data'!B383,"")</f>
        <v/>
      </c>
      <c r="C396" s="13">
        <f>IF('Raw Data'!C383&lt;&gt;"",'Raw Data'!C383,"")</f>
        <v/>
      </c>
      <c r="D396" s="13">
        <f>IF('Raw Data'!D383&lt;&gt;"",'Raw Data'!D383,"")</f>
        <v/>
      </c>
      <c r="E396" s="13">
        <f>IF('Raw Data'!E383&lt;&gt;"",'Raw Data'!E383,"")</f>
        <v/>
      </c>
      <c r="F396" s="17">
        <f>IF('Raw Data'!A383&lt;&gt;"",AVERAGE('Raw Data'!F383,'Raw Data'!H383,'Raw Data'!J383,'Raw Data'!L383,'Raw Data'!N383),"")</f>
        <v/>
      </c>
      <c r="G396" s="17">
        <f>IF('Raw Data'!A383&lt;&gt;"",AVERAGE('Raw Data'!G383,'Raw Data'!I383,'Raw Data'!K383,'Raw Data'!M383,'Raw Data'!O383),"")</f>
        <v/>
      </c>
      <c r="H396" s="17">
        <f>IF(F396&lt;&gt;"",F396-G396,"")</f>
        <v/>
      </c>
      <c r="I396" s="17">
        <f>IF('Raw Data'!A383&lt;&gt;"",AVERAGE('Raw Data'!P383,'Raw Data'!R383,'Raw Data'!T383,'Raw Data'!V383,'Raw Data'!X383),"")</f>
        <v/>
      </c>
      <c r="J396" s="17">
        <f>IF('Raw Data'!A383&lt;&gt;"",AVERAGE('Raw Data'!Q383,'Raw Data'!S383,'Raw Data'!U383,'Raw Data'!W383,'Raw Data'!Y383),"")</f>
        <v/>
      </c>
      <c r="K396" s="17">
        <f>IF(I396&lt;&gt;"",I396-J396,"")</f>
        <v/>
      </c>
      <c r="L396" s="17">
        <f>IF('Raw Data'!A383&lt;&gt;"",AVERAGE('Raw Data'!Z383,'Raw Data'!AB383,'Raw Data'!AD383,'Raw Data'!AF383,'Raw Data'!AH383),"")</f>
        <v/>
      </c>
      <c r="M396" s="17">
        <f>IF('Raw Data'!A383&lt;&gt;"",AVERAGE('Raw Data'!AA383,'Raw Data'!AC383,'Raw Data'!AE383,'Raw Data'!AG383,'Raw Data'!AI383),"")</f>
        <v/>
      </c>
      <c r="N396" s="17">
        <f>IF(L396&lt;&gt;"",L396-M396,"")</f>
        <v/>
      </c>
      <c r="O396" s="17">
        <f>IF('Raw Data'!A383&lt;&gt;"",AVERAGE('Raw Data'!AJ383,'Raw Data'!AL383,'Raw Data'!AN383,'Raw Data'!AP383,'Raw Data'!AR383),"")</f>
        <v/>
      </c>
      <c r="P396" s="17">
        <f>IF('Raw Data'!A383&lt;&gt;"",AVERAGE('Raw Data'!AK383,'Raw Data'!AM383,'Raw Data'!AO383,'Raw Data'!AQ383,'Raw Data'!AS383),"")</f>
        <v/>
      </c>
      <c r="Q396" s="17">
        <f>IF(O396&lt;&gt;"",O396-P396,"")</f>
        <v/>
      </c>
      <c r="R396" s="17">
        <f>IF('Raw Data'!A383&lt;&gt;"",AVERAGE('Raw Data'!AT383,'Raw Data'!AV383,'Raw Data'!AX383,'Raw Data'!AZ383,'Raw Data'!BB383),"")</f>
        <v/>
      </c>
      <c r="S396" s="17">
        <f>IF('Raw Data'!A383&lt;&gt;"",AVERAGE('Raw Data'!AU383,'Raw Data'!AW383,'Raw Data'!AY383,'Raw Data'!BA383,'Raw Data'!BC383),"")</f>
        <v/>
      </c>
      <c r="T396" s="17">
        <f>IF(R396&lt;&gt;"",R396-S396,"")</f>
        <v/>
      </c>
      <c r="U396" s="17">
        <f>IF('Raw Data'!A383&lt;&gt;"",AVERAGE('Raw Data'!BD383,'Raw Data'!BF383,'Raw Data'!BH383,'Raw Data'!BJ383,'Raw Data'!BL383),"")</f>
        <v/>
      </c>
      <c r="V396" s="17">
        <f>IF('Raw Data'!A383&lt;&gt;"",AVERAGE('Raw Data'!BE383,'Raw Data'!BG383,'Raw Data'!BI383,'Raw Data'!BK383,'Raw Data'!BM383),"")</f>
        <v/>
      </c>
      <c r="W396" s="17">
        <f>IF(U396&lt;&gt;"",U396-V396,"")</f>
        <v/>
      </c>
      <c r="X396" s="17">
        <f>IF(A396&lt;&gt;"",AVERAGE(F396,I396,L396,O396,R396,U396),"")</f>
        <v/>
      </c>
      <c r="Y396" s="17">
        <f>IF(A396&lt;&gt;"",AVERAGE(G396,J396,M396,P396,S396,V396),"")</f>
        <v/>
      </c>
      <c r="Z396" s="17">
        <f>IF(A396&lt;&gt;"",X396-Y396,"")</f>
        <v/>
      </c>
      <c r="AA396" s="18">
        <f>IF(A396&lt;&gt;"",ROUND(MIN(100,100*((MAX(0,K396)*0.25)+(MAX(0,Q396)*0.20)+(MAX(0,W396)*0.20)+(MAX(0,H396)*0.15)+(MAX(0,N396)*0.10)+(MAX(0,T396)*0.10))/9),1),"")</f>
        <v/>
      </c>
      <c r="AB396" s="29">
        <f>IF(A396&lt;&gt;"",MIN(1,(0.5*AA396/100)+(0.3*MAX(0,K396)/9)+(0.2*MAX(0,Q396)/9)),"")</f>
        <v/>
      </c>
    </row>
    <row r="397">
      <c r="A397" s="4">
        <f>IF('Raw Data'!A384&lt;&gt;"",'Raw Data'!A384,"")</f>
        <v/>
      </c>
      <c r="B397" s="4">
        <f>IF('Raw Data'!B384&lt;&gt;"",'Raw Data'!B384,"")</f>
        <v/>
      </c>
      <c r="C397" s="4">
        <f>IF('Raw Data'!C384&lt;&gt;"",'Raw Data'!C384,"")</f>
        <v/>
      </c>
      <c r="D397" s="4">
        <f>IF('Raw Data'!D384&lt;&gt;"",'Raw Data'!D384,"")</f>
        <v/>
      </c>
      <c r="E397" s="4">
        <f>IF('Raw Data'!E384&lt;&gt;"",'Raw Data'!E384,"")</f>
        <v/>
      </c>
      <c r="F397" s="14">
        <f>IF('Raw Data'!A384&lt;&gt;"",AVERAGE('Raw Data'!F384,'Raw Data'!H384,'Raw Data'!J384,'Raw Data'!L384,'Raw Data'!N384),"")</f>
        <v/>
      </c>
      <c r="G397" s="14">
        <f>IF('Raw Data'!A384&lt;&gt;"",AVERAGE('Raw Data'!G384,'Raw Data'!I384,'Raw Data'!K384,'Raw Data'!M384,'Raw Data'!O384),"")</f>
        <v/>
      </c>
      <c r="H397" s="14">
        <f>IF(F397&lt;&gt;"",F397-G397,"")</f>
        <v/>
      </c>
      <c r="I397" s="14">
        <f>IF('Raw Data'!A384&lt;&gt;"",AVERAGE('Raw Data'!P384,'Raw Data'!R384,'Raw Data'!T384,'Raw Data'!V384,'Raw Data'!X384),"")</f>
        <v/>
      </c>
      <c r="J397" s="14">
        <f>IF('Raw Data'!A384&lt;&gt;"",AVERAGE('Raw Data'!Q384,'Raw Data'!S384,'Raw Data'!U384,'Raw Data'!W384,'Raw Data'!Y384),"")</f>
        <v/>
      </c>
      <c r="K397" s="14">
        <f>IF(I397&lt;&gt;"",I397-J397,"")</f>
        <v/>
      </c>
      <c r="L397" s="14">
        <f>IF('Raw Data'!A384&lt;&gt;"",AVERAGE('Raw Data'!Z384,'Raw Data'!AB384,'Raw Data'!AD384,'Raw Data'!AF384,'Raw Data'!AH384),"")</f>
        <v/>
      </c>
      <c r="M397" s="14">
        <f>IF('Raw Data'!A384&lt;&gt;"",AVERAGE('Raw Data'!AA384,'Raw Data'!AC384,'Raw Data'!AE384,'Raw Data'!AG384,'Raw Data'!AI384),"")</f>
        <v/>
      </c>
      <c r="N397" s="14">
        <f>IF(L397&lt;&gt;"",L397-M397,"")</f>
        <v/>
      </c>
      <c r="O397" s="14">
        <f>IF('Raw Data'!A384&lt;&gt;"",AVERAGE('Raw Data'!AJ384,'Raw Data'!AL384,'Raw Data'!AN384,'Raw Data'!AP384,'Raw Data'!AR384),"")</f>
        <v/>
      </c>
      <c r="P397" s="14">
        <f>IF('Raw Data'!A384&lt;&gt;"",AVERAGE('Raw Data'!AK384,'Raw Data'!AM384,'Raw Data'!AO384,'Raw Data'!AQ384,'Raw Data'!AS384),"")</f>
        <v/>
      </c>
      <c r="Q397" s="14">
        <f>IF(O397&lt;&gt;"",O397-P397,"")</f>
        <v/>
      </c>
      <c r="R397" s="14">
        <f>IF('Raw Data'!A384&lt;&gt;"",AVERAGE('Raw Data'!AT384,'Raw Data'!AV384,'Raw Data'!AX384,'Raw Data'!AZ384,'Raw Data'!BB384),"")</f>
        <v/>
      </c>
      <c r="S397" s="14">
        <f>IF('Raw Data'!A384&lt;&gt;"",AVERAGE('Raw Data'!AU384,'Raw Data'!AW384,'Raw Data'!AY384,'Raw Data'!BA384,'Raw Data'!BC384),"")</f>
        <v/>
      </c>
      <c r="T397" s="14">
        <f>IF(R397&lt;&gt;"",R397-S397,"")</f>
        <v/>
      </c>
      <c r="U397" s="14">
        <f>IF('Raw Data'!A384&lt;&gt;"",AVERAGE('Raw Data'!BD384,'Raw Data'!BF384,'Raw Data'!BH384,'Raw Data'!BJ384,'Raw Data'!BL384),"")</f>
        <v/>
      </c>
      <c r="V397" s="14">
        <f>IF('Raw Data'!A384&lt;&gt;"",AVERAGE('Raw Data'!BE384,'Raw Data'!BG384,'Raw Data'!BI384,'Raw Data'!BK384,'Raw Data'!BM384),"")</f>
        <v/>
      </c>
      <c r="W397" s="14">
        <f>IF(U397&lt;&gt;"",U397-V397,"")</f>
        <v/>
      </c>
      <c r="X397" s="14">
        <f>IF(A397&lt;&gt;"",AVERAGE(F397,I397,L397,O397,R397,U397),"")</f>
        <v/>
      </c>
      <c r="Y397" s="14">
        <f>IF(A397&lt;&gt;"",AVERAGE(G397,J397,M397,P397,S397,V397),"")</f>
        <v/>
      </c>
      <c r="Z397" s="14">
        <f>IF(A397&lt;&gt;"",X397-Y397,"")</f>
        <v/>
      </c>
      <c r="AA397" s="15">
        <f>IF(A397&lt;&gt;"",ROUND(MIN(100,100*((MAX(0,K397)*0.25)+(MAX(0,Q397)*0.20)+(MAX(0,W397)*0.20)+(MAX(0,H397)*0.15)+(MAX(0,N397)*0.10)+(MAX(0,T397)*0.10))/9),1),"")</f>
        <v/>
      </c>
      <c r="AB397" s="28">
        <f>IF(A397&lt;&gt;"",MIN(1,(0.5*AA397/100)+(0.3*MAX(0,K397)/9)+(0.2*MAX(0,Q397)/9)),"")</f>
        <v/>
      </c>
    </row>
    <row r="398">
      <c r="A398" s="13">
        <f>IF('Raw Data'!A385&lt;&gt;"",'Raw Data'!A385,"")</f>
        <v/>
      </c>
      <c r="B398" s="13">
        <f>IF('Raw Data'!B385&lt;&gt;"",'Raw Data'!B385,"")</f>
        <v/>
      </c>
      <c r="C398" s="13">
        <f>IF('Raw Data'!C385&lt;&gt;"",'Raw Data'!C385,"")</f>
        <v/>
      </c>
      <c r="D398" s="13">
        <f>IF('Raw Data'!D385&lt;&gt;"",'Raw Data'!D385,"")</f>
        <v/>
      </c>
      <c r="E398" s="13">
        <f>IF('Raw Data'!E385&lt;&gt;"",'Raw Data'!E385,"")</f>
        <v/>
      </c>
      <c r="F398" s="17">
        <f>IF('Raw Data'!A385&lt;&gt;"",AVERAGE('Raw Data'!F385,'Raw Data'!H385,'Raw Data'!J385,'Raw Data'!L385,'Raw Data'!N385),"")</f>
        <v/>
      </c>
      <c r="G398" s="17">
        <f>IF('Raw Data'!A385&lt;&gt;"",AVERAGE('Raw Data'!G385,'Raw Data'!I385,'Raw Data'!K385,'Raw Data'!M385,'Raw Data'!O385),"")</f>
        <v/>
      </c>
      <c r="H398" s="17">
        <f>IF(F398&lt;&gt;"",F398-G398,"")</f>
        <v/>
      </c>
      <c r="I398" s="17">
        <f>IF('Raw Data'!A385&lt;&gt;"",AVERAGE('Raw Data'!P385,'Raw Data'!R385,'Raw Data'!T385,'Raw Data'!V385,'Raw Data'!X385),"")</f>
        <v/>
      </c>
      <c r="J398" s="17">
        <f>IF('Raw Data'!A385&lt;&gt;"",AVERAGE('Raw Data'!Q385,'Raw Data'!S385,'Raw Data'!U385,'Raw Data'!W385,'Raw Data'!Y385),"")</f>
        <v/>
      </c>
      <c r="K398" s="17">
        <f>IF(I398&lt;&gt;"",I398-J398,"")</f>
        <v/>
      </c>
      <c r="L398" s="17">
        <f>IF('Raw Data'!A385&lt;&gt;"",AVERAGE('Raw Data'!Z385,'Raw Data'!AB385,'Raw Data'!AD385,'Raw Data'!AF385,'Raw Data'!AH385),"")</f>
        <v/>
      </c>
      <c r="M398" s="17">
        <f>IF('Raw Data'!A385&lt;&gt;"",AVERAGE('Raw Data'!AA385,'Raw Data'!AC385,'Raw Data'!AE385,'Raw Data'!AG385,'Raw Data'!AI385),"")</f>
        <v/>
      </c>
      <c r="N398" s="17">
        <f>IF(L398&lt;&gt;"",L398-M398,"")</f>
        <v/>
      </c>
      <c r="O398" s="17">
        <f>IF('Raw Data'!A385&lt;&gt;"",AVERAGE('Raw Data'!AJ385,'Raw Data'!AL385,'Raw Data'!AN385,'Raw Data'!AP385,'Raw Data'!AR385),"")</f>
        <v/>
      </c>
      <c r="P398" s="17">
        <f>IF('Raw Data'!A385&lt;&gt;"",AVERAGE('Raw Data'!AK385,'Raw Data'!AM385,'Raw Data'!AO385,'Raw Data'!AQ385,'Raw Data'!AS385),"")</f>
        <v/>
      </c>
      <c r="Q398" s="17">
        <f>IF(O398&lt;&gt;"",O398-P398,"")</f>
        <v/>
      </c>
      <c r="R398" s="17">
        <f>IF('Raw Data'!A385&lt;&gt;"",AVERAGE('Raw Data'!AT385,'Raw Data'!AV385,'Raw Data'!AX385,'Raw Data'!AZ385,'Raw Data'!BB385),"")</f>
        <v/>
      </c>
      <c r="S398" s="17">
        <f>IF('Raw Data'!A385&lt;&gt;"",AVERAGE('Raw Data'!AU385,'Raw Data'!AW385,'Raw Data'!AY385,'Raw Data'!BA385,'Raw Data'!BC385),"")</f>
        <v/>
      </c>
      <c r="T398" s="17">
        <f>IF(R398&lt;&gt;"",R398-S398,"")</f>
        <v/>
      </c>
      <c r="U398" s="17">
        <f>IF('Raw Data'!A385&lt;&gt;"",AVERAGE('Raw Data'!BD385,'Raw Data'!BF385,'Raw Data'!BH385,'Raw Data'!BJ385,'Raw Data'!BL385),"")</f>
        <v/>
      </c>
      <c r="V398" s="17">
        <f>IF('Raw Data'!A385&lt;&gt;"",AVERAGE('Raw Data'!BE385,'Raw Data'!BG385,'Raw Data'!BI385,'Raw Data'!BK385,'Raw Data'!BM385),"")</f>
        <v/>
      </c>
      <c r="W398" s="17">
        <f>IF(U398&lt;&gt;"",U398-V398,"")</f>
        <v/>
      </c>
      <c r="X398" s="17">
        <f>IF(A398&lt;&gt;"",AVERAGE(F398,I398,L398,O398,R398,U398),"")</f>
        <v/>
      </c>
      <c r="Y398" s="17">
        <f>IF(A398&lt;&gt;"",AVERAGE(G398,J398,M398,P398,S398,V398),"")</f>
        <v/>
      </c>
      <c r="Z398" s="17">
        <f>IF(A398&lt;&gt;"",X398-Y398,"")</f>
        <v/>
      </c>
      <c r="AA398" s="18">
        <f>IF(A398&lt;&gt;"",ROUND(MIN(100,100*((MAX(0,K398)*0.25)+(MAX(0,Q398)*0.20)+(MAX(0,W398)*0.20)+(MAX(0,H398)*0.15)+(MAX(0,N398)*0.10)+(MAX(0,T398)*0.10))/9),1),"")</f>
        <v/>
      </c>
      <c r="AB398" s="29">
        <f>IF(A398&lt;&gt;"",MIN(1,(0.5*AA398/100)+(0.3*MAX(0,K398)/9)+(0.2*MAX(0,Q398)/9)),"")</f>
        <v/>
      </c>
    </row>
    <row r="399">
      <c r="A399" s="4">
        <f>IF('Raw Data'!A386&lt;&gt;"",'Raw Data'!A386,"")</f>
        <v/>
      </c>
      <c r="B399" s="4">
        <f>IF('Raw Data'!B386&lt;&gt;"",'Raw Data'!B386,"")</f>
        <v/>
      </c>
      <c r="C399" s="4">
        <f>IF('Raw Data'!C386&lt;&gt;"",'Raw Data'!C386,"")</f>
        <v/>
      </c>
      <c r="D399" s="4">
        <f>IF('Raw Data'!D386&lt;&gt;"",'Raw Data'!D386,"")</f>
        <v/>
      </c>
      <c r="E399" s="4">
        <f>IF('Raw Data'!E386&lt;&gt;"",'Raw Data'!E386,"")</f>
        <v/>
      </c>
      <c r="F399" s="14">
        <f>IF('Raw Data'!A386&lt;&gt;"",AVERAGE('Raw Data'!F386,'Raw Data'!H386,'Raw Data'!J386,'Raw Data'!L386,'Raw Data'!N386),"")</f>
        <v/>
      </c>
      <c r="G399" s="14">
        <f>IF('Raw Data'!A386&lt;&gt;"",AVERAGE('Raw Data'!G386,'Raw Data'!I386,'Raw Data'!K386,'Raw Data'!M386,'Raw Data'!O386),"")</f>
        <v/>
      </c>
      <c r="H399" s="14">
        <f>IF(F399&lt;&gt;"",F399-G399,"")</f>
        <v/>
      </c>
      <c r="I399" s="14">
        <f>IF('Raw Data'!A386&lt;&gt;"",AVERAGE('Raw Data'!P386,'Raw Data'!R386,'Raw Data'!T386,'Raw Data'!V386,'Raw Data'!X386),"")</f>
        <v/>
      </c>
      <c r="J399" s="14">
        <f>IF('Raw Data'!A386&lt;&gt;"",AVERAGE('Raw Data'!Q386,'Raw Data'!S386,'Raw Data'!U386,'Raw Data'!W386,'Raw Data'!Y386),"")</f>
        <v/>
      </c>
      <c r="K399" s="14">
        <f>IF(I399&lt;&gt;"",I399-J399,"")</f>
        <v/>
      </c>
      <c r="L399" s="14">
        <f>IF('Raw Data'!A386&lt;&gt;"",AVERAGE('Raw Data'!Z386,'Raw Data'!AB386,'Raw Data'!AD386,'Raw Data'!AF386,'Raw Data'!AH386),"")</f>
        <v/>
      </c>
      <c r="M399" s="14">
        <f>IF('Raw Data'!A386&lt;&gt;"",AVERAGE('Raw Data'!AA386,'Raw Data'!AC386,'Raw Data'!AE386,'Raw Data'!AG386,'Raw Data'!AI386),"")</f>
        <v/>
      </c>
      <c r="N399" s="14">
        <f>IF(L399&lt;&gt;"",L399-M399,"")</f>
        <v/>
      </c>
      <c r="O399" s="14">
        <f>IF('Raw Data'!A386&lt;&gt;"",AVERAGE('Raw Data'!AJ386,'Raw Data'!AL386,'Raw Data'!AN386,'Raw Data'!AP386,'Raw Data'!AR386),"")</f>
        <v/>
      </c>
      <c r="P399" s="14">
        <f>IF('Raw Data'!A386&lt;&gt;"",AVERAGE('Raw Data'!AK386,'Raw Data'!AM386,'Raw Data'!AO386,'Raw Data'!AQ386,'Raw Data'!AS386),"")</f>
        <v/>
      </c>
      <c r="Q399" s="14">
        <f>IF(O399&lt;&gt;"",O399-P399,"")</f>
        <v/>
      </c>
      <c r="R399" s="14">
        <f>IF('Raw Data'!A386&lt;&gt;"",AVERAGE('Raw Data'!AT386,'Raw Data'!AV386,'Raw Data'!AX386,'Raw Data'!AZ386,'Raw Data'!BB386),"")</f>
        <v/>
      </c>
      <c r="S399" s="14">
        <f>IF('Raw Data'!A386&lt;&gt;"",AVERAGE('Raw Data'!AU386,'Raw Data'!AW386,'Raw Data'!AY386,'Raw Data'!BA386,'Raw Data'!BC386),"")</f>
        <v/>
      </c>
      <c r="T399" s="14">
        <f>IF(R399&lt;&gt;"",R399-S399,"")</f>
        <v/>
      </c>
      <c r="U399" s="14">
        <f>IF('Raw Data'!A386&lt;&gt;"",AVERAGE('Raw Data'!BD386,'Raw Data'!BF386,'Raw Data'!BH386,'Raw Data'!BJ386,'Raw Data'!BL386),"")</f>
        <v/>
      </c>
      <c r="V399" s="14">
        <f>IF('Raw Data'!A386&lt;&gt;"",AVERAGE('Raw Data'!BE386,'Raw Data'!BG386,'Raw Data'!BI386,'Raw Data'!BK386,'Raw Data'!BM386),"")</f>
        <v/>
      </c>
      <c r="W399" s="14">
        <f>IF(U399&lt;&gt;"",U399-V399,"")</f>
        <v/>
      </c>
      <c r="X399" s="14">
        <f>IF(A399&lt;&gt;"",AVERAGE(F399,I399,L399,O399,R399,U399),"")</f>
        <v/>
      </c>
      <c r="Y399" s="14">
        <f>IF(A399&lt;&gt;"",AVERAGE(G399,J399,M399,P399,S399,V399),"")</f>
        <v/>
      </c>
      <c r="Z399" s="14">
        <f>IF(A399&lt;&gt;"",X399-Y399,"")</f>
        <v/>
      </c>
      <c r="AA399" s="15">
        <f>IF(A399&lt;&gt;"",ROUND(MIN(100,100*((MAX(0,K399)*0.25)+(MAX(0,Q399)*0.20)+(MAX(0,W399)*0.20)+(MAX(0,H399)*0.15)+(MAX(0,N399)*0.10)+(MAX(0,T399)*0.10))/9),1),"")</f>
        <v/>
      </c>
      <c r="AB399" s="28">
        <f>IF(A399&lt;&gt;"",MIN(1,(0.5*AA399/100)+(0.3*MAX(0,K399)/9)+(0.2*MAX(0,Q399)/9)),"")</f>
        <v/>
      </c>
    </row>
    <row r="400">
      <c r="A400" s="13">
        <f>IF('Raw Data'!A387&lt;&gt;"",'Raw Data'!A387,"")</f>
        <v/>
      </c>
      <c r="B400" s="13">
        <f>IF('Raw Data'!B387&lt;&gt;"",'Raw Data'!B387,"")</f>
        <v/>
      </c>
      <c r="C400" s="13">
        <f>IF('Raw Data'!C387&lt;&gt;"",'Raw Data'!C387,"")</f>
        <v/>
      </c>
      <c r="D400" s="13">
        <f>IF('Raw Data'!D387&lt;&gt;"",'Raw Data'!D387,"")</f>
        <v/>
      </c>
      <c r="E400" s="13">
        <f>IF('Raw Data'!E387&lt;&gt;"",'Raw Data'!E387,"")</f>
        <v/>
      </c>
      <c r="F400" s="17">
        <f>IF('Raw Data'!A387&lt;&gt;"",AVERAGE('Raw Data'!F387,'Raw Data'!H387,'Raw Data'!J387,'Raw Data'!L387,'Raw Data'!N387),"")</f>
        <v/>
      </c>
      <c r="G400" s="17">
        <f>IF('Raw Data'!A387&lt;&gt;"",AVERAGE('Raw Data'!G387,'Raw Data'!I387,'Raw Data'!K387,'Raw Data'!M387,'Raw Data'!O387),"")</f>
        <v/>
      </c>
      <c r="H400" s="17">
        <f>IF(F400&lt;&gt;"",F400-G400,"")</f>
        <v/>
      </c>
      <c r="I400" s="17">
        <f>IF('Raw Data'!A387&lt;&gt;"",AVERAGE('Raw Data'!P387,'Raw Data'!R387,'Raw Data'!T387,'Raw Data'!V387,'Raw Data'!X387),"")</f>
        <v/>
      </c>
      <c r="J400" s="17">
        <f>IF('Raw Data'!A387&lt;&gt;"",AVERAGE('Raw Data'!Q387,'Raw Data'!S387,'Raw Data'!U387,'Raw Data'!W387,'Raw Data'!Y387),"")</f>
        <v/>
      </c>
      <c r="K400" s="17">
        <f>IF(I400&lt;&gt;"",I400-J400,"")</f>
        <v/>
      </c>
      <c r="L400" s="17">
        <f>IF('Raw Data'!A387&lt;&gt;"",AVERAGE('Raw Data'!Z387,'Raw Data'!AB387,'Raw Data'!AD387,'Raw Data'!AF387,'Raw Data'!AH387),"")</f>
        <v/>
      </c>
      <c r="M400" s="17">
        <f>IF('Raw Data'!A387&lt;&gt;"",AVERAGE('Raw Data'!AA387,'Raw Data'!AC387,'Raw Data'!AE387,'Raw Data'!AG387,'Raw Data'!AI387),"")</f>
        <v/>
      </c>
      <c r="N400" s="17">
        <f>IF(L400&lt;&gt;"",L400-M400,"")</f>
        <v/>
      </c>
      <c r="O400" s="17">
        <f>IF('Raw Data'!A387&lt;&gt;"",AVERAGE('Raw Data'!AJ387,'Raw Data'!AL387,'Raw Data'!AN387,'Raw Data'!AP387,'Raw Data'!AR387),"")</f>
        <v/>
      </c>
      <c r="P400" s="17">
        <f>IF('Raw Data'!A387&lt;&gt;"",AVERAGE('Raw Data'!AK387,'Raw Data'!AM387,'Raw Data'!AO387,'Raw Data'!AQ387,'Raw Data'!AS387),"")</f>
        <v/>
      </c>
      <c r="Q400" s="17">
        <f>IF(O400&lt;&gt;"",O400-P400,"")</f>
        <v/>
      </c>
      <c r="R400" s="17">
        <f>IF('Raw Data'!A387&lt;&gt;"",AVERAGE('Raw Data'!AT387,'Raw Data'!AV387,'Raw Data'!AX387,'Raw Data'!AZ387,'Raw Data'!BB387),"")</f>
        <v/>
      </c>
      <c r="S400" s="17">
        <f>IF('Raw Data'!A387&lt;&gt;"",AVERAGE('Raw Data'!AU387,'Raw Data'!AW387,'Raw Data'!AY387,'Raw Data'!BA387,'Raw Data'!BC387),"")</f>
        <v/>
      </c>
      <c r="T400" s="17">
        <f>IF(R400&lt;&gt;"",R400-S400,"")</f>
        <v/>
      </c>
      <c r="U400" s="17">
        <f>IF('Raw Data'!A387&lt;&gt;"",AVERAGE('Raw Data'!BD387,'Raw Data'!BF387,'Raw Data'!BH387,'Raw Data'!BJ387,'Raw Data'!BL387),"")</f>
        <v/>
      </c>
      <c r="V400" s="17">
        <f>IF('Raw Data'!A387&lt;&gt;"",AVERAGE('Raw Data'!BE387,'Raw Data'!BG387,'Raw Data'!BI387,'Raw Data'!BK387,'Raw Data'!BM387),"")</f>
        <v/>
      </c>
      <c r="W400" s="17">
        <f>IF(U400&lt;&gt;"",U400-V400,"")</f>
        <v/>
      </c>
      <c r="X400" s="17">
        <f>IF(A400&lt;&gt;"",AVERAGE(F400,I400,L400,O400,R400,U400),"")</f>
        <v/>
      </c>
      <c r="Y400" s="17">
        <f>IF(A400&lt;&gt;"",AVERAGE(G400,J400,M400,P400,S400,V400),"")</f>
        <v/>
      </c>
      <c r="Z400" s="17">
        <f>IF(A400&lt;&gt;"",X400-Y400,"")</f>
        <v/>
      </c>
      <c r="AA400" s="18">
        <f>IF(A400&lt;&gt;"",ROUND(MIN(100,100*((MAX(0,K400)*0.25)+(MAX(0,Q400)*0.20)+(MAX(0,W400)*0.20)+(MAX(0,H400)*0.15)+(MAX(0,N400)*0.10)+(MAX(0,T400)*0.10))/9),1),"")</f>
        <v/>
      </c>
      <c r="AB400" s="29">
        <f>IF(A400&lt;&gt;"",MIN(1,(0.5*AA400/100)+(0.3*MAX(0,K400)/9)+(0.2*MAX(0,Q400)/9)),"")</f>
        <v/>
      </c>
    </row>
    <row r="401">
      <c r="A401" s="4">
        <f>IF('Raw Data'!A388&lt;&gt;"",'Raw Data'!A388,"")</f>
        <v/>
      </c>
      <c r="B401" s="4">
        <f>IF('Raw Data'!B388&lt;&gt;"",'Raw Data'!B388,"")</f>
        <v/>
      </c>
      <c r="C401" s="4">
        <f>IF('Raw Data'!C388&lt;&gt;"",'Raw Data'!C388,"")</f>
        <v/>
      </c>
      <c r="D401" s="4">
        <f>IF('Raw Data'!D388&lt;&gt;"",'Raw Data'!D388,"")</f>
        <v/>
      </c>
      <c r="E401" s="4">
        <f>IF('Raw Data'!E388&lt;&gt;"",'Raw Data'!E388,"")</f>
        <v/>
      </c>
      <c r="F401" s="14">
        <f>IF('Raw Data'!A388&lt;&gt;"",AVERAGE('Raw Data'!F388,'Raw Data'!H388,'Raw Data'!J388,'Raw Data'!L388,'Raw Data'!N388),"")</f>
        <v/>
      </c>
      <c r="G401" s="14">
        <f>IF('Raw Data'!A388&lt;&gt;"",AVERAGE('Raw Data'!G388,'Raw Data'!I388,'Raw Data'!K388,'Raw Data'!M388,'Raw Data'!O388),"")</f>
        <v/>
      </c>
      <c r="H401" s="14">
        <f>IF(F401&lt;&gt;"",F401-G401,"")</f>
        <v/>
      </c>
      <c r="I401" s="14">
        <f>IF('Raw Data'!A388&lt;&gt;"",AVERAGE('Raw Data'!P388,'Raw Data'!R388,'Raw Data'!T388,'Raw Data'!V388,'Raw Data'!X388),"")</f>
        <v/>
      </c>
      <c r="J401" s="14">
        <f>IF('Raw Data'!A388&lt;&gt;"",AVERAGE('Raw Data'!Q388,'Raw Data'!S388,'Raw Data'!U388,'Raw Data'!W388,'Raw Data'!Y388),"")</f>
        <v/>
      </c>
      <c r="K401" s="14">
        <f>IF(I401&lt;&gt;"",I401-J401,"")</f>
        <v/>
      </c>
      <c r="L401" s="14">
        <f>IF('Raw Data'!A388&lt;&gt;"",AVERAGE('Raw Data'!Z388,'Raw Data'!AB388,'Raw Data'!AD388,'Raw Data'!AF388,'Raw Data'!AH388),"")</f>
        <v/>
      </c>
      <c r="M401" s="14">
        <f>IF('Raw Data'!A388&lt;&gt;"",AVERAGE('Raw Data'!AA388,'Raw Data'!AC388,'Raw Data'!AE388,'Raw Data'!AG388,'Raw Data'!AI388),"")</f>
        <v/>
      </c>
      <c r="N401" s="14">
        <f>IF(L401&lt;&gt;"",L401-M401,"")</f>
        <v/>
      </c>
      <c r="O401" s="14">
        <f>IF('Raw Data'!A388&lt;&gt;"",AVERAGE('Raw Data'!AJ388,'Raw Data'!AL388,'Raw Data'!AN388,'Raw Data'!AP388,'Raw Data'!AR388),"")</f>
        <v/>
      </c>
      <c r="P401" s="14">
        <f>IF('Raw Data'!A388&lt;&gt;"",AVERAGE('Raw Data'!AK388,'Raw Data'!AM388,'Raw Data'!AO388,'Raw Data'!AQ388,'Raw Data'!AS388),"")</f>
        <v/>
      </c>
      <c r="Q401" s="14">
        <f>IF(O401&lt;&gt;"",O401-P401,"")</f>
        <v/>
      </c>
      <c r="R401" s="14">
        <f>IF('Raw Data'!A388&lt;&gt;"",AVERAGE('Raw Data'!AT388,'Raw Data'!AV388,'Raw Data'!AX388,'Raw Data'!AZ388,'Raw Data'!BB388),"")</f>
        <v/>
      </c>
      <c r="S401" s="14">
        <f>IF('Raw Data'!A388&lt;&gt;"",AVERAGE('Raw Data'!AU388,'Raw Data'!AW388,'Raw Data'!AY388,'Raw Data'!BA388,'Raw Data'!BC388),"")</f>
        <v/>
      </c>
      <c r="T401" s="14">
        <f>IF(R401&lt;&gt;"",R401-S401,"")</f>
        <v/>
      </c>
      <c r="U401" s="14">
        <f>IF('Raw Data'!A388&lt;&gt;"",AVERAGE('Raw Data'!BD388,'Raw Data'!BF388,'Raw Data'!BH388,'Raw Data'!BJ388,'Raw Data'!BL388),"")</f>
        <v/>
      </c>
      <c r="V401" s="14">
        <f>IF('Raw Data'!A388&lt;&gt;"",AVERAGE('Raw Data'!BE388,'Raw Data'!BG388,'Raw Data'!BI388,'Raw Data'!BK388,'Raw Data'!BM388),"")</f>
        <v/>
      </c>
      <c r="W401" s="14">
        <f>IF(U401&lt;&gt;"",U401-V401,"")</f>
        <v/>
      </c>
      <c r="X401" s="14">
        <f>IF(A401&lt;&gt;"",AVERAGE(F401,I401,L401,O401,R401,U401),"")</f>
        <v/>
      </c>
      <c r="Y401" s="14">
        <f>IF(A401&lt;&gt;"",AVERAGE(G401,J401,M401,P401,S401,V401),"")</f>
        <v/>
      </c>
      <c r="Z401" s="14">
        <f>IF(A401&lt;&gt;"",X401-Y401,"")</f>
        <v/>
      </c>
      <c r="AA401" s="15">
        <f>IF(A401&lt;&gt;"",ROUND(MIN(100,100*((MAX(0,K401)*0.25)+(MAX(0,Q401)*0.20)+(MAX(0,W401)*0.20)+(MAX(0,H401)*0.15)+(MAX(0,N401)*0.10)+(MAX(0,T401)*0.10))/9),1),"")</f>
        <v/>
      </c>
      <c r="AB401" s="28">
        <f>IF(A401&lt;&gt;"",MIN(1,(0.5*AA401/100)+(0.3*MAX(0,K401)/9)+(0.2*MAX(0,Q401)/9)),"")</f>
        <v/>
      </c>
    </row>
    <row r="402">
      <c r="A402" s="13">
        <f>IF('Raw Data'!A389&lt;&gt;"",'Raw Data'!A389,"")</f>
        <v/>
      </c>
      <c r="B402" s="13">
        <f>IF('Raw Data'!B389&lt;&gt;"",'Raw Data'!B389,"")</f>
        <v/>
      </c>
      <c r="C402" s="13">
        <f>IF('Raw Data'!C389&lt;&gt;"",'Raw Data'!C389,"")</f>
        <v/>
      </c>
      <c r="D402" s="13">
        <f>IF('Raw Data'!D389&lt;&gt;"",'Raw Data'!D389,"")</f>
        <v/>
      </c>
      <c r="E402" s="13">
        <f>IF('Raw Data'!E389&lt;&gt;"",'Raw Data'!E389,"")</f>
        <v/>
      </c>
      <c r="F402" s="17">
        <f>IF('Raw Data'!A389&lt;&gt;"",AVERAGE('Raw Data'!F389,'Raw Data'!H389,'Raw Data'!J389,'Raw Data'!L389,'Raw Data'!N389),"")</f>
        <v/>
      </c>
      <c r="G402" s="17">
        <f>IF('Raw Data'!A389&lt;&gt;"",AVERAGE('Raw Data'!G389,'Raw Data'!I389,'Raw Data'!K389,'Raw Data'!M389,'Raw Data'!O389),"")</f>
        <v/>
      </c>
      <c r="H402" s="17">
        <f>IF(F402&lt;&gt;"",F402-G402,"")</f>
        <v/>
      </c>
      <c r="I402" s="17">
        <f>IF('Raw Data'!A389&lt;&gt;"",AVERAGE('Raw Data'!P389,'Raw Data'!R389,'Raw Data'!T389,'Raw Data'!V389,'Raw Data'!X389),"")</f>
        <v/>
      </c>
      <c r="J402" s="17">
        <f>IF('Raw Data'!A389&lt;&gt;"",AVERAGE('Raw Data'!Q389,'Raw Data'!S389,'Raw Data'!U389,'Raw Data'!W389,'Raw Data'!Y389),"")</f>
        <v/>
      </c>
      <c r="K402" s="17">
        <f>IF(I402&lt;&gt;"",I402-J402,"")</f>
        <v/>
      </c>
      <c r="L402" s="17">
        <f>IF('Raw Data'!A389&lt;&gt;"",AVERAGE('Raw Data'!Z389,'Raw Data'!AB389,'Raw Data'!AD389,'Raw Data'!AF389,'Raw Data'!AH389),"")</f>
        <v/>
      </c>
      <c r="M402" s="17">
        <f>IF('Raw Data'!A389&lt;&gt;"",AVERAGE('Raw Data'!AA389,'Raw Data'!AC389,'Raw Data'!AE389,'Raw Data'!AG389,'Raw Data'!AI389),"")</f>
        <v/>
      </c>
      <c r="N402" s="17">
        <f>IF(L402&lt;&gt;"",L402-M402,"")</f>
        <v/>
      </c>
      <c r="O402" s="17">
        <f>IF('Raw Data'!A389&lt;&gt;"",AVERAGE('Raw Data'!AJ389,'Raw Data'!AL389,'Raw Data'!AN389,'Raw Data'!AP389,'Raw Data'!AR389),"")</f>
        <v/>
      </c>
      <c r="P402" s="17">
        <f>IF('Raw Data'!A389&lt;&gt;"",AVERAGE('Raw Data'!AK389,'Raw Data'!AM389,'Raw Data'!AO389,'Raw Data'!AQ389,'Raw Data'!AS389),"")</f>
        <v/>
      </c>
      <c r="Q402" s="17">
        <f>IF(O402&lt;&gt;"",O402-P402,"")</f>
        <v/>
      </c>
      <c r="R402" s="17">
        <f>IF('Raw Data'!A389&lt;&gt;"",AVERAGE('Raw Data'!AT389,'Raw Data'!AV389,'Raw Data'!AX389,'Raw Data'!AZ389,'Raw Data'!BB389),"")</f>
        <v/>
      </c>
      <c r="S402" s="17">
        <f>IF('Raw Data'!A389&lt;&gt;"",AVERAGE('Raw Data'!AU389,'Raw Data'!AW389,'Raw Data'!AY389,'Raw Data'!BA389,'Raw Data'!BC389),"")</f>
        <v/>
      </c>
      <c r="T402" s="17">
        <f>IF(R402&lt;&gt;"",R402-S402,"")</f>
        <v/>
      </c>
      <c r="U402" s="17">
        <f>IF('Raw Data'!A389&lt;&gt;"",AVERAGE('Raw Data'!BD389,'Raw Data'!BF389,'Raw Data'!BH389,'Raw Data'!BJ389,'Raw Data'!BL389),"")</f>
        <v/>
      </c>
      <c r="V402" s="17">
        <f>IF('Raw Data'!A389&lt;&gt;"",AVERAGE('Raw Data'!BE389,'Raw Data'!BG389,'Raw Data'!BI389,'Raw Data'!BK389,'Raw Data'!BM389),"")</f>
        <v/>
      </c>
      <c r="W402" s="17">
        <f>IF(U402&lt;&gt;"",U402-V402,"")</f>
        <v/>
      </c>
      <c r="X402" s="17">
        <f>IF(A402&lt;&gt;"",AVERAGE(F402,I402,L402,O402,R402,U402),"")</f>
        <v/>
      </c>
      <c r="Y402" s="17">
        <f>IF(A402&lt;&gt;"",AVERAGE(G402,J402,M402,P402,S402,V402),"")</f>
        <v/>
      </c>
      <c r="Z402" s="17">
        <f>IF(A402&lt;&gt;"",X402-Y402,"")</f>
        <v/>
      </c>
      <c r="AA402" s="18">
        <f>IF(A402&lt;&gt;"",ROUND(MIN(100,100*((MAX(0,K402)*0.25)+(MAX(0,Q402)*0.20)+(MAX(0,W402)*0.20)+(MAX(0,H402)*0.15)+(MAX(0,N402)*0.10)+(MAX(0,T402)*0.10))/9),1),"")</f>
        <v/>
      </c>
      <c r="AB402" s="29">
        <f>IF(A402&lt;&gt;"",MIN(1,(0.5*AA402/100)+(0.3*MAX(0,K402)/9)+(0.2*MAX(0,Q402)/9)),"")</f>
        <v/>
      </c>
    </row>
    <row r="403">
      <c r="A403" s="4">
        <f>IF('Raw Data'!A390&lt;&gt;"",'Raw Data'!A390,"")</f>
        <v/>
      </c>
      <c r="B403" s="4">
        <f>IF('Raw Data'!B390&lt;&gt;"",'Raw Data'!B390,"")</f>
        <v/>
      </c>
      <c r="C403" s="4">
        <f>IF('Raw Data'!C390&lt;&gt;"",'Raw Data'!C390,"")</f>
        <v/>
      </c>
      <c r="D403" s="4">
        <f>IF('Raw Data'!D390&lt;&gt;"",'Raw Data'!D390,"")</f>
        <v/>
      </c>
      <c r="E403" s="4">
        <f>IF('Raw Data'!E390&lt;&gt;"",'Raw Data'!E390,"")</f>
        <v/>
      </c>
      <c r="F403" s="14">
        <f>IF('Raw Data'!A390&lt;&gt;"",AVERAGE('Raw Data'!F390,'Raw Data'!H390,'Raw Data'!J390,'Raw Data'!L390,'Raw Data'!N390),"")</f>
        <v/>
      </c>
      <c r="G403" s="14">
        <f>IF('Raw Data'!A390&lt;&gt;"",AVERAGE('Raw Data'!G390,'Raw Data'!I390,'Raw Data'!K390,'Raw Data'!M390,'Raw Data'!O390),"")</f>
        <v/>
      </c>
      <c r="H403" s="14">
        <f>IF(F403&lt;&gt;"",F403-G403,"")</f>
        <v/>
      </c>
      <c r="I403" s="14">
        <f>IF('Raw Data'!A390&lt;&gt;"",AVERAGE('Raw Data'!P390,'Raw Data'!R390,'Raw Data'!T390,'Raw Data'!V390,'Raw Data'!X390),"")</f>
        <v/>
      </c>
      <c r="J403" s="14">
        <f>IF('Raw Data'!A390&lt;&gt;"",AVERAGE('Raw Data'!Q390,'Raw Data'!S390,'Raw Data'!U390,'Raw Data'!W390,'Raw Data'!Y390),"")</f>
        <v/>
      </c>
      <c r="K403" s="14">
        <f>IF(I403&lt;&gt;"",I403-J403,"")</f>
        <v/>
      </c>
      <c r="L403" s="14">
        <f>IF('Raw Data'!A390&lt;&gt;"",AVERAGE('Raw Data'!Z390,'Raw Data'!AB390,'Raw Data'!AD390,'Raw Data'!AF390,'Raw Data'!AH390),"")</f>
        <v/>
      </c>
      <c r="M403" s="14">
        <f>IF('Raw Data'!A390&lt;&gt;"",AVERAGE('Raw Data'!AA390,'Raw Data'!AC390,'Raw Data'!AE390,'Raw Data'!AG390,'Raw Data'!AI390),"")</f>
        <v/>
      </c>
      <c r="N403" s="14">
        <f>IF(L403&lt;&gt;"",L403-M403,"")</f>
        <v/>
      </c>
      <c r="O403" s="14">
        <f>IF('Raw Data'!A390&lt;&gt;"",AVERAGE('Raw Data'!AJ390,'Raw Data'!AL390,'Raw Data'!AN390,'Raw Data'!AP390,'Raw Data'!AR390),"")</f>
        <v/>
      </c>
      <c r="P403" s="14">
        <f>IF('Raw Data'!A390&lt;&gt;"",AVERAGE('Raw Data'!AK390,'Raw Data'!AM390,'Raw Data'!AO390,'Raw Data'!AQ390,'Raw Data'!AS390),"")</f>
        <v/>
      </c>
      <c r="Q403" s="14">
        <f>IF(O403&lt;&gt;"",O403-P403,"")</f>
        <v/>
      </c>
      <c r="R403" s="14">
        <f>IF('Raw Data'!A390&lt;&gt;"",AVERAGE('Raw Data'!AT390,'Raw Data'!AV390,'Raw Data'!AX390,'Raw Data'!AZ390,'Raw Data'!BB390),"")</f>
        <v/>
      </c>
      <c r="S403" s="14">
        <f>IF('Raw Data'!A390&lt;&gt;"",AVERAGE('Raw Data'!AU390,'Raw Data'!AW390,'Raw Data'!AY390,'Raw Data'!BA390,'Raw Data'!BC390),"")</f>
        <v/>
      </c>
      <c r="T403" s="14">
        <f>IF(R403&lt;&gt;"",R403-S403,"")</f>
        <v/>
      </c>
      <c r="U403" s="14">
        <f>IF('Raw Data'!A390&lt;&gt;"",AVERAGE('Raw Data'!BD390,'Raw Data'!BF390,'Raw Data'!BH390,'Raw Data'!BJ390,'Raw Data'!BL390),"")</f>
        <v/>
      </c>
      <c r="V403" s="14">
        <f>IF('Raw Data'!A390&lt;&gt;"",AVERAGE('Raw Data'!BE390,'Raw Data'!BG390,'Raw Data'!BI390,'Raw Data'!BK390,'Raw Data'!BM390),"")</f>
        <v/>
      </c>
      <c r="W403" s="14">
        <f>IF(U403&lt;&gt;"",U403-V403,"")</f>
        <v/>
      </c>
      <c r="X403" s="14">
        <f>IF(A403&lt;&gt;"",AVERAGE(F403,I403,L403,O403,R403,U403),"")</f>
        <v/>
      </c>
      <c r="Y403" s="14">
        <f>IF(A403&lt;&gt;"",AVERAGE(G403,J403,M403,P403,S403,V403),"")</f>
        <v/>
      </c>
      <c r="Z403" s="14">
        <f>IF(A403&lt;&gt;"",X403-Y403,"")</f>
        <v/>
      </c>
      <c r="AA403" s="15">
        <f>IF(A403&lt;&gt;"",ROUND(MIN(100,100*((MAX(0,K403)*0.25)+(MAX(0,Q403)*0.20)+(MAX(0,W403)*0.20)+(MAX(0,H403)*0.15)+(MAX(0,N403)*0.10)+(MAX(0,T403)*0.10))/9),1),"")</f>
        <v/>
      </c>
      <c r="AB403" s="28">
        <f>IF(A403&lt;&gt;"",MIN(1,(0.5*AA403/100)+(0.3*MAX(0,K403)/9)+(0.2*MAX(0,Q403)/9)),"")</f>
        <v/>
      </c>
    </row>
    <row r="404">
      <c r="A404" s="13">
        <f>IF('Raw Data'!A391&lt;&gt;"",'Raw Data'!A391,"")</f>
        <v/>
      </c>
      <c r="B404" s="13">
        <f>IF('Raw Data'!B391&lt;&gt;"",'Raw Data'!B391,"")</f>
        <v/>
      </c>
      <c r="C404" s="13">
        <f>IF('Raw Data'!C391&lt;&gt;"",'Raw Data'!C391,"")</f>
        <v/>
      </c>
      <c r="D404" s="13">
        <f>IF('Raw Data'!D391&lt;&gt;"",'Raw Data'!D391,"")</f>
        <v/>
      </c>
      <c r="E404" s="13">
        <f>IF('Raw Data'!E391&lt;&gt;"",'Raw Data'!E391,"")</f>
        <v/>
      </c>
      <c r="F404" s="17">
        <f>IF('Raw Data'!A391&lt;&gt;"",AVERAGE('Raw Data'!F391,'Raw Data'!H391,'Raw Data'!J391,'Raw Data'!L391,'Raw Data'!N391),"")</f>
        <v/>
      </c>
      <c r="G404" s="17">
        <f>IF('Raw Data'!A391&lt;&gt;"",AVERAGE('Raw Data'!G391,'Raw Data'!I391,'Raw Data'!K391,'Raw Data'!M391,'Raw Data'!O391),"")</f>
        <v/>
      </c>
      <c r="H404" s="17">
        <f>IF(F404&lt;&gt;"",F404-G404,"")</f>
        <v/>
      </c>
      <c r="I404" s="17">
        <f>IF('Raw Data'!A391&lt;&gt;"",AVERAGE('Raw Data'!P391,'Raw Data'!R391,'Raw Data'!T391,'Raw Data'!V391,'Raw Data'!X391),"")</f>
        <v/>
      </c>
      <c r="J404" s="17">
        <f>IF('Raw Data'!A391&lt;&gt;"",AVERAGE('Raw Data'!Q391,'Raw Data'!S391,'Raw Data'!U391,'Raw Data'!W391,'Raw Data'!Y391),"")</f>
        <v/>
      </c>
      <c r="K404" s="17">
        <f>IF(I404&lt;&gt;"",I404-J404,"")</f>
        <v/>
      </c>
      <c r="L404" s="17">
        <f>IF('Raw Data'!A391&lt;&gt;"",AVERAGE('Raw Data'!Z391,'Raw Data'!AB391,'Raw Data'!AD391,'Raw Data'!AF391,'Raw Data'!AH391),"")</f>
        <v/>
      </c>
      <c r="M404" s="17">
        <f>IF('Raw Data'!A391&lt;&gt;"",AVERAGE('Raw Data'!AA391,'Raw Data'!AC391,'Raw Data'!AE391,'Raw Data'!AG391,'Raw Data'!AI391),"")</f>
        <v/>
      </c>
      <c r="N404" s="17">
        <f>IF(L404&lt;&gt;"",L404-M404,"")</f>
        <v/>
      </c>
      <c r="O404" s="17">
        <f>IF('Raw Data'!A391&lt;&gt;"",AVERAGE('Raw Data'!AJ391,'Raw Data'!AL391,'Raw Data'!AN391,'Raw Data'!AP391,'Raw Data'!AR391),"")</f>
        <v/>
      </c>
      <c r="P404" s="17">
        <f>IF('Raw Data'!A391&lt;&gt;"",AVERAGE('Raw Data'!AK391,'Raw Data'!AM391,'Raw Data'!AO391,'Raw Data'!AQ391,'Raw Data'!AS391),"")</f>
        <v/>
      </c>
      <c r="Q404" s="17">
        <f>IF(O404&lt;&gt;"",O404-P404,"")</f>
        <v/>
      </c>
      <c r="R404" s="17">
        <f>IF('Raw Data'!A391&lt;&gt;"",AVERAGE('Raw Data'!AT391,'Raw Data'!AV391,'Raw Data'!AX391,'Raw Data'!AZ391,'Raw Data'!BB391),"")</f>
        <v/>
      </c>
      <c r="S404" s="17">
        <f>IF('Raw Data'!A391&lt;&gt;"",AVERAGE('Raw Data'!AU391,'Raw Data'!AW391,'Raw Data'!AY391,'Raw Data'!BA391,'Raw Data'!BC391),"")</f>
        <v/>
      </c>
      <c r="T404" s="17">
        <f>IF(R404&lt;&gt;"",R404-S404,"")</f>
        <v/>
      </c>
      <c r="U404" s="17">
        <f>IF('Raw Data'!A391&lt;&gt;"",AVERAGE('Raw Data'!BD391,'Raw Data'!BF391,'Raw Data'!BH391,'Raw Data'!BJ391,'Raw Data'!BL391),"")</f>
        <v/>
      </c>
      <c r="V404" s="17">
        <f>IF('Raw Data'!A391&lt;&gt;"",AVERAGE('Raw Data'!BE391,'Raw Data'!BG391,'Raw Data'!BI391,'Raw Data'!BK391,'Raw Data'!BM391),"")</f>
        <v/>
      </c>
      <c r="W404" s="17">
        <f>IF(U404&lt;&gt;"",U404-V404,"")</f>
        <v/>
      </c>
      <c r="X404" s="17">
        <f>IF(A404&lt;&gt;"",AVERAGE(F404,I404,L404,O404,R404,U404),"")</f>
        <v/>
      </c>
      <c r="Y404" s="17">
        <f>IF(A404&lt;&gt;"",AVERAGE(G404,J404,M404,P404,S404,V404),"")</f>
        <v/>
      </c>
      <c r="Z404" s="17">
        <f>IF(A404&lt;&gt;"",X404-Y404,"")</f>
        <v/>
      </c>
      <c r="AA404" s="18">
        <f>IF(A404&lt;&gt;"",ROUND(MIN(100,100*((MAX(0,K404)*0.25)+(MAX(0,Q404)*0.20)+(MAX(0,W404)*0.20)+(MAX(0,H404)*0.15)+(MAX(0,N404)*0.10)+(MAX(0,T404)*0.10))/9),1),"")</f>
        <v/>
      </c>
      <c r="AB404" s="29">
        <f>IF(A404&lt;&gt;"",MIN(1,(0.5*AA404/100)+(0.3*MAX(0,K404)/9)+(0.2*MAX(0,Q404)/9)),"")</f>
        <v/>
      </c>
    </row>
    <row r="405">
      <c r="A405" s="4">
        <f>IF('Raw Data'!A392&lt;&gt;"",'Raw Data'!A392,"")</f>
        <v/>
      </c>
      <c r="B405" s="4">
        <f>IF('Raw Data'!B392&lt;&gt;"",'Raw Data'!B392,"")</f>
        <v/>
      </c>
      <c r="C405" s="4">
        <f>IF('Raw Data'!C392&lt;&gt;"",'Raw Data'!C392,"")</f>
        <v/>
      </c>
      <c r="D405" s="4">
        <f>IF('Raw Data'!D392&lt;&gt;"",'Raw Data'!D392,"")</f>
        <v/>
      </c>
      <c r="E405" s="4">
        <f>IF('Raw Data'!E392&lt;&gt;"",'Raw Data'!E392,"")</f>
        <v/>
      </c>
      <c r="F405" s="14">
        <f>IF('Raw Data'!A392&lt;&gt;"",AVERAGE('Raw Data'!F392,'Raw Data'!H392,'Raw Data'!J392,'Raw Data'!L392,'Raw Data'!N392),"")</f>
        <v/>
      </c>
      <c r="G405" s="14">
        <f>IF('Raw Data'!A392&lt;&gt;"",AVERAGE('Raw Data'!G392,'Raw Data'!I392,'Raw Data'!K392,'Raw Data'!M392,'Raw Data'!O392),"")</f>
        <v/>
      </c>
      <c r="H405" s="14">
        <f>IF(F405&lt;&gt;"",F405-G405,"")</f>
        <v/>
      </c>
      <c r="I405" s="14">
        <f>IF('Raw Data'!A392&lt;&gt;"",AVERAGE('Raw Data'!P392,'Raw Data'!R392,'Raw Data'!T392,'Raw Data'!V392,'Raw Data'!X392),"")</f>
        <v/>
      </c>
      <c r="J405" s="14">
        <f>IF('Raw Data'!A392&lt;&gt;"",AVERAGE('Raw Data'!Q392,'Raw Data'!S392,'Raw Data'!U392,'Raw Data'!W392,'Raw Data'!Y392),"")</f>
        <v/>
      </c>
      <c r="K405" s="14">
        <f>IF(I405&lt;&gt;"",I405-J405,"")</f>
        <v/>
      </c>
      <c r="L405" s="14">
        <f>IF('Raw Data'!A392&lt;&gt;"",AVERAGE('Raw Data'!Z392,'Raw Data'!AB392,'Raw Data'!AD392,'Raw Data'!AF392,'Raw Data'!AH392),"")</f>
        <v/>
      </c>
      <c r="M405" s="14">
        <f>IF('Raw Data'!A392&lt;&gt;"",AVERAGE('Raw Data'!AA392,'Raw Data'!AC392,'Raw Data'!AE392,'Raw Data'!AG392,'Raw Data'!AI392),"")</f>
        <v/>
      </c>
      <c r="N405" s="14">
        <f>IF(L405&lt;&gt;"",L405-M405,"")</f>
        <v/>
      </c>
      <c r="O405" s="14">
        <f>IF('Raw Data'!A392&lt;&gt;"",AVERAGE('Raw Data'!AJ392,'Raw Data'!AL392,'Raw Data'!AN392,'Raw Data'!AP392,'Raw Data'!AR392),"")</f>
        <v/>
      </c>
      <c r="P405" s="14">
        <f>IF('Raw Data'!A392&lt;&gt;"",AVERAGE('Raw Data'!AK392,'Raw Data'!AM392,'Raw Data'!AO392,'Raw Data'!AQ392,'Raw Data'!AS392),"")</f>
        <v/>
      </c>
      <c r="Q405" s="14">
        <f>IF(O405&lt;&gt;"",O405-P405,"")</f>
        <v/>
      </c>
      <c r="R405" s="14">
        <f>IF('Raw Data'!A392&lt;&gt;"",AVERAGE('Raw Data'!AT392,'Raw Data'!AV392,'Raw Data'!AX392,'Raw Data'!AZ392,'Raw Data'!BB392),"")</f>
        <v/>
      </c>
      <c r="S405" s="14">
        <f>IF('Raw Data'!A392&lt;&gt;"",AVERAGE('Raw Data'!AU392,'Raw Data'!AW392,'Raw Data'!AY392,'Raw Data'!BA392,'Raw Data'!BC392),"")</f>
        <v/>
      </c>
      <c r="T405" s="14">
        <f>IF(R405&lt;&gt;"",R405-S405,"")</f>
        <v/>
      </c>
      <c r="U405" s="14">
        <f>IF('Raw Data'!A392&lt;&gt;"",AVERAGE('Raw Data'!BD392,'Raw Data'!BF392,'Raw Data'!BH392,'Raw Data'!BJ392,'Raw Data'!BL392),"")</f>
        <v/>
      </c>
      <c r="V405" s="14">
        <f>IF('Raw Data'!A392&lt;&gt;"",AVERAGE('Raw Data'!BE392,'Raw Data'!BG392,'Raw Data'!BI392,'Raw Data'!BK392,'Raw Data'!BM392),"")</f>
        <v/>
      </c>
      <c r="W405" s="14">
        <f>IF(U405&lt;&gt;"",U405-V405,"")</f>
        <v/>
      </c>
      <c r="X405" s="14">
        <f>IF(A405&lt;&gt;"",AVERAGE(F405,I405,L405,O405,R405,U405),"")</f>
        <v/>
      </c>
      <c r="Y405" s="14">
        <f>IF(A405&lt;&gt;"",AVERAGE(G405,J405,M405,P405,S405,V405),"")</f>
        <v/>
      </c>
      <c r="Z405" s="14">
        <f>IF(A405&lt;&gt;"",X405-Y405,"")</f>
        <v/>
      </c>
      <c r="AA405" s="15">
        <f>IF(A405&lt;&gt;"",ROUND(MIN(100,100*((MAX(0,K405)*0.25)+(MAX(0,Q405)*0.20)+(MAX(0,W405)*0.20)+(MAX(0,H405)*0.15)+(MAX(0,N405)*0.10)+(MAX(0,T405)*0.10))/9),1),"")</f>
        <v/>
      </c>
      <c r="AB405" s="28">
        <f>IF(A405&lt;&gt;"",MIN(1,(0.5*AA405/100)+(0.3*MAX(0,K405)/9)+(0.2*MAX(0,Q405)/9)),"")</f>
        <v/>
      </c>
    </row>
    <row r="406">
      <c r="A406" s="13">
        <f>IF('Raw Data'!A393&lt;&gt;"",'Raw Data'!A393,"")</f>
        <v/>
      </c>
      <c r="B406" s="13">
        <f>IF('Raw Data'!B393&lt;&gt;"",'Raw Data'!B393,"")</f>
        <v/>
      </c>
      <c r="C406" s="13">
        <f>IF('Raw Data'!C393&lt;&gt;"",'Raw Data'!C393,"")</f>
        <v/>
      </c>
      <c r="D406" s="13">
        <f>IF('Raw Data'!D393&lt;&gt;"",'Raw Data'!D393,"")</f>
        <v/>
      </c>
      <c r="E406" s="13">
        <f>IF('Raw Data'!E393&lt;&gt;"",'Raw Data'!E393,"")</f>
        <v/>
      </c>
      <c r="F406" s="17">
        <f>IF('Raw Data'!A393&lt;&gt;"",AVERAGE('Raw Data'!F393,'Raw Data'!H393,'Raw Data'!J393,'Raw Data'!L393,'Raw Data'!N393),"")</f>
        <v/>
      </c>
      <c r="G406" s="17">
        <f>IF('Raw Data'!A393&lt;&gt;"",AVERAGE('Raw Data'!G393,'Raw Data'!I393,'Raw Data'!K393,'Raw Data'!M393,'Raw Data'!O393),"")</f>
        <v/>
      </c>
      <c r="H406" s="17">
        <f>IF(F406&lt;&gt;"",F406-G406,"")</f>
        <v/>
      </c>
      <c r="I406" s="17">
        <f>IF('Raw Data'!A393&lt;&gt;"",AVERAGE('Raw Data'!P393,'Raw Data'!R393,'Raw Data'!T393,'Raw Data'!V393,'Raw Data'!X393),"")</f>
        <v/>
      </c>
      <c r="J406" s="17">
        <f>IF('Raw Data'!A393&lt;&gt;"",AVERAGE('Raw Data'!Q393,'Raw Data'!S393,'Raw Data'!U393,'Raw Data'!W393,'Raw Data'!Y393),"")</f>
        <v/>
      </c>
      <c r="K406" s="17">
        <f>IF(I406&lt;&gt;"",I406-J406,"")</f>
        <v/>
      </c>
      <c r="L406" s="17">
        <f>IF('Raw Data'!A393&lt;&gt;"",AVERAGE('Raw Data'!Z393,'Raw Data'!AB393,'Raw Data'!AD393,'Raw Data'!AF393,'Raw Data'!AH393),"")</f>
        <v/>
      </c>
      <c r="M406" s="17">
        <f>IF('Raw Data'!A393&lt;&gt;"",AVERAGE('Raw Data'!AA393,'Raw Data'!AC393,'Raw Data'!AE393,'Raw Data'!AG393,'Raw Data'!AI393),"")</f>
        <v/>
      </c>
      <c r="N406" s="17">
        <f>IF(L406&lt;&gt;"",L406-M406,"")</f>
        <v/>
      </c>
      <c r="O406" s="17">
        <f>IF('Raw Data'!A393&lt;&gt;"",AVERAGE('Raw Data'!AJ393,'Raw Data'!AL393,'Raw Data'!AN393,'Raw Data'!AP393,'Raw Data'!AR393),"")</f>
        <v/>
      </c>
      <c r="P406" s="17">
        <f>IF('Raw Data'!A393&lt;&gt;"",AVERAGE('Raw Data'!AK393,'Raw Data'!AM393,'Raw Data'!AO393,'Raw Data'!AQ393,'Raw Data'!AS393),"")</f>
        <v/>
      </c>
      <c r="Q406" s="17">
        <f>IF(O406&lt;&gt;"",O406-P406,"")</f>
        <v/>
      </c>
      <c r="R406" s="17">
        <f>IF('Raw Data'!A393&lt;&gt;"",AVERAGE('Raw Data'!AT393,'Raw Data'!AV393,'Raw Data'!AX393,'Raw Data'!AZ393,'Raw Data'!BB393),"")</f>
        <v/>
      </c>
      <c r="S406" s="17">
        <f>IF('Raw Data'!A393&lt;&gt;"",AVERAGE('Raw Data'!AU393,'Raw Data'!AW393,'Raw Data'!AY393,'Raw Data'!BA393,'Raw Data'!BC393),"")</f>
        <v/>
      </c>
      <c r="T406" s="17">
        <f>IF(R406&lt;&gt;"",R406-S406,"")</f>
        <v/>
      </c>
      <c r="U406" s="17">
        <f>IF('Raw Data'!A393&lt;&gt;"",AVERAGE('Raw Data'!BD393,'Raw Data'!BF393,'Raw Data'!BH393,'Raw Data'!BJ393,'Raw Data'!BL393),"")</f>
        <v/>
      </c>
      <c r="V406" s="17">
        <f>IF('Raw Data'!A393&lt;&gt;"",AVERAGE('Raw Data'!BE393,'Raw Data'!BG393,'Raw Data'!BI393,'Raw Data'!BK393,'Raw Data'!BM393),"")</f>
        <v/>
      </c>
      <c r="W406" s="17">
        <f>IF(U406&lt;&gt;"",U406-V406,"")</f>
        <v/>
      </c>
      <c r="X406" s="17">
        <f>IF(A406&lt;&gt;"",AVERAGE(F406,I406,L406,O406,R406,U406),"")</f>
        <v/>
      </c>
      <c r="Y406" s="17">
        <f>IF(A406&lt;&gt;"",AVERAGE(G406,J406,M406,P406,S406,V406),"")</f>
        <v/>
      </c>
      <c r="Z406" s="17">
        <f>IF(A406&lt;&gt;"",X406-Y406,"")</f>
        <v/>
      </c>
      <c r="AA406" s="18">
        <f>IF(A406&lt;&gt;"",ROUND(MIN(100,100*((MAX(0,K406)*0.25)+(MAX(0,Q406)*0.20)+(MAX(0,W406)*0.20)+(MAX(0,H406)*0.15)+(MAX(0,N406)*0.10)+(MAX(0,T406)*0.10))/9),1),"")</f>
        <v/>
      </c>
      <c r="AB406" s="29">
        <f>IF(A406&lt;&gt;"",MIN(1,(0.5*AA406/100)+(0.3*MAX(0,K406)/9)+(0.2*MAX(0,Q406)/9)),"")</f>
        <v/>
      </c>
    </row>
    <row r="407">
      <c r="A407" s="4">
        <f>IF('Raw Data'!A394&lt;&gt;"",'Raw Data'!A394,"")</f>
        <v/>
      </c>
      <c r="B407" s="4">
        <f>IF('Raw Data'!B394&lt;&gt;"",'Raw Data'!B394,"")</f>
        <v/>
      </c>
      <c r="C407" s="4">
        <f>IF('Raw Data'!C394&lt;&gt;"",'Raw Data'!C394,"")</f>
        <v/>
      </c>
      <c r="D407" s="4">
        <f>IF('Raw Data'!D394&lt;&gt;"",'Raw Data'!D394,"")</f>
        <v/>
      </c>
      <c r="E407" s="4">
        <f>IF('Raw Data'!E394&lt;&gt;"",'Raw Data'!E394,"")</f>
        <v/>
      </c>
      <c r="F407" s="14">
        <f>IF('Raw Data'!A394&lt;&gt;"",AVERAGE('Raw Data'!F394,'Raw Data'!H394,'Raw Data'!J394,'Raw Data'!L394,'Raw Data'!N394),"")</f>
        <v/>
      </c>
      <c r="G407" s="14">
        <f>IF('Raw Data'!A394&lt;&gt;"",AVERAGE('Raw Data'!G394,'Raw Data'!I394,'Raw Data'!K394,'Raw Data'!M394,'Raw Data'!O394),"")</f>
        <v/>
      </c>
      <c r="H407" s="14">
        <f>IF(F407&lt;&gt;"",F407-G407,"")</f>
        <v/>
      </c>
      <c r="I407" s="14">
        <f>IF('Raw Data'!A394&lt;&gt;"",AVERAGE('Raw Data'!P394,'Raw Data'!R394,'Raw Data'!T394,'Raw Data'!V394,'Raw Data'!X394),"")</f>
        <v/>
      </c>
      <c r="J407" s="14">
        <f>IF('Raw Data'!A394&lt;&gt;"",AVERAGE('Raw Data'!Q394,'Raw Data'!S394,'Raw Data'!U394,'Raw Data'!W394,'Raw Data'!Y394),"")</f>
        <v/>
      </c>
      <c r="K407" s="14">
        <f>IF(I407&lt;&gt;"",I407-J407,"")</f>
        <v/>
      </c>
      <c r="L407" s="14">
        <f>IF('Raw Data'!A394&lt;&gt;"",AVERAGE('Raw Data'!Z394,'Raw Data'!AB394,'Raw Data'!AD394,'Raw Data'!AF394,'Raw Data'!AH394),"")</f>
        <v/>
      </c>
      <c r="M407" s="14">
        <f>IF('Raw Data'!A394&lt;&gt;"",AVERAGE('Raw Data'!AA394,'Raw Data'!AC394,'Raw Data'!AE394,'Raw Data'!AG394,'Raw Data'!AI394),"")</f>
        <v/>
      </c>
      <c r="N407" s="14">
        <f>IF(L407&lt;&gt;"",L407-M407,"")</f>
        <v/>
      </c>
      <c r="O407" s="14">
        <f>IF('Raw Data'!A394&lt;&gt;"",AVERAGE('Raw Data'!AJ394,'Raw Data'!AL394,'Raw Data'!AN394,'Raw Data'!AP394,'Raw Data'!AR394),"")</f>
        <v/>
      </c>
      <c r="P407" s="14">
        <f>IF('Raw Data'!A394&lt;&gt;"",AVERAGE('Raw Data'!AK394,'Raw Data'!AM394,'Raw Data'!AO394,'Raw Data'!AQ394,'Raw Data'!AS394),"")</f>
        <v/>
      </c>
      <c r="Q407" s="14">
        <f>IF(O407&lt;&gt;"",O407-P407,"")</f>
        <v/>
      </c>
      <c r="R407" s="14">
        <f>IF('Raw Data'!A394&lt;&gt;"",AVERAGE('Raw Data'!AT394,'Raw Data'!AV394,'Raw Data'!AX394,'Raw Data'!AZ394,'Raw Data'!BB394),"")</f>
        <v/>
      </c>
      <c r="S407" s="14">
        <f>IF('Raw Data'!A394&lt;&gt;"",AVERAGE('Raw Data'!AU394,'Raw Data'!AW394,'Raw Data'!AY394,'Raw Data'!BA394,'Raw Data'!BC394),"")</f>
        <v/>
      </c>
      <c r="T407" s="14">
        <f>IF(R407&lt;&gt;"",R407-S407,"")</f>
        <v/>
      </c>
      <c r="U407" s="14">
        <f>IF('Raw Data'!A394&lt;&gt;"",AVERAGE('Raw Data'!BD394,'Raw Data'!BF394,'Raw Data'!BH394,'Raw Data'!BJ394,'Raw Data'!BL394),"")</f>
        <v/>
      </c>
      <c r="V407" s="14">
        <f>IF('Raw Data'!A394&lt;&gt;"",AVERAGE('Raw Data'!BE394,'Raw Data'!BG394,'Raw Data'!BI394,'Raw Data'!BK394,'Raw Data'!BM394),"")</f>
        <v/>
      </c>
      <c r="W407" s="14">
        <f>IF(U407&lt;&gt;"",U407-V407,"")</f>
        <v/>
      </c>
      <c r="X407" s="14">
        <f>IF(A407&lt;&gt;"",AVERAGE(F407,I407,L407,O407,R407,U407),"")</f>
        <v/>
      </c>
      <c r="Y407" s="14">
        <f>IF(A407&lt;&gt;"",AVERAGE(G407,J407,M407,P407,S407,V407),"")</f>
        <v/>
      </c>
      <c r="Z407" s="14">
        <f>IF(A407&lt;&gt;"",X407-Y407,"")</f>
        <v/>
      </c>
      <c r="AA407" s="15">
        <f>IF(A407&lt;&gt;"",ROUND(MIN(100,100*((MAX(0,K407)*0.25)+(MAX(0,Q407)*0.20)+(MAX(0,W407)*0.20)+(MAX(0,H407)*0.15)+(MAX(0,N407)*0.10)+(MAX(0,T407)*0.10))/9),1),"")</f>
        <v/>
      </c>
      <c r="AB407" s="28">
        <f>IF(A407&lt;&gt;"",MIN(1,(0.5*AA407/100)+(0.3*MAX(0,K407)/9)+(0.2*MAX(0,Q407)/9)),"")</f>
        <v/>
      </c>
    </row>
    <row r="408">
      <c r="A408" s="13">
        <f>IF('Raw Data'!A395&lt;&gt;"",'Raw Data'!A395,"")</f>
        <v/>
      </c>
      <c r="B408" s="13">
        <f>IF('Raw Data'!B395&lt;&gt;"",'Raw Data'!B395,"")</f>
        <v/>
      </c>
      <c r="C408" s="13">
        <f>IF('Raw Data'!C395&lt;&gt;"",'Raw Data'!C395,"")</f>
        <v/>
      </c>
      <c r="D408" s="13">
        <f>IF('Raw Data'!D395&lt;&gt;"",'Raw Data'!D395,"")</f>
        <v/>
      </c>
      <c r="E408" s="13">
        <f>IF('Raw Data'!E395&lt;&gt;"",'Raw Data'!E395,"")</f>
        <v/>
      </c>
      <c r="F408" s="17">
        <f>IF('Raw Data'!A395&lt;&gt;"",AVERAGE('Raw Data'!F395,'Raw Data'!H395,'Raw Data'!J395,'Raw Data'!L395,'Raw Data'!N395),"")</f>
        <v/>
      </c>
      <c r="G408" s="17">
        <f>IF('Raw Data'!A395&lt;&gt;"",AVERAGE('Raw Data'!G395,'Raw Data'!I395,'Raw Data'!K395,'Raw Data'!M395,'Raw Data'!O395),"")</f>
        <v/>
      </c>
      <c r="H408" s="17">
        <f>IF(F408&lt;&gt;"",F408-G408,"")</f>
        <v/>
      </c>
      <c r="I408" s="17">
        <f>IF('Raw Data'!A395&lt;&gt;"",AVERAGE('Raw Data'!P395,'Raw Data'!R395,'Raw Data'!T395,'Raw Data'!V395,'Raw Data'!X395),"")</f>
        <v/>
      </c>
      <c r="J408" s="17">
        <f>IF('Raw Data'!A395&lt;&gt;"",AVERAGE('Raw Data'!Q395,'Raw Data'!S395,'Raw Data'!U395,'Raw Data'!W395,'Raw Data'!Y395),"")</f>
        <v/>
      </c>
      <c r="K408" s="17">
        <f>IF(I408&lt;&gt;"",I408-J408,"")</f>
        <v/>
      </c>
      <c r="L408" s="17">
        <f>IF('Raw Data'!A395&lt;&gt;"",AVERAGE('Raw Data'!Z395,'Raw Data'!AB395,'Raw Data'!AD395,'Raw Data'!AF395,'Raw Data'!AH395),"")</f>
        <v/>
      </c>
      <c r="M408" s="17">
        <f>IF('Raw Data'!A395&lt;&gt;"",AVERAGE('Raw Data'!AA395,'Raw Data'!AC395,'Raw Data'!AE395,'Raw Data'!AG395,'Raw Data'!AI395),"")</f>
        <v/>
      </c>
      <c r="N408" s="17">
        <f>IF(L408&lt;&gt;"",L408-M408,"")</f>
        <v/>
      </c>
      <c r="O408" s="17">
        <f>IF('Raw Data'!A395&lt;&gt;"",AVERAGE('Raw Data'!AJ395,'Raw Data'!AL395,'Raw Data'!AN395,'Raw Data'!AP395,'Raw Data'!AR395),"")</f>
        <v/>
      </c>
      <c r="P408" s="17">
        <f>IF('Raw Data'!A395&lt;&gt;"",AVERAGE('Raw Data'!AK395,'Raw Data'!AM395,'Raw Data'!AO395,'Raw Data'!AQ395,'Raw Data'!AS395),"")</f>
        <v/>
      </c>
      <c r="Q408" s="17">
        <f>IF(O408&lt;&gt;"",O408-P408,"")</f>
        <v/>
      </c>
      <c r="R408" s="17">
        <f>IF('Raw Data'!A395&lt;&gt;"",AVERAGE('Raw Data'!AT395,'Raw Data'!AV395,'Raw Data'!AX395,'Raw Data'!AZ395,'Raw Data'!BB395),"")</f>
        <v/>
      </c>
      <c r="S408" s="17">
        <f>IF('Raw Data'!A395&lt;&gt;"",AVERAGE('Raw Data'!AU395,'Raw Data'!AW395,'Raw Data'!AY395,'Raw Data'!BA395,'Raw Data'!BC395),"")</f>
        <v/>
      </c>
      <c r="T408" s="17">
        <f>IF(R408&lt;&gt;"",R408-S408,"")</f>
        <v/>
      </c>
      <c r="U408" s="17">
        <f>IF('Raw Data'!A395&lt;&gt;"",AVERAGE('Raw Data'!BD395,'Raw Data'!BF395,'Raw Data'!BH395,'Raw Data'!BJ395,'Raw Data'!BL395),"")</f>
        <v/>
      </c>
      <c r="V408" s="17">
        <f>IF('Raw Data'!A395&lt;&gt;"",AVERAGE('Raw Data'!BE395,'Raw Data'!BG395,'Raw Data'!BI395,'Raw Data'!BK395,'Raw Data'!BM395),"")</f>
        <v/>
      </c>
      <c r="W408" s="17">
        <f>IF(U408&lt;&gt;"",U408-V408,"")</f>
        <v/>
      </c>
      <c r="X408" s="17">
        <f>IF(A408&lt;&gt;"",AVERAGE(F408,I408,L408,O408,R408,U408),"")</f>
        <v/>
      </c>
      <c r="Y408" s="17">
        <f>IF(A408&lt;&gt;"",AVERAGE(G408,J408,M408,P408,S408,V408),"")</f>
        <v/>
      </c>
      <c r="Z408" s="17">
        <f>IF(A408&lt;&gt;"",X408-Y408,"")</f>
        <v/>
      </c>
      <c r="AA408" s="18">
        <f>IF(A408&lt;&gt;"",ROUND(MIN(100,100*((MAX(0,K408)*0.25)+(MAX(0,Q408)*0.20)+(MAX(0,W408)*0.20)+(MAX(0,H408)*0.15)+(MAX(0,N408)*0.10)+(MAX(0,T408)*0.10))/9),1),"")</f>
        <v/>
      </c>
      <c r="AB408" s="29">
        <f>IF(A408&lt;&gt;"",MIN(1,(0.5*AA408/100)+(0.3*MAX(0,K408)/9)+(0.2*MAX(0,Q408)/9)),"")</f>
        <v/>
      </c>
    </row>
    <row r="409">
      <c r="A409" s="4">
        <f>IF('Raw Data'!A396&lt;&gt;"",'Raw Data'!A396,"")</f>
        <v/>
      </c>
      <c r="B409" s="4">
        <f>IF('Raw Data'!B396&lt;&gt;"",'Raw Data'!B396,"")</f>
        <v/>
      </c>
      <c r="C409" s="4">
        <f>IF('Raw Data'!C396&lt;&gt;"",'Raw Data'!C396,"")</f>
        <v/>
      </c>
      <c r="D409" s="4">
        <f>IF('Raw Data'!D396&lt;&gt;"",'Raw Data'!D396,"")</f>
        <v/>
      </c>
      <c r="E409" s="4">
        <f>IF('Raw Data'!E396&lt;&gt;"",'Raw Data'!E396,"")</f>
        <v/>
      </c>
      <c r="F409" s="14">
        <f>IF('Raw Data'!A396&lt;&gt;"",AVERAGE('Raw Data'!F396,'Raw Data'!H396,'Raw Data'!J396,'Raw Data'!L396,'Raw Data'!N396),"")</f>
        <v/>
      </c>
      <c r="G409" s="14">
        <f>IF('Raw Data'!A396&lt;&gt;"",AVERAGE('Raw Data'!G396,'Raw Data'!I396,'Raw Data'!K396,'Raw Data'!M396,'Raw Data'!O396),"")</f>
        <v/>
      </c>
      <c r="H409" s="14">
        <f>IF(F409&lt;&gt;"",F409-G409,"")</f>
        <v/>
      </c>
      <c r="I409" s="14">
        <f>IF('Raw Data'!A396&lt;&gt;"",AVERAGE('Raw Data'!P396,'Raw Data'!R396,'Raw Data'!T396,'Raw Data'!V396,'Raw Data'!X396),"")</f>
        <v/>
      </c>
      <c r="J409" s="14">
        <f>IF('Raw Data'!A396&lt;&gt;"",AVERAGE('Raw Data'!Q396,'Raw Data'!S396,'Raw Data'!U396,'Raw Data'!W396,'Raw Data'!Y396),"")</f>
        <v/>
      </c>
      <c r="K409" s="14">
        <f>IF(I409&lt;&gt;"",I409-J409,"")</f>
        <v/>
      </c>
      <c r="L409" s="14">
        <f>IF('Raw Data'!A396&lt;&gt;"",AVERAGE('Raw Data'!Z396,'Raw Data'!AB396,'Raw Data'!AD396,'Raw Data'!AF396,'Raw Data'!AH396),"")</f>
        <v/>
      </c>
      <c r="M409" s="14">
        <f>IF('Raw Data'!A396&lt;&gt;"",AVERAGE('Raw Data'!AA396,'Raw Data'!AC396,'Raw Data'!AE396,'Raw Data'!AG396,'Raw Data'!AI396),"")</f>
        <v/>
      </c>
      <c r="N409" s="14">
        <f>IF(L409&lt;&gt;"",L409-M409,"")</f>
        <v/>
      </c>
      <c r="O409" s="14">
        <f>IF('Raw Data'!A396&lt;&gt;"",AVERAGE('Raw Data'!AJ396,'Raw Data'!AL396,'Raw Data'!AN396,'Raw Data'!AP396,'Raw Data'!AR396),"")</f>
        <v/>
      </c>
      <c r="P409" s="14">
        <f>IF('Raw Data'!A396&lt;&gt;"",AVERAGE('Raw Data'!AK396,'Raw Data'!AM396,'Raw Data'!AO396,'Raw Data'!AQ396,'Raw Data'!AS396),"")</f>
        <v/>
      </c>
      <c r="Q409" s="14">
        <f>IF(O409&lt;&gt;"",O409-P409,"")</f>
        <v/>
      </c>
      <c r="R409" s="14">
        <f>IF('Raw Data'!A396&lt;&gt;"",AVERAGE('Raw Data'!AT396,'Raw Data'!AV396,'Raw Data'!AX396,'Raw Data'!AZ396,'Raw Data'!BB396),"")</f>
        <v/>
      </c>
      <c r="S409" s="14">
        <f>IF('Raw Data'!A396&lt;&gt;"",AVERAGE('Raw Data'!AU396,'Raw Data'!AW396,'Raw Data'!AY396,'Raw Data'!BA396,'Raw Data'!BC396),"")</f>
        <v/>
      </c>
      <c r="T409" s="14">
        <f>IF(R409&lt;&gt;"",R409-S409,"")</f>
        <v/>
      </c>
      <c r="U409" s="14">
        <f>IF('Raw Data'!A396&lt;&gt;"",AVERAGE('Raw Data'!BD396,'Raw Data'!BF396,'Raw Data'!BH396,'Raw Data'!BJ396,'Raw Data'!BL396),"")</f>
        <v/>
      </c>
      <c r="V409" s="14">
        <f>IF('Raw Data'!A396&lt;&gt;"",AVERAGE('Raw Data'!BE396,'Raw Data'!BG396,'Raw Data'!BI396,'Raw Data'!BK396,'Raw Data'!BM396),"")</f>
        <v/>
      </c>
      <c r="W409" s="14">
        <f>IF(U409&lt;&gt;"",U409-V409,"")</f>
        <v/>
      </c>
      <c r="X409" s="14">
        <f>IF(A409&lt;&gt;"",AVERAGE(F409,I409,L409,O409,R409,U409),"")</f>
        <v/>
      </c>
      <c r="Y409" s="14">
        <f>IF(A409&lt;&gt;"",AVERAGE(G409,J409,M409,P409,S409,V409),"")</f>
        <v/>
      </c>
      <c r="Z409" s="14">
        <f>IF(A409&lt;&gt;"",X409-Y409,"")</f>
        <v/>
      </c>
      <c r="AA409" s="15">
        <f>IF(A409&lt;&gt;"",ROUND(MIN(100,100*((MAX(0,K409)*0.25)+(MAX(0,Q409)*0.20)+(MAX(0,W409)*0.20)+(MAX(0,H409)*0.15)+(MAX(0,N409)*0.10)+(MAX(0,T409)*0.10))/9),1),"")</f>
        <v/>
      </c>
      <c r="AB409" s="28">
        <f>IF(A409&lt;&gt;"",MIN(1,(0.5*AA409/100)+(0.3*MAX(0,K409)/9)+(0.2*MAX(0,Q409)/9)),"")</f>
        <v/>
      </c>
    </row>
    <row r="410">
      <c r="A410" s="13">
        <f>IF('Raw Data'!A397&lt;&gt;"",'Raw Data'!A397,"")</f>
        <v/>
      </c>
      <c r="B410" s="13">
        <f>IF('Raw Data'!B397&lt;&gt;"",'Raw Data'!B397,"")</f>
        <v/>
      </c>
      <c r="C410" s="13">
        <f>IF('Raw Data'!C397&lt;&gt;"",'Raw Data'!C397,"")</f>
        <v/>
      </c>
      <c r="D410" s="13">
        <f>IF('Raw Data'!D397&lt;&gt;"",'Raw Data'!D397,"")</f>
        <v/>
      </c>
      <c r="E410" s="13">
        <f>IF('Raw Data'!E397&lt;&gt;"",'Raw Data'!E397,"")</f>
        <v/>
      </c>
      <c r="F410" s="17">
        <f>IF('Raw Data'!A397&lt;&gt;"",AVERAGE('Raw Data'!F397,'Raw Data'!H397,'Raw Data'!J397,'Raw Data'!L397,'Raw Data'!N397),"")</f>
        <v/>
      </c>
      <c r="G410" s="17">
        <f>IF('Raw Data'!A397&lt;&gt;"",AVERAGE('Raw Data'!G397,'Raw Data'!I397,'Raw Data'!K397,'Raw Data'!M397,'Raw Data'!O397),"")</f>
        <v/>
      </c>
      <c r="H410" s="17">
        <f>IF(F410&lt;&gt;"",F410-G410,"")</f>
        <v/>
      </c>
      <c r="I410" s="17">
        <f>IF('Raw Data'!A397&lt;&gt;"",AVERAGE('Raw Data'!P397,'Raw Data'!R397,'Raw Data'!T397,'Raw Data'!V397,'Raw Data'!X397),"")</f>
        <v/>
      </c>
      <c r="J410" s="17">
        <f>IF('Raw Data'!A397&lt;&gt;"",AVERAGE('Raw Data'!Q397,'Raw Data'!S397,'Raw Data'!U397,'Raw Data'!W397,'Raw Data'!Y397),"")</f>
        <v/>
      </c>
      <c r="K410" s="17">
        <f>IF(I410&lt;&gt;"",I410-J410,"")</f>
        <v/>
      </c>
      <c r="L410" s="17">
        <f>IF('Raw Data'!A397&lt;&gt;"",AVERAGE('Raw Data'!Z397,'Raw Data'!AB397,'Raw Data'!AD397,'Raw Data'!AF397,'Raw Data'!AH397),"")</f>
        <v/>
      </c>
      <c r="M410" s="17">
        <f>IF('Raw Data'!A397&lt;&gt;"",AVERAGE('Raw Data'!AA397,'Raw Data'!AC397,'Raw Data'!AE397,'Raw Data'!AG397,'Raw Data'!AI397),"")</f>
        <v/>
      </c>
      <c r="N410" s="17">
        <f>IF(L410&lt;&gt;"",L410-M410,"")</f>
        <v/>
      </c>
      <c r="O410" s="17">
        <f>IF('Raw Data'!A397&lt;&gt;"",AVERAGE('Raw Data'!AJ397,'Raw Data'!AL397,'Raw Data'!AN397,'Raw Data'!AP397,'Raw Data'!AR397),"")</f>
        <v/>
      </c>
      <c r="P410" s="17">
        <f>IF('Raw Data'!A397&lt;&gt;"",AVERAGE('Raw Data'!AK397,'Raw Data'!AM397,'Raw Data'!AO397,'Raw Data'!AQ397,'Raw Data'!AS397),"")</f>
        <v/>
      </c>
      <c r="Q410" s="17">
        <f>IF(O410&lt;&gt;"",O410-P410,"")</f>
        <v/>
      </c>
      <c r="R410" s="17">
        <f>IF('Raw Data'!A397&lt;&gt;"",AVERAGE('Raw Data'!AT397,'Raw Data'!AV397,'Raw Data'!AX397,'Raw Data'!AZ397,'Raw Data'!BB397),"")</f>
        <v/>
      </c>
      <c r="S410" s="17">
        <f>IF('Raw Data'!A397&lt;&gt;"",AVERAGE('Raw Data'!AU397,'Raw Data'!AW397,'Raw Data'!AY397,'Raw Data'!BA397,'Raw Data'!BC397),"")</f>
        <v/>
      </c>
      <c r="T410" s="17">
        <f>IF(R410&lt;&gt;"",R410-S410,"")</f>
        <v/>
      </c>
      <c r="U410" s="17">
        <f>IF('Raw Data'!A397&lt;&gt;"",AVERAGE('Raw Data'!BD397,'Raw Data'!BF397,'Raw Data'!BH397,'Raw Data'!BJ397,'Raw Data'!BL397),"")</f>
        <v/>
      </c>
      <c r="V410" s="17">
        <f>IF('Raw Data'!A397&lt;&gt;"",AVERAGE('Raw Data'!BE397,'Raw Data'!BG397,'Raw Data'!BI397,'Raw Data'!BK397,'Raw Data'!BM397),"")</f>
        <v/>
      </c>
      <c r="W410" s="17">
        <f>IF(U410&lt;&gt;"",U410-V410,"")</f>
        <v/>
      </c>
      <c r="X410" s="17">
        <f>IF(A410&lt;&gt;"",AVERAGE(F410,I410,L410,O410,R410,U410),"")</f>
        <v/>
      </c>
      <c r="Y410" s="17">
        <f>IF(A410&lt;&gt;"",AVERAGE(G410,J410,M410,P410,S410,V410),"")</f>
        <v/>
      </c>
      <c r="Z410" s="17">
        <f>IF(A410&lt;&gt;"",X410-Y410,"")</f>
        <v/>
      </c>
      <c r="AA410" s="18">
        <f>IF(A410&lt;&gt;"",ROUND(MIN(100,100*((MAX(0,K410)*0.25)+(MAX(0,Q410)*0.20)+(MAX(0,W410)*0.20)+(MAX(0,H410)*0.15)+(MAX(0,N410)*0.10)+(MAX(0,T410)*0.10))/9),1),"")</f>
        <v/>
      </c>
      <c r="AB410" s="29">
        <f>IF(A410&lt;&gt;"",MIN(1,(0.5*AA410/100)+(0.3*MAX(0,K410)/9)+(0.2*MAX(0,Q410)/9)),"")</f>
        <v/>
      </c>
    </row>
    <row r="411">
      <c r="A411" s="4">
        <f>IF('Raw Data'!A398&lt;&gt;"",'Raw Data'!A398,"")</f>
        <v/>
      </c>
      <c r="B411" s="4">
        <f>IF('Raw Data'!B398&lt;&gt;"",'Raw Data'!B398,"")</f>
        <v/>
      </c>
      <c r="C411" s="4">
        <f>IF('Raw Data'!C398&lt;&gt;"",'Raw Data'!C398,"")</f>
        <v/>
      </c>
      <c r="D411" s="4">
        <f>IF('Raw Data'!D398&lt;&gt;"",'Raw Data'!D398,"")</f>
        <v/>
      </c>
      <c r="E411" s="4">
        <f>IF('Raw Data'!E398&lt;&gt;"",'Raw Data'!E398,"")</f>
        <v/>
      </c>
      <c r="F411" s="14">
        <f>IF('Raw Data'!A398&lt;&gt;"",AVERAGE('Raw Data'!F398,'Raw Data'!H398,'Raw Data'!J398,'Raw Data'!L398,'Raw Data'!N398),"")</f>
        <v/>
      </c>
      <c r="G411" s="14">
        <f>IF('Raw Data'!A398&lt;&gt;"",AVERAGE('Raw Data'!G398,'Raw Data'!I398,'Raw Data'!K398,'Raw Data'!M398,'Raw Data'!O398),"")</f>
        <v/>
      </c>
      <c r="H411" s="14">
        <f>IF(F411&lt;&gt;"",F411-G411,"")</f>
        <v/>
      </c>
      <c r="I411" s="14">
        <f>IF('Raw Data'!A398&lt;&gt;"",AVERAGE('Raw Data'!P398,'Raw Data'!R398,'Raw Data'!T398,'Raw Data'!V398,'Raw Data'!X398),"")</f>
        <v/>
      </c>
      <c r="J411" s="14">
        <f>IF('Raw Data'!A398&lt;&gt;"",AVERAGE('Raw Data'!Q398,'Raw Data'!S398,'Raw Data'!U398,'Raw Data'!W398,'Raw Data'!Y398),"")</f>
        <v/>
      </c>
      <c r="K411" s="14">
        <f>IF(I411&lt;&gt;"",I411-J411,"")</f>
        <v/>
      </c>
      <c r="L411" s="14">
        <f>IF('Raw Data'!A398&lt;&gt;"",AVERAGE('Raw Data'!Z398,'Raw Data'!AB398,'Raw Data'!AD398,'Raw Data'!AF398,'Raw Data'!AH398),"")</f>
        <v/>
      </c>
      <c r="M411" s="14">
        <f>IF('Raw Data'!A398&lt;&gt;"",AVERAGE('Raw Data'!AA398,'Raw Data'!AC398,'Raw Data'!AE398,'Raw Data'!AG398,'Raw Data'!AI398),"")</f>
        <v/>
      </c>
      <c r="N411" s="14">
        <f>IF(L411&lt;&gt;"",L411-M411,"")</f>
        <v/>
      </c>
      <c r="O411" s="14">
        <f>IF('Raw Data'!A398&lt;&gt;"",AVERAGE('Raw Data'!AJ398,'Raw Data'!AL398,'Raw Data'!AN398,'Raw Data'!AP398,'Raw Data'!AR398),"")</f>
        <v/>
      </c>
      <c r="P411" s="14">
        <f>IF('Raw Data'!A398&lt;&gt;"",AVERAGE('Raw Data'!AK398,'Raw Data'!AM398,'Raw Data'!AO398,'Raw Data'!AQ398,'Raw Data'!AS398),"")</f>
        <v/>
      </c>
      <c r="Q411" s="14">
        <f>IF(O411&lt;&gt;"",O411-P411,"")</f>
        <v/>
      </c>
      <c r="R411" s="14">
        <f>IF('Raw Data'!A398&lt;&gt;"",AVERAGE('Raw Data'!AT398,'Raw Data'!AV398,'Raw Data'!AX398,'Raw Data'!AZ398,'Raw Data'!BB398),"")</f>
        <v/>
      </c>
      <c r="S411" s="14">
        <f>IF('Raw Data'!A398&lt;&gt;"",AVERAGE('Raw Data'!AU398,'Raw Data'!AW398,'Raw Data'!AY398,'Raw Data'!BA398,'Raw Data'!BC398),"")</f>
        <v/>
      </c>
      <c r="T411" s="14">
        <f>IF(R411&lt;&gt;"",R411-S411,"")</f>
        <v/>
      </c>
      <c r="U411" s="14">
        <f>IF('Raw Data'!A398&lt;&gt;"",AVERAGE('Raw Data'!BD398,'Raw Data'!BF398,'Raw Data'!BH398,'Raw Data'!BJ398,'Raw Data'!BL398),"")</f>
        <v/>
      </c>
      <c r="V411" s="14">
        <f>IF('Raw Data'!A398&lt;&gt;"",AVERAGE('Raw Data'!BE398,'Raw Data'!BG398,'Raw Data'!BI398,'Raw Data'!BK398,'Raw Data'!BM398),"")</f>
        <v/>
      </c>
      <c r="W411" s="14">
        <f>IF(U411&lt;&gt;"",U411-V411,"")</f>
        <v/>
      </c>
      <c r="X411" s="14">
        <f>IF(A411&lt;&gt;"",AVERAGE(F411,I411,L411,O411,R411,U411),"")</f>
        <v/>
      </c>
      <c r="Y411" s="14">
        <f>IF(A411&lt;&gt;"",AVERAGE(G411,J411,M411,P411,S411,V411),"")</f>
        <v/>
      </c>
      <c r="Z411" s="14">
        <f>IF(A411&lt;&gt;"",X411-Y411,"")</f>
        <v/>
      </c>
      <c r="AA411" s="15">
        <f>IF(A411&lt;&gt;"",ROUND(MIN(100,100*((MAX(0,K411)*0.25)+(MAX(0,Q411)*0.20)+(MAX(0,W411)*0.20)+(MAX(0,H411)*0.15)+(MAX(0,N411)*0.10)+(MAX(0,T411)*0.10))/9),1),"")</f>
        <v/>
      </c>
      <c r="AB411" s="28">
        <f>IF(A411&lt;&gt;"",MIN(1,(0.5*AA411/100)+(0.3*MAX(0,K411)/9)+(0.2*MAX(0,Q411)/9)),"")</f>
        <v/>
      </c>
    </row>
    <row r="412">
      <c r="A412" s="13">
        <f>IF('Raw Data'!A399&lt;&gt;"",'Raw Data'!A399,"")</f>
        <v/>
      </c>
      <c r="B412" s="13">
        <f>IF('Raw Data'!B399&lt;&gt;"",'Raw Data'!B399,"")</f>
        <v/>
      </c>
      <c r="C412" s="13">
        <f>IF('Raw Data'!C399&lt;&gt;"",'Raw Data'!C399,"")</f>
        <v/>
      </c>
      <c r="D412" s="13">
        <f>IF('Raw Data'!D399&lt;&gt;"",'Raw Data'!D399,"")</f>
        <v/>
      </c>
      <c r="E412" s="13">
        <f>IF('Raw Data'!E399&lt;&gt;"",'Raw Data'!E399,"")</f>
        <v/>
      </c>
      <c r="F412" s="17">
        <f>IF('Raw Data'!A399&lt;&gt;"",AVERAGE('Raw Data'!F399,'Raw Data'!H399,'Raw Data'!J399,'Raw Data'!L399,'Raw Data'!N399),"")</f>
        <v/>
      </c>
      <c r="G412" s="17">
        <f>IF('Raw Data'!A399&lt;&gt;"",AVERAGE('Raw Data'!G399,'Raw Data'!I399,'Raw Data'!K399,'Raw Data'!M399,'Raw Data'!O399),"")</f>
        <v/>
      </c>
      <c r="H412" s="17">
        <f>IF(F412&lt;&gt;"",F412-G412,"")</f>
        <v/>
      </c>
      <c r="I412" s="17">
        <f>IF('Raw Data'!A399&lt;&gt;"",AVERAGE('Raw Data'!P399,'Raw Data'!R399,'Raw Data'!T399,'Raw Data'!V399,'Raw Data'!X399),"")</f>
        <v/>
      </c>
      <c r="J412" s="17">
        <f>IF('Raw Data'!A399&lt;&gt;"",AVERAGE('Raw Data'!Q399,'Raw Data'!S399,'Raw Data'!U399,'Raw Data'!W399,'Raw Data'!Y399),"")</f>
        <v/>
      </c>
      <c r="K412" s="17">
        <f>IF(I412&lt;&gt;"",I412-J412,"")</f>
        <v/>
      </c>
      <c r="L412" s="17">
        <f>IF('Raw Data'!A399&lt;&gt;"",AVERAGE('Raw Data'!Z399,'Raw Data'!AB399,'Raw Data'!AD399,'Raw Data'!AF399,'Raw Data'!AH399),"")</f>
        <v/>
      </c>
      <c r="M412" s="17">
        <f>IF('Raw Data'!A399&lt;&gt;"",AVERAGE('Raw Data'!AA399,'Raw Data'!AC399,'Raw Data'!AE399,'Raw Data'!AG399,'Raw Data'!AI399),"")</f>
        <v/>
      </c>
      <c r="N412" s="17">
        <f>IF(L412&lt;&gt;"",L412-M412,"")</f>
        <v/>
      </c>
      <c r="O412" s="17">
        <f>IF('Raw Data'!A399&lt;&gt;"",AVERAGE('Raw Data'!AJ399,'Raw Data'!AL399,'Raw Data'!AN399,'Raw Data'!AP399,'Raw Data'!AR399),"")</f>
        <v/>
      </c>
      <c r="P412" s="17">
        <f>IF('Raw Data'!A399&lt;&gt;"",AVERAGE('Raw Data'!AK399,'Raw Data'!AM399,'Raw Data'!AO399,'Raw Data'!AQ399,'Raw Data'!AS399),"")</f>
        <v/>
      </c>
      <c r="Q412" s="17">
        <f>IF(O412&lt;&gt;"",O412-P412,"")</f>
        <v/>
      </c>
      <c r="R412" s="17">
        <f>IF('Raw Data'!A399&lt;&gt;"",AVERAGE('Raw Data'!AT399,'Raw Data'!AV399,'Raw Data'!AX399,'Raw Data'!AZ399,'Raw Data'!BB399),"")</f>
        <v/>
      </c>
      <c r="S412" s="17">
        <f>IF('Raw Data'!A399&lt;&gt;"",AVERAGE('Raw Data'!AU399,'Raw Data'!AW399,'Raw Data'!AY399,'Raw Data'!BA399,'Raw Data'!BC399),"")</f>
        <v/>
      </c>
      <c r="T412" s="17">
        <f>IF(R412&lt;&gt;"",R412-S412,"")</f>
        <v/>
      </c>
      <c r="U412" s="17">
        <f>IF('Raw Data'!A399&lt;&gt;"",AVERAGE('Raw Data'!BD399,'Raw Data'!BF399,'Raw Data'!BH399,'Raw Data'!BJ399,'Raw Data'!BL399),"")</f>
        <v/>
      </c>
      <c r="V412" s="17">
        <f>IF('Raw Data'!A399&lt;&gt;"",AVERAGE('Raw Data'!BE399,'Raw Data'!BG399,'Raw Data'!BI399,'Raw Data'!BK399,'Raw Data'!BM399),"")</f>
        <v/>
      </c>
      <c r="W412" s="17">
        <f>IF(U412&lt;&gt;"",U412-V412,"")</f>
        <v/>
      </c>
      <c r="X412" s="17">
        <f>IF(A412&lt;&gt;"",AVERAGE(F412,I412,L412,O412,R412,U412),"")</f>
        <v/>
      </c>
      <c r="Y412" s="17">
        <f>IF(A412&lt;&gt;"",AVERAGE(G412,J412,M412,P412,S412,V412),"")</f>
        <v/>
      </c>
      <c r="Z412" s="17">
        <f>IF(A412&lt;&gt;"",X412-Y412,"")</f>
        <v/>
      </c>
      <c r="AA412" s="18">
        <f>IF(A412&lt;&gt;"",ROUND(MIN(100,100*((MAX(0,K412)*0.25)+(MAX(0,Q412)*0.20)+(MAX(0,W412)*0.20)+(MAX(0,H412)*0.15)+(MAX(0,N412)*0.10)+(MAX(0,T412)*0.10))/9),1),"")</f>
        <v/>
      </c>
      <c r="AB412" s="29">
        <f>IF(A412&lt;&gt;"",MIN(1,(0.5*AA412/100)+(0.3*MAX(0,K412)/9)+(0.2*MAX(0,Q412)/9)),"")</f>
        <v/>
      </c>
    </row>
    <row r="413">
      <c r="A413" s="4">
        <f>IF('Raw Data'!A400&lt;&gt;"",'Raw Data'!A400,"")</f>
        <v/>
      </c>
      <c r="B413" s="4">
        <f>IF('Raw Data'!B400&lt;&gt;"",'Raw Data'!B400,"")</f>
        <v/>
      </c>
      <c r="C413" s="4">
        <f>IF('Raw Data'!C400&lt;&gt;"",'Raw Data'!C400,"")</f>
        <v/>
      </c>
      <c r="D413" s="4">
        <f>IF('Raw Data'!D400&lt;&gt;"",'Raw Data'!D400,"")</f>
        <v/>
      </c>
      <c r="E413" s="4">
        <f>IF('Raw Data'!E400&lt;&gt;"",'Raw Data'!E400,"")</f>
        <v/>
      </c>
      <c r="F413" s="14">
        <f>IF('Raw Data'!A400&lt;&gt;"",AVERAGE('Raw Data'!F400,'Raw Data'!H400,'Raw Data'!J400,'Raw Data'!L400,'Raw Data'!N400),"")</f>
        <v/>
      </c>
      <c r="G413" s="14">
        <f>IF('Raw Data'!A400&lt;&gt;"",AVERAGE('Raw Data'!G400,'Raw Data'!I400,'Raw Data'!K400,'Raw Data'!M400,'Raw Data'!O400),"")</f>
        <v/>
      </c>
      <c r="H413" s="14">
        <f>IF(F413&lt;&gt;"",F413-G413,"")</f>
        <v/>
      </c>
      <c r="I413" s="14">
        <f>IF('Raw Data'!A400&lt;&gt;"",AVERAGE('Raw Data'!P400,'Raw Data'!R400,'Raw Data'!T400,'Raw Data'!V400,'Raw Data'!X400),"")</f>
        <v/>
      </c>
      <c r="J413" s="14">
        <f>IF('Raw Data'!A400&lt;&gt;"",AVERAGE('Raw Data'!Q400,'Raw Data'!S400,'Raw Data'!U400,'Raw Data'!W400,'Raw Data'!Y400),"")</f>
        <v/>
      </c>
      <c r="K413" s="14">
        <f>IF(I413&lt;&gt;"",I413-J413,"")</f>
        <v/>
      </c>
      <c r="L413" s="14">
        <f>IF('Raw Data'!A400&lt;&gt;"",AVERAGE('Raw Data'!Z400,'Raw Data'!AB400,'Raw Data'!AD400,'Raw Data'!AF400,'Raw Data'!AH400),"")</f>
        <v/>
      </c>
      <c r="M413" s="14">
        <f>IF('Raw Data'!A400&lt;&gt;"",AVERAGE('Raw Data'!AA400,'Raw Data'!AC400,'Raw Data'!AE400,'Raw Data'!AG400,'Raw Data'!AI400),"")</f>
        <v/>
      </c>
      <c r="N413" s="14">
        <f>IF(L413&lt;&gt;"",L413-M413,"")</f>
        <v/>
      </c>
      <c r="O413" s="14">
        <f>IF('Raw Data'!A400&lt;&gt;"",AVERAGE('Raw Data'!AJ400,'Raw Data'!AL400,'Raw Data'!AN400,'Raw Data'!AP400,'Raw Data'!AR400),"")</f>
        <v/>
      </c>
      <c r="P413" s="14">
        <f>IF('Raw Data'!A400&lt;&gt;"",AVERAGE('Raw Data'!AK400,'Raw Data'!AM400,'Raw Data'!AO400,'Raw Data'!AQ400,'Raw Data'!AS400),"")</f>
        <v/>
      </c>
      <c r="Q413" s="14">
        <f>IF(O413&lt;&gt;"",O413-P413,"")</f>
        <v/>
      </c>
      <c r="R413" s="14">
        <f>IF('Raw Data'!A400&lt;&gt;"",AVERAGE('Raw Data'!AT400,'Raw Data'!AV400,'Raw Data'!AX400,'Raw Data'!AZ400,'Raw Data'!BB400),"")</f>
        <v/>
      </c>
      <c r="S413" s="14">
        <f>IF('Raw Data'!A400&lt;&gt;"",AVERAGE('Raw Data'!AU400,'Raw Data'!AW400,'Raw Data'!AY400,'Raw Data'!BA400,'Raw Data'!BC400),"")</f>
        <v/>
      </c>
      <c r="T413" s="14">
        <f>IF(R413&lt;&gt;"",R413-S413,"")</f>
        <v/>
      </c>
      <c r="U413" s="14">
        <f>IF('Raw Data'!A400&lt;&gt;"",AVERAGE('Raw Data'!BD400,'Raw Data'!BF400,'Raw Data'!BH400,'Raw Data'!BJ400,'Raw Data'!BL400),"")</f>
        <v/>
      </c>
      <c r="V413" s="14">
        <f>IF('Raw Data'!A400&lt;&gt;"",AVERAGE('Raw Data'!BE400,'Raw Data'!BG400,'Raw Data'!BI400,'Raw Data'!BK400,'Raw Data'!BM400),"")</f>
        <v/>
      </c>
      <c r="W413" s="14">
        <f>IF(U413&lt;&gt;"",U413-V413,"")</f>
        <v/>
      </c>
      <c r="X413" s="14">
        <f>IF(A413&lt;&gt;"",AVERAGE(F413,I413,L413,O413,R413,U413),"")</f>
        <v/>
      </c>
      <c r="Y413" s="14">
        <f>IF(A413&lt;&gt;"",AVERAGE(G413,J413,M413,P413,S413,V413),"")</f>
        <v/>
      </c>
      <c r="Z413" s="14">
        <f>IF(A413&lt;&gt;"",X413-Y413,"")</f>
        <v/>
      </c>
      <c r="AA413" s="15">
        <f>IF(A413&lt;&gt;"",ROUND(MIN(100,100*((MAX(0,K413)*0.25)+(MAX(0,Q413)*0.20)+(MAX(0,W413)*0.20)+(MAX(0,H413)*0.15)+(MAX(0,N413)*0.10)+(MAX(0,T413)*0.10))/9),1),"")</f>
        <v/>
      </c>
      <c r="AB413" s="28">
        <f>IF(A413&lt;&gt;"",MIN(1,(0.5*AA413/100)+(0.3*MAX(0,K413)/9)+(0.2*MAX(0,Q413)/9)),"")</f>
        <v/>
      </c>
    </row>
    <row r="414">
      <c r="A414" s="13">
        <f>IF('Raw Data'!A401&lt;&gt;"",'Raw Data'!A401,"")</f>
        <v/>
      </c>
      <c r="B414" s="13">
        <f>IF('Raw Data'!B401&lt;&gt;"",'Raw Data'!B401,"")</f>
        <v/>
      </c>
      <c r="C414" s="13">
        <f>IF('Raw Data'!C401&lt;&gt;"",'Raw Data'!C401,"")</f>
        <v/>
      </c>
      <c r="D414" s="13">
        <f>IF('Raw Data'!D401&lt;&gt;"",'Raw Data'!D401,"")</f>
        <v/>
      </c>
      <c r="E414" s="13">
        <f>IF('Raw Data'!E401&lt;&gt;"",'Raw Data'!E401,"")</f>
        <v/>
      </c>
      <c r="F414" s="17">
        <f>IF('Raw Data'!A401&lt;&gt;"",AVERAGE('Raw Data'!F401,'Raw Data'!H401,'Raw Data'!J401,'Raw Data'!L401,'Raw Data'!N401),"")</f>
        <v/>
      </c>
      <c r="G414" s="17">
        <f>IF('Raw Data'!A401&lt;&gt;"",AVERAGE('Raw Data'!G401,'Raw Data'!I401,'Raw Data'!K401,'Raw Data'!M401,'Raw Data'!O401),"")</f>
        <v/>
      </c>
      <c r="H414" s="17">
        <f>IF(F414&lt;&gt;"",F414-G414,"")</f>
        <v/>
      </c>
      <c r="I414" s="17">
        <f>IF('Raw Data'!A401&lt;&gt;"",AVERAGE('Raw Data'!P401,'Raw Data'!R401,'Raw Data'!T401,'Raw Data'!V401,'Raw Data'!X401),"")</f>
        <v/>
      </c>
      <c r="J414" s="17">
        <f>IF('Raw Data'!A401&lt;&gt;"",AVERAGE('Raw Data'!Q401,'Raw Data'!S401,'Raw Data'!U401,'Raw Data'!W401,'Raw Data'!Y401),"")</f>
        <v/>
      </c>
      <c r="K414" s="17">
        <f>IF(I414&lt;&gt;"",I414-J414,"")</f>
        <v/>
      </c>
      <c r="L414" s="17">
        <f>IF('Raw Data'!A401&lt;&gt;"",AVERAGE('Raw Data'!Z401,'Raw Data'!AB401,'Raw Data'!AD401,'Raw Data'!AF401,'Raw Data'!AH401),"")</f>
        <v/>
      </c>
      <c r="M414" s="17">
        <f>IF('Raw Data'!A401&lt;&gt;"",AVERAGE('Raw Data'!AA401,'Raw Data'!AC401,'Raw Data'!AE401,'Raw Data'!AG401,'Raw Data'!AI401),"")</f>
        <v/>
      </c>
      <c r="N414" s="17">
        <f>IF(L414&lt;&gt;"",L414-M414,"")</f>
        <v/>
      </c>
      <c r="O414" s="17">
        <f>IF('Raw Data'!A401&lt;&gt;"",AVERAGE('Raw Data'!AJ401,'Raw Data'!AL401,'Raw Data'!AN401,'Raw Data'!AP401,'Raw Data'!AR401),"")</f>
        <v/>
      </c>
      <c r="P414" s="17">
        <f>IF('Raw Data'!A401&lt;&gt;"",AVERAGE('Raw Data'!AK401,'Raw Data'!AM401,'Raw Data'!AO401,'Raw Data'!AQ401,'Raw Data'!AS401),"")</f>
        <v/>
      </c>
      <c r="Q414" s="17">
        <f>IF(O414&lt;&gt;"",O414-P414,"")</f>
        <v/>
      </c>
      <c r="R414" s="17">
        <f>IF('Raw Data'!A401&lt;&gt;"",AVERAGE('Raw Data'!AT401,'Raw Data'!AV401,'Raw Data'!AX401,'Raw Data'!AZ401,'Raw Data'!BB401),"")</f>
        <v/>
      </c>
      <c r="S414" s="17">
        <f>IF('Raw Data'!A401&lt;&gt;"",AVERAGE('Raw Data'!AU401,'Raw Data'!AW401,'Raw Data'!AY401,'Raw Data'!BA401,'Raw Data'!BC401),"")</f>
        <v/>
      </c>
      <c r="T414" s="17">
        <f>IF(R414&lt;&gt;"",R414-S414,"")</f>
        <v/>
      </c>
      <c r="U414" s="17">
        <f>IF('Raw Data'!A401&lt;&gt;"",AVERAGE('Raw Data'!BD401,'Raw Data'!BF401,'Raw Data'!BH401,'Raw Data'!BJ401,'Raw Data'!BL401),"")</f>
        <v/>
      </c>
      <c r="V414" s="17">
        <f>IF('Raw Data'!A401&lt;&gt;"",AVERAGE('Raw Data'!BE401,'Raw Data'!BG401,'Raw Data'!BI401,'Raw Data'!BK401,'Raw Data'!BM401),"")</f>
        <v/>
      </c>
      <c r="W414" s="17">
        <f>IF(U414&lt;&gt;"",U414-V414,"")</f>
        <v/>
      </c>
      <c r="X414" s="17">
        <f>IF(A414&lt;&gt;"",AVERAGE(F414,I414,L414,O414,R414,U414),"")</f>
        <v/>
      </c>
      <c r="Y414" s="17">
        <f>IF(A414&lt;&gt;"",AVERAGE(G414,J414,M414,P414,S414,V414),"")</f>
        <v/>
      </c>
      <c r="Z414" s="17">
        <f>IF(A414&lt;&gt;"",X414-Y414,"")</f>
        <v/>
      </c>
      <c r="AA414" s="18">
        <f>IF(A414&lt;&gt;"",ROUND(MIN(100,100*((MAX(0,K414)*0.25)+(MAX(0,Q414)*0.20)+(MAX(0,W414)*0.20)+(MAX(0,H414)*0.15)+(MAX(0,N414)*0.10)+(MAX(0,T414)*0.10))/9),1),"")</f>
        <v/>
      </c>
      <c r="AB414" s="29">
        <f>IF(A414&lt;&gt;"",MIN(1,(0.5*AA414/100)+(0.3*MAX(0,K414)/9)+(0.2*MAX(0,Q414)/9)),"")</f>
        <v/>
      </c>
    </row>
    <row r="415">
      <c r="A415" s="4">
        <f>IF('Raw Data'!A402&lt;&gt;"",'Raw Data'!A402,"")</f>
        <v/>
      </c>
      <c r="B415" s="4">
        <f>IF('Raw Data'!B402&lt;&gt;"",'Raw Data'!B402,"")</f>
        <v/>
      </c>
      <c r="C415" s="4">
        <f>IF('Raw Data'!C402&lt;&gt;"",'Raw Data'!C402,"")</f>
        <v/>
      </c>
      <c r="D415" s="4">
        <f>IF('Raw Data'!D402&lt;&gt;"",'Raw Data'!D402,"")</f>
        <v/>
      </c>
      <c r="E415" s="4">
        <f>IF('Raw Data'!E402&lt;&gt;"",'Raw Data'!E402,"")</f>
        <v/>
      </c>
      <c r="F415" s="14">
        <f>IF('Raw Data'!A402&lt;&gt;"",AVERAGE('Raw Data'!F402,'Raw Data'!H402,'Raw Data'!J402,'Raw Data'!L402,'Raw Data'!N402),"")</f>
        <v/>
      </c>
      <c r="G415" s="14">
        <f>IF('Raw Data'!A402&lt;&gt;"",AVERAGE('Raw Data'!G402,'Raw Data'!I402,'Raw Data'!K402,'Raw Data'!M402,'Raw Data'!O402),"")</f>
        <v/>
      </c>
      <c r="H415" s="14">
        <f>IF(F415&lt;&gt;"",F415-G415,"")</f>
        <v/>
      </c>
      <c r="I415" s="14">
        <f>IF('Raw Data'!A402&lt;&gt;"",AVERAGE('Raw Data'!P402,'Raw Data'!R402,'Raw Data'!T402,'Raw Data'!V402,'Raw Data'!X402),"")</f>
        <v/>
      </c>
      <c r="J415" s="14">
        <f>IF('Raw Data'!A402&lt;&gt;"",AVERAGE('Raw Data'!Q402,'Raw Data'!S402,'Raw Data'!U402,'Raw Data'!W402,'Raw Data'!Y402),"")</f>
        <v/>
      </c>
      <c r="K415" s="14">
        <f>IF(I415&lt;&gt;"",I415-J415,"")</f>
        <v/>
      </c>
      <c r="L415" s="14">
        <f>IF('Raw Data'!A402&lt;&gt;"",AVERAGE('Raw Data'!Z402,'Raw Data'!AB402,'Raw Data'!AD402,'Raw Data'!AF402,'Raw Data'!AH402),"")</f>
        <v/>
      </c>
      <c r="M415" s="14">
        <f>IF('Raw Data'!A402&lt;&gt;"",AVERAGE('Raw Data'!AA402,'Raw Data'!AC402,'Raw Data'!AE402,'Raw Data'!AG402,'Raw Data'!AI402),"")</f>
        <v/>
      </c>
      <c r="N415" s="14">
        <f>IF(L415&lt;&gt;"",L415-M415,"")</f>
        <v/>
      </c>
      <c r="O415" s="14">
        <f>IF('Raw Data'!A402&lt;&gt;"",AVERAGE('Raw Data'!AJ402,'Raw Data'!AL402,'Raw Data'!AN402,'Raw Data'!AP402,'Raw Data'!AR402),"")</f>
        <v/>
      </c>
      <c r="P415" s="14">
        <f>IF('Raw Data'!A402&lt;&gt;"",AVERAGE('Raw Data'!AK402,'Raw Data'!AM402,'Raw Data'!AO402,'Raw Data'!AQ402,'Raw Data'!AS402),"")</f>
        <v/>
      </c>
      <c r="Q415" s="14">
        <f>IF(O415&lt;&gt;"",O415-P415,"")</f>
        <v/>
      </c>
      <c r="R415" s="14">
        <f>IF('Raw Data'!A402&lt;&gt;"",AVERAGE('Raw Data'!AT402,'Raw Data'!AV402,'Raw Data'!AX402,'Raw Data'!AZ402,'Raw Data'!BB402),"")</f>
        <v/>
      </c>
      <c r="S415" s="14">
        <f>IF('Raw Data'!A402&lt;&gt;"",AVERAGE('Raw Data'!AU402,'Raw Data'!AW402,'Raw Data'!AY402,'Raw Data'!BA402,'Raw Data'!BC402),"")</f>
        <v/>
      </c>
      <c r="T415" s="14">
        <f>IF(R415&lt;&gt;"",R415-S415,"")</f>
        <v/>
      </c>
      <c r="U415" s="14">
        <f>IF('Raw Data'!A402&lt;&gt;"",AVERAGE('Raw Data'!BD402,'Raw Data'!BF402,'Raw Data'!BH402,'Raw Data'!BJ402,'Raw Data'!BL402),"")</f>
        <v/>
      </c>
      <c r="V415" s="14">
        <f>IF('Raw Data'!A402&lt;&gt;"",AVERAGE('Raw Data'!BE402,'Raw Data'!BG402,'Raw Data'!BI402,'Raw Data'!BK402,'Raw Data'!BM402),"")</f>
        <v/>
      </c>
      <c r="W415" s="14">
        <f>IF(U415&lt;&gt;"",U415-V415,"")</f>
        <v/>
      </c>
      <c r="X415" s="14">
        <f>IF(A415&lt;&gt;"",AVERAGE(F415,I415,L415,O415,R415,U415),"")</f>
        <v/>
      </c>
      <c r="Y415" s="14">
        <f>IF(A415&lt;&gt;"",AVERAGE(G415,J415,M415,P415,S415,V415),"")</f>
        <v/>
      </c>
      <c r="Z415" s="14">
        <f>IF(A415&lt;&gt;"",X415-Y415,"")</f>
        <v/>
      </c>
      <c r="AA415" s="15">
        <f>IF(A415&lt;&gt;"",ROUND(MIN(100,100*((MAX(0,K415)*0.25)+(MAX(0,Q415)*0.20)+(MAX(0,W415)*0.20)+(MAX(0,H415)*0.15)+(MAX(0,N415)*0.10)+(MAX(0,T415)*0.10))/9),1),"")</f>
        <v/>
      </c>
      <c r="AB415" s="28">
        <f>IF(A415&lt;&gt;"",MIN(1,(0.5*AA415/100)+(0.3*MAX(0,K415)/9)+(0.2*MAX(0,Q415)/9)),"")</f>
        <v/>
      </c>
    </row>
    <row r="416">
      <c r="A416" s="13">
        <f>IF('Raw Data'!A403&lt;&gt;"",'Raw Data'!A403,"")</f>
        <v/>
      </c>
      <c r="B416" s="13">
        <f>IF('Raw Data'!B403&lt;&gt;"",'Raw Data'!B403,"")</f>
        <v/>
      </c>
      <c r="C416" s="13">
        <f>IF('Raw Data'!C403&lt;&gt;"",'Raw Data'!C403,"")</f>
        <v/>
      </c>
      <c r="D416" s="13">
        <f>IF('Raw Data'!D403&lt;&gt;"",'Raw Data'!D403,"")</f>
        <v/>
      </c>
      <c r="E416" s="13">
        <f>IF('Raw Data'!E403&lt;&gt;"",'Raw Data'!E403,"")</f>
        <v/>
      </c>
      <c r="F416" s="17">
        <f>IF('Raw Data'!A403&lt;&gt;"",AVERAGE('Raw Data'!F403,'Raw Data'!H403,'Raw Data'!J403,'Raw Data'!L403,'Raw Data'!N403),"")</f>
        <v/>
      </c>
      <c r="G416" s="17">
        <f>IF('Raw Data'!A403&lt;&gt;"",AVERAGE('Raw Data'!G403,'Raw Data'!I403,'Raw Data'!K403,'Raw Data'!M403,'Raw Data'!O403),"")</f>
        <v/>
      </c>
      <c r="H416" s="17">
        <f>IF(F416&lt;&gt;"",F416-G416,"")</f>
        <v/>
      </c>
      <c r="I416" s="17">
        <f>IF('Raw Data'!A403&lt;&gt;"",AVERAGE('Raw Data'!P403,'Raw Data'!R403,'Raw Data'!T403,'Raw Data'!V403,'Raw Data'!X403),"")</f>
        <v/>
      </c>
      <c r="J416" s="17">
        <f>IF('Raw Data'!A403&lt;&gt;"",AVERAGE('Raw Data'!Q403,'Raw Data'!S403,'Raw Data'!U403,'Raw Data'!W403,'Raw Data'!Y403),"")</f>
        <v/>
      </c>
      <c r="K416" s="17">
        <f>IF(I416&lt;&gt;"",I416-J416,"")</f>
        <v/>
      </c>
      <c r="L416" s="17">
        <f>IF('Raw Data'!A403&lt;&gt;"",AVERAGE('Raw Data'!Z403,'Raw Data'!AB403,'Raw Data'!AD403,'Raw Data'!AF403,'Raw Data'!AH403),"")</f>
        <v/>
      </c>
      <c r="M416" s="17">
        <f>IF('Raw Data'!A403&lt;&gt;"",AVERAGE('Raw Data'!AA403,'Raw Data'!AC403,'Raw Data'!AE403,'Raw Data'!AG403,'Raw Data'!AI403),"")</f>
        <v/>
      </c>
      <c r="N416" s="17">
        <f>IF(L416&lt;&gt;"",L416-M416,"")</f>
        <v/>
      </c>
      <c r="O416" s="17">
        <f>IF('Raw Data'!A403&lt;&gt;"",AVERAGE('Raw Data'!AJ403,'Raw Data'!AL403,'Raw Data'!AN403,'Raw Data'!AP403,'Raw Data'!AR403),"")</f>
        <v/>
      </c>
      <c r="P416" s="17">
        <f>IF('Raw Data'!A403&lt;&gt;"",AVERAGE('Raw Data'!AK403,'Raw Data'!AM403,'Raw Data'!AO403,'Raw Data'!AQ403,'Raw Data'!AS403),"")</f>
        <v/>
      </c>
      <c r="Q416" s="17">
        <f>IF(O416&lt;&gt;"",O416-P416,"")</f>
        <v/>
      </c>
      <c r="R416" s="17">
        <f>IF('Raw Data'!A403&lt;&gt;"",AVERAGE('Raw Data'!AT403,'Raw Data'!AV403,'Raw Data'!AX403,'Raw Data'!AZ403,'Raw Data'!BB403),"")</f>
        <v/>
      </c>
      <c r="S416" s="17">
        <f>IF('Raw Data'!A403&lt;&gt;"",AVERAGE('Raw Data'!AU403,'Raw Data'!AW403,'Raw Data'!AY403,'Raw Data'!BA403,'Raw Data'!BC403),"")</f>
        <v/>
      </c>
      <c r="T416" s="17">
        <f>IF(R416&lt;&gt;"",R416-S416,"")</f>
        <v/>
      </c>
      <c r="U416" s="17">
        <f>IF('Raw Data'!A403&lt;&gt;"",AVERAGE('Raw Data'!BD403,'Raw Data'!BF403,'Raw Data'!BH403,'Raw Data'!BJ403,'Raw Data'!BL403),"")</f>
        <v/>
      </c>
      <c r="V416" s="17">
        <f>IF('Raw Data'!A403&lt;&gt;"",AVERAGE('Raw Data'!BE403,'Raw Data'!BG403,'Raw Data'!BI403,'Raw Data'!BK403,'Raw Data'!BM403),"")</f>
        <v/>
      </c>
      <c r="W416" s="17">
        <f>IF(U416&lt;&gt;"",U416-V416,"")</f>
        <v/>
      </c>
      <c r="X416" s="17">
        <f>IF(A416&lt;&gt;"",AVERAGE(F416,I416,L416,O416,R416,U416),"")</f>
        <v/>
      </c>
      <c r="Y416" s="17">
        <f>IF(A416&lt;&gt;"",AVERAGE(G416,J416,M416,P416,S416,V416),"")</f>
        <v/>
      </c>
      <c r="Z416" s="17">
        <f>IF(A416&lt;&gt;"",X416-Y416,"")</f>
        <v/>
      </c>
      <c r="AA416" s="18">
        <f>IF(A416&lt;&gt;"",ROUND(MIN(100,100*((MAX(0,K416)*0.25)+(MAX(0,Q416)*0.20)+(MAX(0,W416)*0.20)+(MAX(0,H416)*0.15)+(MAX(0,N416)*0.10)+(MAX(0,T416)*0.10))/9),1),"")</f>
        <v/>
      </c>
      <c r="AB416" s="29">
        <f>IF(A416&lt;&gt;"",MIN(1,(0.5*AA416/100)+(0.3*MAX(0,K416)/9)+(0.2*MAX(0,Q416)/9)),"")</f>
        <v/>
      </c>
    </row>
    <row r="417">
      <c r="A417" s="4">
        <f>IF('Raw Data'!A404&lt;&gt;"",'Raw Data'!A404,"")</f>
        <v/>
      </c>
      <c r="B417" s="4">
        <f>IF('Raw Data'!B404&lt;&gt;"",'Raw Data'!B404,"")</f>
        <v/>
      </c>
      <c r="C417" s="4">
        <f>IF('Raw Data'!C404&lt;&gt;"",'Raw Data'!C404,"")</f>
        <v/>
      </c>
      <c r="D417" s="4">
        <f>IF('Raw Data'!D404&lt;&gt;"",'Raw Data'!D404,"")</f>
        <v/>
      </c>
      <c r="E417" s="4">
        <f>IF('Raw Data'!E404&lt;&gt;"",'Raw Data'!E404,"")</f>
        <v/>
      </c>
      <c r="F417" s="14">
        <f>IF('Raw Data'!A404&lt;&gt;"",AVERAGE('Raw Data'!F404,'Raw Data'!H404,'Raw Data'!J404,'Raw Data'!L404,'Raw Data'!N404),"")</f>
        <v/>
      </c>
      <c r="G417" s="14">
        <f>IF('Raw Data'!A404&lt;&gt;"",AVERAGE('Raw Data'!G404,'Raw Data'!I404,'Raw Data'!K404,'Raw Data'!M404,'Raw Data'!O404),"")</f>
        <v/>
      </c>
      <c r="H417" s="14">
        <f>IF(F417&lt;&gt;"",F417-G417,"")</f>
        <v/>
      </c>
      <c r="I417" s="14">
        <f>IF('Raw Data'!A404&lt;&gt;"",AVERAGE('Raw Data'!P404,'Raw Data'!R404,'Raw Data'!T404,'Raw Data'!V404,'Raw Data'!X404),"")</f>
        <v/>
      </c>
      <c r="J417" s="14">
        <f>IF('Raw Data'!A404&lt;&gt;"",AVERAGE('Raw Data'!Q404,'Raw Data'!S404,'Raw Data'!U404,'Raw Data'!W404,'Raw Data'!Y404),"")</f>
        <v/>
      </c>
      <c r="K417" s="14">
        <f>IF(I417&lt;&gt;"",I417-J417,"")</f>
        <v/>
      </c>
      <c r="L417" s="14">
        <f>IF('Raw Data'!A404&lt;&gt;"",AVERAGE('Raw Data'!Z404,'Raw Data'!AB404,'Raw Data'!AD404,'Raw Data'!AF404,'Raw Data'!AH404),"")</f>
        <v/>
      </c>
      <c r="M417" s="14">
        <f>IF('Raw Data'!A404&lt;&gt;"",AVERAGE('Raw Data'!AA404,'Raw Data'!AC404,'Raw Data'!AE404,'Raw Data'!AG404,'Raw Data'!AI404),"")</f>
        <v/>
      </c>
      <c r="N417" s="14">
        <f>IF(L417&lt;&gt;"",L417-M417,"")</f>
        <v/>
      </c>
      <c r="O417" s="14">
        <f>IF('Raw Data'!A404&lt;&gt;"",AVERAGE('Raw Data'!AJ404,'Raw Data'!AL404,'Raw Data'!AN404,'Raw Data'!AP404,'Raw Data'!AR404),"")</f>
        <v/>
      </c>
      <c r="P417" s="14">
        <f>IF('Raw Data'!A404&lt;&gt;"",AVERAGE('Raw Data'!AK404,'Raw Data'!AM404,'Raw Data'!AO404,'Raw Data'!AQ404,'Raw Data'!AS404),"")</f>
        <v/>
      </c>
      <c r="Q417" s="14">
        <f>IF(O417&lt;&gt;"",O417-P417,"")</f>
        <v/>
      </c>
      <c r="R417" s="14">
        <f>IF('Raw Data'!A404&lt;&gt;"",AVERAGE('Raw Data'!AT404,'Raw Data'!AV404,'Raw Data'!AX404,'Raw Data'!AZ404,'Raw Data'!BB404),"")</f>
        <v/>
      </c>
      <c r="S417" s="14">
        <f>IF('Raw Data'!A404&lt;&gt;"",AVERAGE('Raw Data'!AU404,'Raw Data'!AW404,'Raw Data'!AY404,'Raw Data'!BA404,'Raw Data'!BC404),"")</f>
        <v/>
      </c>
      <c r="T417" s="14">
        <f>IF(R417&lt;&gt;"",R417-S417,"")</f>
        <v/>
      </c>
      <c r="U417" s="14">
        <f>IF('Raw Data'!A404&lt;&gt;"",AVERAGE('Raw Data'!BD404,'Raw Data'!BF404,'Raw Data'!BH404,'Raw Data'!BJ404,'Raw Data'!BL404),"")</f>
        <v/>
      </c>
      <c r="V417" s="14">
        <f>IF('Raw Data'!A404&lt;&gt;"",AVERAGE('Raw Data'!BE404,'Raw Data'!BG404,'Raw Data'!BI404,'Raw Data'!BK404,'Raw Data'!BM404),"")</f>
        <v/>
      </c>
      <c r="W417" s="14">
        <f>IF(U417&lt;&gt;"",U417-V417,"")</f>
        <v/>
      </c>
      <c r="X417" s="14">
        <f>IF(A417&lt;&gt;"",AVERAGE(F417,I417,L417,O417,R417,U417),"")</f>
        <v/>
      </c>
      <c r="Y417" s="14">
        <f>IF(A417&lt;&gt;"",AVERAGE(G417,J417,M417,P417,S417,V417),"")</f>
        <v/>
      </c>
      <c r="Z417" s="14">
        <f>IF(A417&lt;&gt;"",X417-Y417,"")</f>
        <v/>
      </c>
      <c r="AA417" s="15">
        <f>IF(A417&lt;&gt;"",ROUND(MIN(100,100*((MAX(0,K417)*0.25)+(MAX(0,Q417)*0.20)+(MAX(0,W417)*0.20)+(MAX(0,H417)*0.15)+(MAX(0,N417)*0.10)+(MAX(0,T417)*0.10))/9),1),"")</f>
        <v/>
      </c>
      <c r="AB417" s="28">
        <f>IF(A417&lt;&gt;"",MIN(1,(0.5*AA417/100)+(0.3*MAX(0,K417)/9)+(0.2*MAX(0,Q417)/9)),"")</f>
        <v/>
      </c>
    </row>
    <row r="418">
      <c r="A418" s="13">
        <f>IF('Raw Data'!A405&lt;&gt;"",'Raw Data'!A405,"")</f>
        <v/>
      </c>
      <c r="B418" s="13">
        <f>IF('Raw Data'!B405&lt;&gt;"",'Raw Data'!B405,"")</f>
        <v/>
      </c>
      <c r="C418" s="13">
        <f>IF('Raw Data'!C405&lt;&gt;"",'Raw Data'!C405,"")</f>
        <v/>
      </c>
      <c r="D418" s="13">
        <f>IF('Raw Data'!D405&lt;&gt;"",'Raw Data'!D405,"")</f>
        <v/>
      </c>
      <c r="E418" s="13">
        <f>IF('Raw Data'!E405&lt;&gt;"",'Raw Data'!E405,"")</f>
        <v/>
      </c>
      <c r="F418" s="17">
        <f>IF('Raw Data'!A405&lt;&gt;"",AVERAGE('Raw Data'!F405,'Raw Data'!H405,'Raw Data'!J405,'Raw Data'!L405,'Raw Data'!N405),"")</f>
        <v/>
      </c>
      <c r="G418" s="17">
        <f>IF('Raw Data'!A405&lt;&gt;"",AVERAGE('Raw Data'!G405,'Raw Data'!I405,'Raw Data'!K405,'Raw Data'!M405,'Raw Data'!O405),"")</f>
        <v/>
      </c>
      <c r="H418" s="17">
        <f>IF(F418&lt;&gt;"",F418-G418,"")</f>
        <v/>
      </c>
      <c r="I418" s="17">
        <f>IF('Raw Data'!A405&lt;&gt;"",AVERAGE('Raw Data'!P405,'Raw Data'!R405,'Raw Data'!T405,'Raw Data'!V405,'Raw Data'!X405),"")</f>
        <v/>
      </c>
      <c r="J418" s="17">
        <f>IF('Raw Data'!A405&lt;&gt;"",AVERAGE('Raw Data'!Q405,'Raw Data'!S405,'Raw Data'!U405,'Raw Data'!W405,'Raw Data'!Y405),"")</f>
        <v/>
      </c>
      <c r="K418" s="17">
        <f>IF(I418&lt;&gt;"",I418-J418,"")</f>
        <v/>
      </c>
      <c r="L418" s="17">
        <f>IF('Raw Data'!A405&lt;&gt;"",AVERAGE('Raw Data'!Z405,'Raw Data'!AB405,'Raw Data'!AD405,'Raw Data'!AF405,'Raw Data'!AH405),"")</f>
        <v/>
      </c>
      <c r="M418" s="17">
        <f>IF('Raw Data'!A405&lt;&gt;"",AVERAGE('Raw Data'!AA405,'Raw Data'!AC405,'Raw Data'!AE405,'Raw Data'!AG405,'Raw Data'!AI405),"")</f>
        <v/>
      </c>
      <c r="N418" s="17">
        <f>IF(L418&lt;&gt;"",L418-M418,"")</f>
        <v/>
      </c>
      <c r="O418" s="17">
        <f>IF('Raw Data'!A405&lt;&gt;"",AVERAGE('Raw Data'!AJ405,'Raw Data'!AL405,'Raw Data'!AN405,'Raw Data'!AP405,'Raw Data'!AR405),"")</f>
        <v/>
      </c>
      <c r="P418" s="17">
        <f>IF('Raw Data'!A405&lt;&gt;"",AVERAGE('Raw Data'!AK405,'Raw Data'!AM405,'Raw Data'!AO405,'Raw Data'!AQ405,'Raw Data'!AS405),"")</f>
        <v/>
      </c>
      <c r="Q418" s="17">
        <f>IF(O418&lt;&gt;"",O418-P418,"")</f>
        <v/>
      </c>
      <c r="R418" s="17">
        <f>IF('Raw Data'!A405&lt;&gt;"",AVERAGE('Raw Data'!AT405,'Raw Data'!AV405,'Raw Data'!AX405,'Raw Data'!AZ405,'Raw Data'!BB405),"")</f>
        <v/>
      </c>
      <c r="S418" s="17">
        <f>IF('Raw Data'!A405&lt;&gt;"",AVERAGE('Raw Data'!AU405,'Raw Data'!AW405,'Raw Data'!AY405,'Raw Data'!BA405,'Raw Data'!BC405),"")</f>
        <v/>
      </c>
      <c r="T418" s="17">
        <f>IF(R418&lt;&gt;"",R418-S418,"")</f>
        <v/>
      </c>
      <c r="U418" s="17">
        <f>IF('Raw Data'!A405&lt;&gt;"",AVERAGE('Raw Data'!BD405,'Raw Data'!BF405,'Raw Data'!BH405,'Raw Data'!BJ405,'Raw Data'!BL405),"")</f>
        <v/>
      </c>
      <c r="V418" s="17">
        <f>IF('Raw Data'!A405&lt;&gt;"",AVERAGE('Raw Data'!BE405,'Raw Data'!BG405,'Raw Data'!BI405,'Raw Data'!BK405,'Raw Data'!BM405),"")</f>
        <v/>
      </c>
      <c r="W418" s="17">
        <f>IF(U418&lt;&gt;"",U418-V418,"")</f>
        <v/>
      </c>
      <c r="X418" s="17">
        <f>IF(A418&lt;&gt;"",AVERAGE(F418,I418,L418,O418,R418,U418),"")</f>
        <v/>
      </c>
      <c r="Y418" s="17">
        <f>IF(A418&lt;&gt;"",AVERAGE(G418,J418,M418,P418,S418,V418),"")</f>
        <v/>
      </c>
      <c r="Z418" s="17">
        <f>IF(A418&lt;&gt;"",X418-Y418,"")</f>
        <v/>
      </c>
      <c r="AA418" s="18">
        <f>IF(A418&lt;&gt;"",ROUND(MIN(100,100*((MAX(0,K418)*0.25)+(MAX(0,Q418)*0.20)+(MAX(0,W418)*0.20)+(MAX(0,H418)*0.15)+(MAX(0,N418)*0.10)+(MAX(0,T418)*0.10))/9),1),"")</f>
        <v/>
      </c>
      <c r="AB418" s="29">
        <f>IF(A418&lt;&gt;"",MIN(1,(0.5*AA418/100)+(0.3*MAX(0,K418)/9)+(0.2*MAX(0,Q418)/9)),"")</f>
        <v/>
      </c>
    </row>
    <row r="419">
      <c r="A419" s="4">
        <f>IF('Raw Data'!A406&lt;&gt;"",'Raw Data'!A406,"")</f>
        <v/>
      </c>
      <c r="B419" s="4">
        <f>IF('Raw Data'!B406&lt;&gt;"",'Raw Data'!B406,"")</f>
        <v/>
      </c>
      <c r="C419" s="4">
        <f>IF('Raw Data'!C406&lt;&gt;"",'Raw Data'!C406,"")</f>
        <v/>
      </c>
      <c r="D419" s="4">
        <f>IF('Raw Data'!D406&lt;&gt;"",'Raw Data'!D406,"")</f>
        <v/>
      </c>
      <c r="E419" s="4">
        <f>IF('Raw Data'!E406&lt;&gt;"",'Raw Data'!E406,"")</f>
        <v/>
      </c>
      <c r="F419" s="14">
        <f>IF('Raw Data'!A406&lt;&gt;"",AVERAGE('Raw Data'!F406,'Raw Data'!H406,'Raw Data'!J406,'Raw Data'!L406,'Raw Data'!N406),"")</f>
        <v/>
      </c>
      <c r="G419" s="14">
        <f>IF('Raw Data'!A406&lt;&gt;"",AVERAGE('Raw Data'!G406,'Raw Data'!I406,'Raw Data'!K406,'Raw Data'!M406,'Raw Data'!O406),"")</f>
        <v/>
      </c>
      <c r="H419" s="14">
        <f>IF(F419&lt;&gt;"",F419-G419,"")</f>
        <v/>
      </c>
      <c r="I419" s="14">
        <f>IF('Raw Data'!A406&lt;&gt;"",AVERAGE('Raw Data'!P406,'Raw Data'!R406,'Raw Data'!T406,'Raw Data'!V406,'Raw Data'!X406),"")</f>
        <v/>
      </c>
      <c r="J419" s="14">
        <f>IF('Raw Data'!A406&lt;&gt;"",AVERAGE('Raw Data'!Q406,'Raw Data'!S406,'Raw Data'!U406,'Raw Data'!W406,'Raw Data'!Y406),"")</f>
        <v/>
      </c>
      <c r="K419" s="14">
        <f>IF(I419&lt;&gt;"",I419-J419,"")</f>
        <v/>
      </c>
      <c r="L419" s="14">
        <f>IF('Raw Data'!A406&lt;&gt;"",AVERAGE('Raw Data'!Z406,'Raw Data'!AB406,'Raw Data'!AD406,'Raw Data'!AF406,'Raw Data'!AH406),"")</f>
        <v/>
      </c>
      <c r="M419" s="14">
        <f>IF('Raw Data'!A406&lt;&gt;"",AVERAGE('Raw Data'!AA406,'Raw Data'!AC406,'Raw Data'!AE406,'Raw Data'!AG406,'Raw Data'!AI406),"")</f>
        <v/>
      </c>
      <c r="N419" s="14">
        <f>IF(L419&lt;&gt;"",L419-M419,"")</f>
        <v/>
      </c>
      <c r="O419" s="14">
        <f>IF('Raw Data'!A406&lt;&gt;"",AVERAGE('Raw Data'!AJ406,'Raw Data'!AL406,'Raw Data'!AN406,'Raw Data'!AP406,'Raw Data'!AR406),"")</f>
        <v/>
      </c>
      <c r="P419" s="14">
        <f>IF('Raw Data'!A406&lt;&gt;"",AVERAGE('Raw Data'!AK406,'Raw Data'!AM406,'Raw Data'!AO406,'Raw Data'!AQ406,'Raw Data'!AS406),"")</f>
        <v/>
      </c>
      <c r="Q419" s="14">
        <f>IF(O419&lt;&gt;"",O419-P419,"")</f>
        <v/>
      </c>
      <c r="R419" s="14">
        <f>IF('Raw Data'!A406&lt;&gt;"",AVERAGE('Raw Data'!AT406,'Raw Data'!AV406,'Raw Data'!AX406,'Raw Data'!AZ406,'Raw Data'!BB406),"")</f>
        <v/>
      </c>
      <c r="S419" s="14">
        <f>IF('Raw Data'!A406&lt;&gt;"",AVERAGE('Raw Data'!AU406,'Raw Data'!AW406,'Raw Data'!AY406,'Raw Data'!BA406,'Raw Data'!BC406),"")</f>
        <v/>
      </c>
      <c r="T419" s="14">
        <f>IF(R419&lt;&gt;"",R419-S419,"")</f>
        <v/>
      </c>
      <c r="U419" s="14">
        <f>IF('Raw Data'!A406&lt;&gt;"",AVERAGE('Raw Data'!BD406,'Raw Data'!BF406,'Raw Data'!BH406,'Raw Data'!BJ406,'Raw Data'!BL406),"")</f>
        <v/>
      </c>
      <c r="V419" s="14">
        <f>IF('Raw Data'!A406&lt;&gt;"",AVERAGE('Raw Data'!BE406,'Raw Data'!BG406,'Raw Data'!BI406,'Raw Data'!BK406,'Raw Data'!BM406),"")</f>
        <v/>
      </c>
      <c r="W419" s="14">
        <f>IF(U419&lt;&gt;"",U419-V419,"")</f>
        <v/>
      </c>
      <c r="X419" s="14">
        <f>IF(A419&lt;&gt;"",AVERAGE(F419,I419,L419,O419,R419,U419),"")</f>
        <v/>
      </c>
      <c r="Y419" s="14">
        <f>IF(A419&lt;&gt;"",AVERAGE(G419,J419,M419,P419,S419,V419),"")</f>
        <v/>
      </c>
      <c r="Z419" s="14">
        <f>IF(A419&lt;&gt;"",X419-Y419,"")</f>
        <v/>
      </c>
      <c r="AA419" s="15">
        <f>IF(A419&lt;&gt;"",ROUND(MIN(100,100*((MAX(0,K419)*0.25)+(MAX(0,Q419)*0.20)+(MAX(0,W419)*0.20)+(MAX(0,H419)*0.15)+(MAX(0,N419)*0.10)+(MAX(0,T419)*0.10))/9),1),"")</f>
        <v/>
      </c>
      <c r="AB419" s="28">
        <f>IF(A419&lt;&gt;"",MIN(1,(0.5*AA419/100)+(0.3*MAX(0,K419)/9)+(0.2*MAX(0,Q419)/9)),"")</f>
        <v/>
      </c>
    </row>
    <row r="420">
      <c r="A420" s="13">
        <f>IF('Raw Data'!A407&lt;&gt;"",'Raw Data'!A407,"")</f>
        <v/>
      </c>
      <c r="B420" s="13">
        <f>IF('Raw Data'!B407&lt;&gt;"",'Raw Data'!B407,"")</f>
        <v/>
      </c>
      <c r="C420" s="13">
        <f>IF('Raw Data'!C407&lt;&gt;"",'Raw Data'!C407,"")</f>
        <v/>
      </c>
      <c r="D420" s="13">
        <f>IF('Raw Data'!D407&lt;&gt;"",'Raw Data'!D407,"")</f>
        <v/>
      </c>
      <c r="E420" s="13">
        <f>IF('Raw Data'!E407&lt;&gt;"",'Raw Data'!E407,"")</f>
        <v/>
      </c>
      <c r="F420" s="17">
        <f>IF('Raw Data'!A407&lt;&gt;"",AVERAGE('Raw Data'!F407,'Raw Data'!H407,'Raw Data'!J407,'Raw Data'!L407,'Raw Data'!N407),"")</f>
        <v/>
      </c>
      <c r="G420" s="17">
        <f>IF('Raw Data'!A407&lt;&gt;"",AVERAGE('Raw Data'!G407,'Raw Data'!I407,'Raw Data'!K407,'Raw Data'!M407,'Raw Data'!O407),"")</f>
        <v/>
      </c>
      <c r="H420" s="17">
        <f>IF(F420&lt;&gt;"",F420-G420,"")</f>
        <v/>
      </c>
      <c r="I420" s="17">
        <f>IF('Raw Data'!A407&lt;&gt;"",AVERAGE('Raw Data'!P407,'Raw Data'!R407,'Raw Data'!T407,'Raw Data'!V407,'Raw Data'!X407),"")</f>
        <v/>
      </c>
      <c r="J420" s="17">
        <f>IF('Raw Data'!A407&lt;&gt;"",AVERAGE('Raw Data'!Q407,'Raw Data'!S407,'Raw Data'!U407,'Raw Data'!W407,'Raw Data'!Y407),"")</f>
        <v/>
      </c>
      <c r="K420" s="17">
        <f>IF(I420&lt;&gt;"",I420-J420,"")</f>
        <v/>
      </c>
      <c r="L420" s="17">
        <f>IF('Raw Data'!A407&lt;&gt;"",AVERAGE('Raw Data'!Z407,'Raw Data'!AB407,'Raw Data'!AD407,'Raw Data'!AF407,'Raw Data'!AH407),"")</f>
        <v/>
      </c>
      <c r="M420" s="17">
        <f>IF('Raw Data'!A407&lt;&gt;"",AVERAGE('Raw Data'!AA407,'Raw Data'!AC407,'Raw Data'!AE407,'Raw Data'!AG407,'Raw Data'!AI407),"")</f>
        <v/>
      </c>
      <c r="N420" s="17">
        <f>IF(L420&lt;&gt;"",L420-M420,"")</f>
        <v/>
      </c>
      <c r="O420" s="17">
        <f>IF('Raw Data'!A407&lt;&gt;"",AVERAGE('Raw Data'!AJ407,'Raw Data'!AL407,'Raw Data'!AN407,'Raw Data'!AP407,'Raw Data'!AR407),"")</f>
        <v/>
      </c>
      <c r="P420" s="17">
        <f>IF('Raw Data'!A407&lt;&gt;"",AVERAGE('Raw Data'!AK407,'Raw Data'!AM407,'Raw Data'!AO407,'Raw Data'!AQ407,'Raw Data'!AS407),"")</f>
        <v/>
      </c>
      <c r="Q420" s="17">
        <f>IF(O420&lt;&gt;"",O420-P420,"")</f>
        <v/>
      </c>
      <c r="R420" s="17">
        <f>IF('Raw Data'!A407&lt;&gt;"",AVERAGE('Raw Data'!AT407,'Raw Data'!AV407,'Raw Data'!AX407,'Raw Data'!AZ407,'Raw Data'!BB407),"")</f>
        <v/>
      </c>
      <c r="S420" s="17">
        <f>IF('Raw Data'!A407&lt;&gt;"",AVERAGE('Raw Data'!AU407,'Raw Data'!AW407,'Raw Data'!AY407,'Raw Data'!BA407,'Raw Data'!BC407),"")</f>
        <v/>
      </c>
      <c r="T420" s="17">
        <f>IF(R420&lt;&gt;"",R420-S420,"")</f>
        <v/>
      </c>
      <c r="U420" s="17">
        <f>IF('Raw Data'!A407&lt;&gt;"",AVERAGE('Raw Data'!BD407,'Raw Data'!BF407,'Raw Data'!BH407,'Raw Data'!BJ407,'Raw Data'!BL407),"")</f>
        <v/>
      </c>
      <c r="V420" s="17">
        <f>IF('Raw Data'!A407&lt;&gt;"",AVERAGE('Raw Data'!BE407,'Raw Data'!BG407,'Raw Data'!BI407,'Raw Data'!BK407,'Raw Data'!BM407),"")</f>
        <v/>
      </c>
      <c r="W420" s="17">
        <f>IF(U420&lt;&gt;"",U420-V420,"")</f>
        <v/>
      </c>
      <c r="X420" s="17">
        <f>IF(A420&lt;&gt;"",AVERAGE(F420,I420,L420,O420,R420,U420),"")</f>
        <v/>
      </c>
      <c r="Y420" s="17">
        <f>IF(A420&lt;&gt;"",AVERAGE(G420,J420,M420,P420,S420,V420),"")</f>
        <v/>
      </c>
      <c r="Z420" s="17">
        <f>IF(A420&lt;&gt;"",X420-Y420,"")</f>
        <v/>
      </c>
      <c r="AA420" s="18">
        <f>IF(A420&lt;&gt;"",ROUND(MIN(100,100*((MAX(0,K420)*0.25)+(MAX(0,Q420)*0.20)+(MAX(0,W420)*0.20)+(MAX(0,H420)*0.15)+(MAX(0,N420)*0.10)+(MAX(0,T420)*0.10))/9),1),"")</f>
        <v/>
      </c>
      <c r="AB420" s="29">
        <f>IF(A420&lt;&gt;"",MIN(1,(0.5*AA420/100)+(0.3*MAX(0,K420)/9)+(0.2*MAX(0,Q420)/9)),"")</f>
        <v/>
      </c>
    </row>
    <row r="421">
      <c r="A421" s="4">
        <f>IF('Raw Data'!A408&lt;&gt;"",'Raw Data'!A408,"")</f>
        <v/>
      </c>
      <c r="B421" s="4">
        <f>IF('Raw Data'!B408&lt;&gt;"",'Raw Data'!B408,"")</f>
        <v/>
      </c>
      <c r="C421" s="4">
        <f>IF('Raw Data'!C408&lt;&gt;"",'Raw Data'!C408,"")</f>
        <v/>
      </c>
      <c r="D421" s="4">
        <f>IF('Raw Data'!D408&lt;&gt;"",'Raw Data'!D408,"")</f>
        <v/>
      </c>
      <c r="E421" s="4">
        <f>IF('Raw Data'!E408&lt;&gt;"",'Raw Data'!E408,"")</f>
        <v/>
      </c>
      <c r="F421" s="14">
        <f>IF('Raw Data'!A408&lt;&gt;"",AVERAGE('Raw Data'!F408,'Raw Data'!H408,'Raw Data'!J408,'Raw Data'!L408,'Raw Data'!N408),"")</f>
        <v/>
      </c>
      <c r="G421" s="14">
        <f>IF('Raw Data'!A408&lt;&gt;"",AVERAGE('Raw Data'!G408,'Raw Data'!I408,'Raw Data'!K408,'Raw Data'!M408,'Raw Data'!O408),"")</f>
        <v/>
      </c>
      <c r="H421" s="14">
        <f>IF(F421&lt;&gt;"",F421-G421,"")</f>
        <v/>
      </c>
      <c r="I421" s="14">
        <f>IF('Raw Data'!A408&lt;&gt;"",AVERAGE('Raw Data'!P408,'Raw Data'!R408,'Raw Data'!T408,'Raw Data'!V408,'Raw Data'!X408),"")</f>
        <v/>
      </c>
      <c r="J421" s="14">
        <f>IF('Raw Data'!A408&lt;&gt;"",AVERAGE('Raw Data'!Q408,'Raw Data'!S408,'Raw Data'!U408,'Raw Data'!W408,'Raw Data'!Y408),"")</f>
        <v/>
      </c>
      <c r="K421" s="14">
        <f>IF(I421&lt;&gt;"",I421-J421,"")</f>
        <v/>
      </c>
      <c r="L421" s="14">
        <f>IF('Raw Data'!A408&lt;&gt;"",AVERAGE('Raw Data'!Z408,'Raw Data'!AB408,'Raw Data'!AD408,'Raw Data'!AF408,'Raw Data'!AH408),"")</f>
        <v/>
      </c>
      <c r="M421" s="14">
        <f>IF('Raw Data'!A408&lt;&gt;"",AVERAGE('Raw Data'!AA408,'Raw Data'!AC408,'Raw Data'!AE408,'Raw Data'!AG408,'Raw Data'!AI408),"")</f>
        <v/>
      </c>
      <c r="N421" s="14">
        <f>IF(L421&lt;&gt;"",L421-M421,"")</f>
        <v/>
      </c>
      <c r="O421" s="14">
        <f>IF('Raw Data'!A408&lt;&gt;"",AVERAGE('Raw Data'!AJ408,'Raw Data'!AL408,'Raw Data'!AN408,'Raw Data'!AP408,'Raw Data'!AR408),"")</f>
        <v/>
      </c>
      <c r="P421" s="14">
        <f>IF('Raw Data'!A408&lt;&gt;"",AVERAGE('Raw Data'!AK408,'Raw Data'!AM408,'Raw Data'!AO408,'Raw Data'!AQ408,'Raw Data'!AS408),"")</f>
        <v/>
      </c>
      <c r="Q421" s="14">
        <f>IF(O421&lt;&gt;"",O421-P421,"")</f>
        <v/>
      </c>
      <c r="R421" s="14">
        <f>IF('Raw Data'!A408&lt;&gt;"",AVERAGE('Raw Data'!AT408,'Raw Data'!AV408,'Raw Data'!AX408,'Raw Data'!AZ408,'Raw Data'!BB408),"")</f>
        <v/>
      </c>
      <c r="S421" s="14">
        <f>IF('Raw Data'!A408&lt;&gt;"",AVERAGE('Raw Data'!AU408,'Raw Data'!AW408,'Raw Data'!AY408,'Raw Data'!BA408,'Raw Data'!BC408),"")</f>
        <v/>
      </c>
      <c r="T421" s="14">
        <f>IF(R421&lt;&gt;"",R421-S421,"")</f>
        <v/>
      </c>
      <c r="U421" s="14">
        <f>IF('Raw Data'!A408&lt;&gt;"",AVERAGE('Raw Data'!BD408,'Raw Data'!BF408,'Raw Data'!BH408,'Raw Data'!BJ408,'Raw Data'!BL408),"")</f>
        <v/>
      </c>
      <c r="V421" s="14">
        <f>IF('Raw Data'!A408&lt;&gt;"",AVERAGE('Raw Data'!BE408,'Raw Data'!BG408,'Raw Data'!BI408,'Raw Data'!BK408,'Raw Data'!BM408),"")</f>
        <v/>
      </c>
      <c r="W421" s="14">
        <f>IF(U421&lt;&gt;"",U421-V421,"")</f>
        <v/>
      </c>
      <c r="X421" s="14">
        <f>IF(A421&lt;&gt;"",AVERAGE(F421,I421,L421,O421,R421,U421),"")</f>
        <v/>
      </c>
      <c r="Y421" s="14">
        <f>IF(A421&lt;&gt;"",AVERAGE(G421,J421,M421,P421,S421,V421),"")</f>
        <v/>
      </c>
      <c r="Z421" s="14">
        <f>IF(A421&lt;&gt;"",X421-Y421,"")</f>
        <v/>
      </c>
      <c r="AA421" s="15">
        <f>IF(A421&lt;&gt;"",ROUND(MIN(100,100*((MAX(0,K421)*0.25)+(MAX(0,Q421)*0.20)+(MAX(0,W421)*0.20)+(MAX(0,H421)*0.15)+(MAX(0,N421)*0.10)+(MAX(0,T421)*0.10))/9),1),"")</f>
        <v/>
      </c>
      <c r="AB421" s="28">
        <f>IF(A421&lt;&gt;"",MIN(1,(0.5*AA421/100)+(0.3*MAX(0,K421)/9)+(0.2*MAX(0,Q421)/9)),"")</f>
        <v/>
      </c>
    </row>
    <row r="422">
      <c r="A422" s="13">
        <f>IF('Raw Data'!A409&lt;&gt;"",'Raw Data'!A409,"")</f>
        <v/>
      </c>
      <c r="B422" s="13">
        <f>IF('Raw Data'!B409&lt;&gt;"",'Raw Data'!B409,"")</f>
        <v/>
      </c>
      <c r="C422" s="13">
        <f>IF('Raw Data'!C409&lt;&gt;"",'Raw Data'!C409,"")</f>
        <v/>
      </c>
      <c r="D422" s="13">
        <f>IF('Raw Data'!D409&lt;&gt;"",'Raw Data'!D409,"")</f>
        <v/>
      </c>
      <c r="E422" s="13">
        <f>IF('Raw Data'!E409&lt;&gt;"",'Raw Data'!E409,"")</f>
        <v/>
      </c>
      <c r="F422" s="17">
        <f>IF('Raw Data'!A409&lt;&gt;"",AVERAGE('Raw Data'!F409,'Raw Data'!H409,'Raw Data'!J409,'Raw Data'!L409,'Raw Data'!N409),"")</f>
        <v/>
      </c>
      <c r="G422" s="17">
        <f>IF('Raw Data'!A409&lt;&gt;"",AVERAGE('Raw Data'!G409,'Raw Data'!I409,'Raw Data'!K409,'Raw Data'!M409,'Raw Data'!O409),"")</f>
        <v/>
      </c>
      <c r="H422" s="17">
        <f>IF(F422&lt;&gt;"",F422-G422,"")</f>
        <v/>
      </c>
      <c r="I422" s="17">
        <f>IF('Raw Data'!A409&lt;&gt;"",AVERAGE('Raw Data'!P409,'Raw Data'!R409,'Raw Data'!T409,'Raw Data'!V409,'Raw Data'!X409),"")</f>
        <v/>
      </c>
      <c r="J422" s="17">
        <f>IF('Raw Data'!A409&lt;&gt;"",AVERAGE('Raw Data'!Q409,'Raw Data'!S409,'Raw Data'!U409,'Raw Data'!W409,'Raw Data'!Y409),"")</f>
        <v/>
      </c>
      <c r="K422" s="17">
        <f>IF(I422&lt;&gt;"",I422-J422,"")</f>
        <v/>
      </c>
      <c r="L422" s="17">
        <f>IF('Raw Data'!A409&lt;&gt;"",AVERAGE('Raw Data'!Z409,'Raw Data'!AB409,'Raw Data'!AD409,'Raw Data'!AF409,'Raw Data'!AH409),"")</f>
        <v/>
      </c>
      <c r="M422" s="17">
        <f>IF('Raw Data'!A409&lt;&gt;"",AVERAGE('Raw Data'!AA409,'Raw Data'!AC409,'Raw Data'!AE409,'Raw Data'!AG409,'Raw Data'!AI409),"")</f>
        <v/>
      </c>
      <c r="N422" s="17">
        <f>IF(L422&lt;&gt;"",L422-M422,"")</f>
        <v/>
      </c>
      <c r="O422" s="17">
        <f>IF('Raw Data'!A409&lt;&gt;"",AVERAGE('Raw Data'!AJ409,'Raw Data'!AL409,'Raw Data'!AN409,'Raw Data'!AP409,'Raw Data'!AR409),"")</f>
        <v/>
      </c>
      <c r="P422" s="17">
        <f>IF('Raw Data'!A409&lt;&gt;"",AVERAGE('Raw Data'!AK409,'Raw Data'!AM409,'Raw Data'!AO409,'Raw Data'!AQ409,'Raw Data'!AS409),"")</f>
        <v/>
      </c>
      <c r="Q422" s="17">
        <f>IF(O422&lt;&gt;"",O422-P422,"")</f>
        <v/>
      </c>
      <c r="R422" s="17">
        <f>IF('Raw Data'!A409&lt;&gt;"",AVERAGE('Raw Data'!AT409,'Raw Data'!AV409,'Raw Data'!AX409,'Raw Data'!AZ409,'Raw Data'!BB409),"")</f>
        <v/>
      </c>
      <c r="S422" s="17">
        <f>IF('Raw Data'!A409&lt;&gt;"",AVERAGE('Raw Data'!AU409,'Raw Data'!AW409,'Raw Data'!AY409,'Raw Data'!BA409,'Raw Data'!BC409),"")</f>
        <v/>
      </c>
      <c r="T422" s="17">
        <f>IF(R422&lt;&gt;"",R422-S422,"")</f>
        <v/>
      </c>
      <c r="U422" s="17">
        <f>IF('Raw Data'!A409&lt;&gt;"",AVERAGE('Raw Data'!BD409,'Raw Data'!BF409,'Raw Data'!BH409,'Raw Data'!BJ409,'Raw Data'!BL409),"")</f>
        <v/>
      </c>
      <c r="V422" s="17">
        <f>IF('Raw Data'!A409&lt;&gt;"",AVERAGE('Raw Data'!BE409,'Raw Data'!BG409,'Raw Data'!BI409,'Raw Data'!BK409,'Raw Data'!BM409),"")</f>
        <v/>
      </c>
      <c r="W422" s="17">
        <f>IF(U422&lt;&gt;"",U422-V422,"")</f>
        <v/>
      </c>
      <c r="X422" s="17">
        <f>IF(A422&lt;&gt;"",AVERAGE(F422,I422,L422,O422,R422,U422),"")</f>
        <v/>
      </c>
      <c r="Y422" s="17">
        <f>IF(A422&lt;&gt;"",AVERAGE(G422,J422,M422,P422,S422,V422),"")</f>
        <v/>
      </c>
      <c r="Z422" s="17">
        <f>IF(A422&lt;&gt;"",X422-Y422,"")</f>
        <v/>
      </c>
      <c r="AA422" s="18">
        <f>IF(A422&lt;&gt;"",ROUND(MIN(100,100*((MAX(0,K422)*0.25)+(MAX(0,Q422)*0.20)+(MAX(0,W422)*0.20)+(MAX(0,H422)*0.15)+(MAX(0,N422)*0.10)+(MAX(0,T422)*0.10))/9),1),"")</f>
        <v/>
      </c>
      <c r="AB422" s="29">
        <f>IF(A422&lt;&gt;"",MIN(1,(0.5*AA422/100)+(0.3*MAX(0,K422)/9)+(0.2*MAX(0,Q422)/9)),"")</f>
        <v/>
      </c>
    </row>
    <row r="423">
      <c r="A423" s="4">
        <f>IF('Raw Data'!A410&lt;&gt;"",'Raw Data'!A410,"")</f>
        <v/>
      </c>
      <c r="B423" s="4">
        <f>IF('Raw Data'!B410&lt;&gt;"",'Raw Data'!B410,"")</f>
        <v/>
      </c>
      <c r="C423" s="4">
        <f>IF('Raw Data'!C410&lt;&gt;"",'Raw Data'!C410,"")</f>
        <v/>
      </c>
      <c r="D423" s="4">
        <f>IF('Raw Data'!D410&lt;&gt;"",'Raw Data'!D410,"")</f>
        <v/>
      </c>
      <c r="E423" s="4">
        <f>IF('Raw Data'!E410&lt;&gt;"",'Raw Data'!E410,"")</f>
        <v/>
      </c>
      <c r="F423" s="14">
        <f>IF('Raw Data'!A410&lt;&gt;"",AVERAGE('Raw Data'!F410,'Raw Data'!H410,'Raw Data'!J410,'Raw Data'!L410,'Raw Data'!N410),"")</f>
        <v/>
      </c>
      <c r="G423" s="14">
        <f>IF('Raw Data'!A410&lt;&gt;"",AVERAGE('Raw Data'!G410,'Raw Data'!I410,'Raw Data'!K410,'Raw Data'!M410,'Raw Data'!O410),"")</f>
        <v/>
      </c>
      <c r="H423" s="14">
        <f>IF(F423&lt;&gt;"",F423-G423,"")</f>
        <v/>
      </c>
      <c r="I423" s="14">
        <f>IF('Raw Data'!A410&lt;&gt;"",AVERAGE('Raw Data'!P410,'Raw Data'!R410,'Raw Data'!T410,'Raw Data'!V410,'Raw Data'!X410),"")</f>
        <v/>
      </c>
      <c r="J423" s="14">
        <f>IF('Raw Data'!A410&lt;&gt;"",AVERAGE('Raw Data'!Q410,'Raw Data'!S410,'Raw Data'!U410,'Raw Data'!W410,'Raw Data'!Y410),"")</f>
        <v/>
      </c>
      <c r="K423" s="14">
        <f>IF(I423&lt;&gt;"",I423-J423,"")</f>
        <v/>
      </c>
      <c r="L423" s="14">
        <f>IF('Raw Data'!A410&lt;&gt;"",AVERAGE('Raw Data'!Z410,'Raw Data'!AB410,'Raw Data'!AD410,'Raw Data'!AF410,'Raw Data'!AH410),"")</f>
        <v/>
      </c>
      <c r="M423" s="14">
        <f>IF('Raw Data'!A410&lt;&gt;"",AVERAGE('Raw Data'!AA410,'Raw Data'!AC410,'Raw Data'!AE410,'Raw Data'!AG410,'Raw Data'!AI410),"")</f>
        <v/>
      </c>
      <c r="N423" s="14">
        <f>IF(L423&lt;&gt;"",L423-M423,"")</f>
        <v/>
      </c>
      <c r="O423" s="14">
        <f>IF('Raw Data'!A410&lt;&gt;"",AVERAGE('Raw Data'!AJ410,'Raw Data'!AL410,'Raw Data'!AN410,'Raw Data'!AP410,'Raw Data'!AR410),"")</f>
        <v/>
      </c>
      <c r="P423" s="14">
        <f>IF('Raw Data'!A410&lt;&gt;"",AVERAGE('Raw Data'!AK410,'Raw Data'!AM410,'Raw Data'!AO410,'Raw Data'!AQ410,'Raw Data'!AS410),"")</f>
        <v/>
      </c>
      <c r="Q423" s="14">
        <f>IF(O423&lt;&gt;"",O423-P423,"")</f>
        <v/>
      </c>
      <c r="R423" s="14">
        <f>IF('Raw Data'!A410&lt;&gt;"",AVERAGE('Raw Data'!AT410,'Raw Data'!AV410,'Raw Data'!AX410,'Raw Data'!AZ410,'Raw Data'!BB410),"")</f>
        <v/>
      </c>
      <c r="S423" s="14">
        <f>IF('Raw Data'!A410&lt;&gt;"",AVERAGE('Raw Data'!AU410,'Raw Data'!AW410,'Raw Data'!AY410,'Raw Data'!BA410,'Raw Data'!BC410),"")</f>
        <v/>
      </c>
      <c r="T423" s="14">
        <f>IF(R423&lt;&gt;"",R423-S423,"")</f>
        <v/>
      </c>
      <c r="U423" s="14">
        <f>IF('Raw Data'!A410&lt;&gt;"",AVERAGE('Raw Data'!BD410,'Raw Data'!BF410,'Raw Data'!BH410,'Raw Data'!BJ410,'Raw Data'!BL410),"")</f>
        <v/>
      </c>
      <c r="V423" s="14">
        <f>IF('Raw Data'!A410&lt;&gt;"",AVERAGE('Raw Data'!BE410,'Raw Data'!BG410,'Raw Data'!BI410,'Raw Data'!BK410,'Raw Data'!BM410),"")</f>
        <v/>
      </c>
      <c r="W423" s="14">
        <f>IF(U423&lt;&gt;"",U423-V423,"")</f>
        <v/>
      </c>
      <c r="X423" s="14">
        <f>IF(A423&lt;&gt;"",AVERAGE(F423,I423,L423,O423,R423,U423),"")</f>
        <v/>
      </c>
      <c r="Y423" s="14">
        <f>IF(A423&lt;&gt;"",AVERAGE(G423,J423,M423,P423,S423,V423),"")</f>
        <v/>
      </c>
      <c r="Z423" s="14">
        <f>IF(A423&lt;&gt;"",X423-Y423,"")</f>
        <v/>
      </c>
      <c r="AA423" s="15">
        <f>IF(A423&lt;&gt;"",ROUND(MIN(100,100*((MAX(0,K423)*0.25)+(MAX(0,Q423)*0.20)+(MAX(0,W423)*0.20)+(MAX(0,H423)*0.15)+(MAX(0,N423)*0.10)+(MAX(0,T423)*0.10))/9),1),"")</f>
        <v/>
      </c>
      <c r="AB423" s="28">
        <f>IF(A423&lt;&gt;"",MIN(1,(0.5*AA423/100)+(0.3*MAX(0,K423)/9)+(0.2*MAX(0,Q423)/9)),"")</f>
        <v/>
      </c>
    </row>
    <row r="424">
      <c r="A424" s="13">
        <f>IF('Raw Data'!A411&lt;&gt;"",'Raw Data'!A411,"")</f>
        <v/>
      </c>
      <c r="B424" s="13">
        <f>IF('Raw Data'!B411&lt;&gt;"",'Raw Data'!B411,"")</f>
        <v/>
      </c>
      <c r="C424" s="13">
        <f>IF('Raw Data'!C411&lt;&gt;"",'Raw Data'!C411,"")</f>
        <v/>
      </c>
      <c r="D424" s="13">
        <f>IF('Raw Data'!D411&lt;&gt;"",'Raw Data'!D411,"")</f>
        <v/>
      </c>
      <c r="E424" s="13">
        <f>IF('Raw Data'!E411&lt;&gt;"",'Raw Data'!E411,"")</f>
        <v/>
      </c>
      <c r="F424" s="17">
        <f>IF('Raw Data'!A411&lt;&gt;"",AVERAGE('Raw Data'!F411,'Raw Data'!H411,'Raw Data'!J411,'Raw Data'!L411,'Raw Data'!N411),"")</f>
        <v/>
      </c>
      <c r="G424" s="17">
        <f>IF('Raw Data'!A411&lt;&gt;"",AVERAGE('Raw Data'!G411,'Raw Data'!I411,'Raw Data'!K411,'Raw Data'!M411,'Raw Data'!O411),"")</f>
        <v/>
      </c>
      <c r="H424" s="17">
        <f>IF(F424&lt;&gt;"",F424-G424,"")</f>
        <v/>
      </c>
      <c r="I424" s="17">
        <f>IF('Raw Data'!A411&lt;&gt;"",AVERAGE('Raw Data'!P411,'Raw Data'!R411,'Raw Data'!T411,'Raw Data'!V411,'Raw Data'!X411),"")</f>
        <v/>
      </c>
      <c r="J424" s="17">
        <f>IF('Raw Data'!A411&lt;&gt;"",AVERAGE('Raw Data'!Q411,'Raw Data'!S411,'Raw Data'!U411,'Raw Data'!W411,'Raw Data'!Y411),"")</f>
        <v/>
      </c>
      <c r="K424" s="17">
        <f>IF(I424&lt;&gt;"",I424-J424,"")</f>
        <v/>
      </c>
      <c r="L424" s="17">
        <f>IF('Raw Data'!A411&lt;&gt;"",AVERAGE('Raw Data'!Z411,'Raw Data'!AB411,'Raw Data'!AD411,'Raw Data'!AF411,'Raw Data'!AH411),"")</f>
        <v/>
      </c>
      <c r="M424" s="17">
        <f>IF('Raw Data'!A411&lt;&gt;"",AVERAGE('Raw Data'!AA411,'Raw Data'!AC411,'Raw Data'!AE411,'Raw Data'!AG411,'Raw Data'!AI411),"")</f>
        <v/>
      </c>
      <c r="N424" s="17">
        <f>IF(L424&lt;&gt;"",L424-M424,"")</f>
        <v/>
      </c>
      <c r="O424" s="17">
        <f>IF('Raw Data'!A411&lt;&gt;"",AVERAGE('Raw Data'!AJ411,'Raw Data'!AL411,'Raw Data'!AN411,'Raw Data'!AP411,'Raw Data'!AR411),"")</f>
        <v/>
      </c>
      <c r="P424" s="17">
        <f>IF('Raw Data'!A411&lt;&gt;"",AVERAGE('Raw Data'!AK411,'Raw Data'!AM411,'Raw Data'!AO411,'Raw Data'!AQ411,'Raw Data'!AS411),"")</f>
        <v/>
      </c>
      <c r="Q424" s="17">
        <f>IF(O424&lt;&gt;"",O424-P424,"")</f>
        <v/>
      </c>
      <c r="R424" s="17">
        <f>IF('Raw Data'!A411&lt;&gt;"",AVERAGE('Raw Data'!AT411,'Raw Data'!AV411,'Raw Data'!AX411,'Raw Data'!AZ411,'Raw Data'!BB411),"")</f>
        <v/>
      </c>
      <c r="S424" s="17">
        <f>IF('Raw Data'!A411&lt;&gt;"",AVERAGE('Raw Data'!AU411,'Raw Data'!AW411,'Raw Data'!AY411,'Raw Data'!BA411,'Raw Data'!BC411),"")</f>
        <v/>
      </c>
      <c r="T424" s="17">
        <f>IF(R424&lt;&gt;"",R424-S424,"")</f>
        <v/>
      </c>
      <c r="U424" s="17">
        <f>IF('Raw Data'!A411&lt;&gt;"",AVERAGE('Raw Data'!BD411,'Raw Data'!BF411,'Raw Data'!BH411,'Raw Data'!BJ411,'Raw Data'!BL411),"")</f>
        <v/>
      </c>
      <c r="V424" s="17">
        <f>IF('Raw Data'!A411&lt;&gt;"",AVERAGE('Raw Data'!BE411,'Raw Data'!BG411,'Raw Data'!BI411,'Raw Data'!BK411,'Raw Data'!BM411),"")</f>
        <v/>
      </c>
      <c r="W424" s="17">
        <f>IF(U424&lt;&gt;"",U424-V424,"")</f>
        <v/>
      </c>
      <c r="X424" s="17">
        <f>IF(A424&lt;&gt;"",AVERAGE(F424,I424,L424,O424,R424,U424),"")</f>
        <v/>
      </c>
      <c r="Y424" s="17">
        <f>IF(A424&lt;&gt;"",AVERAGE(G424,J424,M424,P424,S424,V424),"")</f>
        <v/>
      </c>
      <c r="Z424" s="17">
        <f>IF(A424&lt;&gt;"",X424-Y424,"")</f>
        <v/>
      </c>
      <c r="AA424" s="18">
        <f>IF(A424&lt;&gt;"",ROUND(MIN(100,100*((MAX(0,K424)*0.25)+(MAX(0,Q424)*0.20)+(MAX(0,W424)*0.20)+(MAX(0,H424)*0.15)+(MAX(0,N424)*0.10)+(MAX(0,T424)*0.10))/9),1),"")</f>
        <v/>
      </c>
      <c r="AB424" s="29">
        <f>IF(A424&lt;&gt;"",MIN(1,(0.5*AA424/100)+(0.3*MAX(0,K424)/9)+(0.2*MAX(0,Q424)/9)),"")</f>
        <v/>
      </c>
    </row>
    <row r="425">
      <c r="A425" s="4">
        <f>IF('Raw Data'!A412&lt;&gt;"",'Raw Data'!A412,"")</f>
        <v/>
      </c>
      <c r="B425" s="4">
        <f>IF('Raw Data'!B412&lt;&gt;"",'Raw Data'!B412,"")</f>
        <v/>
      </c>
      <c r="C425" s="4">
        <f>IF('Raw Data'!C412&lt;&gt;"",'Raw Data'!C412,"")</f>
        <v/>
      </c>
      <c r="D425" s="4">
        <f>IF('Raw Data'!D412&lt;&gt;"",'Raw Data'!D412,"")</f>
        <v/>
      </c>
      <c r="E425" s="4">
        <f>IF('Raw Data'!E412&lt;&gt;"",'Raw Data'!E412,"")</f>
        <v/>
      </c>
      <c r="F425" s="14">
        <f>IF('Raw Data'!A412&lt;&gt;"",AVERAGE('Raw Data'!F412,'Raw Data'!H412,'Raw Data'!J412,'Raw Data'!L412,'Raw Data'!N412),"")</f>
        <v/>
      </c>
      <c r="G425" s="14">
        <f>IF('Raw Data'!A412&lt;&gt;"",AVERAGE('Raw Data'!G412,'Raw Data'!I412,'Raw Data'!K412,'Raw Data'!M412,'Raw Data'!O412),"")</f>
        <v/>
      </c>
      <c r="H425" s="14">
        <f>IF(F425&lt;&gt;"",F425-G425,"")</f>
        <v/>
      </c>
      <c r="I425" s="14">
        <f>IF('Raw Data'!A412&lt;&gt;"",AVERAGE('Raw Data'!P412,'Raw Data'!R412,'Raw Data'!T412,'Raw Data'!V412,'Raw Data'!X412),"")</f>
        <v/>
      </c>
      <c r="J425" s="14">
        <f>IF('Raw Data'!A412&lt;&gt;"",AVERAGE('Raw Data'!Q412,'Raw Data'!S412,'Raw Data'!U412,'Raw Data'!W412,'Raw Data'!Y412),"")</f>
        <v/>
      </c>
      <c r="K425" s="14">
        <f>IF(I425&lt;&gt;"",I425-J425,"")</f>
        <v/>
      </c>
      <c r="L425" s="14">
        <f>IF('Raw Data'!A412&lt;&gt;"",AVERAGE('Raw Data'!Z412,'Raw Data'!AB412,'Raw Data'!AD412,'Raw Data'!AF412,'Raw Data'!AH412),"")</f>
        <v/>
      </c>
      <c r="M425" s="14">
        <f>IF('Raw Data'!A412&lt;&gt;"",AVERAGE('Raw Data'!AA412,'Raw Data'!AC412,'Raw Data'!AE412,'Raw Data'!AG412,'Raw Data'!AI412),"")</f>
        <v/>
      </c>
      <c r="N425" s="14">
        <f>IF(L425&lt;&gt;"",L425-M425,"")</f>
        <v/>
      </c>
      <c r="O425" s="14">
        <f>IF('Raw Data'!A412&lt;&gt;"",AVERAGE('Raw Data'!AJ412,'Raw Data'!AL412,'Raw Data'!AN412,'Raw Data'!AP412,'Raw Data'!AR412),"")</f>
        <v/>
      </c>
      <c r="P425" s="14">
        <f>IF('Raw Data'!A412&lt;&gt;"",AVERAGE('Raw Data'!AK412,'Raw Data'!AM412,'Raw Data'!AO412,'Raw Data'!AQ412,'Raw Data'!AS412),"")</f>
        <v/>
      </c>
      <c r="Q425" s="14">
        <f>IF(O425&lt;&gt;"",O425-P425,"")</f>
        <v/>
      </c>
      <c r="R425" s="14">
        <f>IF('Raw Data'!A412&lt;&gt;"",AVERAGE('Raw Data'!AT412,'Raw Data'!AV412,'Raw Data'!AX412,'Raw Data'!AZ412,'Raw Data'!BB412),"")</f>
        <v/>
      </c>
      <c r="S425" s="14">
        <f>IF('Raw Data'!A412&lt;&gt;"",AVERAGE('Raw Data'!AU412,'Raw Data'!AW412,'Raw Data'!AY412,'Raw Data'!BA412,'Raw Data'!BC412),"")</f>
        <v/>
      </c>
      <c r="T425" s="14">
        <f>IF(R425&lt;&gt;"",R425-S425,"")</f>
        <v/>
      </c>
      <c r="U425" s="14">
        <f>IF('Raw Data'!A412&lt;&gt;"",AVERAGE('Raw Data'!BD412,'Raw Data'!BF412,'Raw Data'!BH412,'Raw Data'!BJ412,'Raw Data'!BL412),"")</f>
        <v/>
      </c>
      <c r="V425" s="14">
        <f>IF('Raw Data'!A412&lt;&gt;"",AVERAGE('Raw Data'!BE412,'Raw Data'!BG412,'Raw Data'!BI412,'Raw Data'!BK412,'Raw Data'!BM412),"")</f>
        <v/>
      </c>
      <c r="W425" s="14">
        <f>IF(U425&lt;&gt;"",U425-V425,"")</f>
        <v/>
      </c>
      <c r="X425" s="14">
        <f>IF(A425&lt;&gt;"",AVERAGE(F425,I425,L425,O425,R425,U425),"")</f>
        <v/>
      </c>
      <c r="Y425" s="14">
        <f>IF(A425&lt;&gt;"",AVERAGE(G425,J425,M425,P425,S425,V425),"")</f>
        <v/>
      </c>
      <c r="Z425" s="14">
        <f>IF(A425&lt;&gt;"",X425-Y425,"")</f>
        <v/>
      </c>
      <c r="AA425" s="15">
        <f>IF(A425&lt;&gt;"",ROUND(MIN(100,100*((MAX(0,K425)*0.25)+(MAX(0,Q425)*0.20)+(MAX(0,W425)*0.20)+(MAX(0,H425)*0.15)+(MAX(0,N425)*0.10)+(MAX(0,T425)*0.10))/9),1),"")</f>
        <v/>
      </c>
      <c r="AB425" s="28">
        <f>IF(A425&lt;&gt;"",MIN(1,(0.5*AA425/100)+(0.3*MAX(0,K425)/9)+(0.2*MAX(0,Q425)/9)),"")</f>
        <v/>
      </c>
    </row>
    <row r="426">
      <c r="A426" s="13">
        <f>IF('Raw Data'!A413&lt;&gt;"",'Raw Data'!A413,"")</f>
        <v/>
      </c>
      <c r="B426" s="13">
        <f>IF('Raw Data'!B413&lt;&gt;"",'Raw Data'!B413,"")</f>
        <v/>
      </c>
      <c r="C426" s="13">
        <f>IF('Raw Data'!C413&lt;&gt;"",'Raw Data'!C413,"")</f>
        <v/>
      </c>
      <c r="D426" s="13">
        <f>IF('Raw Data'!D413&lt;&gt;"",'Raw Data'!D413,"")</f>
        <v/>
      </c>
      <c r="E426" s="13">
        <f>IF('Raw Data'!E413&lt;&gt;"",'Raw Data'!E413,"")</f>
        <v/>
      </c>
      <c r="F426" s="17">
        <f>IF('Raw Data'!A413&lt;&gt;"",AVERAGE('Raw Data'!F413,'Raw Data'!H413,'Raw Data'!J413,'Raw Data'!L413,'Raw Data'!N413),"")</f>
        <v/>
      </c>
      <c r="G426" s="17">
        <f>IF('Raw Data'!A413&lt;&gt;"",AVERAGE('Raw Data'!G413,'Raw Data'!I413,'Raw Data'!K413,'Raw Data'!M413,'Raw Data'!O413),"")</f>
        <v/>
      </c>
      <c r="H426" s="17">
        <f>IF(F426&lt;&gt;"",F426-G426,"")</f>
        <v/>
      </c>
      <c r="I426" s="17">
        <f>IF('Raw Data'!A413&lt;&gt;"",AVERAGE('Raw Data'!P413,'Raw Data'!R413,'Raw Data'!T413,'Raw Data'!V413,'Raw Data'!X413),"")</f>
        <v/>
      </c>
      <c r="J426" s="17">
        <f>IF('Raw Data'!A413&lt;&gt;"",AVERAGE('Raw Data'!Q413,'Raw Data'!S413,'Raw Data'!U413,'Raw Data'!W413,'Raw Data'!Y413),"")</f>
        <v/>
      </c>
      <c r="K426" s="17">
        <f>IF(I426&lt;&gt;"",I426-J426,"")</f>
        <v/>
      </c>
      <c r="L426" s="17">
        <f>IF('Raw Data'!A413&lt;&gt;"",AVERAGE('Raw Data'!Z413,'Raw Data'!AB413,'Raw Data'!AD413,'Raw Data'!AF413,'Raw Data'!AH413),"")</f>
        <v/>
      </c>
      <c r="M426" s="17">
        <f>IF('Raw Data'!A413&lt;&gt;"",AVERAGE('Raw Data'!AA413,'Raw Data'!AC413,'Raw Data'!AE413,'Raw Data'!AG413,'Raw Data'!AI413),"")</f>
        <v/>
      </c>
      <c r="N426" s="17">
        <f>IF(L426&lt;&gt;"",L426-M426,"")</f>
        <v/>
      </c>
      <c r="O426" s="17">
        <f>IF('Raw Data'!A413&lt;&gt;"",AVERAGE('Raw Data'!AJ413,'Raw Data'!AL413,'Raw Data'!AN413,'Raw Data'!AP413,'Raw Data'!AR413),"")</f>
        <v/>
      </c>
      <c r="P426" s="17">
        <f>IF('Raw Data'!A413&lt;&gt;"",AVERAGE('Raw Data'!AK413,'Raw Data'!AM413,'Raw Data'!AO413,'Raw Data'!AQ413,'Raw Data'!AS413),"")</f>
        <v/>
      </c>
      <c r="Q426" s="17">
        <f>IF(O426&lt;&gt;"",O426-P426,"")</f>
        <v/>
      </c>
      <c r="R426" s="17">
        <f>IF('Raw Data'!A413&lt;&gt;"",AVERAGE('Raw Data'!AT413,'Raw Data'!AV413,'Raw Data'!AX413,'Raw Data'!AZ413,'Raw Data'!BB413),"")</f>
        <v/>
      </c>
      <c r="S426" s="17">
        <f>IF('Raw Data'!A413&lt;&gt;"",AVERAGE('Raw Data'!AU413,'Raw Data'!AW413,'Raw Data'!AY413,'Raw Data'!BA413,'Raw Data'!BC413),"")</f>
        <v/>
      </c>
      <c r="T426" s="17">
        <f>IF(R426&lt;&gt;"",R426-S426,"")</f>
        <v/>
      </c>
      <c r="U426" s="17">
        <f>IF('Raw Data'!A413&lt;&gt;"",AVERAGE('Raw Data'!BD413,'Raw Data'!BF413,'Raw Data'!BH413,'Raw Data'!BJ413,'Raw Data'!BL413),"")</f>
        <v/>
      </c>
      <c r="V426" s="17">
        <f>IF('Raw Data'!A413&lt;&gt;"",AVERAGE('Raw Data'!BE413,'Raw Data'!BG413,'Raw Data'!BI413,'Raw Data'!BK413,'Raw Data'!BM413),"")</f>
        <v/>
      </c>
      <c r="W426" s="17">
        <f>IF(U426&lt;&gt;"",U426-V426,"")</f>
        <v/>
      </c>
      <c r="X426" s="17">
        <f>IF(A426&lt;&gt;"",AVERAGE(F426,I426,L426,O426,R426,U426),"")</f>
        <v/>
      </c>
      <c r="Y426" s="17">
        <f>IF(A426&lt;&gt;"",AVERAGE(G426,J426,M426,P426,S426,V426),"")</f>
        <v/>
      </c>
      <c r="Z426" s="17">
        <f>IF(A426&lt;&gt;"",X426-Y426,"")</f>
        <v/>
      </c>
      <c r="AA426" s="18">
        <f>IF(A426&lt;&gt;"",ROUND(MIN(100,100*((MAX(0,K426)*0.25)+(MAX(0,Q426)*0.20)+(MAX(0,W426)*0.20)+(MAX(0,H426)*0.15)+(MAX(0,N426)*0.10)+(MAX(0,T426)*0.10))/9),1),"")</f>
        <v/>
      </c>
      <c r="AB426" s="29">
        <f>IF(A426&lt;&gt;"",MIN(1,(0.5*AA426/100)+(0.3*MAX(0,K426)/9)+(0.2*MAX(0,Q426)/9)),"")</f>
        <v/>
      </c>
    </row>
    <row r="427">
      <c r="A427" s="4">
        <f>IF('Raw Data'!A414&lt;&gt;"",'Raw Data'!A414,"")</f>
        <v/>
      </c>
      <c r="B427" s="4">
        <f>IF('Raw Data'!B414&lt;&gt;"",'Raw Data'!B414,"")</f>
        <v/>
      </c>
      <c r="C427" s="4">
        <f>IF('Raw Data'!C414&lt;&gt;"",'Raw Data'!C414,"")</f>
        <v/>
      </c>
      <c r="D427" s="4">
        <f>IF('Raw Data'!D414&lt;&gt;"",'Raw Data'!D414,"")</f>
        <v/>
      </c>
      <c r="E427" s="4">
        <f>IF('Raw Data'!E414&lt;&gt;"",'Raw Data'!E414,"")</f>
        <v/>
      </c>
      <c r="F427" s="14">
        <f>IF('Raw Data'!A414&lt;&gt;"",AVERAGE('Raw Data'!F414,'Raw Data'!H414,'Raw Data'!J414,'Raw Data'!L414,'Raw Data'!N414),"")</f>
        <v/>
      </c>
      <c r="G427" s="14">
        <f>IF('Raw Data'!A414&lt;&gt;"",AVERAGE('Raw Data'!G414,'Raw Data'!I414,'Raw Data'!K414,'Raw Data'!M414,'Raw Data'!O414),"")</f>
        <v/>
      </c>
      <c r="H427" s="14">
        <f>IF(F427&lt;&gt;"",F427-G427,"")</f>
        <v/>
      </c>
      <c r="I427" s="14">
        <f>IF('Raw Data'!A414&lt;&gt;"",AVERAGE('Raw Data'!P414,'Raw Data'!R414,'Raw Data'!T414,'Raw Data'!V414,'Raw Data'!X414),"")</f>
        <v/>
      </c>
      <c r="J427" s="14">
        <f>IF('Raw Data'!A414&lt;&gt;"",AVERAGE('Raw Data'!Q414,'Raw Data'!S414,'Raw Data'!U414,'Raw Data'!W414,'Raw Data'!Y414),"")</f>
        <v/>
      </c>
      <c r="K427" s="14">
        <f>IF(I427&lt;&gt;"",I427-J427,"")</f>
        <v/>
      </c>
      <c r="L427" s="14">
        <f>IF('Raw Data'!A414&lt;&gt;"",AVERAGE('Raw Data'!Z414,'Raw Data'!AB414,'Raw Data'!AD414,'Raw Data'!AF414,'Raw Data'!AH414),"")</f>
        <v/>
      </c>
      <c r="M427" s="14">
        <f>IF('Raw Data'!A414&lt;&gt;"",AVERAGE('Raw Data'!AA414,'Raw Data'!AC414,'Raw Data'!AE414,'Raw Data'!AG414,'Raw Data'!AI414),"")</f>
        <v/>
      </c>
      <c r="N427" s="14">
        <f>IF(L427&lt;&gt;"",L427-M427,"")</f>
        <v/>
      </c>
      <c r="O427" s="14">
        <f>IF('Raw Data'!A414&lt;&gt;"",AVERAGE('Raw Data'!AJ414,'Raw Data'!AL414,'Raw Data'!AN414,'Raw Data'!AP414,'Raw Data'!AR414),"")</f>
        <v/>
      </c>
      <c r="P427" s="14">
        <f>IF('Raw Data'!A414&lt;&gt;"",AVERAGE('Raw Data'!AK414,'Raw Data'!AM414,'Raw Data'!AO414,'Raw Data'!AQ414,'Raw Data'!AS414),"")</f>
        <v/>
      </c>
      <c r="Q427" s="14">
        <f>IF(O427&lt;&gt;"",O427-P427,"")</f>
        <v/>
      </c>
      <c r="R427" s="14">
        <f>IF('Raw Data'!A414&lt;&gt;"",AVERAGE('Raw Data'!AT414,'Raw Data'!AV414,'Raw Data'!AX414,'Raw Data'!AZ414,'Raw Data'!BB414),"")</f>
        <v/>
      </c>
      <c r="S427" s="14">
        <f>IF('Raw Data'!A414&lt;&gt;"",AVERAGE('Raw Data'!AU414,'Raw Data'!AW414,'Raw Data'!AY414,'Raw Data'!BA414,'Raw Data'!BC414),"")</f>
        <v/>
      </c>
      <c r="T427" s="14">
        <f>IF(R427&lt;&gt;"",R427-S427,"")</f>
        <v/>
      </c>
      <c r="U427" s="14">
        <f>IF('Raw Data'!A414&lt;&gt;"",AVERAGE('Raw Data'!BD414,'Raw Data'!BF414,'Raw Data'!BH414,'Raw Data'!BJ414,'Raw Data'!BL414),"")</f>
        <v/>
      </c>
      <c r="V427" s="14">
        <f>IF('Raw Data'!A414&lt;&gt;"",AVERAGE('Raw Data'!BE414,'Raw Data'!BG414,'Raw Data'!BI414,'Raw Data'!BK414,'Raw Data'!BM414),"")</f>
        <v/>
      </c>
      <c r="W427" s="14">
        <f>IF(U427&lt;&gt;"",U427-V427,"")</f>
        <v/>
      </c>
      <c r="X427" s="14">
        <f>IF(A427&lt;&gt;"",AVERAGE(F427,I427,L427,O427,R427,U427),"")</f>
        <v/>
      </c>
      <c r="Y427" s="14">
        <f>IF(A427&lt;&gt;"",AVERAGE(G427,J427,M427,P427,S427,V427),"")</f>
        <v/>
      </c>
      <c r="Z427" s="14">
        <f>IF(A427&lt;&gt;"",X427-Y427,"")</f>
        <v/>
      </c>
      <c r="AA427" s="15">
        <f>IF(A427&lt;&gt;"",ROUND(MIN(100,100*((MAX(0,K427)*0.25)+(MAX(0,Q427)*0.20)+(MAX(0,W427)*0.20)+(MAX(0,H427)*0.15)+(MAX(0,N427)*0.10)+(MAX(0,T427)*0.10))/9),1),"")</f>
        <v/>
      </c>
      <c r="AB427" s="28">
        <f>IF(A427&lt;&gt;"",MIN(1,(0.5*AA427/100)+(0.3*MAX(0,K427)/9)+(0.2*MAX(0,Q427)/9)),"")</f>
        <v/>
      </c>
    </row>
    <row r="428">
      <c r="A428" s="13">
        <f>IF('Raw Data'!A415&lt;&gt;"",'Raw Data'!A415,"")</f>
        <v/>
      </c>
      <c r="B428" s="13">
        <f>IF('Raw Data'!B415&lt;&gt;"",'Raw Data'!B415,"")</f>
        <v/>
      </c>
      <c r="C428" s="13">
        <f>IF('Raw Data'!C415&lt;&gt;"",'Raw Data'!C415,"")</f>
        <v/>
      </c>
      <c r="D428" s="13">
        <f>IF('Raw Data'!D415&lt;&gt;"",'Raw Data'!D415,"")</f>
        <v/>
      </c>
      <c r="E428" s="13">
        <f>IF('Raw Data'!E415&lt;&gt;"",'Raw Data'!E415,"")</f>
        <v/>
      </c>
      <c r="F428" s="17">
        <f>IF('Raw Data'!A415&lt;&gt;"",AVERAGE('Raw Data'!F415,'Raw Data'!H415,'Raw Data'!J415,'Raw Data'!L415,'Raw Data'!N415),"")</f>
        <v/>
      </c>
      <c r="G428" s="17">
        <f>IF('Raw Data'!A415&lt;&gt;"",AVERAGE('Raw Data'!G415,'Raw Data'!I415,'Raw Data'!K415,'Raw Data'!M415,'Raw Data'!O415),"")</f>
        <v/>
      </c>
      <c r="H428" s="17">
        <f>IF(F428&lt;&gt;"",F428-G428,"")</f>
        <v/>
      </c>
      <c r="I428" s="17">
        <f>IF('Raw Data'!A415&lt;&gt;"",AVERAGE('Raw Data'!P415,'Raw Data'!R415,'Raw Data'!T415,'Raw Data'!V415,'Raw Data'!X415),"")</f>
        <v/>
      </c>
      <c r="J428" s="17">
        <f>IF('Raw Data'!A415&lt;&gt;"",AVERAGE('Raw Data'!Q415,'Raw Data'!S415,'Raw Data'!U415,'Raw Data'!W415,'Raw Data'!Y415),"")</f>
        <v/>
      </c>
      <c r="K428" s="17">
        <f>IF(I428&lt;&gt;"",I428-J428,"")</f>
        <v/>
      </c>
      <c r="L428" s="17">
        <f>IF('Raw Data'!A415&lt;&gt;"",AVERAGE('Raw Data'!Z415,'Raw Data'!AB415,'Raw Data'!AD415,'Raw Data'!AF415,'Raw Data'!AH415),"")</f>
        <v/>
      </c>
      <c r="M428" s="17">
        <f>IF('Raw Data'!A415&lt;&gt;"",AVERAGE('Raw Data'!AA415,'Raw Data'!AC415,'Raw Data'!AE415,'Raw Data'!AG415,'Raw Data'!AI415),"")</f>
        <v/>
      </c>
      <c r="N428" s="17">
        <f>IF(L428&lt;&gt;"",L428-M428,"")</f>
        <v/>
      </c>
      <c r="O428" s="17">
        <f>IF('Raw Data'!A415&lt;&gt;"",AVERAGE('Raw Data'!AJ415,'Raw Data'!AL415,'Raw Data'!AN415,'Raw Data'!AP415,'Raw Data'!AR415),"")</f>
        <v/>
      </c>
      <c r="P428" s="17">
        <f>IF('Raw Data'!A415&lt;&gt;"",AVERAGE('Raw Data'!AK415,'Raw Data'!AM415,'Raw Data'!AO415,'Raw Data'!AQ415,'Raw Data'!AS415),"")</f>
        <v/>
      </c>
      <c r="Q428" s="17">
        <f>IF(O428&lt;&gt;"",O428-P428,"")</f>
        <v/>
      </c>
      <c r="R428" s="17">
        <f>IF('Raw Data'!A415&lt;&gt;"",AVERAGE('Raw Data'!AT415,'Raw Data'!AV415,'Raw Data'!AX415,'Raw Data'!AZ415,'Raw Data'!BB415),"")</f>
        <v/>
      </c>
      <c r="S428" s="17">
        <f>IF('Raw Data'!A415&lt;&gt;"",AVERAGE('Raw Data'!AU415,'Raw Data'!AW415,'Raw Data'!AY415,'Raw Data'!BA415,'Raw Data'!BC415),"")</f>
        <v/>
      </c>
      <c r="T428" s="17">
        <f>IF(R428&lt;&gt;"",R428-S428,"")</f>
        <v/>
      </c>
      <c r="U428" s="17">
        <f>IF('Raw Data'!A415&lt;&gt;"",AVERAGE('Raw Data'!BD415,'Raw Data'!BF415,'Raw Data'!BH415,'Raw Data'!BJ415,'Raw Data'!BL415),"")</f>
        <v/>
      </c>
      <c r="V428" s="17">
        <f>IF('Raw Data'!A415&lt;&gt;"",AVERAGE('Raw Data'!BE415,'Raw Data'!BG415,'Raw Data'!BI415,'Raw Data'!BK415,'Raw Data'!BM415),"")</f>
        <v/>
      </c>
      <c r="W428" s="17">
        <f>IF(U428&lt;&gt;"",U428-V428,"")</f>
        <v/>
      </c>
      <c r="X428" s="17">
        <f>IF(A428&lt;&gt;"",AVERAGE(F428,I428,L428,O428,R428,U428),"")</f>
        <v/>
      </c>
      <c r="Y428" s="17">
        <f>IF(A428&lt;&gt;"",AVERAGE(G428,J428,M428,P428,S428,V428),"")</f>
        <v/>
      </c>
      <c r="Z428" s="17">
        <f>IF(A428&lt;&gt;"",X428-Y428,"")</f>
        <v/>
      </c>
      <c r="AA428" s="18">
        <f>IF(A428&lt;&gt;"",ROUND(MIN(100,100*((MAX(0,K428)*0.25)+(MAX(0,Q428)*0.20)+(MAX(0,W428)*0.20)+(MAX(0,H428)*0.15)+(MAX(0,N428)*0.10)+(MAX(0,T428)*0.10))/9),1),"")</f>
        <v/>
      </c>
      <c r="AB428" s="29">
        <f>IF(A428&lt;&gt;"",MIN(1,(0.5*AA428/100)+(0.3*MAX(0,K428)/9)+(0.2*MAX(0,Q428)/9)),"")</f>
        <v/>
      </c>
    </row>
    <row r="429">
      <c r="A429" s="4">
        <f>IF('Raw Data'!A416&lt;&gt;"",'Raw Data'!A416,"")</f>
        <v/>
      </c>
      <c r="B429" s="4">
        <f>IF('Raw Data'!B416&lt;&gt;"",'Raw Data'!B416,"")</f>
        <v/>
      </c>
      <c r="C429" s="4">
        <f>IF('Raw Data'!C416&lt;&gt;"",'Raw Data'!C416,"")</f>
        <v/>
      </c>
      <c r="D429" s="4">
        <f>IF('Raw Data'!D416&lt;&gt;"",'Raw Data'!D416,"")</f>
        <v/>
      </c>
      <c r="E429" s="4">
        <f>IF('Raw Data'!E416&lt;&gt;"",'Raw Data'!E416,"")</f>
        <v/>
      </c>
      <c r="F429" s="14">
        <f>IF('Raw Data'!A416&lt;&gt;"",AVERAGE('Raw Data'!F416,'Raw Data'!H416,'Raw Data'!J416,'Raw Data'!L416,'Raw Data'!N416),"")</f>
        <v/>
      </c>
      <c r="G429" s="14">
        <f>IF('Raw Data'!A416&lt;&gt;"",AVERAGE('Raw Data'!G416,'Raw Data'!I416,'Raw Data'!K416,'Raw Data'!M416,'Raw Data'!O416),"")</f>
        <v/>
      </c>
      <c r="H429" s="14">
        <f>IF(F429&lt;&gt;"",F429-G429,"")</f>
        <v/>
      </c>
      <c r="I429" s="14">
        <f>IF('Raw Data'!A416&lt;&gt;"",AVERAGE('Raw Data'!P416,'Raw Data'!R416,'Raw Data'!T416,'Raw Data'!V416,'Raw Data'!X416),"")</f>
        <v/>
      </c>
      <c r="J429" s="14">
        <f>IF('Raw Data'!A416&lt;&gt;"",AVERAGE('Raw Data'!Q416,'Raw Data'!S416,'Raw Data'!U416,'Raw Data'!W416,'Raw Data'!Y416),"")</f>
        <v/>
      </c>
      <c r="K429" s="14">
        <f>IF(I429&lt;&gt;"",I429-J429,"")</f>
        <v/>
      </c>
      <c r="L429" s="14">
        <f>IF('Raw Data'!A416&lt;&gt;"",AVERAGE('Raw Data'!Z416,'Raw Data'!AB416,'Raw Data'!AD416,'Raw Data'!AF416,'Raw Data'!AH416),"")</f>
        <v/>
      </c>
      <c r="M429" s="14">
        <f>IF('Raw Data'!A416&lt;&gt;"",AVERAGE('Raw Data'!AA416,'Raw Data'!AC416,'Raw Data'!AE416,'Raw Data'!AG416,'Raw Data'!AI416),"")</f>
        <v/>
      </c>
      <c r="N429" s="14">
        <f>IF(L429&lt;&gt;"",L429-M429,"")</f>
        <v/>
      </c>
      <c r="O429" s="14">
        <f>IF('Raw Data'!A416&lt;&gt;"",AVERAGE('Raw Data'!AJ416,'Raw Data'!AL416,'Raw Data'!AN416,'Raw Data'!AP416,'Raw Data'!AR416),"")</f>
        <v/>
      </c>
      <c r="P429" s="14">
        <f>IF('Raw Data'!A416&lt;&gt;"",AVERAGE('Raw Data'!AK416,'Raw Data'!AM416,'Raw Data'!AO416,'Raw Data'!AQ416,'Raw Data'!AS416),"")</f>
        <v/>
      </c>
      <c r="Q429" s="14">
        <f>IF(O429&lt;&gt;"",O429-P429,"")</f>
        <v/>
      </c>
      <c r="R429" s="14">
        <f>IF('Raw Data'!A416&lt;&gt;"",AVERAGE('Raw Data'!AT416,'Raw Data'!AV416,'Raw Data'!AX416,'Raw Data'!AZ416,'Raw Data'!BB416),"")</f>
        <v/>
      </c>
      <c r="S429" s="14">
        <f>IF('Raw Data'!A416&lt;&gt;"",AVERAGE('Raw Data'!AU416,'Raw Data'!AW416,'Raw Data'!AY416,'Raw Data'!BA416,'Raw Data'!BC416),"")</f>
        <v/>
      </c>
      <c r="T429" s="14">
        <f>IF(R429&lt;&gt;"",R429-S429,"")</f>
        <v/>
      </c>
      <c r="U429" s="14">
        <f>IF('Raw Data'!A416&lt;&gt;"",AVERAGE('Raw Data'!BD416,'Raw Data'!BF416,'Raw Data'!BH416,'Raw Data'!BJ416,'Raw Data'!BL416),"")</f>
        <v/>
      </c>
      <c r="V429" s="14">
        <f>IF('Raw Data'!A416&lt;&gt;"",AVERAGE('Raw Data'!BE416,'Raw Data'!BG416,'Raw Data'!BI416,'Raw Data'!BK416,'Raw Data'!BM416),"")</f>
        <v/>
      </c>
      <c r="W429" s="14">
        <f>IF(U429&lt;&gt;"",U429-V429,"")</f>
        <v/>
      </c>
      <c r="X429" s="14">
        <f>IF(A429&lt;&gt;"",AVERAGE(F429,I429,L429,O429,R429,U429),"")</f>
        <v/>
      </c>
      <c r="Y429" s="14">
        <f>IF(A429&lt;&gt;"",AVERAGE(G429,J429,M429,P429,S429,V429),"")</f>
        <v/>
      </c>
      <c r="Z429" s="14">
        <f>IF(A429&lt;&gt;"",X429-Y429,"")</f>
        <v/>
      </c>
      <c r="AA429" s="15">
        <f>IF(A429&lt;&gt;"",ROUND(MIN(100,100*((MAX(0,K429)*0.25)+(MAX(0,Q429)*0.20)+(MAX(0,W429)*0.20)+(MAX(0,H429)*0.15)+(MAX(0,N429)*0.10)+(MAX(0,T429)*0.10))/9),1),"")</f>
        <v/>
      </c>
      <c r="AB429" s="28">
        <f>IF(A429&lt;&gt;"",MIN(1,(0.5*AA429/100)+(0.3*MAX(0,K429)/9)+(0.2*MAX(0,Q429)/9)),"")</f>
        <v/>
      </c>
    </row>
    <row r="430">
      <c r="A430" s="13">
        <f>IF('Raw Data'!A417&lt;&gt;"",'Raw Data'!A417,"")</f>
        <v/>
      </c>
      <c r="B430" s="13">
        <f>IF('Raw Data'!B417&lt;&gt;"",'Raw Data'!B417,"")</f>
        <v/>
      </c>
      <c r="C430" s="13">
        <f>IF('Raw Data'!C417&lt;&gt;"",'Raw Data'!C417,"")</f>
        <v/>
      </c>
      <c r="D430" s="13">
        <f>IF('Raw Data'!D417&lt;&gt;"",'Raw Data'!D417,"")</f>
        <v/>
      </c>
      <c r="E430" s="13">
        <f>IF('Raw Data'!E417&lt;&gt;"",'Raw Data'!E417,"")</f>
        <v/>
      </c>
      <c r="F430" s="17">
        <f>IF('Raw Data'!A417&lt;&gt;"",AVERAGE('Raw Data'!F417,'Raw Data'!H417,'Raw Data'!J417,'Raw Data'!L417,'Raw Data'!N417),"")</f>
        <v/>
      </c>
      <c r="G430" s="17">
        <f>IF('Raw Data'!A417&lt;&gt;"",AVERAGE('Raw Data'!G417,'Raw Data'!I417,'Raw Data'!K417,'Raw Data'!M417,'Raw Data'!O417),"")</f>
        <v/>
      </c>
      <c r="H430" s="17">
        <f>IF(F430&lt;&gt;"",F430-G430,"")</f>
        <v/>
      </c>
      <c r="I430" s="17">
        <f>IF('Raw Data'!A417&lt;&gt;"",AVERAGE('Raw Data'!P417,'Raw Data'!R417,'Raw Data'!T417,'Raw Data'!V417,'Raw Data'!X417),"")</f>
        <v/>
      </c>
      <c r="J430" s="17">
        <f>IF('Raw Data'!A417&lt;&gt;"",AVERAGE('Raw Data'!Q417,'Raw Data'!S417,'Raw Data'!U417,'Raw Data'!W417,'Raw Data'!Y417),"")</f>
        <v/>
      </c>
      <c r="K430" s="17">
        <f>IF(I430&lt;&gt;"",I430-J430,"")</f>
        <v/>
      </c>
      <c r="L430" s="17">
        <f>IF('Raw Data'!A417&lt;&gt;"",AVERAGE('Raw Data'!Z417,'Raw Data'!AB417,'Raw Data'!AD417,'Raw Data'!AF417,'Raw Data'!AH417),"")</f>
        <v/>
      </c>
      <c r="M430" s="17">
        <f>IF('Raw Data'!A417&lt;&gt;"",AVERAGE('Raw Data'!AA417,'Raw Data'!AC417,'Raw Data'!AE417,'Raw Data'!AG417,'Raw Data'!AI417),"")</f>
        <v/>
      </c>
      <c r="N430" s="17">
        <f>IF(L430&lt;&gt;"",L430-M430,"")</f>
        <v/>
      </c>
      <c r="O430" s="17">
        <f>IF('Raw Data'!A417&lt;&gt;"",AVERAGE('Raw Data'!AJ417,'Raw Data'!AL417,'Raw Data'!AN417,'Raw Data'!AP417,'Raw Data'!AR417),"")</f>
        <v/>
      </c>
      <c r="P430" s="17">
        <f>IF('Raw Data'!A417&lt;&gt;"",AVERAGE('Raw Data'!AK417,'Raw Data'!AM417,'Raw Data'!AO417,'Raw Data'!AQ417,'Raw Data'!AS417),"")</f>
        <v/>
      </c>
      <c r="Q430" s="17">
        <f>IF(O430&lt;&gt;"",O430-P430,"")</f>
        <v/>
      </c>
      <c r="R430" s="17">
        <f>IF('Raw Data'!A417&lt;&gt;"",AVERAGE('Raw Data'!AT417,'Raw Data'!AV417,'Raw Data'!AX417,'Raw Data'!AZ417,'Raw Data'!BB417),"")</f>
        <v/>
      </c>
      <c r="S430" s="17">
        <f>IF('Raw Data'!A417&lt;&gt;"",AVERAGE('Raw Data'!AU417,'Raw Data'!AW417,'Raw Data'!AY417,'Raw Data'!BA417,'Raw Data'!BC417),"")</f>
        <v/>
      </c>
      <c r="T430" s="17">
        <f>IF(R430&lt;&gt;"",R430-S430,"")</f>
        <v/>
      </c>
      <c r="U430" s="17">
        <f>IF('Raw Data'!A417&lt;&gt;"",AVERAGE('Raw Data'!BD417,'Raw Data'!BF417,'Raw Data'!BH417,'Raw Data'!BJ417,'Raw Data'!BL417),"")</f>
        <v/>
      </c>
      <c r="V430" s="17">
        <f>IF('Raw Data'!A417&lt;&gt;"",AVERAGE('Raw Data'!BE417,'Raw Data'!BG417,'Raw Data'!BI417,'Raw Data'!BK417,'Raw Data'!BM417),"")</f>
        <v/>
      </c>
      <c r="W430" s="17">
        <f>IF(U430&lt;&gt;"",U430-V430,"")</f>
        <v/>
      </c>
      <c r="X430" s="17">
        <f>IF(A430&lt;&gt;"",AVERAGE(F430,I430,L430,O430,R430,U430),"")</f>
        <v/>
      </c>
      <c r="Y430" s="17">
        <f>IF(A430&lt;&gt;"",AVERAGE(G430,J430,M430,P430,S430,V430),"")</f>
        <v/>
      </c>
      <c r="Z430" s="17">
        <f>IF(A430&lt;&gt;"",X430-Y430,"")</f>
        <v/>
      </c>
      <c r="AA430" s="18">
        <f>IF(A430&lt;&gt;"",ROUND(MIN(100,100*((MAX(0,K430)*0.25)+(MAX(0,Q430)*0.20)+(MAX(0,W430)*0.20)+(MAX(0,H430)*0.15)+(MAX(0,N430)*0.10)+(MAX(0,T430)*0.10))/9),1),"")</f>
        <v/>
      </c>
      <c r="AB430" s="29">
        <f>IF(A430&lt;&gt;"",MIN(1,(0.5*AA430/100)+(0.3*MAX(0,K430)/9)+(0.2*MAX(0,Q430)/9)),"")</f>
        <v/>
      </c>
    </row>
    <row r="431">
      <c r="A431" s="4">
        <f>IF('Raw Data'!A418&lt;&gt;"",'Raw Data'!A418,"")</f>
        <v/>
      </c>
      <c r="B431" s="4">
        <f>IF('Raw Data'!B418&lt;&gt;"",'Raw Data'!B418,"")</f>
        <v/>
      </c>
      <c r="C431" s="4">
        <f>IF('Raw Data'!C418&lt;&gt;"",'Raw Data'!C418,"")</f>
        <v/>
      </c>
      <c r="D431" s="4">
        <f>IF('Raw Data'!D418&lt;&gt;"",'Raw Data'!D418,"")</f>
        <v/>
      </c>
      <c r="E431" s="4">
        <f>IF('Raw Data'!E418&lt;&gt;"",'Raw Data'!E418,"")</f>
        <v/>
      </c>
      <c r="F431" s="14">
        <f>IF('Raw Data'!A418&lt;&gt;"",AVERAGE('Raw Data'!F418,'Raw Data'!H418,'Raw Data'!J418,'Raw Data'!L418,'Raw Data'!N418),"")</f>
        <v/>
      </c>
      <c r="G431" s="14">
        <f>IF('Raw Data'!A418&lt;&gt;"",AVERAGE('Raw Data'!G418,'Raw Data'!I418,'Raw Data'!K418,'Raw Data'!M418,'Raw Data'!O418),"")</f>
        <v/>
      </c>
      <c r="H431" s="14">
        <f>IF(F431&lt;&gt;"",F431-G431,"")</f>
        <v/>
      </c>
      <c r="I431" s="14">
        <f>IF('Raw Data'!A418&lt;&gt;"",AVERAGE('Raw Data'!P418,'Raw Data'!R418,'Raw Data'!T418,'Raw Data'!V418,'Raw Data'!X418),"")</f>
        <v/>
      </c>
      <c r="J431" s="14">
        <f>IF('Raw Data'!A418&lt;&gt;"",AVERAGE('Raw Data'!Q418,'Raw Data'!S418,'Raw Data'!U418,'Raw Data'!W418,'Raw Data'!Y418),"")</f>
        <v/>
      </c>
      <c r="K431" s="14">
        <f>IF(I431&lt;&gt;"",I431-J431,"")</f>
        <v/>
      </c>
      <c r="L431" s="14">
        <f>IF('Raw Data'!A418&lt;&gt;"",AVERAGE('Raw Data'!Z418,'Raw Data'!AB418,'Raw Data'!AD418,'Raw Data'!AF418,'Raw Data'!AH418),"")</f>
        <v/>
      </c>
      <c r="M431" s="14">
        <f>IF('Raw Data'!A418&lt;&gt;"",AVERAGE('Raw Data'!AA418,'Raw Data'!AC418,'Raw Data'!AE418,'Raw Data'!AG418,'Raw Data'!AI418),"")</f>
        <v/>
      </c>
      <c r="N431" s="14">
        <f>IF(L431&lt;&gt;"",L431-M431,"")</f>
        <v/>
      </c>
      <c r="O431" s="14">
        <f>IF('Raw Data'!A418&lt;&gt;"",AVERAGE('Raw Data'!AJ418,'Raw Data'!AL418,'Raw Data'!AN418,'Raw Data'!AP418,'Raw Data'!AR418),"")</f>
        <v/>
      </c>
      <c r="P431" s="14">
        <f>IF('Raw Data'!A418&lt;&gt;"",AVERAGE('Raw Data'!AK418,'Raw Data'!AM418,'Raw Data'!AO418,'Raw Data'!AQ418,'Raw Data'!AS418),"")</f>
        <v/>
      </c>
      <c r="Q431" s="14">
        <f>IF(O431&lt;&gt;"",O431-P431,"")</f>
        <v/>
      </c>
      <c r="R431" s="14">
        <f>IF('Raw Data'!A418&lt;&gt;"",AVERAGE('Raw Data'!AT418,'Raw Data'!AV418,'Raw Data'!AX418,'Raw Data'!AZ418,'Raw Data'!BB418),"")</f>
        <v/>
      </c>
      <c r="S431" s="14">
        <f>IF('Raw Data'!A418&lt;&gt;"",AVERAGE('Raw Data'!AU418,'Raw Data'!AW418,'Raw Data'!AY418,'Raw Data'!BA418,'Raw Data'!BC418),"")</f>
        <v/>
      </c>
      <c r="T431" s="14">
        <f>IF(R431&lt;&gt;"",R431-S431,"")</f>
        <v/>
      </c>
      <c r="U431" s="14">
        <f>IF('Raw Data'!A418&lt;&gt;"",AVERAGE('Raw Data'!BD418,'Raw Data'!BF418,'Raw Data'!BH418,'Raw Data'!BJ418,'Raw Data'!BL418),"")</f>
        <v/>
      </c>
      <c r="V431" s="14">
        <f>IF('Raw Data'!A418&lt;&gt;"",AVERAGE('Raw Data'!BE418,'Raw Data'!BG418,'Raw Data'!BI418,'Raw Data'!BK418,'Raw Data'!BM418),"")</f>
        <v/>
      </c>
      <c r="W431" s="14">
        <f>IF(U431&lt;&gt;"",U431-V431,"")</f>
        <v/>
      </c>
      <c r="X431" s="14">
        <f>IF(A431&lt;&gt;"",AVERAGE(F431,I431,L431,O431,R431,U431),"")</f>
        <v/>
      </c>
      <c r="Y431" s="14">
        <f>IF(A431&lt;&gt;"",AVERAGE(G431,J431,M431,P431,S431,V431),"")</f>
        <v/>
      </c>
      <c r="Z431" s="14">
        <f>IF(A431&lt;&gt;"",X431-Y431,"")</f>
        <v/>
      </c>
      <c r="AA431" s="15">
        <f>IF(A431&lt;&gt;"",ROUND(MIN(100,100*((MAX(0,K431)*0.25)+(MAX(0,Q431)*0.20)+(MAX(0,W431)*0.20)+(MAX(0,H431)*0.15)+(MAX(0,N431)*0.10)+(MAX(0,T431)*0.10))/9),1),"")</f>
        <v/>
      </c>
      <c r="AB431" s="28">
        <f>IF(A431&lt;&gt;"",MIN(1,(0.5*AA431/100)+(0.3*MAX(0,K431)/9)+(0.2*MAX(0,Q431)/9)),"")</f>
        <v/>
      </c>
    </row>
    <row r="432">
      <c r="A432" s="13">
        <f>IF('Raw Data'!A419&lt;&gt;"",'Raw Data'!A419,"")</f>
        <v/>
      </c>
      <c r="B432" s="13">
        <f>IF('Raw Data'!B419&lt;&gt;"",'Raw Data'!B419,"")</f>
        <v/>
      </c>
      <c r="C432" s="13">
        <f>IF('Raw Data'!C419&lt;&gt;"",'Raw Data'!C419,"")</f>
        <v/>
      </c>
      <c r="D432" s="13">
        <f>IF('Raw Data'!D419&lt;&gt;"",'Raw Data'!D419,"")</f>
        <v/>
      </c>
      <c r="E432" s="13">
        <f>IF('Raw Data'!E419&lt;&gt;"",'Raw Data'!E419,"")</f>
        <v/>
      </c>
      <c r="F432" s="17">
        <f>IF('Raw Data'!A419&lt;&gt;"",AVERAGE('Raw Data'!F419,'Raw Data'!H419,'Raw Data'!J419,'Raw Data'!L419,'Raw Data'!N419),"")</f>
        <v/>
      </c>
      <c r="G432" s="17">
        <f>IF('Raw Data'!A419&lt;&gt;"",AVERAGE('Raw Data'!G419,'Raw Data'!I419,'Raw Data'!K419,'Raw Data'!M419,'Raw Data'!O419),"")</f>
        <v/>
      </c>
      <c r="H432" s="17">
        <f>IF(F432&lt;&gt;"",F432-G432,"")</f>
        <v/>
      </c>
      <c r="I432" s="17">
        <f>IF('Raw Data'!A419&lt;&gt;"",AVERAGE('Raw Data'!P419,'Raw Data'!R419,'Raw Data'!T419,'Raw Data'!V419,'Raw Data'!X419),"")</f>
        <v/>
      </c>
      <c r="J432" s="17">
        <f>IF('Raw Data'!A419&lt;&gt;"",AVERAGE('Raw Data'!Q419,'Raw Data'!S419,'Raw Data'!U419,'Raw Data'!W419,'Raw Data'!Y419),"")</f>
        <v/>
      </c>
      <c r="K432" s="17">
        <f>IF(I432&lt;&gt;"",I432-J432,"")</f>
        <v/>
      </c>
      <c r="L432" s="17">
        <f>IF('Raw Data'!A419&lt;&gt;"",AVERAGE('Raw Data'!Z419,'Raw Data'!AB419,'Raw Data'!AD419,'Raw Data'!AF419,'Raw Data'!AH419),"")</f>
        <v/>
      </c>
      <c r="M432" s="17">
        <f>IF('Raw Data'!A419&lt;&gt;"",AVERAGE('Raw Data'!AA419,'Raw Data'!AC419,'Raw Data'!AE419,'Raw Data'!AG419,'Raw Data'!AI419),"")</f>
        <v/>
      </c>
      <c r="N432" s="17">
        <f>IF(L432&lt;&gt;"",L432-M432,"")</f>
        <v/>
      </c>
      <c r="O432" s="17">
        <f>IF('Raw Data'!A419&lt;&gt;"",AVERAGE('Raw Data'!AJ419,'Raw Data'!AL419,'Raw Data'!AN419,'Raw Data'!AP419,'Raw Data'!AR419),"")</f>
        <v/>
      </c>
      <c r="P432" s="17">
        <f>IF('Raw Data'!A419&lt;&gt;"",AVERAGE('Raw Data'!AK419,'Raw Data'!AM419,'Raw Data'!AO419,'Raw Data'!AQ419,'Raw Data'!AS419),"")</f>
        <v/>
      </c>
      <c r="Q432" s="17">
        <f>IF(O432&lt;&gt;"",O432-P432,"")</f>
        <v/>
      </c>
      <c r="R432" s="17">
        <f>IF('Raw Data'!A419&lt;&gt;"",AVERAGE('Raw Data'!AT419,'Raw Data'!AV419,'Raw Data'!AX419,'Raw Data'!AZ419,'Raw Data'!BB419),"")</f>
        <v/>
      </c>
      <c r="S432" s="17">
        <f>IF('Raw Data'!A419&lt;&gt;"",AVERAGE('Raw Data'!AU419,'Raw Data'!AW419,'Raw Data'!AY419,'Raw Data'!BA419,'Raw Data'!BC419),"")</f>
        <v/>
      </c>
      <c r="T432" s="17">
        <f>IF(R432&lt;&gt;"",R432-S432,"")</f>
        <v/>
      </c>
      <c r="U432" s="17">
        <f>IF('Raw Data'!A419&lt;&gt;"",AVERAGE('Raw Data'!BD419,'Raw Data'!BF419,'Raw Data'!BH419,'Raw Data'!BJ419,'Raw Data'!BL419),"")</f>
        <v/>
      </c>
      <c r="V432" s="17">
        <f>IF('Raw Data'!A419&lt;&gt;"",AVERAGE('Raw Data'!BE419,'Raw Data'!BG419,'Raw Data'!BI419,'Raw Data'!BK419,'Raw Data'!BM419),"")</f>
        <v/>
      </c>
      <c r="W432" s="17">
        <f>IF(U432&lt;&gt;"",U432-V432,"")</f>
        <v/>
      </c>
      <c r="X432" s="17">
        <f>IF(A432&lt;&gt;"",AVERAGE(F432,I432,L432,O432,R432,U432),"")</f>
        <v/>
      </c>
      <c r="Y432" s="17">
        <f>IF(A432&lt;&gt;"",AVERAGE(G432,J432,M432,P432,S432,V432),"")</f>
        <v/>
      </c>
      <c r="Z432" s="17">
        <f>IF(A432&lt;&gt;"",X432-Y432,"")</f>
        <v/>
      </c>
      <c r="AA432" s="18">
        <f>IF(A432&lt;&gt;"",ROUND(MIN(100,100*((MAX(0,K432)*0.25)+(MAX(0,Q432)*0.20)+(MAX(0,W432)*0.20)+(MAX(0,H432)*0.15)+(MAX(0,N432)*0.10)+(MAX(0,T432)*0.10))/9),1),"")</f>
        <v/>
      </c>
      <c r="AB432" s="29">
        <f>IF(A432&lt;&gt;"",MIN(1,(0.5*AA432/100)+(0.3*MAX(0,K432)/9)+(0.2*MAX(0,Q432)/9)),"")</f>
        <v/>
      </c>
    </row>
    <row r="433">
      <c r="A433" s="4">
        <f>IF('Raw Data'!A420&lt;&gt;"",'Raw Data'!A420,"")</f>
        <v/>
      </c>
      <c r="B433" s="4">
        <f>IF('Raw Data'!B420&lt;&gt;"",'Raw Data'!B420,"")</f>
        <v/>
      </c>
      <c r="C433" s="4">
        <f>IF('Raw Data'!C420&lt;&gt;"",'Raw Data'!C420,"")</f>
        <v/>
      </c>
      <c r="D433" s="4">
        <f>IF('Raw Data'!D420&lt;&gt;"",'Raw Data'!D420,"")</f>
        <v/>
      </c>
      <c r="E433" s="4">
        <f>IF('Raw Data'!E420&lt;&gt;"",'Raw Data'!E420,"")</f>
        <v/>
      </c>
      <c r="F433" s="14">
        <f>IF('Raw Data'!A420&lt;&gt;"",AVERAGE('Raw Data'!F420,'Raw Data'!H420,'Raw Data'!J420,'Raw Data'!L420,'Raw Data'!N420),"")</f>
        <v/>
      </c>
      <c r="G433" s="14">
        <f>IF('Raw Data'!A420&lt;&gt;"",AVERAGE('Raw Data'!G420,'Raw Data'!I420,'Raw Data'!K420,'Raw Data'!M420,'Raw Data'!O420),"")</f>
        <v/>
      </c>
      <c r="H433" s="14">
        <f>IF(F433&lt;&gt;"",F433-G433,"")</f>
        <v/>
      </c>
      <c r="I433" s="14">
        <f>IF('Raw Data'!A420&lt;&gt;"",AVERAGE('Raw Data'!P420,'Raw Data'!R420,'Raw Data'!T420,'Raw Data'!V420,'Raw Data'!X420),"")</f>
        <v/>
      </c>
      <c r="J433" s="14">
        <f>IF('Raw Data'!A420&lt;&gt;"",AVERAGE('Raw Data'!Q420,'Raw Data'!S420,'Raw Data'!U420,'Raw Data'!W420,'Raw Data'!Y420),"")</f>
        <v/>
      </c>
      <c r="K433" s="14">
        <f>IF(I433&lt;&gt;"",I433-J433,"")</f>
        <v/>
      </c>
      <c r="L433" s="14">
        <f>IF('Raw Data'!A420&lt;&gt;"",AVERAGE('Raw Data'!Z420,'Raw Data'!AB420,'Raw Data'!AD420,'Raw Data'!AF420,'Raw Data'!AH420),"")</f>
        <v/>
      </c>
      <c r="M433" s="14">
        <f>IF('Raw Data'!A420&lt;&gt;"",AVERAGE('Raw Data'!AA420,'Raw Data'!AC420,'Raw Data'!AE420,'Raw Data'!AG420,'Raw Data'!AI420),"")</f>
        <v/>
      </c>
      <c r="N433" s="14">
        <f>IF(L433&lt;&gt;"",L433-M433,"")</f>
        <v/>
      </c>
      <c r="O433" s="14">
        <f>IF('Raw Data'!A420&lt;&gt;"",AVERAGE('Raw Data'!AJ420,'Raw Data'!AL420,'Raw Data'!AN420,'Raw Data'!AP420,'Raw Data'!AR420),"")</f>
        <v/>
      </c>
      <c r="P433" s="14">
        <f>IF('Raw Data'!A420&lt;&gt;"",AVERAGE('Raw Data'!AK420,'Raw Data'!AM420,'Raw Data'!AO420,'Raw Data'!AQ420,'Raw Data'!AS420),"")</f>
        <v/>
      </c>
      <c r="Q433" s="14">
        <f>IF(O433&lt;&gt;"",O433-P433,"")</f>
        <v/>
      </c>
      <c r="R433" s="14">
        <f>IF('Raw Data'!A420&lt;&gt;"",AVERAGE('Raw Data'!AT420,'Raw Data'!AV420,'Raw Data'!AX420,'Raw Data'!AZ420,'Raw Data'!BB420),"")</f>
        <v/>
      </c>
      <c r="S433" s="14">
        <f>IF('Raw Data'!A420&lt;&gt;"",AVERAGE('Raw Data'!AU420,'Raw Data'!AW420,'Raw Data'!AY420,'Raw Data'!BA420,'Raw Data'!BC420),"")</f>
        <v/>
      </c>
      <c r="T433" s="14">
        <f>IF(R433&lt;&gt;"",R433-S433,"")</f>
        <v/>
      </c>
      <c r="U433" s="14">
        <f>IF('Raw Data'!A420&lt;&gt;"",AVERAGE('Raw Data'!BD420,'Raw Data'!BF420,'Raw Data'!BH420,'Raw Data'!BJ420,'Raw Data'!BL420),"")</f>
        <v/>
      </c>
      <c r="V433" s="14">
        <f>IF('Raw Data'!A420&lt;&gt;"",AVERAGE('Raw Data'!BE420,'Raw Data'!BG420,'Raw Data'!BI420,'Raw Data'!BK420,'Raw Data'!BM420),"")</f>
        <v/>
      </c>
      <c r="W433" s="14">
        <f>IF(U433&lt;&gt;"",U433-V433,"")</f>
        <v/>
      </c>
      <c r="X433" s="14">
        <f>IF(A433&lt;&gt;"",AVERAGE(F433,I433,L433,O433,R433,U433),"")</f>
        <v/>
      </c>
      <c r="Y433" s="14">
        <f>IF(A433&lt;&gt;"",AVERAGE(G433,J433,M433,P433,S433,V433),"")</f>
        <v/>
      </c>
      <c r="Z433" s="14">
        <f>IF(A433&lt;&gt;"",X433-Y433,"")</f>
        <v/>
      </c>
      <c r="AA433" s="15">
        <f>IF(A433&lt;&gt;"",ROUND(MIN(100,100*((MAX(0,K433)*0.25)+(MAX(0,Q433)*0.20)+(MAX(0,W433)*0.20)+(MAX(0,H433)*0.15)+(MAX(0,N433)*0.10)+(MAX(0,T433)*0.10))/9),1),"")</f>
        <v/>
      </c>
      <c r="AB433" s="28">
        <f>IF(A433&lt;&gt;"",MIN(1,(0.5*AA433/100)+(0.3*MAX(0,K433)/9)+(0.2*MAX(0,Q433)/9)),"")</f>
        <v/>
      </c>
    </row>
    <row r="434">
      <c r="A434" s="13">
        <f>IF('Raw Data'!A421&lt;&gt;"",'Raw Data'!A421,"")</f>
        <v/>
      </c>
      <c r="B434" s="13">
        <f>IF('Raw Data'!B421&lt;&gt;"",'Raw Data'!B421,"")</f>
        <v/>
      </c>
      <c r="C434" s="13">
        <f>IF('Raw Data'!C421&lt;&gt;"",'Raw Data'!C421,"")</f>
        <v/>
      </c>
      <c r="D434" s="13">
        <f>IF('Raw Data'!D421&lt;&gt;"",'Raw Data'!D421,"")</f>
        <v/>
      </c>
      <c r="E434" s="13">
        <f>IF('Raw Data'!E421&lt;&gt;"",'Raw Data'!E421,"")</f>
        <v/>
      </c>
      <c r="F434" s="17">
        <f>IF('Raw Data'!A421&lt;&gt;"",AVERAGE('Raw Data'!F421,'Raw Data'!H421,'Raw Data'!J421,'Raw Data'!L421,'Raw Data'!N421),"")</f>
        <v/>
      </c>
      <c r="G434" s="17">
        <f>IF('Raw Data'!A421&lt;&gt;"",AVERAGE('Raw Data'!G421,'Raw Data'!I421,'Raw Data'!K421,'Raw Data'!M421,'Raw Data'!O421),"")</f>
        <v/>
      </c>
      <c r="H434" s="17">
        <f>IF(F434&lt;&gt;"",F434-G434,"")</f>
        <v/>
      </c>
      <c r="I434" s="17">
        <f>IF('Raw Data'!A421&lt;&gt;"",AVERAGE('Raw Data'!P421,'Raw Data'!R421,'Raw Data'!T421,'Raw Data'!V421,'Raw Data'!X421),"")</f>
        <v/>
      </c>
      <c r="J434" s="17">
        <f>IF('Raw Data'!A421&lt;&gt;"",AVERAGE('Raw Data'!Q421,'Raw Data'!S421,'Raw Data'!U421,'Raw Data'!W421,'Raw Data'!Y421),"")</f>
        <v/>
      </c>
      <c r="K434" s="17">
        <f>IF(I434&lt;&gt;"",I434-J434,"")</f>
        <v/>
      </c>
      <c r="L434" s="17">
        <f>IF('Raw Data'!A421&lt;&gt;"",AVERAGE('Raw Data'!Z421,'Raw Data'!AB421,'Raw Data'!AD421,'Raw Data'!AF421,'Raw Data'!AH421),"")</f>
        <v/>
      </c>
      <c r="M434" s="17">
        <f>IF('Raw Data'!A421&lt;&gt;"",AVERAGE('Raw Data'!AA421,'Raw Data'!AC421,'Raw Data'!AE421,'Raw Data'!AG421,'Raw Data'!AI421),"")</f>
        <v/>
      </c>
      <c r="N434" s="17">
        <f>IF(L434&lt;&gt;"",L434-M434,"")</f>
        <v/>
      </c>
      <c r="O434" s="17">
        <f>IF('Raw Data'!A421&lt;&gt;"",AVERAGE('Raw Data'!AJ421,'Raw Data'!AL421,'Raw Data'!AN421,'Raw Data'!AP421,'Raw Data'!AR421),"")</f>
        <v/>
      </c>
      <c r="P434" s="17">
        <f>IF('Raw Data'!A421&lt;&gt;"",AVERAGE('Raw Data'!AK421,'Raw Data'!AM421,'Raw Data'!AO421,'Raw Data'!AQ421,'Raw Data'!AS421),"")</f>
        <v/>
      </c>
      <c r="Q434" s="17">
        <f>IF(O434&lt;&gt;"",O434-P434,"")</f>
        <v/>
      </c>
      <c r="R434" s="17">
        <f>IF('Raw Data'!A421&lt;&gt;"",AVERAGE('Raw Data'!AT421,'Raw Data'!AV421,'Raw Data'!AX421,'Raw Data'!AZ421,'Raw Data'!BB421),"")</f>
        <v/>
      </c>
      <c r="S434" s="17">
        <f>IF('Raw Data'!A421&lt;&gt;"",AVERAGE('Raw Data'!AU421,'Raw Data'!AW421,'Raw Data'!AY421,'Raw Data'!BA421,'Raw Data'!BC421),"")</f>
        <v/>
      </c>
      <c r="T434" s="17">
        <f>IF(R434&lt;&gt;"",R434-S434,"")</f>
        <v/>
      </c>
      <c r="U434" s="17">
        <f>IF('Raw Data'!A421&lt;&gt;"",AVERAGE('Raw Data'!BD421,'Raw Data'!BF421,'Raw Data'!BH421,'Raw Data'!BJ421,'Raw Data'!BL421),"")</f>
        <v/>
      </c>
      <c r="V434" s="17">
        <f>IF('Raw Data'!A421&lt;&gt;"",AVERAGE('Raw Data'!BE421,'Raw Data'!BG421,'Raw Data'!BI421,'Raw Data'!BK421,'Raw Data'!BM421),"")</f>
        <v/>
      </c>
      <c r="W434" s="17">
        <f>IF(U434&lt;&gt;"",U434-V434,"")</f>
        <v/>
      </c>
      <c r="X434" s="17">
        <f>IF(A434&lt;&gt;"",AVERAGE(F434,I434,L434,O434,R434,U434),"")</f>
        <v/>
      </c>
      <c r="Y434" s="17">
        <f>IF(A434&lt;&gt;"",AVERAGE(G434,J434,M434,P434,S434,V434),"")</f>
        <v/>
      </c>
      <c r="Z434" s="17">
        <f>IF(A434&lt;&gt;"",X434-Y434,"")</f>
        <v/>
      </c>
      <c r="AA434" s="18">
        <f>IF(A434&lt;&gt;"",ROUND(MIN(100,100*((MAX(0,K434)*0.25)+(MAX(0,Q434)*0.20)+(MAX(0,W434)*0.20)+(MAX(0,H434)*0.15)+(MAX(0,N434)*0.10)+(MAX(0,T434)*0.10))/9),1),"")</f>
        <v/>
      </c>
      <c r="AB434" s="29">
        <f>IF(A434&lt;&gt;"",MIN(1,(0.5*AA434/100)+(0.3*MAX(0,K434)/9)+(0.2*MAX(0,Q434)/9)),"")</f>
        <v/>
      </c>
    </row>
    <row r="435">
      <c r="A435" s="4">
        <f>IF('Raw Data'!A422&lt;&gt;"",'Raw Data'!A422,"")</f>
        <v/>
      </c>
      <c r="B435" s="4">
        <f>IF('Raw Data'!B422&lt;&gt;"",'Raw Data'!B422,"")</f>
        <v/>
      </c>
      <c r="C435" s="4">
        <f>IF('Raw Data'!C422&lt;&gt;"",'Raw Data'!C422,"")</f>
        <v/>
      </c>
      <c r="D435" s="4">
        <f>IF('Raw Data'!D422&lt;&gt;"",'Raw Data'!D422,"")</f>
        <v/>
      </c>
      <c r="E435" s="4">
        <f>IF('Raw Data'!E422&lt;&gt;"",'Raw Data'!E422,"")</f>
        <v/>
      </c>
      <c r="F435" s="14">
        <f>IF('Raw Data'!A422&lt;&gt;"",AVERAGE('Raw Data'!F422,'Raw Data'!H422,'Raw Data'!J422,'Raw Data'!L422,'Raw Data'!N422),"")</f>
        <v/>
      </c>
      <c r="G435" s="14">
        <f>IF('Raw Data'!A422&lt;&gt;"",AVERAGE('Raw Data'!G422,'Raw Data'!I422,'Raw Data'!K422,'Raw Data'!M422,'Raw Data'!O422),"")</f>
        <v/>
      </c>
      <c r="H435" s="14">
        <f>IF(F435&lt;&gt;"",F435-G435,"")</f>
        <v/>
      </c>
      <c r="I435" s="14">
        <f>IF('Raw Data'!A422&lt;&gt;"",AVERAGE('Raw Data'!P422,'Raw Data'!R422,'Raw Data'!T422,'Raw Data'!V422,'Raw Data'!X422),"")</f>
        <v/>
      </c>
      <c r="J435" s="14">
        <f>IF('Raw Data'!A422&lt;&gt;"",AVERAGE('Raw Data'!Q422,'Raw Data'!S422,'Raw Data'!U422,'Raw Data'!W422,'Raw Data'!Y422),"")</f>
        <v/>
      </c>
      <c r="K435" s="14">
        <f>IF(I435&lt;&gt;"",I435-J435,"")</f>
        <v/>
      </c>
      <c r="L435" s="14">
        <f>IF('Raw Data'!A422&lt;&gt;"",AVERAGE('Raw Data'!Z422,'Raw Data'!AB422,'Raw Data'!AD422,'Raw Data'!AF422,'Raw Data'!AH422),"")</f>
        <v/>
      </c>
      <c r="M435" s="14">
        <f>IF('Raw Data'!A422&lt;&gt;"",AVERAGE('Raw Data'!AA422,'Raw Data'!AC422,'Raw Data'!AE422,'Raw Data'!AG422,'Raw Data'!AI422),"")</f>
        <v/>
      </c>
      <c r="N435" s="14">
        <f>IF(L435&lt;&gt;"",L435-M435,"")</f>
        <v/>
      </c>
      <c r="O435" s="14">
        <f>IF('Raw Data'!A422&lt;&gt;"",AVERAGE('Raw Data'!AJ422,'Raw Data'!AL422,'Raw Data'!AN422,'Raw Data'!AP422,'Raw Data'!AR422),"")</f>
        <v/>
      </c>
      <c r="P435" s="14">
        <f>IF('Raw Data'!A422&lt;&gt;"",AVERAGE('Raw Data'!AK422,'Raw Data'!AM422,'Raw Data'!AO422,'Raw Data'!AQ422,'Raw Data'!AS422),"")</f>
        <v/>
      </c>
      <c r="Q435" s="14">
        <f>IF(O435&lt;&gt;"",O435-P435,"")</f>
        <v/>
      </c>
      <c r="R435" s="14">
        <f>IF('Raw Data'!A422&lt;&gt;"",AVERAGE('Raw Data'!AT422,'Raw Data'!AV422,'Raw Data'!AX422,'Raw Data'!AZ422,'Raw Data'!BB422),"")</f>
        <v/>
      </c>
      <c r="S435" s="14">
        <f>IF('Raw Data'!A422&lt;&gt;"",AVERAGE('Raw Data'!AU422,'Raw Data'!AW422,'Raw Data'!AY422,'Raw Data'!BA422,'Raw Data'!BC422),"")</f>
        <v/>
      </c>
      <c r="T435" s="14">
        <f>IF(R435&lt;&gt;"",R435-S435,"")</f>
        <v/>
      </c>
      <c r="U435" s="14">
        <f>IF('Raw Data'!A422&lt;&gt;"",AVERAGE('Raw Data'!BD422,'Raw Data'!BF422,'Raw Data'!BH422,'Raw Data'!BJ422,'Raw Data'!BL422),"")</f>
        <v/>
      </c>
      <c r="V435" s="14">
        <f>IF('Raw Data'!A422&lt;&gt;"",AVERAGE('Raw Data'!BE422,'Raw Data'!BG422,'Raw Data'!BI422,'Raw Data'!BK422,'Raw Data'!BM422),"")</f>
        <v/>
      </c>
      <c r="W435" s="14">
        <f>IF(U435&lt;&gt;"",U435-V435,"")</f>
        <v/>
      </c>
      <c r="X435" s="14">
        <f>IF(A435&lt;&gt;"",AVERAGE(F435,I435,L435,O435,R435,U435),"")</f>
        <v/>
      </c>
      <c r="Y435" s="14">
        <f>IF(A435&lt;&gt;"",AVERAGE(G435,J435,M435,P435,S435,V435),"")</f>
        <v/>
      </c>
      <c r="Z435" s="14">
        <f>IF(A435&lt;&gt;"",X435-Y435,"")</f>
        <v/>
      </c>
      <c r="AA435" s="15">
        <f>IF(A435&lt;&gt;"",ROUND(MIN(100,100*((MAX(0,K435)*0.25)+(MAX(0,Q435)*0.20)+(MAX(0,W435)*0.20)+(MAX(0,H435)*0.15)+(MAX(0,N435)*0.10)+(MAX(0,T435)*0.10))/9),1),"")</f>
        <v/>
      </c>
      <c r="AB435" s="28">
        <f>IF(A435&lt;&gt;"",MIN(1,(0.5*AA435/100)+(0.3*MAX(0,K435)/9)+(0.2*MAX(0,Q435)/9)),"")</f>
        <v/>
      </c>
    </row>
    <row r="436">
      <c r="A436" s="13">
        <f>IF('Raw Data'!A423&lt;&gt;"",'Raw Data'!A423,"")</f>
        <v/>
      </c>
      <c r="B436" s="13">
        <f>IF('Raw Data'!B423&lt;&gt;"",'Raw Data'!B423,"")</f>
        <v/>
      </c>
      <c r="C436" s="13">
        <f>IF('Raw Data'!C423&lt;&gt;"",'Raw Data'!C423,"")</f>
        <v/>
      </c>
      <c r="D436" s="13">
        <f>IF('Raw Data'!D423&lt;&gt;"",'Raw Data'!D423,"")</f>
        <v/>
      </c>
      <c r="E436" s="13">
        <f>IF('Raw Data'!E423&lt;&gt;"",'Raw Data'!E423,"")</f>
        <v/>
      </c>
      <c r="F436" s="17">
        <f>IF('Raw Data'!A423&lt;&gt;"",AVERAGE('Raw Data'!F423,'Raw Data'!H423,'Raw Data'!J423,'Raw Data'!L423,'Raw Data'!N423),"")</f>
        <v/>
      </c>
      <c r="G436" s="17">
        <f>IF('Raw Data'!A423&lt;&gt;"",AVERAGE('Raw Data'!G423,'Raw Data'!I423,'Raw Data'!K423,'Raw Data'!M423,'Raw Data'!O423),"")</f>
        <v/>
      </c>
      <c r="H436" s="17">
        <f>IF(F436&lt;&gt;"",F436-G436,"")</f>
        <v/>
      </c>
      <c r="I436" s="17">
        <f>IF('Raw Data'!A423&lt;&gt;"",AVERAGE('Raw Data'!P423,'Raw Data'!R423,'Raw Data'!T423,'Raw Data'!V423,'Raw Data'!X423),"")</f>
        <v/>
      </c>
      <c r="J436" s="17">
        <f>IF('Raw Data'!A423&lt;&gt;"",AVERAGE('Raw Data'!Q423,'Raw Data'!S423,'Raw Data'!U423,'Raw Data'!W423,'Raw Data'!Y423),"")</f>
        <v/>
      </c>
      <c r="K436" s="17">
        <f>IF(I436&lt;&gt;"",I436-J436,"")</f>
        <v/>
      </c>
      <c r="L436" s="17">
        <f>IF('Raw Data'!A423&lt;&gt;"",AVERAGE('Raw Data'!Z423,'Raw Data'!AB423,'Raw Data'!AD423,'Raw Data'!AF423,'Raw Data'!AH423),"")</f>
        <v/>
      </c>
      <c r="M436" s="17">
        <f>IF('Raw Data'!A423&lt;&gt;"",AVERAGE('Raw Data'!AA423,'Raw Data'!AC423,'Raw Data'!AE423,'Raw Data'!AG423,'Raw Data'!AI423),"")</f>
        <v/>
      </c>
      <c r="N436" s="17">
        <f>IF(L436&lt;&gt;"",L436-M436,"")</f>
        <v/>
      </c>
      <c r="O436" s="17">
        <f>IF('Raw Data'!A423&lt;&gt;"",AVERAGE('Raw Data'!AJ423,'Raw Data'!AL423,'Raw Data'!AN423,'Raw Data'!AP423,'Raw Data'!AR423),"")</f>
        <v/>
      </c>
      <c r="P436" s="17">
        <f>IF('Raw Data'!A423&lt;&gt;"",AVERAGE('Raw Data'!AK423,'Raw Data'!AM423,'Raw Data'!AO423,'Raw Data'!AQ423,'Raw Data'!AS423),"")</f>
        <v/>
      </c>
      <c r="Q436" s="17">
        <f>IF(O436&lt;&gt;"",O436-P436,"")</f>
        <v/>
      </c>
      <c r="R436" s="17">
        <f>IF('Raw Data'!A423&lt;&gt;"",AVERAGE('Raw Data'!AT423,'Raw Data'!AV423,'Raw Data'!AX423,'Raw Data'!AZ423,'Raw Data'!BB423),"")</f>
        <v/>
      </c>
      <c r="S436" s="17">
        <f>IF('Raw Data'!A423&lt;&gt;"",AVERAGE('Raw Data'!AU423,'Raw Data'!AW423,'Raw Data'!AY423,'Raw Data'!BA423,'Raw Data'!BC423),"")</f>
        <v/>
      </c>
      <c r="T436" s="17">
        <f>IF(R436&lt;&gt;"",R436-S436,"")</f>
        <v/>
      </c>
      <c r="U436" s="17">
        <f>IF('Raw Data'!A423&lt;&gt;"",AVERAGE('Raw Data'!BD423,'Raw Data'!BF423,'Raw Data'!BH423,'Raw Data'!BJ423,'Raw Data'!BL423),"")</f>
        <v/>
      </c>
      <c r="V436" s="17">
        <f>IF('Raw Data'!A423&lt;&gt;"",AVERAGE('Raw Data'!BE423,'Raw Data'!BG423,'Raw Data'!BI423,'Raw Data'!BK423,'Raw Data'!BM423),"")</f>
        <v/>
      </c>
      <c r="W436" s="17">
        <f>IF(U436&lt;&gt;"",U436-V436,"")</f>
        <v/>
      </c>
      <c r="X436" s="17">
        <f>IF(A436&lt;&gt;"",AVERAGE(F436,I436,L436,O436,R436,U436),"")</f>
        <v/>
      </c>
      <c r="Y436" s="17">
        <f>IF(A436&lt;&gt;"",AVERAGE(G436,J436,M436,P436,S436,V436),"")</f>
        <v/>
      </c>
      <c r="Z436" s="17">
        <f>IF(A436&lt;&gt;"",X436-Y436,"")</f>
        <v/>
      </c>
      <c r="AA436" s="18">
        <f>IF(A436&lt;&gt;"",ROUND(MIN(100,100*((MAX(0,K436)*0.25)+(MAX(0,Q436)*0.20)+(MAX(0,W436)*0.20)+(MAX(0,H436)*0.15)+(MAX(0,N436)*0.10)+(MAX(0,T436)*0.10))/9),1),"")</f>
        <v/>
      </c>
      <c r="AB436" s="29">
        <f>IF(A436&lt;&gt;"",MIN(1,(0.5*AA436/100)+(0.3*MAX(0,K436)/9)+(0.2*MAX(0,Q436)/9)),"")</f>
        <v/>
      </c>
    </row>
    <row r="437">
      <c r="A437" s="4">
        <f>IF('Raw Data'!A424&lt;&gt;"",'Raw Data'!A424,"")</f>
        <v/>
      </c>
      <c r="B437" s="4">
        <f>IF('Raw Data'!B424&lt;&gt;"",'Raw Data'!B424,"")</f>
        <v/>
      </c>
      <c r="C437" s="4">
        <f>IF('Raw Data'!C424&lt;&gt;"",'Raw Data'!C424,"")</f>
        <v/>
      </c>
      <c r="D437" s="4">
        <f>IF('Raw Data'!D424&lt;&gt;"",'Raw Data'!D424,"")</f>
        <v/>
      </c>
      <c r="E437" s="4">
        <f>IF('Raw Data'!E424&lt;&gt;"",'Raw Data'!E424,"")</f>
        <v/>
      </c>
      <c r="F437" s="14">
        <f>IF('Raw Data'!A424&lt;&gt;"",AVERAGE('Raw Data'!F424,'Raw Data'!H424,'Raw Data'!J424,'Raw Data'!L424,'Raw Data'!N424),"")</f>
        <v/>
      </c>
      <c r="G437" s="14">
        <f>IF('Raw Data'!A424&lt;&gt;"",AVERAGE('Raw Data'!G424,'Raw Data'!I424,'Raw Data'!K424,'Raw Data'!M424,'Raw Data'!O424),"")</f>
        <v/>
      </c>
      <c r="H437" s="14">
        <f>IF(F437&lt;&gt;"",F437-G437,"")</f>
        <v/>
      </c>
      <c r="I437" s="14">
        <f>IF('Raw Data'!A424&lt;&gt;"",AVERAGE('Raw Data'!P424,'Raw Data'!R424,'Raw Data'!T424,'Raw Data'!V424,'Raw Data'!X424),"")</f>
        <v/>
      </c>
      <c r="J437" s="14">
        <f>IF('Raw Data'!A424&lt;&gt;"",AVERAGE('Raw Data'!Q424,'Raw Data'!S424,'Raw Data'!U424,'Raw Data'!W424,'Raw Data'!Y424),"")</f>
        <v/>
      </c>
      <c r="K437" s="14">
        <f>IF(I437&lt;&gt;"",I437-J437,"")</f>
        <v/>
      </c>
      <c r="L437" s="14">
        <f>IF('Raw Data'!A424&lt;&gt;"",AVERAGE('Raw Data'!Z424,'Raw Data'!AB424,'Raw Data'!AD424,'Raw Data'!AF424,'Raw Data'!AH424),"")</f>
        <v/>
      </c>
      <c r="M437" s="14">
        <f>IF('Raw Data'!A424&lt;&gt;"",AVERAGE('Raw Data'!AA424,'Raw Data'!AC424,'Raw Data'!AE424,'Raw Data'!AG424,'Raw Data'!AI424),"")</f>
        <v/>
      </c>
      <c r="N437" s="14">
        <f>IF(L437&lt;&gt;"",L437-M437,"")</f>
        <v/>
      </c>
      <c r="O437" s="14">
        <f>IF('Raw Data'!A424&lt;&gt;"",AVERAGE('Raw Data'!AJ424,'Raw Data'!AL424,'Raw Data'!AN424,'Raw Data'!AP424,'Raw Data'!AR424),"")</f>
        <v/>
      </c>
      <c r="P437" s="14">
        <f>IF('Raw Data'!A424&lt;&gt;"",AVERAGE('Raw Data'!AK424,'Raw Data'!AM424,'Raw Data'!AO424,'Raw Data'!AQ424,'Raw Data'!AS424),"")</f>
        <v/>
      </c>
      <c r="Q437" s="14">
        <f>IF(O437&lt;&gt;"",O437-P437,"")</f>
        <v/>
      </c>
      <c r="R437" s="14">
        <f>IF('Raw Data'!A424&lt;&gt;"",AVERAGE('Raw Data'!AT424,'Raw Data'!AV424,'Raw Data'!AX424,'Raw Data'!AZ424,'Raw Data'!BB424),"")</f>
        <v/>
      </c>
      <c r="S437" s="14">
        <f>IF('Raw Data'!A424&lt;&gt;"",AVERAGE('Raw Data'!AU424,'Raw Data'!AW424,'Raw Data'!AY424,'Raw Data'!BA424,'Raw Data'!BC424),"")</f>
        <v/>
      </c>
      <c r="T437" s="14">
        <f>IF(R437&lt;&gt;"",R437-S437,"")</f>
        <v/>
      </c>
      <c r="U437" s="14">
        <f>IF('Raw Data'!A424&lt;&gt;"",AVERAGE('Raw Data'!BD424,'Raw Data'!BF424,'Raw Data'!BH424,'Raw Data'!BJ424,'Raw Data'!BL424),"")</f>
        <v/>
      </c>
      <c r="V437" s="14">
        <f>IF('Raw Data'!A424&lt;&gt;"",AVERAGE('Raw Data'!BE424,'Raw Data'!BG424,'Raw Data'!BI424,'Raw Data'!BK424,'Raw Data'!BM424),"")</f>
        <v/>
      </c>
      <c r="W437" s="14">
        <f>IF(U437&lt;&gt;"",U437-V437,"")</f>
        <v/>
      </c>
      <c r="X437" s="14">
        <f>IF(A437&lt;&gt;"",AVERAGE(F437,I437,L437,O437,R437,U437),"")</f>
        <v/>
      </c>
      <c r="Y437" s="14">
        <f>IF(A437&lt;&gt;"",AVERAGE(G437,J437,M437,P437,S437,V437),"")</f>
        <v/>
      </c>
      <c r="Z437" s="14">
        <f>IF(A437&lt;&gt;"",X437-Y437,"")</f>
        <v/>
      </c>
      <c r="AA437" s="15">
        <f>IF(A437&lt;&gt;"",ROUND(MIN(100,100*((MAX(0,K437)*0.25)+(MAX(0,Q437)*0.20)+(MAX(0,W437)*0.20)+(MAX(0,H437)*0.15)+(MAX(0,N437)*0.10)+(MAX(0,T437)*0.10))/9),1),"")</f>
        <v/>
      </c>
      <c r="AB437" s="28">
        <f>IF(A437&lt;&gt;"",MIN(1,(0.5*AA437/100)+(0.3*MAX(0,K437)/9)+(0.2*MAX(0,Q437)/9)),"")</f>
        <v/>
      </c>
    </row>
    <row r="438">
      <c r="A438" s="13">
        <f>IF('Raw Data'!A425&lt;&gt;"",'Raw Data'!A425,"")</f>
        <v/>
      </c>
      <c r="B438" s="13">
        <f>IF('Raw Data'!B425&lt;&gt;"",'Raw Data'!B425,"")</f>
        <v/>
      </c>
      <c r="C438" s="13">
        <f>IF('Raw Data'!C425&lt;&gt;"",'Raw Data'!C425,"")</f>
        <v/>
      </c>
      <c r="D438" s="13">
        <f>IF('Raw Data'!D425&lt;&gt;"",'Raw Data'!D425,"")</f>
        <v/>
      </c>
      <c r="E438" s="13">
        <f>IF('Raw Data'!E425&lt;&gt;"",'Raw Data'!E425,"")</f>
        <v/>
      </c>
      <c r="F438" s="17">
        <f>IF('Raw Data'!A425&lt;&gt;"",AVERAGE('Raw Data'!F425,'Raw Data'!H425,'Raw Data'!J425,'Raw Data'!L425,'Raw Data'!N425),"")</f>
        <v/>
      </c>
      <c r="G438" s="17">
        <f>IF('Raw Data'!A425&lt;&gt;"",AVERAGE('Raw Data'!G425,'Raw Data'!I425,'Raw Data'!K425,'Raw Data'!M425,'Raw Data'!O425),"")</f>
        <v/>
      </c>
      <c r="H438" s="17">
        <f>IF(F438&lt;&gt;"",F438-G438,"")</f>
        <v/>
      </c>
      <c r="I438" s="17">
        <f>IF('Raw Data'!A425&lt;&gt;"",AVERAGE('Raw Data'!P425,'Raw Data'!R425,'Raw Data'!T425,'Raw Data'!V425,'Raw Data'!X425),"")</f>
        <v/>
      </c>
      <c r="J438" s="17">
        <f>IF('Raw Data'!A425&lt;&gt;"",AVERAGE('Raw Data'!Q425,'Raw Data'!S425,'Raw Data'!U425,'Raw Data'!W425,'Raw Data'!Y425),"")</f>
        <v/>
      </c>
      <c r="K438" s="17">
        <f>IF(I438&lt;&gt;"",I438-J438,"")</f>
        <v/>
      </c>
      <c r="L438" s="17">
        <f>IF('Raw Data'!A425&lt;&gt;"",AVERAGE('Raw Data'!Z425,'Raw Data'!AB425,'Raw Data'!AD425,'Raw Data'!AF425,'Raw Data'!AH425),"")</f>
        <v/>
      </c>
      <c r="M438" s="17">
        <f>IF('Raw Data'!A425&lt;&gt;"",AVERAGE('Raw Data'!AA425,'Raw Data'!AC425,'Raw Data'!AE425,'Raw Data'!AG425,'Raw Data'!AI425),"")</f>
        <v/>
      </c>
      <c r="N438" s="17">
        <f>IF(L438&lt;&gt;"",L438-M438,"")</f>
        <v/>
      </c>
      <c r="O438" s="17">
        <f>IF('Raw Data'!A425&lt;&gt;"",AVERAGE('Raw Data'!AJ425,'Raw Data'!AL425,'Raw Data'!AN425,'Raw Data'!AP425,'Raw Data'!AR425),"")</f>
        <v/>
      </c>
      <c r="P438" s="17">
        <f>IF('Raw Data'!A425&lt;&gt;"",AVERAGE('Raw Data'!AK425,'Raw Data'!AM425,'Raw Data'!AO425,'Raw Data'!AQ425,'Raw Data'!AS425),"")</f>
        <v/>
      </c>
      <c r="Q438" s="17">
        <f>IF(O438&lt;&gt;"",O438-P438,"")</f>
        <v/>
      </c>
      <c r="R438" s="17">
        <f>IF('Raw Data'!A425&lt;&gt;"",AVERAGE('Raw Data'!AT425,'Raw Data'!AV425,'Raw Data'!AX425,'Raw Data'!AZ425,'Raw Data'!BB425),"")</f>
        <v/>
      </c>
      <c r="S438" s="17">
        <f>IF('Raw Data'!A425&lt;&gt;"",AVERAGE('Raw Data'!AU425,'Raw Data'!AW425,'Raw Data'!AY425,'Raw Data'!BA425,'Raw Data'!BC425),"")</f>
        <v/>
      </c>
      <c r="T438" s="17">
        <f>IF(R438&lt;&gt;"",R438-S438,"")</f>
        <v/>
      </c>
      <c r="U438" s="17">
        <f>IF('Raw Data'!A425&lt;&gt;"",AVERAGE('Raw Data'!BD425,'Raw Data'!BF425,'Raw Data'!BH425,'Raw Data'!BJ425,'Raw Data'!BL425),"")</f>
        <v/>
      </c>
      <c r="V438" s="17">
        <f>IF('Raw Data'!A425&lt;&gt;"",AVERAGE('Raw Data'!BE425,'Raw Data'!BG425,'Raw Data'!BI425,'Raw Data'!BK425,'Raw Data'!BM425),"")</f>
        <v/>
      </c>
      <c r="W438" s="17">
        <f>IF(U438&lt;&gt;"",U438-V438,"")</f>
        <v/>
      </c>
      <c r="X438" s="17">
        <f>IF(A438&lt;&gt;"",AVERAGE(F438,I438,L438,O438,R438,U438),"")</f>
        <v/>
      </c>
      <c r="Y438" s="17">
        <f>IF(A438&lt;&gt;"",AVERAGE(G438,J438,M438,P438,S438,V438),"")</f>
        <v/>
      </c>
      <c r="Z438" s="17">
        <f>IF(A438&lt;&gt;"",X438-Y438,"")</f>
        <v/>
      </c>
      <c r="AA438" s="18">
        <f>IF(A438&lt;&gt;"",ROUND(MIN(100,100*((MAX(0,K438)*0.25)+(MAX(0,Q438)*0.20)+(MAX(0,W438)*0.20)+(MAX(0,H438)*0.15)+(MAX(0,N438)*0.10)+(MAX(0,T438)*0.10))/9),1),"")</f>
        <v/>
      </c>
      <c r="AB438" s="29">
        <f>IF(A438&lt;&gt;"",MIN(1,(0.5*AA438/100)+(0.3*MAX(0,K438)/9)+(0.2*MAX(0,Q438)/9)),"")</f>
        <v/>
      </c>
    </row>
    <row r="439">
      <c r="A439" s="4">
        <f>IF('Raw Data'!A426&lt;&gt;"",'Raw Data'!A426,"")</f>
        <v/>
      </c>
      <c r="B439" s="4">
        <f>IF('Raw Data'!B426&lt;&gt;"",'Raw Data'!B426,"")</f>
        <v/>
      </c>
      <c r="C439" s="4">
        <f>IF('Raw Data'!C426&lt;&gt;"",'Raw Data'!C426,"")</f>
        <v/>
      </c>
      <c r="D439" s="4">
        <f>IF('Raw Data'!D426&lt;&gt;"",'Raw Data'!D426,"")</f>
        <v/>
      </c>
      <c r="E439" s="4">
        <f>IF('Raw Data'!E426&lt;&gt;"",'Raw Data'!E426,"")</f>
        <v/>
      </c>
      <c r="F439" s="14">
        <f>IF('Raw Data'!A426&lt;&gt;"",AVERAGE('Raw Data'!F426,'Raw Data'!H426,'Raw Data'!J426,'Raw Data'!L426,'Raw Data'!N426),"")</f>
        <v/>
      </c>
      <c r="G439" s="14">
        <f>IF('Raw Data'!A426&lt;&gt;"",AVERAGE('Raw Data'!G426,'Raw Data'!I426,'Raw Data'!K426,'Raw Data'!M426,'Raw Data'!O426),"")</f>
        <v/>
      </c>
      <c r="H439" s="14">
        <f>IF(F439&lt;&gt;"",F439-G439,"")</f>
        <v/>
      </c>
      <c r="I439" s="14">
        <f>IF('Raw Data'!A426&lt;&gt;"",AVERAGE('Raw Data'!P426,'Raw Data'!R426,'Raw Data'!T426,'Raw Data'!V426,'Raw Data'!X426),"")</f>
        <v/>
      </c>
      <c r="J439" s="14">
        <f>IF('Raw Data'!A426&lt;&gt;"",AVERAGE('Raw Data'!Q426,'Raw Data'!S426,'Raw Data'!U426,'Raw Data'!W426,'Raw Data'!Y426),"")</f>
        <v/>
      </c>
      <c r="K439" s="14">
        <f>IF(I439&lt;&gt;"",I439-J439,"")</f>
        <v/>
      </c>
      <c r="L439" s="14">
        <f>IF('Raw Data'!A426&lt;&gt;"",AVERAGE('Raw Data'!Z426,'Raw Data'!AB426,'Raw Data'!AD426,'Raw Data'!AF426,'Raw Data'!AH426),"")</f>
        <v/>
      </c>
      <c r="M439" s="14">
        <f>IF('Raw Data'!A426&lt;&gt;"",AVERAGE('Raw Data'!AA426,'Raw Data'!AC426,'Raw Data'!AE426,'Raw Data'!AG426,'Raw Data'!AI426),"")</f>
        <v/>
      </c>
      <c r="N439" s="14">
        <f>IF(L439&lt;&gt;"",L439-M439,"")</f>
        <v/>
      </c>
      <c r="O439" s="14">
        <f>IF('Raw Data'!A426&lt;&gt;"",AVERAGE('Raw Data'!AJ426,'Raw Data'!AL426,'Raw Data'!AN426,'Raw Data'!AP426,'Raw Data'!AR426),"")</f>
        <v/>
      </c>
      <c r="P439" s="14">
        <f>IF('Raw Data'!A426&lt;&gt;"",AVERAGE('Raw Data'!AK426,'Raw Data'!AM426,'Raw Data'!AO426,'Raw Data'!AQ426,'Raw Data'!AS426),"")</f>
        <v/>
      </c>
      <c r="Q439" s="14">
        <f>IF(O439&lt;&gt;"",O439-P439,"")</f>
        <v/>
      </c>
      <c r="R439" s="14">
        <f>IF('Raw Data'!A426&lt;&gt;"",AVERAGE('Raw Data'!AT426,'Raw Data'!AV426,'Raw Data'!AX426,'Raw Data'!AZ426,'Raw Data'!BB426),"")</f>
        <v/>
      </c>
      <c r="S439" s="14">
        <f>IF('Raw Data'!A426&lt;&gt;"",AVERAGE('Raw Data'!AU426,'Raw Data'!AW426,'Raw Data'!AY426,'Raw Data'!BA426,'Raw Data'!BC426),"")</f>
        <v/>
      </c>
      <c r="T439" s="14">
        <f>IF(R439&lt;&gt;"",R439-S439,"")</f>
        <v/>
      </c>
      <c r="U439" s="14">
        <f>IF('Raw Data'!A426&lt;&gt;"",AVERAGE('Raw Data'!BD426,'Raw Data'!BF426,'Raw Data'!BH426,'Raw Data'!BJ426,'Raw Data'!BL426),"")</f>
        <v/>
      </c>
      <c r="V439" s="14">
        <f>IF('Raw Data'!A426&lt;&gt;"",AVERAGE('Raw Data'!BE426,'Raw Data'!BG426,'Raw Data'!BI426,'Raw Data'!BK426,'Raw Data'!BM426),"")</f>
        <v/>
      </c>
      <c r="W439" s="14">
        <f>IF(U439&lt;&gt;"",U439-V439,"")</f>
        <v/>
      </c>
      <c r="X439" s="14">
        <f>IF(A439&lt;&gt;"",AVERAGE(F439,I439,L439,O439,R439,U439),"")</f>
        <v/>
      </c>
      <c r="Y439" s="14">
        <f>IF(A439&lt;&gt;"",AVERAGE(G439,J439,M439,P439,S439,V439),"")</f>
        <v/>
      </c>
      <c r="Z439" s="14">
        <f>IF(A439&lt;&gt;"",X439-Y439,"")</f>
        <v/>
      </c>
      <c r="AA439" s="15">
        <f>IF(A439&lt;&gt;"",ROUND(MIN(100,100*((MAX(0,K439)*0.25)+(MAX(0,Q439)*0.20)+(MAX(0,W439)*0.20)+(MAX(0,H439)*0.15)+(MAX(0,N439)*0.10)+(MAX(0,T439)*0.10))/9),1),"")</f>
        <v/>
      </c>
      <c r="AB439" s="28">
        <f>IF(A439&lt;&gt;"",MIN(1,(0.5*AA439/100)+(0.3*MAX(0,K439)/9)+(0.2*MAX(0,Q439)/9)),"")</f>
        <v/>
      </c>
    </row>
    <row r="440">
      <c r="A440" s="13">
        <f>IF('Raw Data'!A427&lt;&gt;"",'Raw Data'!A427,"")</f>
        <v/>
      </c>
      <c r="B440" s="13">
        <f>IF('Raw Data'!B427&lt;&gt;"",'Raw Data'!B427,"")</f>
        <v/>
      </c>
      <c r="C440" s="13">
        <f>IF('Raw Data'!C427&lt;&gt;"",'Raw Data'!C427,"")</f>
        <v/>
      </c>
      <c r="D440" s="13">
        <f>IF('Raw Data'!D427&lt;&gt;"",'Raw Data'!D427,"")</f>
        <v/>
      </c>
      <c r="E440" s="13">
        <f>IF('Raw Data'!E427&lt;&gt;"",'Raw Data'!E427,"")</f>
        <v/>
      </c>
      <c r="F440" s="17">
        <f>IF('Raw Data'!A427&lt;&gt;"",AVERAGE('Raw Data'!F427,'Raw Data'!H427,'Raw Data'!J427,'Raw Data'!L427,'Raw Data'!N427),"")</f>
        <v/>
      </c>
      <c r="G440" s="17">
        <f>IF('Raw Data'!A427&lt;&gt;"",AVERAGE('Raw Data'!G427,'Raw Data'!I427,'Raw Data'!K427,'Raw Data'!M427,'Raw Data'!O427),"")</f>
        <v/>
      </c>
      <c r="H440" s="17">
        <f>IF(F440&lt;&gt;"",F440-G440,"")</f>
        <v/>
      </c>
      <c r="I440" s="17">
        <f>IF('Raw Data'!A427&lt;&gt;"",AVERAGE('Raw Data'!P427,'Raw Data'!R427,'Raw Data'!T427,'Raw Data'!V427,'Raw Data'!X427),"")</f>
        <v/>
      </c>
      <c r="J440" s="17">
        <f>IF('Raw Data'!A427&lt;&gt;"",AVERAGE('Raw Data'!Q427,'Raw Data'!S427,'Raw Data'!U427,'Raw Data'!W427,'Raw Data'!Y427),"")</f>
        <v/>
      </c>
      <c r="K440" s="17">
        <f>IF(I440&lt;&gt;"",I440-J440,"")</f>
        <v/>
      </c>
      <c r="L440" s="17">
        <f>IF('Raw Data'!A427&lt;&gt;"",AVERAGE('Raw Data'!Z427,'Raw Data'!AB427,'Raw Data'!AD427,'Raw Data'!AF427,'Raw Data'!AH427),"")</f>
        <v/>
      </c>
      <c r="M440" s="17">
        <f>IF('Raw Data'!A427&lt;&gt;"",AVERAGE('Raw Data'!AA427,'Raw Data'!AC427,'Raw Data'!AE427,'Raw Data'!AG427,'Raw Data'!AI427),"")</f>
        <v/>
      </c>
      <c r="N440" s="17">
        <f>IF(L440&lt;&gt;"",L440-M440,"")</f>
        <v/>
      </c>
      <c r="O440" s="17">
        <f>IF('Raw Data'!A427&lt;&gt;"",AVERAGE('Raw Data'!AJ427,'Raw Data'!AL427,'Raw Data'!AN427,'Raw Data'!AP427,'Raw Data'!AR427),"")</f>
        <v/>
      </c>
      <c r="P440" s="17">
        <f>IF('Raw Data'!A427&lt;&gt;"",AVERAGE('Raw Data'!AK427,'Raw Data'!AM427,'Raw Data'!AO427,'Raw Data'!AQ427,'Raw Data'!AS427),"")</f>
        <v/>
      </c>
      <c r="Q440" s="17">
        <f>IF(O440&lt;&gt;"",O440-P440,"")</f>
        <v/>
      </c>
      <c r="R440" s="17">
        <f>IF('Raw Data'!A427&lt;&gt;"",AVERAGE('Raw Data'!AT427,'Raw Data'!AV427,'Raw Data'!AX427,'Raw Data'!AZ427,'Raw Data'!BB427),"")</f>
        <v/>
      </c>
      <c r="S440" s="17">
        <f>IF('Raw Data'!A427&lt;&gt;"",AVERAGE('Raw Data'!AU427,'Raw Data'!AW427,'Raw Data'!AY427,'Raw Data'!BA427,'Raw Data'!BC427),"")</f>
        <v/>
      </c>
      <c r="T440" s="17">
        <f>IF(R440&lt;&gt;"",R440-S440,"")</f>
        <v/>
      </c>
      <c r="U440" s="17">
        <f>IF('Raw Data'!A427&lt;&gt;"",AVERAGE('Raw Data'!BD427,'Raw Data'!BF427,'Raw Data'!BH427,'Raw Data'!BJ427,'Raw Data'!BL427),"")</f>
        <v/>
      </c>
      <c r="V440" s="17">
        <f>IF('Raw Data'!A427&lt;&gt;"",AVERAGE('Raw Data'!BE427,'Raw Data'!BG427,'Raw Data'!BI427,'Raw Data'!BK427,'Raw Data'!BM427),"")</f>
        <v/>
      </c>
      <c r="W440" s="17">
        <f>IF(U440&lt;&gt;"",U440-V440,"")</f>
        <v/>
      </c>
      <c r="X440" s="17">
        <f>IF(A440&lt;&gt;"",AVERAGE(F440,I440,L440,O440,R440,U440),"")</f>
        <v/>
      </c>
      <c r="Y440" s="17">
        <f>IF(A440&lt;&gt;"",AVERAGE(G440,J440,M440,P440,S440,V440),"")</f>
        <v/>
      </c>
      <c r="Z440" s="17">
        <f>IF(A440&lt;&gt;"",X440-Y440,"")</f>
        <v/>
      </c>
      <c r="AA440" s="18">
        <f>IF(A440&lt;&gt;"",ROUND(MIN(100,100*((MAX(0,K440)*0.25)+(MAX(0,Q440)*0.20)+(MAX(0,W440)*0.20)+(MAX(0,H440)*0.15)+(MAX(0,N440)*0.10)+(MAX(0,T440)*0.10))/9),1),"")</f>
        <v/>
      </c>
      <c r="AB440" s="29">
        <f>IF(A440&lt;&gt;"",MIN(1,(0.5*AA440/100)+(0.3*MAX(0,K440)/9)+(0.2*MAX(0,Q440)/9)),"")</f>
        <v/>
      </c>
    </row>
    <row r="441">
      <c r="A441" s="4">
        <f>IF('Raw Data'!A428&lt;&gt;"",'Raw Data'!A428,"")</f>
        <v/>
      </c>
      <c r="B441" s="4">
        <f>IF('Raw Data'!B428&lt;&gt;"",'Raw Data'!B428,"")</f>
        <v/>
      </c>
      <c r="C441" s="4">
        <f>IF('Raw Data'!C428&lt;&gt;"",'Raw Data'!C428,"")</f>
        <v/>
      </c>
      <c r="D441" s="4">
        <f>IF('Raw Data'!D428&lt;&gt;"",'Raw Data'!D428,"")</f>
        <v/>
      </c>
      <c r="E441" s="4">
        <f>IF('Raw Data'!E428&lt;&gt;"",'Raw Data'!E428,"")</f>
        <v/>
      </c>
      <c r="F441" s="14">
        <f>IF('Raw Data'!A428&lt;&gt;"",AVERAGE('Raw Data'!F428,'Raw Data'!H428,'Raw Data'!J428,'Raw Data'!L428,'Raw Data'!N428),"")</f>
        <v/>
      </c>
      <c r="G441" s="14">
        <f>IF('Raw Data'!A428&lt;&gt;"",AVERAGE('Raw Data'!G428,'Raw Data'!I428,'Raw Data'!K428,'Raw Data'!M428,'Raw Data'!O428),"")</f>
        <v/>
      </c>
      <c r="H441" s="14">
        <f>IF(F441&lt;&gt;"",F441-G441,"")</f>
        <v/>
      </c>
      <c r="I441" s="14">
        <f>IF('Raw Data'!A428&lt;&gt;"",AVERAGE('Raw Data'!P428,'Raw Data'!R428,'Raw Data'!T428,'Raw Data'!V428,'Raw Data'!X428),"")</f>
        <v/>
      </c>
      <c r="J441" s="14">
        <f>IF('Raw Data'!A428&lt;&gt;"",AVERAGE('Raw Data'!Q428,'Raw Data'!S428,'Raw Data'!U428,'Raw Data'!W428,'Raw Data'!Y428),"")</f>
        <v/>
      </c>
      <c r="K441" s="14">
        <f>IF(I441&lt;&gt;"",I441-J441,"")</f>
        <v/>
      </c>
      <c r="L441" s="14">
        <f>IF('Raw Data'!A428&lt;&gt;"",AVERAGE('Raw Data'!Z428,'Raw Data'!AB428,'Raw Data'!AD428,'Raw Data'!AF428,'Raw Data'!AH428),"")</f>
        <v/>
      </c>
      <c r="M441" s="14">
        <f>IF('Raw Data'!A428&lt;&gt;"",AVERAGE('Raw Data'!AA428,'Raw Data'!AC428,'Raw Data'!AE428,'Raw Data'!AG428,'Raw Data'!AI428),"")</f>
        <v/>
      </c>
      <c r="N441" s="14">
        <f>IF(L441&lt;&gt;"",L441-M441,"")</f>
        <v/>
      </c>
      <c r="O441" s="14">
        <f>IF('Raw Data'!A428&lt;&gt;"",AVERAGE('Raw Data'!AJ428,'Raw Data'!AL428,'Raw Data'!AN428,'Raw Data'!AP428,'Raw Data'!AR428),"")</f>
        <v/>
      </c>
      <c r="P441" s="14">
        <f>IF('Raw Data'!A428&lt;&gt;"",AVERAGE('Raw Data'!AK428,'Raw Data'!AM428,'Raw Data'!AO428,'Raw Data'!AQ428,'Raw Data'!AS428),"")</f>
        <v/>
      </c>
      <c r="Q441" s="14">
        <f>IF(O441&lt;&gt;"",O441-P441,"")</f>
        <v/>
      </c>
      <c r="R441" s="14">
        <f>IF('Raw Data'!A428&lt;&gt;"",AVERAGE('Raw Data'!AT428,'Raw Data'!AV428,'Raw Data'!AX428,'Raw Data'!AZ428,'Raw Data'!BB428),"")</f>
        <v/>
      </c>
      <c r="S441" s="14">
        <f>IF('Raw Data'!A428&lt;&gt;"",AVERAGE('Raw Data'!AU428,'Raw Data'!AW428,'Raw Data'!AY428,'Raw Data'!BA428,'Raw Data'!BC428),"")</f>
        <v/>
      </c>
      <c r="T441" s="14">
        <f>IF(R441&lt;&gt;"",R441-S441,"")</f>
        <v/>
      </c>
      <c r="U441" s="14">
        <f>IF('Raw Data'!A428&lt;&gt;"",AVERAGE('Raw Data'!BD428,'Raw Data'!BF428,'Raw Data'!BH428,'Raw Data'!BJ428,'Raw Data'!BL428),"")</f>
        <v/>
      </c>
      <c r="V441" s="14">
        <f>IF('Raw Data'!A428&lt;&gt;"",AVERAGE('Raw Data'!BE428,'Raw Data'!BG428,'Raw Data'!BI428,'Raw Data'!BK428,'Raw Data'!BM428),"")</f>
        <v/>
      </c>
      <c r="W441" s="14">
        <f>IF(U441&lt;&gt;"",U441-V441,"")</f>
        <v/>
      </c>
      <c r="X441" s="14">
        <f>IF(A441&lt;&gt;"",AVERAGE(F441,I441,L441,O441,R441,U441),"")</f>
        <v/>
      </c>
      <c r="Y441" s="14">
        <f>IF(A441&lt;&gt;"",AVERAGE(G441,J441,M441,P441,S441,V441),"")</f>
        <v/>
      </c>
      <c r="Z441" s="14">
        <f>IF(A441&lt;&gt;"",X441-Y441,"")</f>
        <v/>
      </c>
      <c r="AA441" s="15">
        <f>IF(A441&lt;&gt;"",ROUND(MIN(100,100*((MAX(0,K441)*0.25)+(MAX(0,Q441)*0.20)+(MAX(0,W441)*0.20)+(MAX(0,H441)*0.15)+(MAX(0,N441)*0.10)+(MAX(0,T441)*0.10))/9),1),"")</f>
        <v/>
      </c>
      <c r="AB441" s="28">
        <f>IF(A441&lt;&gt;"",MIN(1,(0.5*AA441/100)+(0.3*MAX(0,K441)/9)+(0.2*MAX(0,Q441)/9)),"")</f>
        <v/>
      </c>
    </row>
    <row r="442">
      <c r="A442" s="13">
        <f>IF('Raw Data'!A429&lt;&gt;"",'Raw Data'!A429,"")</f>
        <v/>
      </c>
      <c r="B442" s="13">
        <f>IF('Raw Data'!B429&lt;&gt;"",'Raw Data'!B429,"")</f>
        <v/>
      </c>
      <c r="C442" s="13">
        <f>IF('Raw Data'!C429&lt;&gt;"",'Raw Data'!C429,"")</f>
        <v/>
      </c>
      <c r="D442" s="13">
        <f>IF('Raw Data'!D429&lt;&gt;"",'Raw Data'!D429,"")</f>
        <v/>
      </c>
      <c r="E442" s="13">
        <f>IF('Raw Data'!E429&lt;&gt;"",'Raw Data'!E429,"")</f>
        <v/>
      </c>
      <c r="F442" s="17">
        <f>IF('Raw Data'!A429&lt;&gt;"",AVERAGE('Raw Data'!F429,'Raw Data'!H429,'Raw Data'!J429,'Raw Data'!L429,'Raw Data'!N429),"")</f>
        <v/>
      </c>
      <c r="G442" s="17">
        <f>IF('Raw Data'!A429&lt;&gt;"",AVERAGE('Raw Data'!G429,'Raw Data'!I429,'Raw Data'!K429,'Raw Data'!M429,'Raw Data'!O429),"")</f>
        <v/>
      </c>
      <c r="H442" s="17">
        <f>IF(F442&lt;&gt;"",F442-G442,"")</f>
        <v/>
      </c>
      <c r="I442" s="17">
        <f>IF('Raw Data'!A429&lt;&gt;"",AVERAGE('Raw Data'!P429,'Raw Data'!R429,'Raw Data'!T429,'Raw Data'!V429,'Raw Data'!X429),"")</f>
        <v/>
      </c>
      <c r="J442" s="17">
        <f>IF('Raw Data'!A429&lt;&gt;"",AVERAGE('Raw Data'!Q429,'Raw Data'!S429,'Raw Data'!U429,'Raw Data'!W429,'Raw Data'!Y429),"")</f>
        <v/>
      </c>
      <c r="K442" s="17">
        <f>IF(I442&lt;&gt;"",I442-J442,"")</f>
        <v/>
      </c>
      <c r="L442" s="17">
        <f>IF('Raw Data'!A429&lt;&gt;"",AVERAGE('Raw Data'!Z429,'Raw Data'!AB429,'Raw Data'!AD429,'Raw Data'!AF429,'Raw Data'!AH429),"")</f>
        <v/>
      </c>
      <c r="M442" s="17">
        <f>IF('Raw Data'!A429&lt;&gt;"",AVERAGE('Raw Data'!AA429,'Raw Data'!AC429,'Raw Data'!AE429,'Raw Data'!AG429,'Raw Data'!AI429),"")</f>
        <v/>
      </c>
      <c r="N442" s="17">
        <f>IF(L442&lt;&gt;"",L442-M442,"")</f>
        <v/>
      </c>
      <c r="O442" s="17">
        <f>IF('Raw Data'!A429&lt;&gt;"",AVERAGE('Raw Data'!AJ429,'Raw Data'!AL429,'Raw Data'!AN429,'Raw Data'!AP429,'Raw Data'!AR429),"")</f>
        <v/>
      </c>
      <c r="P442" s="17">
        <f>IF('Raw Data'!A429&lt;&gt;"",AVERAGE('Raw Data'!AK429,'Raw Data'!AM429,'Raw Data'!AO429,'Raw Data'!AQ429,'Raw Data'!AS429),"")</f>
        <v/>
      </c>
      <c r="Q442" s="17">
        <f>IF(O442&lt;&gt;"",O442-P442,"")</f>
        <v/>
      </c>
      <c r="R442" s="17">
        <f>IF('Raw Data'!A429&lt;&gt;"",AVERAGE('Raw Data'!AT429,'Raw Data'!AV429,'Raw Data'!AX429,'Raw Data'!AZ429,'Raw Data'!BB429),"")</f>
        <v/>
      </c>
      <c r="S442" s="17">
        <f>IF('Raw Data'!A429&lt;&gt;"",AVERAGE('Raw Data'!AU429,'Raw Data'!AW429,'Raw Data'!AY429,'Raw Data'!BA429,'Raw Data'!BC429),"")</f>
        <v/>
      </c>
      <c r="T442" s="17">
        <f>IF(R442&lt;&gt;"",R442-S442,"")</f>
        <v/>
      </c>
      <c r="U442" s="17">
        <f>IF('Raw Data'!A429&lt;&gt;"",AVERAGE('Raw Data'!BD429,'Raw Data'!BF429,'Raw Data'!BH429,'Raw Data'!BJ429,'Raw Data'!BL429),"")</f>
        <v/>
      </c>
      <c r="V442" s="17">
        <f>IF('Raw Data'!A429&lt;&gt;"",AVERAGE('Raw Data'!BE429,'Raw Data'!BG429,'Raw Data'!BI429,'Raw Data'!BK429,'Raw Data'!BM429),"")</f>
        <v/>
      </c>
      <c r="W442" s="17">
        <f>IF(U442&lt;&gt;"",U442-V442,"")</f>
        <v/>
      </c>
      <c r="X442" s="17">
        <f>IF(A442&lt;&gt;"",AVERAGE(F442,I442,L442,O442,R442,U442),"")</f>
        <v/>
      </c>
      <c r="Y442" s="17">
        <f>IF(A442&lt;&gt;"",AVERAGE(G442,J442,M442,P442,S442,V442),"")</f>
        <v/>
      </c>
      <c r="Z442" s="17">
        <f>IF(A442&lt;&gt;"",X442-Y442,"")</f>
        <v/>
      </c>
      <c r="AA442" s="18">
        <f>IF(A442&lt;&gt;"",ROUND(MIN(100,100*((MAX(0,K442)*0.25)+(MAX(0,Q442)*0.20)+(MAX(0,W442)*0.20)+(MAX(0,H442)*0.15)+(MAX(0,N442)*0.10)+(MAX(0,T442)*0.10))/9),1),"")</f>
        <v/>
      </c>
      <c r="AB442" s="29">
        <f>IF(A442&lt;&gt;"",MIN(1,(0.5*AA442/100)+(0.3*MAX(0,K442)/9)+(0.2*MAX(0,Q442)/9)),"")</f>
        <v/>
      </c>
    </row>
    <row r="443">
      <c r="A443" s="4">
        <f>IF('Raw Data'!A430&lt;&gt;"",'Raw Data'!A430,"")</f>
        <v/>
      </c>
      <c r="B443" s="4">
        <f>IF('Raw Data'!B430&lt;&gt;"",'Raw Data'!B430,"")</f>
        <v/>
      </c>
      <c r="C443" s="4">
        <f>IF('Raw Data'!C430&lt;&gt;"",'Raw Data'!C430,"")</f>
        <v/>
      </c>
      <c r="D443" s="4">
        <f>IF('Raw Data'!D430&lt;&gt;"",'Raw Data'!D430,"")</f>
        <v/>
      </c>
      <c r="E443" s="4">
        <f>IF('Raw Data'!E430&lt;&gt;"",'Raw Data'!E430,"")</f>
        <v/>
      </c>
      <c r="F443" s="14">
        <f>IF('Raw Data'!A430&lt;&gt;"",AVERAGE('Raw Data'!F430,'Raw Data'!H430,'Raw Data'!J430,'Raw Data'!L430,'Raw Data'!N430),"")</f>
        <v/>
      </c>
      <c r="G443" s="14">
        <f>IF('Raw Data'!A430&lt;&gt;"",AVERAGE('Raw Data'!G430,'Raw Data'!I430,'Raw Data'!K430,'Raw Data'!M430,'Raw Data'!O430),"")</f>
        <v/>
      </c>
      <c r="H443" s="14">
        <f>IF(F443&lt;&gt;"",F443-G443,"")</f>
        <v/>
      </c>
      <c r="I443" s="14">
        <f>IF('Raw Data'!A430&lt;&gt;"",AVERAGE('Raw Data'!P430,'Raw Data'!R430,'Raw Data'!T430,'Raw Data'!V430,'Raw Data'!X430),"")</f>
        <v/>
      </c>
      <c r="J443" s="14">
        <f>IF('Raw Data'!A430&lt;&gt;"",AVERAGE('Raw Data'!Q430,'Raw Data'!S430,'Raw Data'!U430,'Raw Data'!W430,'Raw Data'!Y430),"")</f>
        <v/>
      </c>
      <c r="K443" s="14">
        <f>IF(I443&lt;&gt;"",I443-J443,"")</f>
        <v/>
      </c>
      <c r="L443" s="14">
        <f>IF('Raw Data'!A430&lt;&gt;"",AVERAGE('Raw Data'!Z430,'Raw Data'!AB430,'Raw Data'!AD430,'Raw Data'!AF430,'Raw Data'!AH430),"")</f>
        <v/>
      </c>
      <c r="M443" s="14">
        <f>IF('Raw Data'!A430&lt;&gt;"",AVERAGE('Raw Data'!AA430,'Raw Data'!AC430,'Raw Data'!AE430,'Raw Data'!AG430,'Raw Data'!AI430),"")</f>
        <v/>
      </c>
      <c r="N443" s="14">
        <f>IF(L443&lt;&gt;"",L443-M443,"")</f>
        <v/>
      </c>
      <c r="O443" s="14">
        <f>IF('Raw Data'!A430&lt;&gt;"",AVERAGE('Raw Data'!AJ430,'Raw Data'!AL430,'Raw Data'!AN430,'Raw Data'!AP430,'Raw Data'!AR430),"")</f>
        <v/>
      </c>
      <c r="P443" s="14">
        <f>IF('Raw Data'!A430&lt;&gt;"",AVERAGE('Raw Data'!AK430,'Raw Data'!AM430,'Raw Data'!AO430,'Raw Data'!AQ430,'Raw Data'!AS430),"")</f>
        <v/>
      </c>
      <c r="Q443" s="14">
        <f>IF(O443&lt;&gt;"",O443-P443,"")</f>
        <v/>
      </c>
      <c r="R443" s="14">
        <f>IF('Raw Data'!A430&lt;&gt;"",AVERAGE('Raw Data'!AT430,'Raw Data'!AV430,'Raw Data'!AX430,'Raw Data'!AZ430,'Raw Data'!BB430),"")</f>
        <v/>
      </c>
      <c r="S443" s="14">
        <f>IF('Raw Data'!A430&lt;&gt;"",AVERAGE('Raw Data'!AU430,'Raw Data'!AW430,'Raw Data'!AY430,'Raw Data'!BA430,'Raw Data'!BC430),"")</f>
        <v/>
      </c>
      <c r="T443" s="14">
        <f>IF(R443&lt;&gt;"",R443-S443,"")</f>
        <v/>
      </c>
      <c r="U443" s="14">
        <f>IF('Raw Data'!A430&lt;&gt;"",AVERAGE('Raw Data'!BD430,'Raw Data'!BF430,'Raw Data'!BH430,'Raw Data'!BJ430,'Raw Data'!BL430),"")</f>
        <v/>
      </c>
      <c r="V443" s="14">
        <f>IF('Raw Data'!A430&lt;&gt;"",AVERAGE('Raw Data'!BE430,'Raw Data'!BG430,'Raw Data'!BI430,'Raw Data'!BK430,'Raw Data'!BM430),"")</f>
        <v/>
      </c>
      <c r="W443" s="14">
        <f>IF(U443&lt;&gt;"",U443-V443,"")</f>
        <v/>
      </c>
      <c r="X443" s="14">
        <f>IF(A443&lt;&gt;"",AVERAGE(F443,I443,L443,O443,R443,U443),"")</f>
        <v/>
      </c>
      <c r="Y443" s="14">
        <f>IF(A443&lt;&gt;"",AVERAGE(G443,J443,M443,P443,S443,V443),"")</f>
        <v/>
      </c>
      <c r="Z443" s="14">
        <f>IF(A443&lt;&gt;"",X443-Y443,"")</f>
        <v/>
      </c>
      <c r="AA443" s="15">
        <f>IF(A443&lt;&gt;"",ROUND(MIN(100,100*((MAX(0,K443)*0.25)+(MAX(0,Q443)*0.20)+(MAX(0,W443)*0.20)+(MAX(0,H443)*0.15)+(MAX(0,N443)*0.10)+(MAX(0,T443)*0.10))/9),1),"")</f>
        <v/>
      </c>
      <c r="AB443" s="28">
        <f>IF(A443&lt;&gt;"",MIN(1,(0.5*AA443/100)+(0.3*MAX(0,K443)/9)+(0.2*MAX(0,Q443)/9)),"")</f>
        <v/>
      </c>
    </row>
    <row r="444">
      <c r="A444" s="13">
        <f>IF('Raw Data'!A431&lt;&gt;"",'Raw Data'!A431,"")</f>
        <v/>
      </c>
      <c r="B444" s="13">
        <f>IF('Raw Data'!B431&lt;&gt;"",'Raw Data'!B431,"")</f>
        <v/>
      </c>
      <c r="C444" s="13">
        <f>IF('Raw Data'!C431&lt;&gt;"",'Raw Data'!C431,"")</f>
        <v/>
      </c>
      <c r="D444" s="13">
        <f>IF('Raw Data'!D431&lt;&gt;"",'Raw Data'!D431,"")</f>
        <v/>
      </c>
      <c r="E444" s="13">
        <f>IF('Raw Data'!E431&lt;&gt;"",'Raw Data'!E431,"")</f>
        <v/>
      </c>
      <c r="F444" s="17">
        <f>IF('Raw Data'!A431&lt;&gt;"",AVERAGE('Raw Data'!F431,'Raw Data'!H431,'Raw Data'!J431,'Raw Data'!L431,'Raw Data'!N431),"")</f>
        <v/>
      </c>
      <c r="G444" s="17">
        <f>IF('Raw Data'!A431&lt;&gt;"",AVERAGE('Raw Data'!G431,'Raw Data'!I431,'Raw Data'!K431,'Raw Data'!M431,'Raw Data'!O431),"")</f>
        <v/>
      </c>
      <c r="H444" s="17">
        <f>IF(F444&lt;&gt;"",F444-G444,"")</f>
        <v/>
      </c>
      <c r="I444" s="17">
        <f>IF('Raw Data'!A431&lt;&gt;"",AVERAGE('Raw Data'!P431,'Raw Data'!R431,'Raw Data'!T431,'Raw Data'!V431,'Raw Data'!X431),"")</f>
        <v/>
      </c>
      <c r="J444" s="17">
        <f>IF('Raw Data'!A431&lt;&gt;"",AVERAGE('Raw Data'!Q431,'Raw Data'!S431,'Raw Data'!U431,'Raw Data'!W431,'Raw Data'!Y431),"")</f>
        <v/>
      </c>
      <c r="K444" s="17">
        <f>IF(I444&lt;&gt;"",I444-J444,"")</f>
        <v/>
      </c>
      <c r="L444" s="17">
        <f>IF('Raw Data'!A431&lt;&gt;"",AVERAGE('Raw Data'!Z431,'Raw Data'!AB431,'Raw Data'!AD431,'Raw Data'!AF431,'Raw Data'!AH431),"")</f>
        <v/>
      </c>
      <c r="M444" s="17">
        <f>IF('Raw Data'!A431&lt;&gt;"",AVERAGE('Raw Data'!AA431,'Raw Data'!AC431,'Raw Data'!AE431,'Raw Data'!AG431,'Raw Data'!AI431),"")</f>
        <v/>
      </c>
      <c r="N444" s="17">
        <f>IF(L444&lt;&gt;"",L444-M444,"")</f>
        <v/>
      </c>
      <c r="O444" s="17">
        <f>IF('Raw Data'!A431&lt;&gt;"",AVERAGE('Raw Data'!AJ431,'Raw Data'!AL431,'Raw Data'!AN431,'Raw Data'!AP431,'Raw Data'!AR431),"")</f>
        <v/>
      </c>
      <c r="P444" s="17">
        <f>IF('Raw Data'!A431&lt;&gt;"",AVERAGE('Raw Data'!AK431,'Raw Data'!AM431,'Raw Data'!AO431,'Raw Data'!AQ431,'Raw Data'!AS431),"")</f>
        <v/>
      </c>
      <c r="Q444" s="17">
        <f>IF(O444&lt;&gt;"",O444-P444,"")</f>
        <v/>
      </c>
      <c r="R444" s="17">
        <f>IF('Raw Data'!A431&lt;&gt;"",AVERAGE('Raw Data'!AT431,'Raw Data'!AV431,'Raw Data'!AX431,'Raw Data'!AZ431,'Raw Data'!BB431),"")</f>
        <v/>
      </c>
      <c r="S444" s="17">
        <f>IF('Raw Data'!A431&lt;&gt;"",AVERAGE('Raw Data'!AU431,'Raw Data'!AW431,'Raw Data'!AY431,'Raw Data'!BA431,'Raw Data'!BC431),"")</f>
        <v/>
      </c>
      <c r="T444" s="17">
        <f>IF(R444&lt;&gt;"",R444-S444,"")</f>
        <v/>
      </c>
      <c r="U444" s="17">
        <f>IF('Raw Data'!A431&lt;&gt;"",AVERAGE('Raw Data'!BD431,'Raw Data'!BF431,'Raw Data'!BH431,'Raw Data'!BJ431,'Raw Data'!BL431),"")</f>
        <v/>
      </c>
      <c r="V444" s="17">
        <f>IF('Raw Data'!A431&lt;&gt;"",AVERAGE('Raw Data'!BE431,'Raw Data'!BG431,'Raw Data'!BI431,'Raw Data'!BK431,'Raw Data'!BM431),"")</f>
        <v/>
      </c>
      <c r="W444" s="17">
        <f>IF(U444&lt;&gt;"",U444-V444,"")</f>
        <v/>
      </c>
      <c r="X444" s="17">
        <f>IF(A444&lt;&gt;"",AVERAGE(F444,I444,L444,O444,R444,U444),"")</f>
        <v/>
      </c>
      <c r="Y444" s="17">
        <f>IF(A444&lt;&gt;"",AVERAGE(G444,J444,M444,P444,S444,V444),"")</f>
        <v/>
      </c>
      <c r="Z444" s="17">
        <f>IF(A444&lt;&gt;"",X444-Y444,"")</f>
        <v/>
      </c>
      <c r="AA444" s="18">
        <f>IF(A444&lt;&gt;"",ROUND(MIN(100,100*((MAX(0,K444)*0.25)+(MAX(0,Q444)*0.20)+(MAX(0,W444)*0.20)+(MAX(0,H444)*0.15)+(MAX(0,N444)*0.10)+(MAX(0,T444)*0.10))/9),1),"")</f>
        <v/>
      </c>
      <c r="AB444" s="29">
        <f>IF(A444&lt;&gt;"",MIN(1,(0.5*AA444/100)+(0.3*MAX(0,K444)/9)+(0.2*MAX(0,Q444)/9)),"")</f>
        <v/>
      </c>
    </row>
    <row r="445">
      <c r="A445" s="4">
        <f>IF('Raw Data'!A432&lt;&gt;"",'Raw Data'!A432,"")</f>
        <v/>
      </c>
      <c r="B445" s="4">
        <f>IF('Raw Data'!B432&lt;&gt;"",'Raw Data'!B432,"")</f>
        <v/>
      </c>
      <c r="C445" s="4">
        <f>IF('Raw Data'!C432&lt;&gt;"",'Raw Data'!C432,"")</f>
        <v/>
      </c>
      <c r="D445" s="4">
        <f>IF('Raw Data'!D432&lt;&gt;"",'Raw Data'!D432,"")</f>
        <v/>
      </c>
      <c r="E445" s="4">
        <f>IF('Raw Data'!E432&lt;&gt;"",'Raw Data'!E432,"")</f>
        <v/>
      </c>
      <c r="F445" s="14">
        <f>IF('Raw Data'!A432&lt;&gt;"",AVERAGE('Raw Data'!F432,'Raw Data'!H432,'Raw Data'!J432,'Raw Data'!L432,'Raw Data'!N432),"")</f>
        <v/>
      </c>
      <c r="G445" s="14">
        <f>IF('Raw Data'!A432&lt;&gt;"",AVERAGE('Raw Data'!G432,'Raw Data'!I432,'Raw Data'!K432,'Raw Data'!M432,'Raw Data'!O432),"")</f>
        <v/>
      </c>
      <c r="H445" s="14">
        <f>IF(F445&lt;&gt;"",F445-G445,"")</f>
        <v/>
      </c>
      <c r="I445" s="14">
        <f>IF('Raw Data'!A432&lt;&gt;"",AVERAGE('Raw Data'!P432,'Raw Data'!R432,'Raw Data'!T432,'Raw Data'!V432,'Raw Data'!X432),"")</f>
        <v/>
      </c>
      <c r="J445" s="14">
        <f>IF('Raw Data'!A432&lt;&gt;"",AVERAGE('Raw Data'!Q432,'Raw Data'!S432,'Raw Data'!U432,'Raw Data'!W432,'Raw Data'!Y432),"")</f>
        <v/>
      </c>
      <c r="K445" s="14">
        <f>IF(I445&lt;&gt;"",I445-J445,"")</f>
        <v/>
      </c>
      <c r="L445" s="14">
        <f>IF('Raw Data'!A432&lt;&gt;"",AVERAGE('Raw Data'!Z432,'Raw Data'!AB432,'Raw Data'!AD432,'Raw Data'!AF432,'Raw Data'!AH432),"")</f>
        <v/>
      </c>
      <c r="M445" s="14">
        <f>IF('Raw Data'!A432&lt;&gt;"",AVERAGE('Raw Data'!AA432,'Raw Data'!AC432,'Raw Data'!AE432,'Raw Data'!AG432,'Raw Data'!AI432),"")</f>
        <v/>
      </c>
      <c r="N445" s="14">
        <f>IF(L445&lt;&gt;"",L445-M445,"")</f>
        <v/>
      </c>
      <c r="O445" s="14">
        <f>IF('Raw Data'!A432&lt;&gt;"",AVERAGE('Raw Data'!AJ432,'Raw Data'!AL432,'Raw Data'!AN432,'Raw Data'!AP432,'Raw Data'!AR432),"")</f>
        <v/>
      </c>
      <c r="P445" s="14">
        <f>IF('Raw Data'!A432&lt;&gt;"",AVERAGE('Raw Data'!AK432,'Raw Data'!AM432,'Raw Data'!AO432,'Raw Data'!AQ432,'Raw Data'!AS432),"")</f>
        <v/>
      </c>
      <c r="Q445" s="14">
        <f>IF(O445&lt;&gt;"",O445-P445,"")</f>
        <v/>
      </c>
      <c r="R445" s="14">
        <f>IF('Raw Data'!A432&lt;&gt;"",AVERAGE('Raw Data'!AT432,'Raw Data'!AV432,'Raw Data'!AX432,'Raw Data'!AZ432,'Raw Data'!BB432),"")</f>
        <v/>
      </c>
      <c r="S445" s="14">
        <f>IF('Raw Data'!A432&lt;&gt;"",AVERAGE('Raw Data'!AU432,'Raw Data'!AW432,'Raw Data'!AY432,'Raw Data'!BA432,'Raw Data'!BC432),"")</f>
        <v/>
      </c>
      <c r="T445" s="14">
        <f>IF(R445&lt;&gt;"",R445-S445,"")</f>
        <v/>
      </c>
      <c r="U445" s="14">
        <f>IF('Raw Data'!A432&lt;&gt;"",AVERAGE('Raw Data'!BD432,'Raw Data'!BF432,'Raw Data'!BH432,'Raw Data'!BJ432,'Raw Data'!BL432),"")</f>
        <v/>
      </c>
      <c r="V445" s="14">
        <f>IF('Raw Data'!A432&lt;&gt;"",AVERAGE('Raw Data'!BE432,'Raw Data'!BG432,'Raw Data'!BI432,'Raw Data'!BK432,'Raw Data'!BM432),"")</f>
        <v/>
      </c>
      <c r="W445" s="14">
        <f>IF(U445&lt;&gt;"",U445-V445,"")</f>
        <v/>
      </c>
      <c r="X445" s="14">
        <f>IF(A445&lt;&gt;"",AVERAGE(F445,I445,L445,O445,R445,U445),"")</f>
        <v/>
      </c>
      <c r="Y445" s="14">
        <f>IF(A445&lt;&gt;"",AVERAGE(G445,J445,M445,P445,S445,V445),"")</f>
        <v/>
      </c>
      <c r="Z445" s="14">
        <f>IF(A445&lt;&gt;"",X445-Y445,"")</f>
        <v/>
      </c>
      <c r="AA445" s="15">
        <f>IF(A445&lt;&gt;"",ROUND(MIN(100,100*((MAX(0,K445)*0.25)+(MAX(0,Q445)*0.20)+(MAX(0,W445)*0.20)+(MAX(0,H445)*0.15)+(MAX(0,N445)*0.10)+(MAX(0,T445)*0.10))/9),1),"")</f>
        <v/>
      </c>
      <c r="AB445" s="28">
        <f>IF(A445&lt;&gt;"",MIN(1,(0.5*AA445/100)+(0.3*MAX(0,K445)/9)+(0.2*MAX(0,Q445)/9)),"")</f>
        <v/>
      </c>
    </row>
    <row r="446">
      <c r="A446" s="13">
        <f>IF('Raw Data'!A433&lt;&gt;"",'Raw Data'!A433,"")</f>
        <v/>
      </c>
      <c r="B446" s="13">
        <f>IF('Raw Data'!B433&lt;&gt;"",'Raw Data'!B433,"")</f>
        <v/>
      </c>
      <c r="C446" s="13">
        <f>IF('Raw Data'!C433&lt;&gt;"",'Raw Data'!C433,"")</f>
        <v/>
      </c>
      <c r="D446" s="13">
        <f>IF('Raw Data'!D433&lt;&gt;"",'Raw Data'!D433,"")</f>
        <v/>
      </c>
      <c r="E446" s="13">
        <f>IF('Raw Data'!E433&lt;&gt;"",'Raw Data'!E433,"")</f>
        <v/>
      </c>
      <c r="F446" s="17">
        <f>IF('Raw Data'!A433&lt;&gt;"",AVERAGE('Raw Data'!F433,'Raw Data'!H433,'Raw Data'!J433,'Raw Data'!L433,'Raw Data'!N433),"")</f>
        <v/>
      </c>
      <c r="G446" s="17">
        <f>IF('Raw Data'!A433&lt;&gt;"",AVERAGE('Raw Data'!G433,'Raw Data'!I433,'Raw Data'!K433,'Raw Data'!M433,'Raw Data'!O433),"")</f>
        <v/>
      </c>
      <c r="H446" s="17">
        <f>IF(F446&lt;&gt;"",F446-G446,"")</f>
        <v/>
      </c>
      <c r="I446" s="17">
        <f>IF('Raw Data'!A433&lt;&gt;"",AVERAGE('Raw Data'!P433,'Raw Data'!R433,'Raw Data'!T433,'Raw Data'!V433,'Raw Data'!X433),"")</f>
        <v/>
      </c>
      <c r="J446" s="17">
        <f>IF('Raw Data'!A433&lt;&gt;"",AVERAGE('Raw Data'!Q433,'Raw Data'!S433,'Raw Data'!U433,'Raw Data'!W433,'Raw Data'!Y433),"")</f>
        <v/>
      </c>
      <c r="K446" s="17">
        <f>IF(I446&lt;&gt;"",I446-J446,"")</f>
        <v/>
      </c>
      <c r="L446" s="17">
        <f>IF('Raw Data'!A433&lt;&gt;"",AVERAGE('Raw Data'!Z433,'Raw Data'!AB433,'Raw Data'!AD433,'Raw Data'!AF433,'Raw Data'!AH433),"")</f>
        <v/>
      </c>
      <c r="M446" s="17">
        <f>IF('Raw Data'!A433&lt;&gt;"",AVERAGE('Raw Data'!AA433,'Raw Data'!AC433,'Raw Data'!AE433,'Raw Data'!AG433,'Raw Data'!AI433),"")</f>
        <v/>
      </c>
      <c r="N446" s="17">
        <f>IF(L446&lt;&gt;"",L446-M446,"")</f>
        <v/>
      </c>
      <c r="O446" s="17">
        <f>IF('Raw Data'!A433&lt;&gt;"",AVERAGE('Raw Data'!AJ433,'Raw Data'!AL433,'Raw Data'!AN433,'Raw Data'!AP433,'Raw Data'!AR433),"")</f>
        <v/>
      </c>
      <c r="P446" s="17">
        <f>IF('Raw Data'!A433&lt;&gt;"",AVERAGE('Raw Data'!AK433,'Raw Data'!AM433,'Raw Data'!AO433,'Raw Data'!AQ433,'Raw Data'!AS433),"")</f>
        <v/>
      </c>
      <c r="Q446" s="17">
        <f>IF(O446&lt;&gt;"",O446-P446,"")</f>
        <v/>
      </c>
      <c r="R446" s="17">
        <f>IF('Raw Data'!A433&lt;&gt;"",AVERAGE('Raw Data'!AT433,'Raw Data'!AV433,'Raw Data'!AX433,'Raw Data'!AZ433,'Raw Data'!BB433),"")</f>
        <v/>
      </c>
      <c r="S446" s="17">
        <f>IF('Raw Data'!A433&lt;&gt;"",AVERAGE('Raw Data'!AU433,'Raw Data'!AW433,'Raw Data'!AY433,'Raw Data'!BA433,'Raw Data'!BC433),"")</f>
        <v/>
      </c>
      <c r="T446" s="17">
        <f>IF(R446&lt;&gt;"",R446-S446,"")</f>
        <v/>
      </c>
      <c r="U446" s="17">
        <f>IF('Raw Data'!A433&lt;&gt;"",AVERAGE('Raw Data'!BD433,'Raw Data'!BF433,'Raw Data'!BH433,'Raw Data'!BJ433,'Raw Data'!BL433),"")</f>
        <v/>
      </c>
      <c r="V446" s="17">
        <f>IF('Raw Data'!A433&lt;&gt;"",AVERAGE('Raw Data'!BE433,'Raw Data'!BG433,'Raw Data'!BI433,'Raw Data'!BK433,'Raw Data'!BM433),"")</f>
        <v/>
      </c>
      <c r="W446" s="17">
        <f>IF(U446&lt;&gt;"",U446-V446,"")</f>
        <v/>
      </c>
      <c r="X446" s="17">
        <f>IF(A446&lt;&gt;"",AVERAGE(F446,I446,L446,O446,R446,U446),"")</f>
        <v/>
      </c>
      <c r="Y446" s="17">
        <f>IF(A446&lt;&gt;"",AVERAGE(G446,J446,M446,P446,S446,V446),"")</f>
        <v/>
      </c>
      <c r="Z446" s="17">
        <f>IF(A446&lt;&gt;"",X446-Y446,"")</f>
        <v/>
      </c>
      <c r="AA446" s="18">
        <f>IF(A446&lt;&gt;"",ROUND(MIN(100,100*((MAX(0,K446)*0.25)+(MAX(0,Q446)*0.20)+(MAX(0,W446)*0.20)+(MAX(0,H446)*0.15)+(MAX(0,N446)*0.10)+(MAX(0,T446)*0.10))/9),1),"")</f>
        <v/>
      </c>
      <c r="AB446" s="29">
        <f>IF(A446&lt;&gt;"",MIN(1,(0.5*AA446/100)+(0.3*MAX(0,K446)/9)+(0.2*MAX(0,Q446)/9)),"")</f>
        <v/>
      </c>
    </row>
    <row r="447">
      <c r="A447" s="4">
        <f>IF('Raw Data'!A434&lt;&gt;"",'Raw Data'!A434,"")</f>
        <v/>
      </c>
      <c r="B447" s="4">
        <f>IF('Raw Data'!B434&lt;&gt;"",'Raw Data'!B434,"")</f>
        <v/>
      </c>
      <c r="C447" s="4">
        <f>IF('Raw Data'!C434&lt;&gt;"",'Raw Data'!C434,"")</f>
        <v/>
      </c>
      <c r="D447" s="4">
        <f>IF('Raw Data'!D434&lt;&gt;"",'Raw Data'!D434,"")</f>
        <v/>
      </c>
      <c r="E447" s="4">
        <f>IF('Raw Data'!E434&lt;&gt;"",'Raw Data'!E434,"")</f>
        <v/>
      </c>
      <c r="F447" s="14">
        <f>IF('Raw Data'!A434&lt;&gt;"",AVERAGE('Raw Data'!F434,'Raw Data'!H434,'Raw Data'!J434,'Raw Data'!L434,'Raw Data'!N434),"")</f>
        <v/>
      </c>
      <c r="G447" s="14">
        <f>IF('Raw Data'!A434&lt;&gt;"",AVERAGE('Raw Data'!G434,'Raw Data'!I434,'Raw Data'!K434,'Raw Data'!M434,'Raw Data'!O434),"")</f>
        <v/>
      </c>
      <c r="H447" s="14">
        <f>IF(F447&lt;&gt;"",F447-G447,"")</f>
        <v/>
      </c>
      <c r="I447" s="14">
        <f>IF('Raw Data'!A434&lt;&gt;"",AVERAGE('Raw Data'!P434,'Raw Data'!R434,'Raw Data'!T434,'Raw Data'!V434,'Raw Data'!X434),"")</f>
        <v/>
      </c>
      <c r="J447" s="14">
        <f>IF('Raw Data'!A434&lt;&gt;"",AVERAGE('Raw Data'!Q434,'Raw Data'!S434,'Raw Data'!U434,'Raw Data'!W434,'Raw Data'!Y434),"")</f>
        <v/>
      </c>
      <c r="K447" s="14">
        <f>IF(I447&lt;&gt;"",I447-J447,"")</f>
        <v/>
      </c>
      <c r="L447" s="14">
        <f>IF('Raw Data'!A434&lt;&gt;"",AVERAGE('Raw Data'!Z434,'Raw Data'!AB434,'Raw Data'!AD434,'Raw Data'!AF434,'Raw Data'!AH434),"")</f>
        <v/>
      </c>
      <c r="M447" s="14">
        <f>IF('Raw Data'!A434&lt;&gt;"",AVERAGE('Raw Data'!AA434,'Raw Data'!AC434,'Raw Data'!AE434,'Raw Data'!AG434,'Raw Data'!AI434),"")</f>
        <v/>
      </c>
      <c r="N447" s="14">
        <f>IF(L447&lt;&gt;"",L447-M447,"")</f>
        <v/>
      </c>
      <c r="O447" s="14">
        <f>IF('Raw Data'!A434&lt;&gt;"",AVERAGE('Raw Data'!AJ434,'Raw Data'!AL434,'Raw Data'!AN434,'Raw Data'!AP434,'Raw Data'!AR434),"")</f>
        <v/>
      </c>
      <c r="P447" s="14">
        <f>IF('Raw Data'!A434&lt;&gt;"",AVERAGE('Raw Data'!AK434,'Raw Data'!AM434,'Raw Data'!AO434,'Raw Data'!AQ434,'Raw Data'!AS434),"")</f>
        <v/>
      </c>
      <c r="Q447" s="14">
        <f>IF(O447&lt;&gt;"",O447-P447,"")</f>
        <v/>
      </c>
      <c r="R447" s="14">
        <f>IF('Raw Data'!A434&lt;&gt;"",AVERAGE('Raw Data'!AT434,'Raw Data'!AV434,'Raw Data'!AX434,'Raw Data'!AZ434,'Raw Data'!BB434),"")</f>
        <v/>
      </c>
      <c r="S447" s="14">
        <f>IF('Raw Data'!A434&lt;&gt;"",AVERAGE('Raw Data'!AU434,'Raw Data'!AW434,'Raw Data'!AY434,'Raw Data'!BA434,'Raw Data'!BC434),"")</f>
        <v/>
      </c>
      <c r="T447" s="14">
        <f>IF(R447&lt;&gt;"",R447-S447,"")</f>
        <v/>
      </c>
      <c r="U447" s="14">
        <f>IF('Raw Data'!A434&lt;&gt;"",AVERAGE('Raw Data'!BD434,'Raw Data'!BF434,'Raw Data'!BH434,'Raw Data'!BJ434,'Raw Data'!BL434),"")</f>
        <v/>
      </c>
      <c r="V447" s="14">
        <f>IF('Raw Data'!A434&lt;&gt;"",AVERAGE('Raw Data'!BE434,'Raw Data'!BG434,'Raw Data'!BI434,'Raw Data'!BK434,'Raw Data'!BM434),"")</f>
        <v/>
      </c>
      <c r="W447" s="14">
        <f>IF(U447&lt;&gt;"",U447-V447,"")</f>
        <v/>
      </c>
      <c r="X447" s="14">
        <f>IF(A447&lt;&gt;"",AVERAGE(F447,I447,L447,O447,R447,U447),"")</f>
        <v/>
      </c>
      <c r="Y447" s="14">
        <f>IF(A447&lt;&gt;"",AVERAGE(G447,J447,M447,P447,S447,V447),"")</f>
        <v/>
      </c>
      <c r="Z447" s="14">
        <f>IF(A447&lt;&gt;"",X447-Y447,"")</f>
        <v/>
      </c>
      <c r="AA447" s="15">
        <f>IF(A447&lt;&gt;"",ROUND(MIN(100,100*((MAX(0,K447)*0.25)+(MAX(0,Q447)*0.20)+(MAX(0,W447)*0.20)+(MAX(0,H447)*0.15)+(MAX(0,N447)*0.10)+(MAX(0,T447)*0.10))/9),1),"")</f>
        <v/>
      </c>
      <c r="AB447" s="28">
        <f>IF(A447&lt;&gt;"",MIN(1,(0.5*AA447/100)+(0.3*MAX(0,K447)/9)+(0.2*MAX(0,Q447)/9)),"")</f>
        <v/>
      </c>
    </row>
    <row r="448">
      <c r="A448" s="13">
        <f>IF('Raw Data'!A435&lt;&gt;"",'Raw Data'!A435,"")</f>
        <v/>
      </c>
      <c r="B448" s="13">
        <f>IF('Raw Data'!B435&lt;&gt;"",'Raw Data'!B435,"")</f>
        <v/>
      </c>
      <c r="C448" s="13">
        <f>IF('Raw Data'!C435&lt;&gt;"",'Raw Data'!C435,"")</f>
        <v/>
      </c>
      <c r="D448" s="13">
        <f>IF('Raw Data'!D435&lt;&gt;"",'Raw Data'!D435,"")</f>
        <v/>
      </c>
      <c r="E448" s="13">
        <f>IF('Raw Data'!E435&lt;&gt;"",'Raw Data'!E435,"")</f>
        <v/>
      </c>
      <c r="F448" s="17">
        <f>IF('Raw Data'!A435&lt;&gt;"",AVERAGE('Raw Data'!F435,'Raw Data'!H435,'Raw Data'!J435,'Raw Data'!L435,'Raw Data'!N435),"")</f>
        <v/>
      </c>
      <c r="G448" s="17">
        <f>IF('Raw Data'!A435&lt;&gt;"",AVERAGE('Raw Data'!G435,'Raw Data'!I435,'Raw Data'!K435,'Raw Data'!M435,'Raw Data'!O435),"")</f>
        <v/>
      </c>
      <c r="H448" s="17">
        <f>IF(F448&lt;&gt;"",F448-G448,"")</f>
        <v/>
      </c>
      <c r="I448" s="17">
        <f>IF('Raw Data'!A435&lt;&gt;"",AVERAGE('Raw Data'!P435,'Raw Data'!R435,'Raw Data'!T435,'Raw Data'!V435,'Raw Data'!X435),"")</f>
        <v/>
      </c>
      <c r="J448" s="17">
        <f>IF('Raw Data'!A435&lt;&gt;"",AVERAGE('Raw Data'!Q435,'Raw Data'!S435,'Raw Data'!U435,'Raw Data'!W435,'Raw Data'!Y435),"")</f>
        <v/>
      </c>
      <c r="K448" s="17">
        <f>IF(I448&lt;&gt;"",I448-J448,"")</f>
        <v/>
      </c>
      <c r="L448" s="17">
        <f>IF('Raw Data'!A435&lt;&gt;"",AVERAGE('Raw Data'!Z435,'Raw Data'!AB435,'Raw Data'!AD435,'Raw Data'!AF435,'Raw Data'!AH435),"")</f>
        <v/>
      </c>
      <c r="M448" s="17">
        <f>IF('Raw Data'!A435&lt;&gt;"",AVERAGE('Raw Data'!AA435,'Raw Data'!AC435,'Raw Data'!AE435,'Raw Data'!AG435,'Raw Data'!AI435),"")</f>
        <v/>
      </c>
      <c r="N448" s="17">
        <f>IF(L448&lt;&gt;"",L448-M448,"")</f>
        <v/>
      </c>
      <c r="O448" s="17">
        <f>IF('Raw Data'!A435&lt;&gt;"",AVERAGE('Raw Data'!AJ435,'Raw Data'!AL435,'Raw Data'!AN435,'Raw Data'!AP435,'Raw Data'!AR435),"")</f>
        <v/>
      </c>
      <c r="P448" s="17">
        <f>IF('Raw Data'!A435&lt;&gt;"",AVERAGE('Raw Data'!AK435,'Raw Data'!AM435,'Raw Data'!AO435,'Raw Data'!AQ435,'Raw Data'!AS435),"")</f>
        <v/>
      </c>
      <c r="Q448" s="17">
        <f>IF(O448&lt;&gt;"",O448-P448,"")</f>
        <v/>
      </c>
      <c r="R448" s="17">
        <f>IF('Raw Data'!A435&lt;&gt;"",AVERAGE('Raw Data'!AT435,'Raw Data'!AV435,'Raw Data'!AX435,'Raw Data'!AZ435,'Raw Data'!BB435),"")</f>
        <v/>
      </c>
      <c r="S448" s="17">
        <f>IF('Raw Data'!A435&lt;&gt;"",AVERAGE('Raw Data'!AU435,'Raw Data'!AW435,'Raw Data'!AY435,'Raw Data'!BA435,'Raw Data'!BC435),"")</f>
        <v/>
      </c>
      <c r="T448" s="17">
        <f>IF(R448&lt;&gt;"",R448-S448,"")</f>
        <v/>
      </c>
      <c r="U448" s="17">
        <f>IF('Raw Data'!A435&lt;&gt;"",AVERAGE('Raw Data'!BD435,'Raw Data'!BF435,'Raw Data'!BH435,'Raw Data'!BJ435,'Raw Data'!BL435),"")</f>
        <v/>
      </c>
      <c r="V448" s="17">
        <f>IF('Raw Data'!A435&lt;&gt;"",AVERAGE('Raw Data'!BE435,'Raw Data'!BG435,'Raw Data'!BI435,'Raw Data'!BK435,'Raw Data'!BM435),"")</f>
        <v/>
      </c>
      <c r="W448" s="17">
        <f>IF(U448&lt;&gt;"",U448-V448,"")</f>
        <v/>
      </c>
      <c r="X448" s="17">
        <f>IF(A448&lt;&gt;"",AVERAGE(F448,I448,L448,O448,R448,U448),"")</f>
        <v/>
      </c>
      <c r="Y448" s="17">
        <f>IF(A448&lt;&gt;"",AVERAGE(G448,J448,M448,P448,S448,V448),"")</f>
        <v/>
      </c>
      <c r="Z448" s="17">
        <f>IF(A448&lt;&gt;"",X448-Y448,"")</f>
        <v/>
      </c>
      <c r="AA448" s="18">
        <f>IF(A448&lt;&gt;"",ROUND(MIN(100,100*((MAX(0,K448)*0.25)+(MAX(0,Q448)*0.20)+(MAX(0,W448)*0.20)+(MAX(0,H448)*0.15)+(MAX(0,N448)*0.10)+(MAX(0,T448)*0.10))/9),1),"")</f>
        <v/>
      </c>
      <c r="AB448" s="29">
        <f>IF(A448&lt;&gt;"",MIN(1,(0.5*AA448/100)+(0.3*MAX(0,K448)/9)+(0.2*MAX(0,Q448)/9)),"")</f>
        <v/>
      </c>
    </row>
    <row r="449">
      <c r="A449" s="4">
        <f>IF('Raw Data'!A436&lt;&gt;"",'Raw Data'!A436,"")</f>
        <v/>
      </c>
      <c r="B449" s="4">
        <f>IF('Raw Data'!B436&lt;&gt;"",'Raw Data'!B436,"")</f>
        <v/>
      </c>
      <c r="C449" s="4">
        <f>IF('Raw Data'!C436&lt;&gt;"",'Raw Data'!C436,"")</f>
        <v/>
      </c>
      <c r="D449" s="4">
        <f>IF('Raw Data'!D436&lt;&gt;"",'Raw Data'!D436,"")</f>
        <v/>
      </c>
      <c r="E449" s="4">
        <f>IF('Raw Data'!E436&lt;&gt;"",'Raw Data'!E436,"")</f>
        <v/>
      </c>
      <c r="F449" s="14">
        <f>IF('Raw Data'!A436&lt;&gt;"",AVERAGE('Raw Data'!F436,'Raw Data'!H436,'Raw Data'!J436,'Raw Data'!L436,'Raw Data'!N436),"")</f>
        <v/>
      </c>
      <c r="G449" s="14">
        <f>IF('Raw Data'!A436&lt;&gt;"",AVERAGE('Raw Data'!G436,'Raw Data'!I436,'Raw Data'!K436,'Raw Data'!M436,'Raw Data'!O436),"")</f>
        <v/>
      </c>
      <c r="H449" s="14">
        <f>IF(F449&lt;&gt;"",F449-G449,"")</f>
        <v/>
      </c>
      <c r="I449" s="14">
        <f>IF('Raw Data'!A436&lt;&gt;"",AVERAGE('Raw Data'!P436,'Raw Data'!R436,'Raw Data'!T436,'Raw Data'!V436,'Raw Data'!X436),"")</f>
        <v/>
      </c>
      <c r="J449" s="14">
        <f>IF('Raw Data'!A436&lt;&gt;"",AVERAGE('Raw Data'!Q436,'Raw Data'!S436,'Raw Data'!U436,'Raw Data'!W436,'Raw Data'!Y436),"")</f>
        <v/>
      </c>
      <c r="K449" s="14">
        <f>IF(I449&lt;&gt;"",I449-J449,"")</f>
        <v/>
      </c>
      <c r="L449" s="14">
        <f>IF('Raw Data'!A436&lt;&gt;"",AVERAGE('Raw Data'!Z436,'Raw Data'!AB436,'Raw Data'!AD436,'Raw Data'!AF436,'Raw Data'!AH436),"")</f>
        <v/>
      </c>
      <c r="M449" s="14">
        <f>IF('Raw Data'!A436&lt;&gt;"",AVERAGE('Raw Data'!AA436,'Raw Data'!AC436,'Raw Data'!AE436,'Raw Data'!AG436,'Raw Data'!AI436),"")</f>
        <v/>
      </c>
      <c r="N449" s="14">
        <f>IF(L449&lt;&gt;"",L449-M449,"")</f>
        <v/>
      </c>
      <c r="O449" s="14">
        <f>IF('Raw Data'!A436&lt;&gt;"",AVERAGE('Raw Data'!AJ436,'Raw Data'!AL436,'Raw Data'!AN436,'Raw Data'!AP436,'Raw Data'!AR436),"")</f>
        <v/>
      </c>
      <c r="P449" s="14">
        <f>IF('Raw Data'!A436&lt;&gt;"",AVERAGE('Raw Data'!AK436,'Raw Data'!AM436,'Raw Data'!AO436,'Raw Data'!AQ436,'Raw Data'!AS436),"")</f>
        <v/>
      </c>
      <c r="Q449" s="14">
        <f>IF(O449&lt;&gt;"",O449-P449,"")</f>
        <v/>
      </c>
      <c r="R449" s="14">
        <f>IF('Raw Data'!A436&lt;&gt;"",AVERAGE('Raw Data'!AT436,'Raw Data'!AV436,'Raw Data'!AX436,'Raw Data'!AZ436,'Raw Data'!BB436),"")</f>
        <v/>
      </c>
      <c r="S449" s="14">
        <f>IF('Raw Data'!A436&lt;&gt;"",AVERAGE('Raw Data'!AU436,'Raw Data'!AW436,'Raw Data'!AY436,'Raw Data'!BA436,'Raw Data'!BC436),"")</f>
        <v/>
      </c>
      <c r="T449" s="14">
        <f>IF(R449&lt;&gt;"",R449-S449,"")</f>
        <v/>
      </c>
      <c r="U449" s="14">
        <f>IF('Raw Data'!A436&lt;&gt;"",AVERAGE('Raw Data'!BD436,'Raw Data'!BF436,'Raw Data'!BH436,'Raw Data'!BJ436,'Raw Data'!BL436),"")</f>
        <v/>
      </c>
      <c r="V449" s="14">
        <f>IF('Raw Data'!A436&lt;&gt;"",AVERAGE('Raw Data'!BE436,'Raw Data'!BG436,'Raw Data'!BI436,'Raw Data'!BK436,'Raw Data'!BM436),"")</f>
        <v/>
      </c>
      <c r="W449" s="14">
        <f>IF(U449&lt;&gt;"",U449-V449,"")</f>
        <v/>
      </c>
      <c r="X449" s="14">
        <f>IF(A449&lt;&gt;"",AVERAGE(F449,I449,L449,O449,R449,U449),"")</f>
        <v/>
      </c>
      <c r="Y449" s="14">
        <f>IF(A449&lt;&gt;"",AVERAGE(G449,J449,M449,P449,S449,V449),"")</f>
        <v/>
      </c>
      <c r="Z449" s="14">
        <f>IF(A449&lt;&gt;"",X449-Y449,"")</f>
        <v/>
      </c>
      <c r="AA449" s="15">
        <f>IF(A449&lt;&gt;"",ROUND(MIN(100,100*((MAX(0,K449)*0.25)+(MAX(0,Q449)*0.20)+(MAX(0,W449)*0.20)+(MAX(0,H449)*0.15)+(MAX(0,N449)*0.10)+(MAX(0,T449)*0.10))/9),1),"")</f>
        <v/>
      </c>
      <c r="AB449" s="28">
        <f>IF(A449&lt;&gt;"",MIN(1,(0.5*AA449/100)+(0.3*MAX(0,K449)/9)+(0.2*MAX(0,Q449)/9)),"")</f>
        <v/>
      </c>
    </row>
    <row r="450">
      <c r="A450" s="13">
        <f>IF('Raw Data'!A437&lt;&gt;"",'Raw Data'!A437,"")</f>
        <v/>
      </c>
      <c r="B450" s="13">
        <f>IF('Raw Data'!B437&lt;&gt;"",'Raw Data'!B437,"")</f>
        <v/>
      </c>
      <c r="C450" s="13">
        <f>IF('Raw Data'!C437&lt;&gt;"",'Raw Data'!C437,"")</f>
        <v/>
      </c>
      <c r="D450" s="13">
        <f>IF('Raw Data'!D437&lt;&gt;"",'Raw Data'!D437,"")</f>
        <v/>
      </c>
      <c r="E450" s="13">
        <f>IF('Raw Data'!E437&lt;&gt;"",'Raw Data'!E437,"")</f>
        <v/>
      </c>
      <c r="F450" s="17">
        <f>IF('Raw Data'!A437&lt;&gt;"",AVERAGE('Raw Data'!F437,'Raw Data'!H437,'Raw Data'!J437,'Raw Data'!L437,'Raw Data'!N437),"")</f>
        <v/>
      </c>
      <c r="G450" s="17">
        <f>IF('Raw Data'!A437&lt;&gt;"",AVERAGE('Raw Data'!G437,'Raw Data'!I437,'Raw Data'!K437,'Raw Data'!M437,'Raw Data'!O437),"")</f>
        <v/>
      </c>
      <c r="H450" s="17">
        <f>IF(F450&lt;&gt;"",F450-G450,"")</f>
        <v/>
      </c>
      <c r="I450" s="17">
        <f>IF('Raw Data'!A437&lt;&gt;"",AVERAGE('Raw Data'!P437,'Raw Data'!R437,'Raw Data'!T437,'Raw Data'!V437,'Raw Data'!X437),"")</f>
        <v/>
      </c>
      <c r="J450" s="17">
        <f>IF('Raw Data'!A437&lt;&gt;"",AVERAGE('Raw Data'!Q437,'Raw Data'!S437,'Raw Data'!U437,'Raw Data'!W437,'Raw Data'!Y437),"")</f>
        <v/>
      </c>
      <c r="K450" s="17">
        <f>IF(I450&lt;&gt;"",I450-J450,"")</f>
        <v/>
      </c>
      <c r="L450" s="17">
        <f>IF('Raw Data'!A437&lt;&gt;"",AVERAGE('Raw Data'!Z437,'Raw Data'!AB437,'Raw Data'!AD437,'Raw Data'!AF437,'Raw Data'!AH437),"")</f>
        <v/>
      </c>
      <c r="M450" s="17">
        <f>IF('Raw Data'!A437&lt;&gt;"",AVERAGE('Raw Data'!AA437,'Raw Data'!AC437,'Raw Data'!AE437,'Raw Data'!AG437,'Raw Data'!AI437),"")</f>
        <v/>
      </c>
      <c r="N450" s="17">
        <f>IF(L450&lt;&gt;"",L450-M450,"")</f>
        <v/>
      </c>
      <c r="O450" s="17">
        <f>IF('Raw Data'!A437&lt;&gt;"",AVERAGE('Raw Data'!AJ437,'Raw Data'!AL437,'Raw Data'!AN437,'Raw Data'!AP437,'Raw Data'!AR437),"")</f>
        <v/>
      </c>
      <c r="P450" s="17">
        <f>IF('Raw Data'!A437&lt;&gt;"",AVERAGE('Raw Data'!AK437,'Raw Data'!AM437,'Raw Data'!AO437,'Raw Data'!AQ437,'Raw Data'!AS437),"")</f>
        <v/>
      </c>
      <c r="Q450" s="17">
        <f>IF(O450&lt;&gt;"",O450-P450,"")</f>
        <v/>
      </c>
      <c r="R450" s="17">
        <f>IF('Raw Data'!A437&lt;&gt;"",AVERAGE('Raw Data'!AT437,'Raw Data'!AV437,'Raw Data'!AX437,'Raw Data'!AZ437,'Raw Data'!BB437),"")</f>
        <v/>
      </c>
      <c r="S450" s="17">
        <f>IF('Raw Data'!A437&lt;&gt;"",AVERAGE('Raw Data'!AU437,'Raw Data'!AW437,'Raw Data'!AY437,'Raw Data'!BA437,'Raw Data'!BC437),"")</f>
        <v/>
      </c>
      <c r="T450" s="17">
        <f>IF(R450&lt;&gt;"",R450-S450,"")</f>
        <v/>
      </c>
      <c r="U450" s="17">
        <f>IF('Raw Data'!A437&lt;&gt;"",AVERAGE('Raw Data'!BD437,'Raw Data'!BF437,'Raw Data'!BH437,'Raw Data'!BJ437,'Raw Data'!BL437),"")</f>
        <v/>
      </c>
      <c r="V450" s="17">
        <f>IF('Raw Data'!A437&lt;&gt;"",AVERAGE('Raw Data'!BE437,'Raw Data'!BG437,'Raw Data'!BI437,'Raw Data'!BK437,'Raw Data'!BM437),"")</f>
        <v/>
      </c>
      <c r="W450" s="17">
        <f>IF(U450&lt;&gt;"",U450-V450,"")</f>
        <v/>
      </c>
      <c r="X450" s="17">
        <f>IF(A450&lt;&gt;"",AVERAGE(F450,I450,L450,O450,R450,U450),"")</f>
        <v/>
      </c>
      <c r="Y450" s="17">
        <f>IF(A450&lt;&gt;"",AVERAGE(G450,J450,M450,P450,S450,V450),"")</f>
        <v/>
      </c>
      <c r="Z450" s="17">
        <f>IF(A450&lt;&gt;"",X450-Y450,"")</f>
        <v/>
      </c>
      <c r="AA450" s="18">
        <f>IF(A450&lt;&gt;"",ROUND(MIN(100,100*((MAX(0,K450)*0.25)+(MAX(0,Q450)*0.20)+(MAX(0,W450)*0.20)+(MAX(0,H450)*0.15)+(MAX(0,N450)*0.10)+(MAX(0,T450)*0.10))/9),1),"")</f>
        <v/>
      </c>
      <c r="AB450" s="29">
        <f>IF(A450&lt;&gt;"",MIN(1,(0.5*AA450/100)+(0.3*MAX(0,K450)/9)+(0.2*MAX(0,Q450)/9)),"")</f>
        <v/>
      </c>
    </row>
    <row r="451">
      <c r="A451" s="4">
        <f>IF('Raw Data'!A438&lt;&gt;"",'Raw Data'!A438,"")</f>
        <v/>
      </c>
      <c r="B451" s="4">
        <f>IF('Raw Data'!B438&lt;&gt;"",'Raw Data'!B438,"")</f>
        <v/>
      </c>
      <c r="C451" s="4">
        <f>IF('Raw Data'!C438&lt;&gt;"",'Raw Data'!C438,"")</f>
        <v/>
      </c>
      <c r="D451" s="4">
        <f>IF('Raw Data'!D438&lt;&gt;"",'Raw Data'!D438,"")</f>
        <v/>
      </c>
      <c r="E451" s="4">
        <f>IF('Raw Data'!E438&lt;&gt;"",'Raw Data'!E438,"")</f>
        <v/>
      </c>
      <c r="F451" s="14">
        <f>IF('Raw Data'!A438&lt;&gt;"",AVERAGE('Raw Data'!F438,'Raw Data'!H438,'Raw Data'!J438,'Raw Data'!L438,'Raw Data'!N438),"")</f>
        <v/>
      </c>
      <c r="G451" s="14">
        <f>IF('Raw Data'!A438&lt;&gt;"",AVERAGE('Raw Data'!G438,'Raw Data'!I438,'Raw Data'!K438,'Raw Data'!M438,'Raw Data'!O438),"")</f>
        <v/>
      </c>
      <c r="H451" s="14">
        <f>IF(F451&lt;&gt;"",F451-G451,"")</f>
        <v/>
      </c>
      <c r="I451" s="14">
        <f>IF('Raw Data'!A438&lt;&gt;"",AVERAGE('Raw Data'!P438,'Raw Data'!R438,'Raw Data'!T438,'Raw Data'!V438,'Raw Data'!X438),"")</f>
        <v/>
      </c>
      <c r="J451" s="14">
        <f>IF('Raw Data'!A438&lt;&gt;"",AVERAGE('Raw Data'!Q438,'Raw Data'!S438,'Raw Data'!U438,'Raw Data'!W438,'Raw Data'!Y438),"")</f>
        <v/>
      </c>
      <c r="K451" s="14">
        <f>IF(I451&lt;&gt;"",I451-J451,"")</f>
        <v/>
      </c>
      <c r="L451" s="14">
        <f>IF('Raw Data'!A438&lt;&gt;"",AVERAGE('Raw Data'!Z438,'Raw Data'!AB438,'Raw Data'!AD438,'Raw Data'!AF438,'Raw Data'!AH438),"")</f>
        <v/>
      </c>
      <c r="M451" s="14">
        <f>IF('Raw Data'!A438&lt;&gt;"",AVERAGE('Raw Data'!AA438,'Raw Data'!AC438,'Raw Data'!AE438,'Raw Data'!AG438,'Raw Data'!AI438),"")</f>
        <v/>
      </c>
      <c r="N451" s="14">
        <f>IF(L451&lt;&gt;"",L451-M451,"")</f>
        <v/>
      </c>
      <c r="O451" s="14">
        <f>IF('Raw Data'!A438&lt;&gt;"",AVERAGE('Raw Data'!AJ438,'Raw Data'!AL438,'Raw Data'!AN438,'Raw Data'!AP438,'Raw Data'!AR438),"")</f>
        <v/>
      </c>
      <c r="P451" s="14">
        <f>IF('Raw Data'!A438&lt;&gt;"",AVERAGE('Raw Data'!AK438,'Raw Data'!AM438,'Raw Data'!AO438,'Raw Data'!AQ438,'Raw Data'!AS438),"")</f>
        <v/>
      </c>
      <c r="Q451" s="14">
        <f>IF(O451&lt;&gt;"",O451-P451,"")</f>
        <v/>
      </c>
      <c r="R451" s="14">
        <f>IF('Raw Data'!A438&lt;&gt;"",AVERAGE('Raw Data'!AT438,'Raw Data'!AV438,'Raw Data'!AX438,'Raw Data'!AZ438,'Raw Data'!BB438),"")</f>
        <v/>
      </c>
      <c r="S451" s="14">
        <f>IF('Raw Data'!A438&lt;&gt;"",AVERAGE('Raw Data'!AU438,'Raw Data'!AW438,'Raw Data'!AY438,'Raw Data'!BA438,'Raw Data'!BC438),"")</f>
        <v/>
      </c>
      <c r="T451" s="14">
        <f>IF(R451&lt;&gt;"",R451-S451,"")</f>
        <v/>
      </c>
      <c r="U451" s="14">
        <f>IF('Raw Data'!A438&lt;&gt;"",AVERAGE('Raw Data'!BD438,'Raw Data'!BF438,'Raw Data'!BH438,'Raw Data'!BJ438,'Raw Data'!BL438),"")</f>
        <v/>
      </c>
      <c r="V451" s="14">
        <f>IF('Raw Data'!A438&lt;&gt;"",AVERAGE('Raw Data'!BE438,'Raw Data'!BG438,'Raw Data'!BI438,'Raw Data'!BK438,'Raw Data'!BM438),"")</f>
        <v/>
      </c>
      <c r="W451" s="14">
        <f>IF(U451&lt;&gt;"",U451-V451,"")</f>
        <v/>
      </c>
      <c r="X451" s="14">
        <f>IF(A451&lt;&gt;"",AVERAGE(F451,I451,L451,O451,R451,U451),"")</f>
        <v/>
      </c>
      <c r="Y451" s="14">
        <f>IF(A451&lt;&gt;"",AVERAGE(G451,J451,M451,P451,S451,V451),"")</f>
        <v/>
      </c>
      <c r="Z451" s="14">
        <f>IF(A451&lt;&gt;"",X451-Y451,"")</f>
        <v/>
      </c>
      <c r="AA451" s="15">
        <f>IF(A451&lt;&gt;"",ROUND(MIN(100,100*((MAX(0,K451)*0.25)+(MAX(0,Q451)*0.20)+(MAX(0,W451)*0.20)+(MAX(0,H451)*0.15)+(MAX(0,N451)*0.10)+(MAX(0,T451)*0.10))/9),1),"")</f>
        <v/>
      </c>
      <c r="AB451" s="28">
        <f>IF(A451&lt;&gt;"",MIN(1,(0.5*AA451/100)+(0.3*MAX(0,K451)/9)+(0.2*MAX(0,Q451)/9)),"")</f>
        <v/>
      </c>
    </row>
    <row r="452">
      <c r="A452" s="13">
        <f>IF('Raw Data'!A439&lt;&gt;"",'Raw Data'!A439,"")</f>
        <v/>
      </c>
      <c r="B452" s="13">
        <f>IF('Raw Data'!B439&lt;&gt;"",'Raw Data'!B439,"")</f>
        <v/>
      </c>
      <c r="C452" s="13">
        <f>IF('Raw Data'!C439&lt;&gt;"",'Raw Data'!C439,"")</f>
        <v/>
      </c>
      <c r="D452" s="13">
        <f>IF('Raw Data'!D439&lt;&gt;"",'Raw Data'!D439,"")</f>
        <v/>
      </c>
      <c r="E452" s="13">
        <f>IF('Raw Data'!E439&lt;&gt;"",'Raw Data'!E439,"")</f>
        <v/>
      </c>
      <c r="F452" s="17">
        <f>IF('Raw Data'!A439&lt;&gt;"",AVERAGE('Raw Data'!F439,'Raw Data'!H439,'Raw Data'!J439,'Raw Data'!L439,'Raw Data'!N439),"")</f>
        <v/>
      </c>
      <c r="G452" s="17">
        <f>IF('Raw Data'!A439&lt;&gt;"",AVERAGE('Raw Data'!G439,'Raw Data'!I439,'Raw Data'!K439,'Raw Data'!M439,'Raw Data'!O439),"")</f>
        <v/>
      </c>
      <c r="H452" s="17">
        <f>IF(F452&lt;&gt;"",F452-G452,"")</f>
        <v/>
      </c>
      <c r="I452" s="17">
        <f>IF('Raw Data'!A439&lt;&gt;"",AVERAGE('Raw Data'!P439,'Raw Data'!R439,'Raw Data'!T439,'Raw Data'!V439,'Raw Data'!X439),"")</f>
        <v/>
      </c>
      <c r="J452" s="17">
        <f>IF('Raw Data'!A439&lt;&gt;"",AVERAGE('Raw Data'!Q439,'Raw Data'!S439,'Raw Data'!U439,'Raw Data'!W439,'Raw Data'!Y439),"")</f>
        <v/>
      </c>
      <c r="K452" s="17">
        <f>IF(I452&lt;&gt;"",I452-J452,"")</f>
        <v/>
      </c>
      <c r="L452" s="17">
        <f>IF('Raw Data'!A439&lt;&gt;"",AVERAGE('Raw Data'!Z439,'Raw Data'!AB439,'Raw Data'!AD439,'Raw Data'!AF439,'Raw Data'!AH439),"")</f>
        <v/>
      </c>
      <c r="M452" s="17">
        <f>IF('Raw Data'!A439&lt;&gt;"",AVERAGE('Raw Data'!AA439,'Raw Data'!AC439,'Raw Data'!AE439,'Raw Data'!AG439,'Raw Data'!AI439),"")</f>
        <v/>
      </c>
      <c r="N452" s="17">
        <f>IF(L452&lt;&gt;"",L452-M452,"")</f>
        <v/>
      </c>
      <c r="O452" s="17">
        <f>IF('Raw Data'!A439&lt;&gt;"",AVERAGE('Raw Data'!AJ439,'Raw Data'!AL439,'Raw Data'!AN439,'Raw Data'!AP439,'Raw Data'!AR439),"")</f>
        <v/>
      </c>
      <c r="P452" s="17">
        <f>IF('Raw Data'!A439&lt;&gt;"",AVERAGE('Raw Data'!AK439,'Raw Data'!AM439,'Raw Data'!AO439,'Raw Data'!AQ439,'Raw Data'!AS439),"")</f>
        <v/>
      </c>
      <c r="Q452" s="17">
        <f>IF(O452&lt;&gt;"",O452-P452,"")</f>
        <v/>
      </c>
      <c r="R452" s="17">
        <f>IF('Raw Data'!A439&lt;&gt;"",AVERAGE('Raw Data'!AT439,'Raw Data'!AV439,'Raw Data'!AX439,'Raw Data'!AZ439,'Raw Data'!BB439),"")</f>
        <v/>
      </c>
      <c r="S452" s="17">
        <f>IF('Raw Data'!A439&lt;&gt;"",AVERAGE('Raw Data'!AU439,'Raw Data'!AW439,'Raw Data'!AY439,'Raw Data'!BA439,'Raw Data'!BC439),"")</f>
        <v/>
      </c>
      <c r="T452" s="17">
        <f>IF(R452&lt;&gt;"",R452-S452,"")</f>
        <v/>
      </c>
      <c r="U452" s="17">
        <f>IF('Raw Data'!A439&lt;&gt;"",AVERAGE('Raw Data'!BD439,'Raw Data'!BF439,'Raw Data'!BH439,'Raw Data'!BJ439,'Raw Data'!BL439),"")</f>
        <v/>
      </c>
      <c r="V452" s="17">
        <f>IF('Raw Data'!A439&lt;&gt;"",AVERAGE('Raw Data'!BE439,'Raw Data'!BG439,'Raw Data'!BI439,'Raw Data'!BK439,'Raw Data'!BM439),"")</f>
        <v/>
      </c>
      <c r="W452" s="17">
        <f>IF(U452&lt;&gt;"",U452-V452,"")</f>
        <v/>
      </c>
      <c r="X452" s="17">
        <f>IF(A452&lt;&gt;"",AVERAGE(F452,I452,L452,O452,R452,U452),"")</f>
        <v/>
      </c>
      <c r="Y452" s="17">
        <f>IF(A452&lt;&gt;"",AVERAGE(G452,J452,M452,P452,S452,V452),"")</f>
        <v/>
      </c>
      <c r="Z452" s="17">
        <f>IF(A452&lt;&gt;"",X452-Y452,"")</f>
        <v/>
      </c>
      <c r="AA452" s="18">
        <f>IF(A452&lt;&gt;"",ROUND(MIN(100,100*((MAX(0,K452)*0.25)+(MAX(0,Q452)*0.20)+(MAX(0,W452)*0.20)+(MAX(0,H452)*0.15)+(MAX(0,N452)*0.10)+(MAX(0,T452)*0.10))/9),1),"")</f>
        <v/>
      </c>
      <c r="AB452" s="29">
        <f>IF(A452&lt;&gt;"",MIN(1,(0.5*AA452/100)+(0.3*MAX(0,K452)/9)+(0.2*MAX(0,Q452)/9)),"")</f>
        <v/>
      </c>
    </row>
    <row r="453">
      <c r="A453" s="4">
        <f>IF('Raw Data'!A440&lt;&gt;"",'Raw Data'!A440,"")</f>
        <v/>
      </c>
      <c r="B453" s="4">
        <f>IF('Raw Data'!B440&lt;&gt;"",'Raw Data'!B440,"")</f>
        <v/>
      </c>
      <c r="C453" s="4">
        <f>IF('Raw Data'!C440&lt;&gt;"",'Raw Data'!C440,"")</f>
        <v/>
      </c>
      <c r="D453" s="4">
        <f>IF('Raw Data'!D440&lt;&gt;"",'Raw Data'!D440,"")</f>
        <v/>
      </c>
      <c r="E453" s="4">
        <f>IF('Raw Data'!E440&lt;&gt;"",'Raw Data'!E440,"")</f>
        <v/>
      </c>
      <c r="F453" s="14">
        <f>IF('Raw Data'!A440&lt;&gt;"",AVERAGE('Raw Data'!F440,'Raw Data'!H440,'Raw Data'!J440,'Raw Data'!L440,'Raw Data'!N440),"")</f>
        <v/>
      </c>
      <c r="G453" s="14">
        <f>IF('Raw Data'!A440&lt;&gt;"",AVERAGE('Raw Data'!G440,'Raw Data'!I440,'Raw Data'!K440,'Raw Data'!M440,'Raw Data'!O440),"")</f>
        <v/>
      </c>
      <c r="H453" s="14">
        <f>IF(F453&lt;&gt;"",F453-G453,"")</f>
        <v/>
      </c>
      <c r="I453" s="14">
        <f>IF('Raw Data'!A440&lt;&gt;"",AVERAGE('Raw Data'!P440,'Raw Data'!R440,'Raw Data'!T440,'Raw Data'!V440,'Raw Data'!X440),"")</f>
        <v/>
      </c>
      <c r="J453" s="14">
        <f>IF('Raw Data'!A440&lt;&gt;"",AVERAGE('Raw Data'!Q440,'Raw Data'!S440,'Raw Data'!U440,'Raw Data'!W440,'Raw Data'!Y440),"")</f>
        <v/>
      </c>
      <c r="K453" s="14">
        <f>IF(I453&lt;&gt;"",I453-J453,"")</f>
        <v/>
      </c>
      <c r="L453" s="14">
        <f>IF('Raw Data'!A440&lt;&gt;"",AVERAGE('Raw Data'!Z440,'Raw Data'!AB440,'Raw Data'!AD440,'Raw Data'!AF440,'Raw Data'!AH440),"")</f>
        <v/>
      </c>
      <c r="M453" s="14">
        <f>IF('Raw Data'!A440&lt;&gt;"",AVERAGE('Raw Data'!AA440,'Raw Data'!AC440,'Raw Data'!AE440,'Raw Data'!AG440,'Raw Data'!AI440),"")</f>
        <v/>
      </c>
      <c r="N453" s="14">
        <f>IF(L453&lt;&gt;"",L453-M453,"")</f>
        <v/>
      </c>
      <c r="O453" s="14">
        <f>IF('Raw Data'!A440&lt;&gt;"",AVERAGE('Raw Data'!AJ440,'Raw Data'!AL440,'Raw Data'!AN440,'Raw Data'!AP440,'Raw Data'!AR440),"")</f>
        <v/>
      </c>
      <c r="P453" s="14">
        <f>IF('Raw Data'!A440&lt;&gt;"",AVERAGE('Raw Data'!AK440,'Raw Data'!AM440,'Raw Data'!AO440,'Raw Data'!AQ440,'Raw Data'!AS440),"")</f>
        <v/>
      </c>
      <c r="Q453" s="14">
        <f>IF(O453&lt;&gt;"",O453-P453,"")</f>
        <v/>
      </c>
      <c r="R453" s="14">
        <f>IF('Raw Data'!A440&lt;&gt;"",AVERAGE('Raw Data'!AT440,'Raw Data'!AV440,'Raw Data'!AX440,'Raw Data'!AZ440,'Raw Data'!BB440),"")</f>
        <v/>
      </c>
      <c r="S453" s="14">
        <f>IF('Raw Data'!A440&lt;&gt;"",AVERAGE('Raw Data'!AU440,'Raw Data'!AW440,'Raw Data'!AY440,'Raw Data'!BA440,'Raw Data'!BC440),"")</f>
        <v/>
      </c>
      <c r="T453" s="14">
        <f>IF(R453&lt;&gt;"",R453-S453,"")</f>
        <v/>
      </c>
      <c r="U453" s="14">
        <f>IF('Raw Data'!A440&lt;&gt;"",AVERAGE('Raw Data'!BD440,'Raw Data'!BF440,'Raw Data'!BH440,'Raw Data'!BJ440,'Raw Data'!BL440),"")</f>
        <v/>
      </c>
      <c r="V453" s="14">
        <f>IF('Raw Data'!A440&lt;&gt;"",AVERAGE('Raw Data'!BE440,'Raw Data'!BG440,'Raw Data'!BI440,'Raw Data'!BK440,'Raw Data'!BM440),"")</f>
        <v/>
      </c>
      <c r="W453" s="14">
        <f>IF(U453&lt;&gt;"",U453-V453,"")</f>
        <v/>
      </c>
      <c r="X453" s="14">
        <f>IF(A453&lt;&gt;"",AVERAGE(F453,I453,L453,O453,R453,U453),"")</f>
        <v/>
      </c>
      <c r="Y453" s="14">
        <f>IF(A453&lt;&gt;"",AVERAGE(G453,J453,M453,P453,S453,V453),"")</f>
        <v/>
      </c>
      <c r="Z453" s="14">
        <f>IF(A453&lt;&gt;"",X453-Y453,"")</f>
        <v/>
      </c>
      <c r="AA453" s="15">
        <f>IF(A453&lt;&gt;"",ROUND(MIN(100,100*((MAX(0,K453)*0.25)+(MAX(0,Q453)*0.20)+(MAX(0,W453)*0.20)+(MAX(0,H453)*0.15)+(MAX(0,N453)*0.10)+(MAX(0,T453)*0.10))/9),1),"")</f>
        <v/>
      </c>
      <c r="AB453" s="28">
        <f>IF(A453&lt;&gt;"",MIN(1,(0.5*AA453/100)+(0.3*MAX(0,K453)/9)+(0.2*MAX(0,Q453)/9)),"")</f>
        <v/>
      </c>
    </row>
    <row r="454">
      <c r="A454" s="13">
        <f>IF('Raw Data'!A441&lt;&gt;"",'Raw Data'!A441,"")</f>
        <v/>
      </c>
      <c r="B454" s="13">
        <f>IF('Raw Data'!B441&lt;&gt;"",'Raw Data'!B441,"")</f>
        <v/>
      </c>
      <c r="C454" s="13">
        <f>IF('Raw Data'!C441&lt;&gt;"",'Raw Data'!C441,"")</f>
        <v/>
      </c>
      <c r="D454" s="13">
        <f>IF('Raw Data'!D441&lt;&gt;"",'Raw Data'!D441,"")</f>
        <v/>
      </c>
      <c r="E454" s="13">
        <f>IF('Raw Data'!E441&lt;&gt;"",'Raw Data'!E441,"")</f>
        <v/>
      </c>
      <c r="F454" s="17">
        <f>IF('Raw Data'!A441&lt;&gt;"",AVERAGE('Raw Data'!F441,'Raw Data'!H441,'Raw Data'!J441,'Raw Data'!L441,'Raw Data'!N441),"")</f>
        <v/>
      </c>
      <c r="G454" s="17">
        <f>IF('Raw Data'!A441&lt;&gt;"",AVERAGE('Raw Data'!G441,'Raw Data'!I441,'Raw Data'!K441,'Raw Data'!M441,'Raw Data'!O441),"")</f>
        <v/>
      </c>
      <c r="H454" s="17">
        <f>IF(F454&lt;&gt;"",F454-G454,"")</f>
        <v/>
      </c>
      <c r="I454" s="17">
        <f>IF('Raw Data'!A441&lt;&gt;"",AVERAGE('Raw Data'!P441,'Raw Data'!R441,'Raw Data'!T441,'Raw Data'!V441,'Raw Data'!X441),"")</f>
        <v/>
      </c>
      <c r="J454" s="17">
        <f>IF('Raw Data'!A441&lt;&gt;"",AVERAGE('Raw Data'!Q441,'Raw Data'!S441,'Raw Data'!U441,'Raw Data'!W441,'Raw Data'!Y441),"")</f>
        <v/>
      </c>
      <c r="K454" s="17">
        <f>IF(I454&lt;&gt;"",I454-J454,"")</f>
        <v/>
      </c>
      <c r="L454" s="17">
        <f>IF('Raw Data'!A441&lt;&gt;"",AVERAGE('Raw Data'!Z441,'Raw Data'!AB441,'Raw Data'!AD441,'Raw Data'!AF441,'Raw Data'!AH441),"")</f>
        <v/>
      </c>
      <c r="M454" s="17">
        <f>IF('Raw Data'!A441&lt;&gt;"",AVERAGE('Raw Data'!AA441,'Raw Data'!AC441,'Raw Data'!AE441,'Raw Data'!AG441,'Raw Data'!AI441),"")</f>
        <v/>
      </c>
      <c r="N454" s="17">
        <f>IF(L454&lt;&gt;"",L454-M454,"")</f>
        <v/>
      </c>
      <c r="O454" s="17">
        <f>IF('Raw Data'!A441&lt;&gt;"",AVERAGE('Raw Data'!AJ441,'Raw Data'!AL441,'Raw Data'!AN441,'Raw Data'!AP441,'Raw Data'!AR441),"")</f>
        <v/>
      </c>
      <c r="P454" s="17">
        <f>IF('Raw Data'!A441&lt;&gt;"",AVERAGE('Raw Data'!AK441,'Raw Data'!AM441,'Raw Data'!AO441,'Raw Data'!AQ441,'Raw Data'!AS441),"")</f>
        <v/>
      </c>
      <c r="Q454" s="17">
        <f>IF(O454&lt;&gt;"",O454-P454,"")</f>
        <v/>
      </c>
      <c r="R454" s="17">
        <f>IF('Raw Data'!A441&lt;&gt;"",AVERAGE('Raw Data'!AT441,'Raw Data'!AV441,'Raw Data'!AX441,'Raw Data'!AZ441,'Raw Data'!BB441),"")</f>
        <v/>
      </c>
      <c r="S454" s="17">
        <f>IF('Raw Data'!A441&lt;&gt;"",AVERAGE('Raw Data'!AU441,'Raw Data'!AW441,'Raw Data'!AY441,'Raw Data'!BA441,'Raw Data'!BC441),"")</f>
        <v/>
      </c>
      <c r="T454" s="17">
        <f>IF(R454&lt;&gt;"",R454-S454,"")</f>
        <v/>
      </c>
      <c r="U454" s="17">
        <f>IF('Raw Data'!A441&lt;&gt;"",AVERAGE('Raw Data'!BD441,'Raw Data'!BF441,'Raw Data'!BH441,'Raw Data'!BJ441,'Raw Data'!BL441),"")</f>
        <v/>
      </c>
      <c r="V454" s="17">
        <f>IF('Raw Data'!A441&lt;&gt;"",AVERAGE('Raw Data'!BE441,'Raw Data'!BG441,'Raw Data'!BI441,'Raw Data'!BK441,'Raw Data'!BM441),"")</f>
        <v/>
      </c>
      <c r="W454" s="17">
        <f>IF(U454&lt;&gt;"",U454-V454,"")</f>
        <v/>
      </c>
      <c r="X454" s="17">
        <f>IF(A454&lt;&gt;"",AVERAGE(F454,I454,L454,O454,R454,U454),"")</f>
        <v/>
      </c>
      <c r="Y454" s="17">
        <f>IF(A454&lt;&gt;"",AVERAGE(G454,J454,M454,P454,S454,V454),"")</f>
        <v/>
      </c>
      <c r="Z454" s="17">
        <f>IF(A454&lt;&gt;"",X454-Y454,"")</f>
        <v/>
      </c>
      <c r="AA454" s="18">
        <f>IF(A454&lt;&gt;"",ROUND(MIN(100,100*((MAX(0,K454)*0.25)+(MAX(0,Q454)*0.20)+(MAX(0,W454)*0.20)+(MAX(0,H454)*0.15)+(MAX(0,N454)*0.10)+(MAX(0,T454)*0.10))/9),1),"")</f>
        <v/>
      </c>
      <c r="AB454" s="29">
        <f>IF(A454&lt;&gt;"",MIN(1,(0.5*AA454/100)+(0.3*MAX(0,K454)/9)+(0.2*MAX(0,Q454)/9)),"")</f>
        <v/>
      </c>
    </row>
    <row r="455">
      <c r="A455" s="4">
        <f>IF('Raw Data'!A442&lt;&gt;"",'Raw Data'!A442,"")</f>
        <v/>
      </c>
      <c r="B455" s="4">
        <f>IF('Raw Data'!B442&lt;&gt;"",'Raw Data'!B442,"")</f>
        <v/>
      </c>
      <c r="C455" s="4">
        <f>IF('Raw Data'!C442&lt;&gt;"",'Raw Data'!C442,"")</f>
        <v/>
      </c>
      <c r="D455" s="4">
        <f>IF('Raw Data'!D442&lt;&gt;"",'Raw Data'!D442,"")</f>
        <v/>
      </c>
      <c r="E455" s="4">
        <f>IF('Raw Data'!E442&lt;&gt;"",'Raw Data'!E442,"")</f>
        <v/>
      </c>
      <c r="F455" s="14">
        <f>IF('Raw Data'!A442&lt;&gt;"",AVERAGE('Raw Data'!F442,'Raw Data'!H442,'Raw Data'!J442,'Raw Data'!L442,'Raw Data'!N442),"")</f>
        <v/>
      </c>
      <c r="G455" s="14">
        <f>IF('Raw Data'!A442&lt;&gt;"",AVERAGE('Raw Data'!G442,'Raw Data'!I442,'Raw Data'!K442,'Raw Data'!M442,'Raw Data'!O442),"")</f>
        <v/>
      </c>
      <c r="H455" s="14">
        <f>IF(F455&lt;&gt;"",F455-G455,"")</f>
        <v/>
      </c>
      <c r="I455" s="14">
        <f>IF('Raw Data'!A442&lt;&gt;"",AVERAGE('Raw Data'!P442,'Raw Data'!R442,'Raw Data'!T442,'Raw Data'!V442,'Raw Data'!X442),"")</f>
        <v/>
      </c>
      <c r="J455" s="14">
        <f>IF('Raw Data'!A442&lt;&gt;"",AVERAGE('Raw Data'!Q442,'Raw Data'!S442,'Raw Data'!U442,'Raw Data'!W442,'Raw Data'!Y442),"")</f>
        <v/>
      </c>
      <c r="K455" s="14">
        <f>IF(I455&lt;&gt;"",I455-J455,"")</f>
        <v/>
      </c>
      <c r="L455" s="14">
        <f>IF('Raw Data'!A442&lt;&gt;"",AVERAGE('Raw Data'!Z442,'Raw Data'!AB442,'Raw Data'!AD442,'Raw Data'!AF442,'Raw Data'!AH442),"")</f>
        <v/>
      </c>
      <c r="M455" s="14">
        <f>IF('Raw Data'!A442&lt;&gt;"",AVERAGE('Raw Data'!AA442,'Raw Data'!AC442,'Raw Data'!AE442,'Raw Data'!AG442,'Raw Data'!AI442),"")</f>
        <v/>
      </c>
      <c r="N455" s="14">
        <f>IF(L455&lt;&gt;"",L455-M455,"")</f>
        <v/>
      </c>
      <c r="O455" s="14">
        <f>IF('Raw Data'!A442&lt;&gt;"",AVERAGE('Raw Data'!AJ442,'Raw Data'!AL442,'Raw Data'!AN442,'Raw Data'!AP442,'Raw Data'!AR442),"")</f>
        <v/>
      </c>
      <c r="P455" s="14">
        <f>IF('Raw Data'!A442&lt;&gt;"",AVERAGE('Raw Data'!AK442,'Raw Data'!AM442,'Raw Data'!AO442,'Raw Data'!AQ442,'Raw Data'!AS442),"")</f>
        <v/>
      </c>
      <c r="Q455" s="14">
        <f>IF(O455&lt;&gt;"",O455-P455,"")</f>
        <v/>
      </c>
      <c r="R455" s="14">
        <f>IF('Raw Data'!A442&lt;&gt;"",AVERAGE('Raw Data'!AT442,'Raw Data'!AV442,'Raw Data'!AX442,'Raw Data'!AZ442,'Raw Data'!BB442),"")</f>
        <v/>
      </c>
      <c r="S455" s="14">
        <f>IF('Raw Data'!A442&lt;&gt;"",AVERAGE('Raw Data'!AU442,'Raw Data'!AW442,'Raw Data'!AY442,'Raw Data'!BA442,'Raw Data'!BC442),"")</f>
        <v/>
      </c>
      <c r="T455" s="14">
        <f>IF(R455&lt;&gt;"",R455-S455,"")</f>
        <v/>
      </c>
      <c r="U455" s="14">
        <f>IF('Raw Data'!A442&lt;&gt;"",AVERAGE('Raw Data'!BD442,'Raw Data'!BF442,'Raw Data'!BH442,'Raw Data'!BJ442,'Raw Data'!BL442),"")</f>
        <v/>
      </c>
      <c r="V455" s="14">
        <f>IF('Raw Data'!A442&lt;&gt;"",AVERAGE('Raw Data'!BE442,'Raw Data'!BG442,'Raw Data'!BI442,'Raw Data'!BK442,'Raw Data'!BM442),"")</f>
        <v/>
      </c>
      <c r="W455" s="14">
        <f>IF(U455&lt;&gt;"",U455-V455,"")</f>
        <v/>
      </c>
      <c r="X455" s="14">
        <f>IF(A455&lt;&gt;"",AVERAGE(F455,I455,L455,O455,R455,U455),"")</f>
        <v/>
      </c>
      <c r="Y455" s="14">
        <f>IF(A455&lt;&gt;"",AVERAGE(G455,J455,M455,P455,S455,V455),"")</f>
        <v/>
      </c>
      <c r="Z455" s="14">
        <f>IF(A455&lt;&gt;"",X455-Y455,"")</f>
        <v/>
      </c>
      <c r="AA455" s="15">
        <f>IF(A455&lt;&gt;"",ROUND(MIN(100,100*((MAX(0,K455)*0.25)+(MAX(0,Q455)*0.20)+(MAX(0,W455)*0.20)+(MAX(0,H455)*0.15)+(MAX(0,N455)*0.10)+(MAX(0,T455)*0.10))/9),1),"")</f>
        <v/>
      </c>
      <c r="AB455" s="28">
        <f>IF(A455&lt;&gt;"",MIN(1,(0.5*AA455/100)+(0.3*MAX(0,K455)/9)+(0.2*MAX(0,Q455)/9)),"")</f>
        <v/>
      </c>
    </row>
    <row r="456">
      <c r="A456" s="13">
        <f>IF('Raw Data'!A443&lt;&gt;"",'Raw Data'!A443,"")</f>
        <v/>
      </c>
      <c r="B456" s="13">
        <f>IF('Raw Data'!B443&lt;&gt;"",'Raw Data'!B443,"")</f>
        <v/>
      </c>
      <c r="C456" s="13">
        <f>IF('Raw Data'!C443&lt;&gt;"",'Raw Data'!C443,"")</f>
        <v/>
      </c>
      <c r="D456" s="13">
        <f>IF('Raw Data'!D443&lt;&gt;"",'Raw Data'!D443,"")</f>
        <v/>
      </c>
      <c r="E456" s="13">
        <f>IF('Raw Data'!E443&lt;&gt;"",'Raw Data'!E443,"")</f>
        <v/>
      </c>
      <c r="F456" s="17">
        <f>IF('Raw Data'!A443&lt;&gt;"",AVERAGE('Raw Data'!F443,'Raw Data'!H443,'Raw Data'!J443,'Raw Data'!L443,'Raw Data'!N443),"")</f>
        <v/>
      </c>
      <c r="G456" s="17">
        <f>IF('Raw Data'!A443&lt;&gt;"",AVERAGE('Raw Data'!G443,'Raw Data'!I443,'Raw Data'!K443,'Raw Data'!M443,'Raw Data'!O443),"")</f>
        <v/>
      </c>
      <c r="H456" s="17">
        <f>IF(F456&lt;&gt;"",F456-G456,"")</f>
        <v/>
      </c>
      <c r="I456" s="17">
        <f>IF('Raw Data'!A443&lt;&gt;"",AVERAGE('Raw Data'!P443,'Raw Data'!R443,'Raw Data'!T443,'Raw Data'!V443,'Raw Data'!X443),"")</f>
        <v/>
      </c>
      <c r="J456" s="17">
        <f>IF('Raw Data'!A443&lt;&gt;"",AVERAGE('Raw Data'!Q443,'Raw Data'!S443,'Raw Data'!U443,'Raw Data'!W443,'Raw Data'!Y443),"")</f>
        <v/>
      </c>
      <c r="K456" s="17">
        <f>IF(I456&lt;&gt;"",I456-J456,"")</f>
        <v/>
      </c>
      <c r="L456" s="17">
        <f>IF('Raw Data'!A443&lt;&gt;"",AVERAGE('Raw Data'!Z443,'Raw Data'!AB443,'Raw Data'!AD443,'Raw Data'!AF443,'Raw Data'!AH443),"")</f>
        <v/>
      </c>
      <c r="M456" s="17">
        <f>IF('Raw Data'!A443&lt;&gt;"",AVERAGE('Raw Data'!AA443,'Raw Data'!AC443,'Raw Data'!AE443,'Raw Data'!AG443,'Raw Data'!AI443),"")</f>
        <v/>
      </c>
      <c r="N456" s="17">
        <f>IF(L456&lt;&gt;"",L456-M456,"")</f>
        <v/>
      </c>
      <c r="O456" s="17">
        <f>IF('Raw Data'!A443&lt;&gt;"",AVERAGE('Raw Data'!AJ443,'Raw Data'!AL443,'Raw Data'!AN443,'Raw Data'!AP443,'Raw Data'!AR443),"")</f>
        <v/>
      </c>
      <c r="P456" s="17">
        <f>IF('Raw Data'!A443&lt;&gt;"",AVERAGE('Raw Data'!AK443,'Raw Data'!AM443,'Raw Data'!AO443,'Raw Data'!AQ443,'Raw Data'!AS443),"")</f>
        <v/>
      </c>
      <c r="Q456" s="17">
        <f>IF(O456&lt;&gt;"",O456-P456,"")</f>
        <v/>
      </c>
      <c r="R456" s="17">
        <f>IF('Raw Data'!A443&lt;&gt;"",AVERAGE('Raw Data'!AT443,'Raw Data'!AV443,'Raw Data'!AX443,'Raw Data'!AZ443,'Raw Data'!BB443),"")</f>
        <v/>
      </c>
      <c r="S456" s="17">
        <f>IF('Raw Data'!A443&lt;&gt;"",AVERAGE('Raw Data'!AU443,'Raw Data'!AW443,'Raw Data'!AY443,'Raw Data'!BA443,'Raw Data'!BC443),"")</f>
        <v/>
      </c>
      <c r="T456" s="17">
        <f>IF(R456&lt;&gt;"",R456-S456,"")</f>
        <v/>
      </c>
      <c r="U456" s="17">
        <f>IF('Raw Data'!A443&lt;&gt;"",AVERAGE('Raw Data'!BD443,'Raw Data'!BF443,'Raw Data'!BH443,'Raw Data'!BJ443,'Raw Data'!BL443),"")</f>
        <v/>
      </c>
      <c r="V456" s="17">
        <f>IF('Raw Data'!A443&lt;&gt;"",AVERAGE('Raw Data'!BE443,'Raw Data'!BG443,'Raw Data'!BI443,'Raw Data'!BK443,'Raw Data'!BM443),"")</f>
        <v/>
      </c>
      <c r="W456" s="17">
        <f>IF(U456&lt;&gt;"",U456-V456,"")</f>
        <v/>
      </c>
      <c r="X456" s="17">
        <f>IF(A456&lt;&gt;"",AVERAGE(F456,I456,L456,O456,R456,U456),"")</f>
        <v/>
      </c>
      <c r="Y456" s="17">
        <f>IF(A456&lt;&gt;"",AVERAGE(G456,J456,M456,P456,S456,V456),"")</f>
        <v/>
      </c>
      <c r="Z456" s="17">
        <f>IF(A456&lt;&gt;"",X456-Y456,"")</f>
        <v/>
      </c>
      <c r="AA456" s="18">
        <f>IF(A456&lt;&gt;"",ROUND(MIN(100,100*((MAX(0,K456)*0.25)+(MAX(0,Q456)*0.20)+(MAX(0,W456)*0.20)+(MAX(0,H456)*0.15)+(MAX(0,N456)*0.10)+(MAX(0,T456)*0.10))/9),1),"")</f>
        <v/>
      </c>
      <c r="AB456" s="29">
        <f>IF(A456&lt;&gt;"",MIN(1,(0.5*AA456/100)+(0.3*MAX(0,K456)/9)+(0.2*MAX(0,Q456)/9)),"")</f>
        <v/>
      </c>
    </row>
    <row r="457">
      <c r="A457" s="4">
        <f>IF('Raw Data'!A444&lt;&gt;"",'Raw Data'!A444,"")</f>
        <v/>
      </c>
      <c r="B457" s="4">
        <f>IF('Raw Data'!B444&lt;&gt;"",'Raw Data'!B444,"")</f>
        <v/>
      </c>
      <c r="C457" s="4">
        <f>IF('Raw Data'!C444&lt;&gt;"",'Raw Data'!C444,"")</f>
        <v/>
      </c>
      <c r="D457" s="4">
        <f>IF('Raw Data'!D444&lt;&gt;"",'Raw Data'!D444,"")</f>
        <v/>
      </c>
      <c r="E457" s="4">
        <f>IF('Raw Data'!E444&lt;&gt;"",'Raw Data'!E444,"")</f>
        <v/>
      </c>
      <c r="F457" s="14">
        <f>IF('Raw Data'!A444&lt;&gt;"",AVERAGE('Raw Data'!F444,'Raw Data'!H444,'Raw Data'!J444,'Raw Data'!L444,'Raw Data'!N444),"")</f>
        <v/>
      </c>
      <c r="G457" s="14">
        <f>IF('Raw Data'!A444&lt;&gt;"",AVERAGE('Raw Data'!G444,'Raw Data'!I444,'Raw Data'!K444,'Raw Data'!M444,'Raw Data'!O444),"")</f>
        <v/>
      </c>
      <c r="H457" s="14">
        <f>IF(F457&lt;&gt;"",F457-G457,"")</f>
        <v/>
      </c>
      <c r="I457" s="14">
        <f>IF('Raw Data'!A444&lt;&gt;"",AVERAGE('Raw Data'!P444,'Raw Data'!R444,'Raw Data'!T444,'Raw Data'!V444,'Raw Data'!X444),"")</f>
        <v/>
      </c>
      <c r="J457" s="14">
        <f>IF('Raw Data'!A444&lt;&gt;"",AVERAGE('Raw Data'!Q444,'Raw Data'!S444,'Raw Data'!U444,'Raw Data'!W444,'Raw Data'!Y444),"")</f>
        <v/>
      </c>
      <c r="K457" s="14">
        <f>IF(I457&lt;&gt;"",I457-J457,"")</f>
        <v/>
      </c>
      <c r="L457" s="14">
        <f>IF('Raw Data'!A444&lt;&gt;"",AVERAGE('Raw Data'!Z444,'Raw Data'!AB444,'Raw Data'!AD444,'Raw Data'!AF444,'Raw Data'!AH444),"")</f>
        <v/>
      </c>
      <c r="M457" s="14">
        <f>IF('Raw Data'!A444&lt;&gt;"",AVERAGE('Raw Data'!AA444,'Raw Data'!AC444,'Raw Data'!AE444,'Raw Data'!AG444,'Raw Data'!AI444),"")</f>
        <v/>
      </c>
      <c r="N457" s="14">
        <f>IF(L457&lt;&gt;"",L457-M457,"")</f>
        <v/>
      </c>
      <c r="O457" s="14">
        <f>IF('Raw Data'!A444&lt;&gt;"",AVERAGE('Raw Data'!AJ444,'Raw Data'!AL444,'Raw Data'!AN444,'Raw Data'!AP444,'Raw Data'!AR444),"")</f>
        <v/>
      </c>
      <c r="P457" s="14">
        <f>IF('Raw Data'!A444&lt;&gt;"",AVERAGE('Raw Data'!AK444,'Raw Data'!AM444,'Raw Data'!AO444,'Raw Data'!AQ444,'Raw Data'!AS444),"")</f>
        <v/>
      </c>
      <c r="Q457" s="14">
        <f>IF(O457&lt;&gt;"",O457-P457,"")</f>
        <v/>
      </c>
      <c r="R457" s="14">
        <f>IF('Raw Data'!A444&lt;&gt;"",AVERAGE('Raw Data'!AT444,'Raw Data'!AV444,'Raw Data'!AX444,'Raw Data'!AZ444,'Raw Data'!BB444),"")</f>
        <v/>
      </c>
      <c r="S457" s="14">
        <f>IF('Raw Data'!A444&lt;&gt;"",AVERAGE('Raw Data'!AU444,'Raw Data'!AW444,'Raw Data'!AY444,'Raw Data'!BA444,'Raw Data'!BC444),"")</f>
        <v/>
      </c>
      <c r="T457" s="14">
        <f>IF(R457&lt;&gt;"",R457-S457,"")</f>
        <v/>
      </c>
      <c r="U457" s="14">
        <f>IF('Raw Data'!A444&lt;&gt;"",AVERAGE('Raw Data'!BD444,'Raw Data'!BF444,'Raw Data'!BH444,'Raw Data'!BJ444,'Raw Data'!BL444),"")</f>
        <v/>
      </c>
      <c r="V457" s="14">
        <f>IF('Raw Data'!A444&lt;&gt;"",AVERAGE('Raw Data'!BE444,'Raw Data'!BG444,'Raw Data'!BI444,'Raw Data'!BK444,'Raw Data'!BM444),"")</f>
        <v/>
      </c>
      <c r="W457" s="14">
        <f>IF(U457&lt;&gt;"",U457-V457,"")</f>
        <v/>
      </c>
      <c r="X457" s="14">
        <f>IF(A457&lt;&gt;"",AVERAGE(F457,I457,L457,O457,R457,U457),"")</f>
        <v/>
      </c>
      <c r="Y457" s="14">
        <f>IF(A457&lt;&gt;"",AVERAGE(G457,J457,M457,P457,S457,V457),"")</f>
        <v/>
      </c>
      <c r="Z457" s="14">
        <f>IF(A457&lt;&gt;"",X457-Y457,"")</f>
        <v/>
      </c>
      <c r="AA457" s="15">
        <f>IF(A457&lt;&gt;"",ROUND(MIN(100,100*((MAX(0,K457)*0.25)+(MAX(0,Q457)*0.20)+(MAX(0,W457)*0.20)+(MAX(0,H457)*0.15)+(MAX(0,N457)*0.10)+(MAX(0,T457)*0.10))/9),1),"")</f>
        <v/>
      </c>
      <c r="AB457" s="28">
        <f>IF(A457&lt;&gt;"",MIN(1,(0.5*AA457/100)+(0.3*MAX(0,K457)/9)+(0.2*MAX(0,Q457)/9)),"")</f>
        <v/>
      </c>
    </row>
    <row r="458">
      <c r="A458" s="13">
        <f>IF('Raw Data'!A445&lt;&gt;"",'Raw Data'!A445,"")</f>
        <v/>
      </c>
      <c r="B458" s="13">
        <f>IF('Raw Data'!B445&lt;&gt;"",'Raw Data'!B445,"")</f>
        <v/>
      </c>
      <c r="C458" s="13">
        <f>IF('Raw Data'!C445&lt;&gt;"",'Raw Data'!C445,"")</f>
        <v/>
      </c>
      <c r="D458" s="13">
        <f>IF('Raw Data'!D445&lt;&gt;"",'Raw Data'!D445,"")</f>
        <v/>
      </c>
      <c r="E458" s="13">
        <f>IF('Raw Data'!E445&lt;&gt;"",'Raw Data'!E445,"")</f>
        <v/>
      </c>
      <c r="F458" s="17">
        <f>IF('Raw Data'!A445&lt;&gt;"",AVERAGE('Raw Data'!F445,'Raw Data'!H445,'Raw Data'!J445,'Raw Data'!L445,'Raw Data'!N445),"")</f>
        <v/>
      </c>
      <c r="G458" s="17">
        <f>IF('Raw Data'!A445&lt;&gt;"",AVERAGE('Raw Data'!G445,'Raw Data'!I445,'Raw Data'!K445,'Raw Data'!M445,'Raw Data'!O445),"")</f>
        <v/>
      </c>
      <c r="H458" s="17">
        <f>IF(F458&lt;&gt;"",F458-G458,"")</f>
        <v/>
      </c>
      <c r="I458" s="17">
        <f>IF('Raw Data'!A445&lt;&gt;"",AVERAGE('Raw Data'!P445,'Raw Data'!R445,'Raw Data'!T445,'Raw Data'!V445,'Raw Data'!X445),"")</f>
        <v/>
      </c>
      <c r="J458" s="17">
        <f>IF('Raw Data'!A445&lt;&gt;"",AVERAGE('Raw Data'!Q445,'Raw Data'!S445,'Raw Data'!U445,'Raw Data'!W445,'Raw Data'!Y445),"")</f>
        <v/>
      </c>
      <c r="K458" s="17">
        <f>IF(I458&lt;&gt;"",I458-J458,"")</f>
        <v/>
      </c>
      <c r="L458" s="17">
        <f>IF('Raw Data'!A445&lt;&gt;"",AVERAGE('Raw Data'!Z445,'Raw Data'!AB445,'Raw Data'!AD445,'Raw Data'!AF445,'Raw Data'!AH445),"")</f>
        <v/>
      </c>
      <c r="M458" s="17">
        <f>IF('Raw Data'!A445&lt;&gt;"",AVERAGE('Raw Data'!AA445,'Raw Data'!AC445,'Raw Data'!AE445,'Raw Data'!AG445,'Raw Data'!AI445),"")</f>
        <v/>
      </c>
      <c r="N458" s="17">
        <f>IF(L458&lt;&gt;"",L458-M458,"")</f>
        <v/>
      </c>
      <c r="O458" s="17">
        <f>IF('Raw Data'!A445&lt;&gt;"",AVERAGE('Raw Data'!AJ445,'Raw Data'!AL445,'Raw Data'!AN445,'Raw Data'!AP445,'Raw Data'!AR445),"")</f>
        <v/>
      </c>
      <c r="P458" s="17">
        <f>IF('Raw Data'!A445&lt;&gt;"",AVERAGE('Raw Data'!AK445,'Raw Data'!AM445,'Raw Data'!AO445,'Raw Data'!AQ445,'Raw Data'!AS445),"")</f>
        <v/>
      </c>
      <c r="Q458" s="17">
        <f>IF(O458&lt;&gt;"",O458-P458,"")</f>
        <v/>
      </c>
      <c r="R458" s="17">
        <f>IF('Raw Data'!A445&lt;&gt;"",AVERAGE('Raw Data'!AT445,'Raw Data'!AV445,'Raw Data'!AX445,'Raw Data'!AZ445,'Raw Data'!BB445),"")</f>
        <v/>
      </c>
      <c r="S458" s="17">
        <f>IF('Raw Data'!A445&lt;&gt;"",AVERAGE('Raw Data'!AU445,'Raw Data'!AW445,'Raw Data'!AY445,'Raw Data'!BA445,'Raw Data'!BC445),"")</f>
        <v/>
      </c>
      <c r="T458" s="17">
        <f>IF(R458&lt;&gt;"",R458-S458,"")</f>
        <v/>
      </c>
      <c r="U458" s="17">
        <f>IF('Raw Data'!A445&lt;&gt;"",AVERAGE('Raw Data'!BD445,'Raw Data'!BF445,'Raw Data'!BH445,'Raw Data'!BJ445,'Raw Data'!BL445),"")</f>
        <v/>
      </c>
      <c r="V458" s="17">
        <f>IF('Raw Data'!A445&lt;&gt;"",AVERAGE('Raw Data'!BE445,'Raw Data'!BG445,'Raw Data'!BI445,'Raw Data'!BK445,'Raw Data'!BM445),"")</f>
        <v/>
      </c>
      <c r="W458" s="17">
        <f>IF(U458&lt;&gt;"",U458-V458,"")</f>
        <v/>
      </c>
      <c r="X458" s="17">
        <f>IF(A458&lt;&gt;"",AVERAGE(F458,I458,L458,O458,R458,U458),"")</f>
        <v/>
      </c>
      <c r="Y458" s="17">
        <f>IF(A458&lt;&gt;"",AVERAGE(G458,J458,M458,P458,S458,V458),"")</f>
        <v/>
      </c>
      <c r="Z458" s="17">
        <f>IF(A458&lt;&gt;"",X458-Y458,"")</f>
        <v/>
      </c>
      <c r="AA458" s="18">
        <f>IF(A458&lt;&gt;"",ROUND(MIN(100,100*((MAX(0,K458)*0.25)+(MAX(0,Q458)*0.20)+(MAX(0,W458)*0.20)+(MAX(0,H458)*0.15)+(MAX(0,N458)*0.10)+(MAX(0,T458)*0.10))/9),1),"")</f>
        <v/>
      </c>
      <c r="AB458" s="29">
        <f>IF(A458&lt;&gt;"",MIN(1,(0.5*AA458/100)+(0.3*MAX(0,K458)/9)+(0.2*MAX(0,Q458)/9)),"")</f>
        <v/>
      </c>
    </row>
    <row r="459">
      <c r="A459" s="4">
        <f>IF('Raw Data'!A446&lt;&gt;"",'Raw Data'!A446,"")</f>
        <v/>
      </c>
      <c r="B459" s="4">
        <f>IF('Raw Data'!B446&lt;&gt;"",'Raw Data'!B446,"")</f>
        <v/>
      </c>
      <c r="C459" s="4">
        <f>IF('Raw Data'!C446&lt;&gt;"",'Raw Data'!C446,"")</f>
        <v/>
      </c>
      <c r="D459" s="4">
        <f>IF('Raw Data'!D446&lt;&gt;"",'Raw Data'!D446,"")</f>
        <v/>
      </c>
      <c r="E459" s="4">
        <f>IF('Raw Data'!E446&lt;&gt;"",'Raw Data'!E446,"")</f>
        <v/>
      </c>
      <c r="F459" s="14">
        <f>IF('Raw Data'!A446&lt;&gt;"",AVERAGE('Raw Data'!F446,'Raw Data'!H446,'Raw Data'!J446,'Raw Data'!L446,'Raw Data'!N446),"")</f>
        <v/>
      </c>
      <c r="G459" s="14">
        <f>IF('Raw Data'!A446&lt;&gt;"",AVERAGE('Raw Data'!G446,'Raw Data'!I446,'Raw Data'!K446,'Raw Data'!M446,'Raw Data'!O446),"")</f>
        <v/>
      </c>
      <c r="H459" s="14">
        <f>IF(F459&lt;&gt;"",F459-G459,"")</f>
        <v/>
      </c>
      <c r="I459" s="14">
        <f>IF('Raw Data'!A446&lt;&gt;"",AVERAGE('Raw Data'!P446,'Raw Data'!R446,'Raw Data'!T446,'Raw Data'!V446,'Raw Data'!X446),"")</f>
        <v/>
      </c>
      <c r="J459" s="14">
        <f>IF('Raw Data'!A446&lt;&gt;"",AVERAGE('Raw Data'!Q446,'Raw Data'!S446,'Raw Data'!U446,'Raw Data'!W446,'Raw Data'!Y446),"")</f>
        <v/>
      </c>
      <c r="K459" s="14">
        <f>IF(I459&lt;&gt;"",I459-J459,"")</f>
        <v/>
      </c>
      <c r="L459" s="14">
        <f>IF('Raw Data'!A446&lt;&gt;"",AVERAGE('Raw Data'!Z446,'Raw Data'!AB446,'Raw Data'!AD446,'Raw Data'!AF446,'Raw Data'!AH446),"")</f>
        <v/>
      </c>
      <c r="M459" s="14">
        <f>IF('Raw Data'!A446&lt;&gt;"",AVERAGE('Raw Data'!AA446,'Raw Data'!AC446,'Raw Data'!AE446,'Raw Data'!AG446,'Raw Data'!AI446),"")</f>
        <v/>
      </c>
      <c r="N459" s="14">
        <f>IF(L459&lt;&gt;"",L459-M459,"")</f>
        <v/>
      </c>
      <c r="O459" s="14">
        <f>IF('Raw Data'!A446&lt;&gt;"",AVERAGE('Raw Data'!AJ446,'Raw Data'!AL446,'Raw Data'!AN446,'Raw Data'!AP446,'Raw Data'!AR446),"")</f>
        <v/>
      </c>
      <c r="P459" s="14">
        <f>IF('Raw Data'!A446&lt;&gt;"",AVERAGE('Raw Data'!AK446,'Raw Data'!AM446,'Raw Data'!AO446,'Raw Data'!AQ446,'Raw Data'!AS446),"")</f>
        <v/>
      </c>
      <c r="Q459" s="14">
        <f>IF(O459&lt;&gt;"",O459-P459,"")</f>
        <v/>
      </c>
      <c r="R459" s="14">
        <f>IF('Raw Data'!A446&lt;&gt;"",AVERAGE('Raw Data'!AT446,'Raw Data'!AV446,'Raw Data'!AX446,'Raw Data'!AZ446,'Raw Data'!BB446),"")</f>
        <v/>
      </c>
      <c r="S459" s="14">
        <f>IF('Raw Data'!A446&lt;&gt;"",AVERAGE('Raw Data'!AU446,'Raw Data'!AW446,'Raw Data'!AY446,'Raw Data'!BA446,'Raw Data'!BC446),"")</f>
        <v/>
      </c>
      <c r="T459" s="14">
        <f>IF(R459&lt;&gt;"",R459-S459,"")</f>
        <v/>
      </c>
      <c r="U459" s="14">
        <f>IF('Raw Data'!A446&lt;&gt;"",AVERAGE('Raw Data'!BD446,'Raw Data'!BF446,'Raw Data'!BH446,'Raw Data'!BJ446,'Raw Data'!BL446),"")</f>
        <v/>
      </c>
      <c r="V459" s="14">
        <f>IF('Raw Data'!A446&lt;&gt;"",AVERAGE('Raw Data'!BE446,'Raw Data'!BG446,'Raw Data'!BI446,'Raw Data'!BK446,'Raw Data'!BM446),"")</f>
        <v/>
      </c>
      <c r="W459" s="14">
        <f>IF(U459&lt;&gt;"",U459-V459,"")</f>
        <v/>
      </c>
      <c r="X459" s="14">
        <f>IF(A459&lt;&gt;"",AVERAGE(F459,I459,L459,O459,R459,U459),"")</f>
        <v/>
      </c>
      <c r="Y459" s="14">
        <f>IF(A459&lt;&gt;"",AVERAGE(G459,J459,M459,P459,S459,V459),"")</f>
        <v/>
      </c>
      <c r="Z459" s="14">
        <f>IF(A459&lt;&gt;"",X459-Y459,"")</f>
        <v/>
      </c>
      <c r="AA459" s="15">
        <f>IF(A459&lt;&gt;"",ROUND(MIN(100,100*((MAX(0,K459)*0.25)+(MAX(0,Q459)*0.20)+(MAX(0,W459)*0.20)+(MAX(0,H459)*0.15)+(MAX(0,N459)*0.10)+(MAX(0,T459)*0.10))/9),1),"")</f>
        <v/>
      </c>
      <c r="AB459" s="28">
        <f>IF(A459&lt;&gt;"",MIN(1,(0.5*AA459/100)+(0.3*MAX(0,K459)/9)+(0.2*MAX(0,Q459)/9)),"")</f>
        <v/>
      </c>
    </row>
    <row r="460">
      <c r="A460" s="13">
        <f>IF('Raw Data'!A447&lt;&gt;"",'Raw Data'!A447,"")</f>
        <v/>
      </c>
      <c r="B460" s="13">
        <f>IF('Raw Data'!B447&lt;&gt;"",'Raw Data'!B447,"")</f>
        <v/>
      </c>
      <c r="C460" s="13">
        <f>IF('Raw Data'!C447&lt;&gt;"",'Raw Data'!C447,"")</f>
        <v/>
      </c>
      <c r="D460" s="13">
        <f>IF('Raw Data'!D447&lt;&gt;"",'Raw Data'!D447,"")</f>
        <v/>
      </c>
      <c r="E460" s="13">
        <f>IF('Raw Data'!E447&lt;&gt;"",'Raw Data'!E447,"")</f>
        <v/>
      </c>
      <c r="F460" s="17">
        <f>IF('Raw Data'!A447&lt;&gt;"",AVERAGE('Raw Data'!F447,'Raw Data'!H447,'Raw Data'!J447,'Raw Data'!L447,'Raw Data'!N447),"")</f>
        <v/>
      </c>
      <c r="G460" s="17">
        <f>IF('Raw Data'!A447&lt;&gt;"",AVERAGE('Raw Data'!G447,'Raw Data'!I447,'Raw Data'!K447,'Raw Data'!M447,'Raw Data'!O447),"")</f>
        <v/>
      </c>
      <c r="H460" s="17">
        <f>IF(F460&lt;&gt;"",F460-G460,"")</f>
        <v/>
      </c>
      <c r="I460" s="17">
        <f>IF('Raw Data'!A447&lt;&gt;"",AVERAGE('Raw Data'!P447,'Raw Data'!R447,'Raw Data'!T447,'Raw Data'!V447,'Raw Data'!X447),"")</f>
        <v/>
      </c>
      <c r="J460" s="17">
        <f>IF('Raw Data'!A447&lt;&gt;"",AVERAGE('Raw Data'!Q447,'Raw Data'!S447,'Raw Data'!U447,'Raw Data'!W447,'Raw Data'!Y447),"")</f>
        <v/>
      </c>
      <c r="K460" s="17">
        <f>IF(I460&lt;&gt;"",I460-J460,"")</f>
        <v/>
      </c>
      <c r="L460" s="17">
        <f>IF('Raw Data'!A447&lt;&gt;"",AVERAGE('Raw Data'!Z447,'Raw Data'!AB447,'Raw Data'!AD447,'Raw Data'!AF447,'Raw Data'!AH447),"")</f>
        <v/>
      </c>
      <c r="M460" s="17">
        <f>IF('Raw Data'!A447&lt;&gt;"",AVERAGE('Raw Data'!AA447,'Raw Data'!AC447,'Raw Data'!AE447,'Raw Data'!AG447,'Raw Data'!AI447),"")</f>
        <v/>
      </c>
      <c r="N460" s="17">
        <f>IF(L460&lt;&gt;"",L460-M460,"")</f>
        <v/>
      </c>
      <c r="O460" s="17">
        <f>IF('Raw Data'!A447&lt;&gt;"",AVERAGE('Raw Data'!AJ447,'Raw Data'!AL447,'Raw Data'!AN447,'Raw Data'!AP447,'Raw Data'!AR447),"")</f>
        <v/>
      </c>
      <c r="P460" s="17">
        <f>IF('Raw Data'!A447&lt;&gt;"",AVERAGE('Raw Data'!AK447,'Raw Data'!AM447,'Raw Data'!AO447,'Raw Data'!AQ447,'Raw Data'!AS447),"")</f>
        <v/>
      </c>
      <c r="Q460" s="17">
        <f>IF(O460&lt;&gt;"",O460-P460,"")</f>
        <v/>
      </c>
      <c r="R460" s="17">
        <f>IF('Raw Data'!A447&lt;&gt;"",AVERAGE('Raw Data'!AT447,'Raw Data'!AV447,'Raw Data'!AX447,'Raw Data'!AZ447,'Raw Data'!BB447),"")</f>
        <v/>
      </c>
      <c r="S460" s="17">
        <f>IF('Raw Data'!A447&lt;&gt;"",AVERAGE('Raw Data'!AU447,'Raw Data'!AW447,'Raw Data'!AY447,'Raw Data'!BA447,'Raw Data'!BC447),"")</f>
        <v/>
      </c>
      <c r="T460" s="17">
        <f>IF(R460&lt;&gt;"",R460-S460,"")</f>
        <v/>
      </c>
      <c r="U460" s="17">
        <f>IF('Raw Data'!A447&lt;&gt;"",AVERAGE('Raw Data'!BD447,'Raw Data'!BF447,'Raw Data'!BH447,'Raw Data'!BJ447,'Raw Data'!BL447),"")</f>
        <v/>
      </c>
      <c r="V460" s="17">
        <f>IF('Raw Data'!A447&lt;&gt;"",AVERAGE('Raw Data'!BE447,'Raw Data'!BG447,'Raw Data'!BI447,'Raw Data'!BK447,'Raw Data'!BM447),"")</f>
        <v/>
      </c>
      <c r="W460" s="17">
        <f>IF(U460&lt;&gt;"",U460-V460,"")</f>
        <v/>
      </c>
      <c r="X460" s="17">
        <f>IF(A460&lt;&gt;"",AVERAGE(F460,I460,L460,O460,R460,U460),"")</f>
        <v/>
      </c>
      <c r="Y460" s="17">
        <f>IF(A460&lt;&gt;"",AVERAGE(G460,J460,M460,P460,S460,V460),"")</f>
        <v/>
      </c>
      <c r="Z460" s="17">
        <f>IF(A460&lt;&gt;"",X460-Y460,"")</f>
        <v/>
      </c>
      <c r="AA460" s="18">
        <f>IF(A460&lt;&gt;"",ROUND(MIN(100,100*((MAX(0,K460)*0.25)+(MAX(0,Q460)*0.20)+(MAX(0,W460)*0.20)+(MAX(0,H460)*0.15)+(MAX(0,N460)*0.10)+(MAX(0,T460)*0.10))/9),1),"")</f>
        <v/>
      </c>
      <c r="AB460" s="29">
        <f>IF(A460&lt;&gt;"",MIN(1,(0.5*AA460/100)+(0.3*MAX(0,K460)/9)+(0.2*MAX(0,Q460)/9)),"")</f>
        <v/>
      </c>
    </row>
    <row r="461">
      <c r="A461" s="4">
        <f>IF('Raw Data'!A448&lt;&gt;"",'Raw Data'!A448,"")</f>
        <v/>
      </c>
      <c r="B461" s="4">
        <f>IF('Raw Data'!B448&lt;&gt;"",'Raw Data'!B448,"")</f>
        <v/>
      </c>
      <c r="C461" s="4">
        <f>IF('Raw Data'!C448&lt;&gt;"",'Raw Data'!C448,"")</f>
        <v/>
      </c>
      <c r="D461" s="4">
        <f>IF('Raw Data'!D448&lt;&gt;"",'Raw Data'!D448,"")</f>
        <v/>
      </c>
      <c r="E461" s="4">
        <f>IF('Raw Data'!E448&lt;&gt;"",'Raw Data'!E448,"")</f>
        <v/>
      </c>
      <c r="F461" s="14">
        <f>IF('Raw Data'!A448&lt;&gt;"",AVERAGE('Raw Data'!F448,'Raw Data'!H448,'Raw Data'!J448,'Raw Data'!L448,'Raw Data'!N448),"")</f>
        <v/>
      </c>
      <c r="G461" s="14">
        <f>IF('Raw Data'!A448&lt;&gt;"",AVERAGE('Raw Data'!G448,'Raw Data'!I448,'Raw Data'!K448,'Raw Data'!M448,'Raw Data'!O448),"")</f>
        <v/>
      </c>
      <c r="H461" s="14">
        <f>IF(F461&lt;&gt;"",F461-G461,"")</f>
        <v/>
      </c>
      <c r="I461" s="14">
        <f>IF('Raw Data'!A448&lt;&gt;"",AVERAGE('Raw Data'!P448,'Raw Data'!R448,'Raw Data'!T448,'Raw Data'!V448,'Raw Data'!X448),"")</f>
        <v/>
      </c>
      <c r="J461" s="14">
        <f>IF('Raw Data'!A448&lt;&gt;"",AVERAGE('Raw Data'!Q448,'Raw Data'!S448,'Raw Data'!U448,'Raw Data'!W448,'Raw Data'!Y448),"")</f>
        <v/>
      </c>
      <c r="K461" s="14">
        <f>IF(I461&lt;&gt;"",I461-J461,"")</f>
        <v/>
      </c>
      <c r="L461" s="14">
        <f>IF('Raw Data'!A448&lt;&gt;"",AVERAGE('Raw Data'!Z448,'Raw Data'!AB448,'Raw Data'!AD448,'Raw Data'!AF448,'Raw Data'!AH448),"")</f>
        <v/>
      </c>
      <c r="M461" s="14">
        <f>IF('Raw Data'!A448&lt;&gt;"",AVERAGE('Raw Data'!AA448,'Raw Data'!AC448,'Raw Data'!AE448,'Raw Data'!AG448,'Raw Data'!AI448),"")</f>
        <v/>
      </c>
      <c r="N461" s="14">
        <f>IF(L461&lt;&gt;"",L461-M461,"")</f>
        <v/>
      </c>
      <c r="O461" s="14">
        <f>IF('Raw Data'!A448&lt;&gt;"",AVERAGE('Raw Data'!AJ448,'Raw Data'!AL448,'Raw Data'!AN448,'Raw Data'!AP448,'Raw Data'!AR448),"")</f>
        <v/>
      </c>
      <c r="P461" s="14">
        <f>IF('Raw Data'!A448&lt;&gt;"",AVERAGE('Raw Data'!AK448,'Raw Data'!AM448,'Raw Data'!AO448,'Raw Data'!AQ448,'Raw Data'!AS448),"")</f>
        <v/>
      </c>
      <c r="Q461" s="14">
        <f>IF(O461&lt;&gt;"",O461-P461,"")</f>
        <v/>
      </c>
      <c r="R461" s="14">
        <f>IF('Raw Data'!A448&lt;&gt;"",AVERAGE('Raw Data'!AT448,'Raw Data'!AV448,'Raw Data'!AX448,'Raw Data'!AZ448,'Raw Data'!BB448),"")</f>
        <v/>
      </c>
      <c r="S461" s="14">
        <f>IF('Raw Data'!A448&lt;&gt;"",AVERAGE('Raw Data'!AU448,'Raw Data'!AW448,'Raw Data'!AY448,'Raw Data'!BA448,'Raw Data'!BC448),"")</f>
        <v/>
      </c>
      <c r="T461" s="14">
        <f>IF(R461&lt;&gt;"",R461-S461,"")</f>
        <v/>
      </c>
      <c r="U461" s="14">
        <f>IF('Raw Data'!A448&lt;&gt;"",AVERAGE('Raw Data'!BD448,'Raw Data'!BF448,'Raw Data'!BH448,'Raw Data'!BJ448,'Raw Data'!BL448),"")</f>
        <v/>
      </c>
      <c r="V461" s="14">
        <f>IF('Raw Data'!A448&lt;&gt;"",AVERAGE('Raw Data'!BE448,'Raw Data'!BG448,'Raw Data'!BI448,'Raw Data'!BK448,'Raw Data'!BM448),"")</f>
        <v/>
      </c>
      <c r="W461" s="14">
        <f>IF(U461&lt;&gt;"",U461-V461,"")</f>
        <v/>
      </c>
      <c r="X461" s="14">
        <f>IF(A461&lt;&gt;"",AVERAGE(F461,I461,L461,O461,R461,U461),"")</f>
        <v/>
      </c>
      <c r="Y461" s="14">
        <f>IF(A461&lt;&gt;"",AVERAGE(G461,J461,M461,P461,S461,V461),"")</f>
        <v/>
      </c>
      <c r="Z461" s="14">
        <f>IF(A461&lt;&gt;"",X461-Y461,"")</f>
        <v/>
      </c>
      <c r="AA461" s="15">
        <f>IF(A461&lt;&gt;"",ROUND(MIN(100,100*((MAX(0,K461)*0.25)+(MAX(0,Q461)*0.20)+(MAX(0,W461)*0.20)+(MAX(0,H461)*0.15)+(MAX(0,N461)*0.10)+(MAX(0,T461)*0.10))/9),1),"")</f>
        <v/>
      </c>
      <c r="AB461" s="28">
        <f>IF(A461&lt;&gt;"",MIN(1,(0.5*AA461/100)+(0.3*MAX(0,K461)/9)+(0.2*MAX(0,Q461)/9)),"")</f>
        <v/>
      </c>
    </row>
    <row r="462">
      <c r="A462" s="13">
        <f>IF('Raw Data'!A449&lt;&gt;"",'Raw Data'!A449,"")</f>
        <v/>
      </c>
      <c r="B462" s="13">
        <f>IF('Raw Data'!B449&lt;&gt;"",'Raw Data'!B449,"")</f>
        <v/>
      </c>
      <c r="C462" s="13">
        <f>IF('Raw Data'!C449&lt;&gt;"",'Raw Data'!C449,"")</f>
        <v/>
      </c>
      <c r="D462" s="13">
        <f>IF('Raw Data'!D449&lt;&gt;"",'Raw Data'!D449,"")</f>
        <v/>
      </c>
      <c r="E462" s="13">
        <f>IF('Raw Data'!E449&lt;&gt;"",'Raw Data'!E449,"")</f>
        <v/>
      </c>
      <c r="F462" s="17">
        <f>IF('Raw Data'!A449&lt;&gt;"",AVERAGE('Raw Data'!F449,'Raw Data'!H449,'Raw Data'!J449,'Raw Data'!L449,'Raw Data'!N449),"")</f>
        <v/>
      </c>
      <c r="G462" s="17">
        <f>IF('Raw Data'!A449&lt;&gt;"",AVERAGE('Raw Data'!G449,'Raw Data'!I449,'Raw Data'!K449,'Raw Data'!M449,'Raw Data'!O449),"")</f>
        <v/>
      </c>
      <c r="H462" s="17">
        <f>IF(F462&lt;&gt;"",F462-G462,"")</f>
        <v/>
      </c>
      <c r="I462" s="17">
        <f>IF('Raw Data'!A449&lt;&gt;"",AVERAGE('Raw Data'!P449,'Raw Data'!R449,'Raw Data'!T449,'Raw Data'!V449,'Raw Data'!X449),"")</f>
        <v/>
      </c>
      <c r="J462" s="17">
        <f>IF('Raw Data'!A449&lt;&gt;"",AVERAGE('Raw Data'!Q449,'Raw Data'!S449,'Raw Data'!U449,'Raw Data'!W449,'Raw Data'!Y449),"")</f>
        <v/>
      </c>
      <c r="K462" s="17">
        <f>IF(I462&lt;&gt;"",I462-J462,"")</f>
        <v/>
      </c>
      <c r="L462" s="17">
        <f>IF('Raw Data'!A449&lt;&gt;"",AVERAGE('Raw Data'!Z449,'Raw Data'!AB449,'Raw Data'!AD449,'Raw Data'!AF449,'Raw Data'!AH449),"")</f>
        <v/>
      </c>
      <c r="M462" s="17">
        <f>IF('Raw Data'!A449&lt;&gt;"",AVERAGE('Raw Data'!AA449,'Raw Data'!AC449,'Raw Data'!AE449,'Raw Data'!AG449,'Raw Data'!AI449),"")</f>
        <v/>
      </c>
      <c r="N462" s="17">
        <f>IF(L462&lt;&gt;"",L462-M462,"")</f>
        <v/>
      </c>
      <c r="O462" s="17">
        <f>IF('Raw Data'!A449&lt;&gt;"",AVERAGE('Raw Data'!AJ449,'Raw Data'!AL449,'Raw Data'!AN449,'Raw Data'!AP449,'Raw Data'!AR449),"")</f>
        <v/>
      </c>
      <c r="P462" s="17">
        <f>IF('Raw Data'!A449&lt;&gt;"",AVERAGE('Raw Data'!AK449,'Raw Data'!AM449,'Raw Data'!AO449,'Raw Data'!AQ449,'Raw Data'!AS449),"")</f>
        <v/>
      </c>
      <c r="Q462" s="17">
        <f>IF(O462&lt;&gt;"",O462-P462,"")</f>
        <v/>
      </c>
      <c r="R462" s="17">
        <f>IF('Raw Data'!A449&lt;&gt;"",AVERAGE('Raw Data'!AT449,'Raw Data'!AV449,'Raw Data'!AX449,'Raw Data'!AZ449,'Raw Data'!BB449),"")</f>
        <v/>
      </c>
      <c r="S462" s="17">
        <f>IF('Raw Data'!A449&lt;&gt;"",AVERAGE('Raw Data'!AU449,'Raw Data'!AW449,'Raw Data'!AY449,'Raw Data'!BA449,'Raw Data'!BC449),"")</f>
        <v/>
      </c>
      <c r="T462" s="17">
        <f>IF(R462&lt;&gt;"",R462-S462,"")</f>
        <v/>
      </c>
      <c r="U462" s="17">
        <f>IF('Raw Data'!A449&lt;&gt;"",AVERAGE('Raw Data'!BD449,'Raw Data'!BF449,'Raw Data'!BH449,'Raw Data'!BJ449,'Raw Data'!BL449),"")</f>
        <v/>
      </c>
      <c r="V462" s="17">
        <f>IF('Raw Data'!A449&lt;&gt;"",AVERAGE('Raw Data'!BE449,'Raw Data'!BG449,'Raw Data'!BI449,'Raw Data'!BK449,'Raw Data'!BM449),"")</f>
        <v/>
      </c>
      <c r="W462" s="17">
        <f>IF(U462&lt;&gt;"",U462-V462,"")</f>
        <v/>
      </c>
      <c r="X462" s="17">
        <f>IF(A462&lt;&gt;"",AVERAGE(F462,I462,L462,O462,R462,U462),"")</f>
        <v/>
      </c>
      <c r="Y462" s="17">
        <f>IF(A462&lt;&gt;"",AVERAGE(G462,J462,M462,P462,S462,V462),"")</f>
        <v/>
      </c>
      <c r="Z462" s="17">
        <f>IF(A462&lt;&gt;"",X462-Y462,"")</f>
        <v/>
      </c>
      <c r="AA462" s="18">
        <f>IF(A462&lt;&gt;"",ROUND(MIN(100,100*((MAX(0,K462)*0.25)+(MAX(0,Q462)*0.20)+(MAX(0,W462)*0.20)+(MAX(0,H462)*0.15)+(MAX(0,N462)*0.10)+(MAX(0,T462)*0.10))/9),1),"")</f>
        <v/>
      </c>
      <c r="AB462" s="29">
        <f>IF(A462&lt;&gt;"",MIN(1,(0.5*AA462/100)+(0.3*MAX(0,K462)/9)+(0.2*MAX(0,Q462)/9)),"")</f>
        <v/>
      </c>
    </row>
    <row r="463">
      <c r="A463" s="4">
        <f>IF('Raw Data'!A450&lt;&gt;"",'Raw Data'!A450,"")</f>
        <v/>
      </c>
      <c r="B463" s="4">
        <f>IF('Raw Data'!B450&lt;&gt;"",'Raw Data'!B450,"")</f>
        <v/>
      </c>
      <c r="C463" s="4">
        <f>IF('Raw Data'!C450&lt;&gt;"",'Raw Data'!C450,"")</f>
        <v/>
      </c>
      <c r="D463" s="4">
        <f>IF('Raw Data'!D450&lt;&gt;"",'Raw Data'!D450,"")</f>
        <v/>
      </c>
      <c r="E463" s="4">
        <f>IF('Raw Data'!E450&lt;&gt;"",'Raw Data'!E450,"")</f>
        <v/>
      </c>
      <c r="F463" s="14">
        <f>IF('Raw Data'!A450&lt;&gt;"",AVERAGE('Raw Data'!F450,'Raw Data'!H450,'Raw Data'!J450,'Raw Data'!L450,'Raw Data'!N450),"")</f>
        <v/>
      </c>
      <c r="G463" s="14">
        <f>IF('Raw Data'!A450&lt;&gt;"",AVERAGE('Raw Data'!G450,'Raw Data'!I450,'Raw Data'!K450,'Raw Data'!M450,'Raw Data'!O450),"")</f>
        <v/>
      </c>
      <c r="H463" s="14">
        <f>IF(F463&lt;&gt;"",F463-G463,"")</f>
        <v/>
      </c>
      <c r="I463" s="14">
        <f>IF('Raw Data'!A450&lt;&gt;"",AVERAGE('Raw Data'!P450,'Raw Data'!R450,'Raw Data'!T450,'Raw Data'!V450,'Raw Data'!X450),"")</f>
        <v/>
      </c>
      <c r="J463" s="14">
        <f>IF('Raw Data'!A450&lt;&gt;"",AVERAGE('Raw Data'!Q450,'Raw Data'!S450,'Raw Data'!U450,'Raw Data'!W450,'Raw Data'!Y450),"")</f>
        <v/>
      </c>
      <c r="K463" s="14">
        <f>IF(I463&lt;&gt;"",I463-J463,"")</f>
        <v/>
      </c>
      <c r="L463" s="14">
        <f>IF('Raw Data'!A450&lt;&gt;"",AVERAGE('Raw Data'!Z450,'Raw Data'!AB450,'Raw Data'!AD450,'Raw Data'!AF450,'Raw Data'!AH450),"")</f>
        <v/>
      </c>
      <c r="M463" s="14">
        <f>IF('Raw Data'!A450&lt;&gt;"",AVERAGE('Raw Data'!AA450,'Raw Data'!AC450,'Raw Data'!AE450,'Raw Data'!AG450,'Raw Data'!AI450),"")</f>
        <v/>
      </c>
      <c r="N463" s="14">
        <f>IF(L463&lt;&gt;"",L463-M463,"")</f>
        <v/>
      </c>
      <c r="O463" s="14">
        <f>IF('Raw Data'!A450&lt;&gt;"",AVERAGE('Raw Data'!AJ450,'Raw Data'!AL450,'Raw Data'!AN450,'Raw Data'!AP450,'Raw Data'!AR450),"")</f>
        <v/>
      </c>
      <c r="P463" s="14">
        <f>IF('Raw Data'!A450&lt;&gt;"",AVERAGE('Raw Data'!AK450,'Raw Data'!AM450,'Raw Data'!AO450,'Raw Data'!AQ450,'Raw Data'!AS450),"")</f>
        <v/>
      </c>
      <c r="Q463" s="14">
        <f>IF(O463&lt;&gt;"",O463-P463,"")</f>
        <v/>
      </c>
      <c r="R463" s="14">
        <f>IF('Raw Data'!A450&lt;&gt;"",AVERAGE('Raw Data'!AT450,'Raw Data'!AV450,'Raw Data'!AX450,'Raw Data'!AZ450,'Raw Data'!BB450),"")</f>
        <v/>
      </c>
      <c r="S463" s="14">
        <f>IF('Raw Data'!A450&lt;&gt;"",AVERAGE('Raw Data'!AU450,'Raw Data'!AW450,'Raw Data'!AY450,'Raw Data'!BA450,'Raw Data'!BC450),"")</f>
        <v/>
      </c>
      <c r="T463" s="14">
        <f>IF(R463&lt;&gt;"",R463-S463,"")</f>
        <v/>
      </c>
      <c r="U463" s="14">
        <f>IF('Raw Data'!A450&lt;&gt;"",AVERAGE('Raw Data'!BD450,'Raw Data'!BF450,'Raw Data'!BH450,'Raw Data'!BJ450,'Raw Data'!BL450),"")</f>
        <v/>
      </c>
      <c r="V463" s="14">
        <f>IF('Raw Data'!A450&lt;&gt;"",AVERAGE('Raw Data'!BE450,'Raw Data'!BG450,'Raw Data'!BI450,'Raw Data'!BK450,'Raw Data'!BM450),"")</f>
        <v/>
      </c>
      <c r="W463" s="14">
        <f>IF(U463&lt;&gt;"",U463-V463,"")</f>
        <v/>
      </c>
      <c r="X463" s="14">
        <f>IF(A463&lt;&gt;"",AVERAGE(F463,I463,L463,O463,R463,U463),"")</f>
        <v/>
      </c>
      <c r="Y463" s="14">
        <f>IF(A463&lt;&gt;"",AVERAGE(G463,J463,M463,P463,S463,V463),"")</f>
        <v/>
      </c>
      <c r="Z463" s="14">
        <f>IF(A463&lt;&gt;"",X463-Y463,"")</f>
        <v/>
      </c>
      <c r="AA463" s="15">
        <f>IF(A463&lt;&gt;"",ROUND(MIN(100,100*((MAX(0,K463)*0.25)+(MAX(0,Q463)*0.20)+(MAX(0,W463)*0.20)+(MAX(0,H463)*0.15)+(MAX(0,N463)*0.10)+(MAX(0,T463)*0.10))/9),1),"")</f>
        <v/>
      </c>
      <c r="AB463" s="28">
        <f>IF(A463&lt;&gt;"",MIN(1,(0.5*AA463/100)+(0.3*MAX(0,K463)/9)+(0.2*MAX(0,Q463)/9)),"")</f>
        <v/>
      </c>
    </row>
    <row r="464">
      <c r="A464" s="13">
        <f>IF('Raw Data'!A451&lt;&gt;"",'Raw Data'!A451,"")</f>
        <v/>
      </c>
      <c r="B464" s="13">
        <f>IF('Raw Data'!B451&lt;&gt;"",'Raw Data'!B451,"")</f>
        <v/>
      </c>
      <c r="C464" s="13">
        <f>IF('Raw Data'!C451&lt;&gt;"",'Raw Data'!C451,"")</f>
        <v/>
      </c>
      <c r="D464" s="13">
        <f>IF('Raw Data'!D451&lt;&gt;"",'Raw Data'!D451,"")</f>
        <v/>
      </c>
      <c r="E464" s="13">
        <f>IF('Raw Data'!E451&lt;&gt;"",'Raw Data'!E451,"")</f>
        <v/>
      </c>
      <c r="F464" s="17">
        <f>IF('Raw Data'!A451&lt;&gt;"",AVERAGE('Raw Data'!F451,'Raw Data'!H451,'Raw Data'!J451,'Raw Data'!L451,'Raw Data'!N451),"")</f>
        <v/>
      </c>
      <c r="G464" s="17">
        <f>IF('Raw Data'!A451&lt;&gt;"",AVERAGE('Raw Data'!G451,'Raw Data'!I451,'Raw Data'!K451,'Raw Data'!M451,'Raw Data'!O451),"")</f>
        <v/>
      </c>
      <c r="H464" s="17">
        <f>IF(F464&lt;&gt;"",F464-G464,"")</f>
        <v/>
      </c>
      <c r="I464" s="17">
        <f>IF('Raw Data'!A451&lt;&gt;"",AVERAGE('Raw Data'!P451,'Raw Data'!R451,'Raw Data'!T451,'Raw Data'!V451,'Raw Data'!X451),"")</f>
        <v/>
      </c>
      <c r="J464" s="17">
        <f>IF('Raw Data'!A451&lt;&gt;"",AVERAGE('Raw Data'!Q451,'Raw Data'!S451,'Raw Data'!U451,'Raw Data'!W451,'Raw Data'!Y451),"")</f>
        <v/>
      </c>
      <c r="K464" s="17">
        <f>IF(I464&lt;&gt;"",I464-J464,"")</f>
        <v/>
      </c>
      <c r="L464" s="17">
        <f>IF('Raw Data'!A451&lt;&gt;"",AVERAGE('Raw Data'!Z451,'Raw Data'!AB451,'Raw Data'!AD451,'Raw Data'!AF451,'Raw Data'!AH451),"")</f>
        <v/>
      </c>
      <c r="M464" s="17">
        <f>IF('Raw Data'!A451&lt;&gt;"",AVERAGE('Raw Data'!AA451,'Raw Data'!AC451,'Raw Data'!AE451,'Raw Data'!AG451,'Raw Data'!AI451),"")</f>
        <v/>
      </c>
      <c r="N464" s="17">
        <f>IF(L464&lt;&gt;"",L464-M464,"")</f>
        <v/>
      </c>
      <c r="O464" s="17">
        <f>IF('Raw Data'!A451&lt;&gt;"",AVERAGE('Raw Data'!AJ451,'Raw Data'!AL451,'Raw Data'!AN451,'Raw Data'!AP451,'Raw Data'!AR451),"")</f>
        <v/>
      </c>
      <c r="P464" s="17">
        <f>IF('Raw Data'!A451&lt;&gt;"",AVERAGE('Raw Data'!AK451,'Raw Data'!AM451,'Raw Data'!AO451,'Raw Data'!AQ451,'Raw Data'!AS451),"")</f>
        <v/>
      </c>
      <c r="Q464" s="17">
        <f>IF(O464&lt;&gt;"",O464-P464,"")</f>
        <v/>
      </c>
      <c r="R464" s="17">
        <f>IF('Raw Data'!A451&lt;&gt;"",AVERAGE('Raw Data'!AT451,'Raw Data'!AV451,'Raw Data'!AX451,'Raw Data'!AZ451,'Raw Data'!BB451),"")</f>
        <v/>
      </c>
      <c r="S464" s="17">
        <f>IF('Raw Data'!A451&lt;&gt;"",AVERAGE('Raw Data'!AU451,'Raw Data'!AW451,'Raw Data'!AY451,'Raw Data'!BA451,'Raw Data'!BC451),"")</f>
        <v/>
      </c>
      <c r="T464" s="17">
        <f>IF(R464&lt;&gt;"",R464-S464,"")</f>
        <v/>
      </c>
      <c r="U464" s="17">
        <f>IF('Raw Data'!A451&lt;&gt;"",AVERAGE('Raw Data'!BD451,'Raw Data'!BF451,'Raw Data'!BH451,'Raw Data'!BJ451,'Raw Data'!BL451),"")</f>
        <v/>
      </c>
      <c r="V464" s="17">
        <f>IF('Raw Data'!A451&lt;&gt;"",AVERAGE('Raw Data'!BE451,'Raw Data'!BG451,'Raw Data'!BI451,'Raw Data'!BK451,'Raw Data'!BM451),"")</f>
        <v/>
      </c>
      <c r="W464" s="17">
        <f>IF(U464&lt;&gt;"",U464-V464,"")</f>
        <v/>
      </c>
      <c r="X464" s="17">
        <f>IF(A464&lt;&gt;"",AVERAGE(F464,I464,L464,O464,R464,U464),"")</f>
        <v/>
      </c>
      <c r="Y464" s="17">
        <f>IF(A464&lt;&gt;"",AVERAGE(G464,J464,M464,P464,S464,V464),"")</f>
        <v/>
      </c>
      <c r="Z464" s="17">
        <f>IF(A464&lt;&gt;"",X464-Y464,"")</f>
        <v/>
      </c>
      <c r="AA464" s="18">
        <f>IF(A464&lt;&gt;"",ROUND(MIN(100,100*((MAX(0,K464)*0.25)+(MAX(0,Q464)*0.20)+(MAX(0,W464)*0.20)+(MAX(0,H464)*0.15)+(MAX(0,N464)*0.10)+(MAX(0,T464)*0.10))/9),1),"")</f>
        <v/>
      </c>
      <c r="AB464" s="29">
        <f>IF(A464&lt;&gt;"",MIN(1,(0.5*AA464/100)+(0.3*MAX(0,K464)/9)+(0.2*MAX(0,Q464)/9)),"")</f>
        <v/>
      </c>
    </row>
    <row r="465">
      <c r="A465" s="4">
        <f>IF('Raw Data'!A452&lt;&gt;"",'Raw Data'!A452,"")</f>
        <v/>
      </c>
      <c r="B465" s="4">
        <f>IF('Raw Data'!B452&lt;&gt;"",'Raw Data'!B452,"")</f>
        <v/>
      </c>
      <c r="C465" s="4">
        <f>IF('Raw Data'!C452&lt;&gt;"",'Raw Data'!C452,"")</f>
        <v/>
      </c>
      <c r="D465" s="4">
        <f>IF('Raw Data'!D452&lt;&gt;"",'Raw Data'!D452,"")</f>
        <v/>
      </c>
      <c r="E465" s="4">
        <f>IF('Raw Data'!E452&lt;&gt;"",'Raw Data'!E452,"")</f>
        <v/>
      </c>
      <c r="F465" s="14">
        <f>IF('Raw Data'!A452&lt;&gt;"",AVERAGE('Raw Data'!F452,'Raw Data'!H452,'Raw Data'!J452,'Raw Data'!L452,'Raw Data'!N452),"")</f>
        <v/>
      </c>
      <c r="G465" s="14">
        <f>IF('Raw Data'!A452&lt;&gt;"",AVERAGE('Raw Data'!G452,'Raw Data'!I452,'Raw Data'!K452,'Raw Data'!M452,'Raw Data'!O452),"")</f>
        <v/>
      </c>
      <c r="H465" s="14">
        <f>IF(F465&lt;&gt;"",F465-G465,"")</f>
        <v/>
      </c>
      <c r="I465" s="14">
        <f>IF('Raw Data'!A452&lt;&gt;"",AVERAGE('Raw Data'!P452,'Raw Data'!R452,'Raw Data'!T452,'Raw Data'!V452,'Raw Data'!X452),"")</f>
        <v/>
      </c>
      <c r="J465" s="14">
        <f>IF('Raw Data'!A452&lt;&gt;"",AVERAGE('Raw Data'!Q452,'Raw Data'!S452,'Raw Data'!U452,'Raw Data'!W452,'Raw Data'!Y452),"")</f>
        <v/>
      </c>
      <c r="K465" s="14">
        <f>IF(I465&lt;&gt;"",I465-J465,"")</f>
        <v/>
      </c>
      <c r="L465" s="14">
        <f>IF('Raw Data'!A452&lt;&gt;"",AVERAGE('Raw Data'!Z452,'Raw Data'!AB452,'Raw Data'!AD452,'Raw Data'!AF452,'Raw Data'!AH452),"")</f>
        <v/>
      </c>
      <c r="M465" s="14">
        <f>IF('Raw Data'!A452&lt;&gt;"",AVERAGE('Raw Data'!AA452,'Raw Data'!AC452,'Raw Data'!AE452,'Raw Data'!AG452,'Raw Data'!AI452),"")</f>
        <v/>
      </c>
      <c r="N465" s="14">
        <f>IF(L465&lt;&gt;"",L465-M465,"")</f>
        <v/>
      </c>
      <c r="O465" s="14">
        <f>IF('Raw Data'!A452&lt;&gt;"",AVERAGE('Raw Data'!AJ452,'Raw Data'!AL452,'Raw Data'!AN452,'Raw Data'!AP452,'Raw Data'!AR452),"")</f>
        <v/>
      </c>
      <c r="P465" s="14">
        <f>IF('Raw Data'!A452&lt;&gt;"",AVERAGE('Raw Data'!AK452,'Raw Data'!AM452,'Raw Data'!AO452,'Raw Data'!AQ452,'Raw Data'!AS452),"")</f>
        <v/>
      </c>
      <c r="Q465" s="14">
        <f>IF(O465&lt;&gt;"",O465-P465,"")</f>
        <v/>
      </c>
      <c r="R465" s="14">
        <f>IF('Raw Data'!A452&lt;&gt;"",AVERAGE('Raw Data'!AT452,'Raw Data'!AV452,'Raw Data'!AX452,'Raw Data'!AZ452,'Raw Data'!BB452),"")</f>
        <v/>
      </c>
      <c r="S465" s="14">
        <f>IF('Raw Data'!A452&lt;&gt;"",AVERAGE('Raw Data'!AU452,'Raw Data'!AW452,'Raw Data'!AY452,'Raw Data'!BA452,'Raw Data'!BC452),"")</f>
        <v/>
      </c>
      <c r="T465" s="14">
        <f>IF(R465&lt;&gt;"",R465-S465,"")</f>
        <v/>
      </c>
      <c r="U465" s="14">
        <f>IF('Raw Data'!A452&lt;&gt;"",AVERAGE('Raw Data'!BD452,'Raw Data'!BF452,'Raw Data'!BH452,'Raw Data'!BJ452,'Raw Data'!BL452),"")</f>
        <v/>
      </c>
      <c r="V465" s="14">
        <f>IF('Raw Data'!A452&lt;&gt;"",AVERAGE('Raw Data'!BE452,'Raw Data'!BG452,'Raw Data'!BI452,'Raw Data'!BK452,'Raw Data'!BM452),"")</f>
        <v/>
      </c>
      <c r="W465" s="14">
        <f>IF(U465&lt;&gt;"",U465-V465,"")</f>
        <v/>
      </c>
      <c r="X465" s="14">
        <f>IF(A465&lt;&gt;"",AVERAGE(F465,I465,L465,O465,R465,U465),"")</f>
        <v/>
      </c>
      <c r="Y465" s="14">
        <f>IF(A465&lt;&gt;"",AVERAGE(G465,J465,M465,P465,S465,V465),"")</f>
        <v/>
      </c>
      <c r="Z465" s="14">
        <f>IF(A465&lt;&gt;"",X465-Y465,"")</f>
        <v/>
      </c>
      <c r="AA465" s="15">
        <f>IF(A465&lt;&gt;"",ROUND(MIN(100,100*((MAX(0,K465)*0.25)+(MAX(0,Q465)*0.20)+(MAX(0,W465)*0.20)+(MAX(0,H465)*0.15)+(MAX(0,N465)*0.10)+(MAX(0,T465)*0.10))/9),1),"")</f>
        <v/>
      </c>
      <c r="AB465" s="28">
        <f>IF(A465&lt;&gt;"",MIN(1,(0.5*AA465/100)+(0.3*MAX(0,K465)/9)+(0.2*MAX(0,Q465)/9)),"")</f>
        <v/>
      </c>
    </row>
    <row r="466">
      <c r="A466" s="13">
        <f>IF('Raw Data'!A453&lt;&gt;"",'Raw Data'!A453,"")</f>
        <v/>
      </c>
      <c r="B466" s="13">
        <f>IF('Raw Data'!B453&lt;&gt;"",'Raw Data'!B453,"")</f>
        <v/>
      </c>
      <c r="C466" s="13">
        <f>IF('Raw Data'!C453&lt;&gt;"",'Raw Data'!C453,"")</f>
        <v/>
      </c>
      <c r="D466" s="13">
        <f>IF('Raw Data'!D453&lt;&gt;"",'Raw Data'!D453,"")</f>
        <v/>
      </c>
      <c r="E466" s="13">
        <f>IF('Raw Data'!E453&lt;&gt;"",'Raw Data'!E453,"")</f>
        <v/>
      </c>
      <c r="F466" s="17">
        <f>IF('Raw Data'!A453&lt;&gt;"",AVERAGE('Raw Data'!F453,'Raw Data'!H453,'Raw Data'!J453,'Raw Data'!L453,'Raw Data'!N453),"")</f>
        <v/>
      </c>
      <c r="G466" s="17">
        <f>IF('Raw Data'!A453&lt;&gt;"",AVERAGE('Raw Data'!G453,'Raw Data'!I453,'Raw Data'!K453,'Raw Data'!M453,'Raw Data'!O453),"")</f>
        <v/>
      </c>
      <c r="H466" s="17">
        <f>IF(F466&lt;&gt;"",F466-G466,"")</f>
        <v/>
      </c>
      <c r="I466" s="17">
        <f>IF('Raw Data'!A453&lt;&gt;"",AVERAGE('Raw Data'!P453,'Raw Data'!R453,'Raw Data'!T453,'Raw Data'!V453,'Raw Data'!X453),"")</f>
        <v/>
      </c>
      <c r="J466" s="17">
        <f>IF('Raw Data'!A453&lt;&gt;"",AVERAGE('Raw Data'!Q453,'Raw Data'!S453,'Raw Data'!U453,'Raw Data'!W453,'Raw Data'!Y453),"")</f>
        <v/>
      </c>
      <c r="K466" s="17">
        <f>IF(I466&lt;&gt;"",I466-J466,"")</f>
        <v/>
      </c>
      <c r="L466" s="17">
        <f>IF('Raw Data'!A453&lt;&gt;"",AVERAGE('Raw Data'!Z453,'Raw Data'!AB453,'Raw Data'!AD453,'Raw Data'!AF453,'Raw Data'!AH453),"")</f>
        <v/>
      </c>
      <c r="M466" s="17">
        <f>IF('Raw Data'!A453&lt;&gt;"",AVERAGE('Raw Data'!AA453,'Raw Data'!AC453,'Raw Data'!AE453,'Raw Data'!AG453,'Raw Data'!AI453),"")</f>
        <v/>
      </c>
      <c r="N466" s="17">
        <f>IF(L466&lt;&gt;"",L466-M466,"")</f>
        <v/>
      </c>
      <c r="O466" s="17">
        <f>IF('Raw Data'!A453&lt;&gt;"",AVERAGE('Raw Data'!AJ453,'Raw Data'!AL453,'Raw Data'!AN453,'Raw Data'!AP453,'Raw Data'!AR453),"")</f>
        <v/>
      </c>
      <c r="P466" s="17">
        <f>IF('Raw Data'!A453&lt;&gt;"",AVERAGE('Raw Data'!AK453,'Raw Data'!AM453,'Raw Data'!AO453,'Raw Data'!AQ453,'Raw Data'!AS453),"")</f>
        <v/>
      </c>
      <c r="Q466" s="17">
        <f>IF(O466&lt;&gt;"",O466-P466,"")</f>
        <v/>
      </c>
      <c r="R466" s="17">
        <f>IF('Raw Data'!A453&lt;&gt;"",AVERAGE('Raw Data'!AT453,'Raw Data'!AV453,'Raw Data'!AX453,'Raw Data'!AZ453,'Raw Data'!BB453),"")</f>
        <v/>
      </c>
      <c r="S466" s="17">
        <f>IF('Raw Data'!A453&lt;&gt;"",AVERAGE('Raw Data'!AU453,'Raw Data'!AW453,'Raw Data'!AY453,'Raw Data'!BA453,'Raw Data'!BC453),"")</f>
        <v/>
      </c>
      <c r="T466" s="17">
        <f>IF(R466&lt;&gt;"",R466-S466,"")</f>
        <v/>
      </c>
      <c r="U466" s="17">
        <f>IF('Raw Data'!A453&lt;&gt;"",AVERAGE('Raw Data'!BD453,'Raw Data'!BF453,'Raw Data'!BH453,'Raw Data'!BJ453,'Raw Data'!BL453),"")</f>
        <v/>
      </c>
      <c r="V466" s="17">
        <f>IF('Raw Data'!A453&lt;&gt;"",AVERAGE('Raw Data'!BE453,'Raw Data'!BG453,'Raw Data'!BI453,'Raw Data'!BK453,'Raw Data'!BM453),"")</f>
        <v/>
      </c>
      <c r="W466" s="17">
        <f>IF(U466&lt;&gt;"",U466-V466,"")</f>
        <v/>
      </c>
      <c r="X466" s="17">
        <f>IF(A466&lt;&gt;"",AVERAGE(F466,I466,L466,O466,R466,U466),"")</f>
        <v/>
      </c>
      <c r="Y466" s="17">
        <f>IF(A466&lt;&gt;"",AVERAGE(G466,J466,M466,P466,S466,V466),"")</f>
        <v/>
      </c>
      <c r="Z466" s="17">
        <f>IF(A466&lt;&gt;"",X466-Y466,"")</f>
        <v/>
      </c>
      <c r="AA466" s="18">
        <f>IF(A466&lt;&gt;"",ROUND(MIN(100,100*((MAX(0,K466)*0.25)+(MAX(0,Q466)*0.20)+(MAX(0,W466)*0.20)+(MAX(0,H466)*0.15)+(MAX(0,N466)*0.10)+(MAX(0,T466)*0.10))/9),1),"")</f>
        <v/>
      </c>
      <c r="AB466" s="29">
        <f>IF(A466&lt;&gt;"",MIN(1,(0.5*AA466/100)+(0.3*MAX(0,K466)/9)+(0.2*MAX(0,Q466)/9)),"")</f>
        <v/>
      </c>
    </row>
    <row r="467">
      <c r="A467" s="4">
        <f>IF('Raw Data'!A454&lt;&gt;"",'Raw Data'!A454,"")</f>
        <v/>
      </c>
      <c r="B467" s="4">
        <f>IF('Raw Data'!B454&lt;&gt;"",'Raw Data'!B454,"")</f>
        <v/>
      </c>
      <c r="C467" s="4">
        <f>IF('Raw Data'!C454&lt;&gt;"",'Raw Data'!C454,"")</f>
        <v/>
      </c>
      <c r="D467" s="4">
        <f>IF('Raw Data'!D454&lt;&gt;"",'Raw Data'!D454,"")</f>
        <v/>
      </c>
      <c r="E467" s="4">
        <f>IF('Raw Data'!E454&lt;&gt;"",'Raw Data'!E454,"")</f>
        <v/>
      </c>
      <c r="F467" s="14">
        <f>IF('Raw Data'!A454&lt;&gt;"",AVERAGE('Raw Data'!F454,'Raw Data'!H454,'Raw Data'!J454,'Raw Data'!L454,'Raw Data'!N454),"")</f>
        <v/>
      </c>
      <c r="G467" s="14">
        <f>IF('Raw Data'!A454&lt;&gt;"",AVERAGE('Raw Data'!G454,'Raw Data'!I454,'Raw Data'!K454,'Raw Data'!M454,'Raw Data'!O454),"")</f>
        <v/>
      </c>
      <c r="H467" s="14">
        <f>IF(F467&lt;&gt;"",F467-G467,"")</f>
        <v/>
      </c>
      <c r="I467" s="14">
        <f>IF('Raw Data'!A454&lt;&gt;"",AVERAGE('Raw Data'!P454,'Raw Data'!R454,'Raw Data'!T454,'Raw Data'!V454,'Raw Data'!X454),"")</f>
        <v/>
      </c>
      <c r="J467" s="14">
        <f>IF('Raw Data'!A454&lt;&gt;"",AVERAGE('Raw Data'!Q454,'Raw Data'!S454,'Raw Data'!U454,'Raw Data'!W454,'Raw Data'!Y454),"")</f>
        <v/>
      </c>
      <c r="K467" s="14">
        <f>IF(I467&lt;&gt;"",I467-J467,"")</f>
        <v/>
      </c>
      <c r="L467" s="14">
        <f>IF('Raw Data'!A454&lt;&gt;"",AVERAGE('Raw Data'!Z454,'Raw Data'!AB454,'Raw Data'!AD454,'Raw Data'!AF454,'Raw Data'!AH454),"")</f>
        <v/>
      </c>
      <c r="M467" s="14">
        <f>IF('Raw Data'!A454&lt;&gt;"",AVERAGE('Raw Data'!AA454,'Raw Data'!AC454,'Raw Data'!AE454,'Raw Data'!AG454,'Raw Data'!AI454),"")</f>
        <v/>
      </c>
      <c r="N467" s="14">
        <f>IF(L467&lt;&gt;"",L467-M467,"")</f>
        <v/>
      </c>
      <c r="O467" s="14">
        <f>IF('Raw Data'!A454&lt;&gt;"",AVERAGE('Raw Data'!AJ454,'Raw Data'!AL454,'Raw Data'!AN454,'Raw Data'!AP454,'Raw Data'!AR454),"")</f>
        <v/>
      </c>
      <c r="P467" s="14">
        <f>IF('Raw Data'!A454&lt;&gt;"",AVERAGE('Raw Data'!AK454,'Raw Data'!AM454,'Raw Data'!AO454,'Raw Data'!AQ454,'Raw Data'!AS454),"")</f>
        <v/>
      </c>
      <c r="Q467" s="14">
        <f>IF(O467&lt;&gt;"",O467-P467,"")</f>
        <v/>
      </c>
      <c r="R467" s="14">
        <f>IF('Raw Data'!A454&lt;&gt;"",AVERAGE('Raw Data'!AT454,'Raw Data'!AV454,'Raw Data'!AX454,'Raw Data'!AZ454,'Raw Data'!BB454),"")</f>
        <v/>
      </c>
      <c r="S467" s="14">
        <f>IF('Raw Data'!A454&lt;&gt;"",AVERAGE('Raw Data'!AU454,'Raw Data'!AW454,'Raw Data'!AY454,'Raw Data'!BA454,'Raw Data'!BC454),"")</f>
        <v/>
      </c>
      <c r="T467" s="14">
        <f>IF(R467&lt;&gt;"",R467-S467,"")</f>
        <v/>
      </c>
      <c r="U467" s="14">
        <f>IF('Raw Data'!A454&lt;&gt;"",AVERAGE('Raw Data'!BD454,'Raw Data'!BF454,'Raw Data'!BH454,'Raw Data'!BJ454,'Raw Data'!BL454),"")</f>
        <v/>
      </c>
      <c r="V467" s="14">
        <f>IF('Raw Data'!A454&lt;&gt;"",AVERAGE('Raw Data'!BE454,'Raw Data'!BG454,'Raw Data'!BI454,'Raw Data'!BK454,'Raw Data'!BM454),"")</f>
        <v/>
      </c>
      <c r="W467" s="14">
        <f>IF(U467&lt;&gt;"",U467-V467,"")</f>
        <v/>
      </c>
      <c r="X467" s="14">
        <f>IF(A467&lt;&gt;"",AVERAGE(F467,I467,L467,O467,R467,U467),"")</f>
        <v/>
      </c>
      <c r="Y467" s="14">
        <f>IF(A467&lt;&gt;"",AVERAGE(G467,J467,M467,P467,S467,V467),"")</f>
        <v/>
      </c>
      <c r="Z467" s="14">
        <f>IF(A467&lt;&gt;"",X467-Y467,"")</f>
        <v/>
      </c>
      <c r="AA467" s="15">
        <f>IF(A467&lt;&gt;"",ROUND(MIN(100,100*((MAX(0,K467)*0.25)+(MAX(0,Q467)*0.20)+(MAX(0,W467)*0.20)+(MAX(0,H467)*0.15)+(MAX(0,N467)*0.10)+(MAX(0,T467)*0.10))/9),1),"")</f>
        <v/>
      </c>
      <c r="AB467" s="28">
        <f>IF(A467&lt;&gt;"",MIN(1,(0.5*AA467/100)+(0.3*MAX(0,K467)/9)+(0.2*MAX(0,Q467)/9)),"")</f>
        <v/>
      </c>
    </row>
    <row r="468">
      <c r="A468" s="13">
        <f>IF('Raw Data'!A455&lt;&gt;"",'Raw Data'!A455,"")</f>
        <v/>
      </c>
      <c r="B468" s="13">
        <f>IF('Raw Data'!B455&lt;&gt;"",'Raw Data'!B455,"")</f>
        <v/>
      </c>
      <c r="C468" s="13">
        <f>IF('Raw Data'!C455&lt;&gt;"",'Raw Data'!C455,"")</f>
        <v/>
      </c>
      <c r="D468" s="13">
        <f>IF('Raw Data'!D455&lt;&gt;"",'Raw Data'!D455,"")</f>
        <v/>
      </c>
      <c r="E468" s="13">
        <f>IF('Raw Data'!E455&lt;&gt;"",'Raw Data'!E455,"")</f>
        <v/>
      </c>
      <c r="F468" s="17">
        <f>IF('Raw Data'!A455&lt;&gt;"",AVERAGE('Raw Data'!F455,'Raw Data'!H455,'Raw Data'!J455,'Raw Data'!L455,'Raw Data'!N455),"")</f>
        <v/>
      </c>
      <c r="G468" s="17">
        <f>IF('Raw Data'!A455&lt;&gt;"",AVERAGE('Raw Data'!G455,'Raw Data'!I455,'Raw Data'!K455,'Raw Data'!M455,'Raw Data'!O455),"")</f>
        <v/>
      </c>
      <c r="H468" s="17">
        <f>IF(F468&lt;&gt;"",F468-G468,"")</f>
        <v/>
      </c>
      <c r="I468" s="17">
        <f>IF('Raw Data'!A455&lt;&gt;"",AVERAGE('Raw Data'!P455,'Raw Data'!R455,'Raw Data'!T455,'Raw Data'!V455,'Raw Data'!X455),"")</f>
        <v/>
      </c>
      <c r="J468" s="17">
        <f>IF('Raw Data'!A455&lt;&gt;"",AVERAGE('Raw Data'!Q455,'Raw Data'!S455,'Raw Data'!U455,'Raw Data'!W455,'Raw Data'!Y455),"")</f>
        <v/>
      </c>
      <c r="K468" s="17">
        <f>IF(I468&lt;&gt;"",I468-J468,"")</f>
        <v/>
      </c>
      <c r="L468" s="17">
        <f>IF('Raw Data'!A455&lt;&gt;"",AVERAGE('Raw Data'!Z455,'Raw Data'!AB455,'Raw Data'!AD455,'Raw Data'!AF455,'Raw Data'!AH455),"")</f>
        <v/>
      </c>
      <c r="M468" s="17">
        <f>IF('Raw Data'!A455&lt;&gt;"",AVERAGE('Raw Data'!AA455,'Raw Data'!AC455,'Raw Data'!AE455,'Raw Data'!AG455,'Raw Data'!AI455),"")</f>
        <v/>
      </c>
      <c r="N468" s="17">
        <f>IF(L468&lt;&gt;"",L468-M468,"")</f>
        <v/>
      </c>
      <c r="O468" s="17">
        <f>IF('Raw Data'!A455&lt;&gt;"",AVERAGE('Raw Data'!AJ455,'Raw Data'!AL455,'Raw Data'!AN455,'Raw Data'!AP455,'Raw Data'!AR455),"")</f>
        <v/>
      </c>
      <c r="P468" s="17">
        <f>IF('Raw Data'!A455&lt;&gt;"",AVERAGE('Raw Data'!AK455,'Raw Data'!AM455,'Raw Data'!AO455,'Raw Data'!AQ455,'Raw Data'!AS455),"")</f>
        <v/>
      </c>
      <c r="Q468" s="17">
        <f>IF(O468&lt;&gt;"",O468-P468,"")</f>
        <v/>
      </c>
      <c r="R468" s="17">
        <f>IF('Raw Data'!A455&lt;&gt;"",AVERAGE('Raw Data'!AT455,'Raw Data'!AV455,'Raw Data'!AX455,'Raw Data'!AZ455,'Raw Data'!BB455),"")</f>
        <v/>
      </c>
      <c r="S468" s="17">
        <f>IF('Raw Data'!A455&lt;&gt;"",AVERAGE('Raw Data'!AU455,'Raw Data'!AW455,'Raw Data'!AY455,'Raw Data'!BA455,'Raw Data'!BC455),"")</f>
        <v/>
      </c>
      <c r="T468" s="17">
        <f>IF(R468&lt;&gt;"",R468-S468,"")</f>
        <v/>
      </c>
      <c r="U468" s="17">
        <f>IF('Raw Data'!A455&lt;&gt;"",AVERAGE('Raw Data'!BD455,'Raw Data'!BF455,'Raw Data'!BH455,'Raw Data'!BJ455,'Raw Data'!BL455),"")</f>
        <v/>
      </c>
      <c r="V468" s="17">
        <f>IF('Raw Data'!A455&lt;&gt;"",AVERAGE('Raw Data'!BE455,'Raw Data'!BG455,'Raw Data'!BI455,'Raw Data'!BK455,'Raw Data'!BM455),"")</f>
        <v/>
      </c>
      <c r="W468" s="17">
        <f>IF(U468&lt;&gt;"",U468-V468,"")</f>
        <v/>
      </c>
      <c r="X468" s="17">
        <f>IF(A468&lt;&gt;"",AVERAGE(F468,I468,L468,O468,R468,U468),"")</f>
        <v/>
      </c>
      <c r="Y468" s="17">
        <f>IF(A468&lt;&gt;"",AVERAGE(G468,J468,M468,P468,S468,V468),"")</f>
        <v/>
      </c>
      <c r="Z468" s="17">
        <f>IF(A468&lt;&gt;"",X468-Y468,"")</f>
        <v/>
      </c>
      <c r="AA468" s="18">
        <f>IF(A468&lt;&gt;"",ROUND(MIN(100,100*((MAX(0,K468)*0.25)+(MAX(0,Q468)*0.20)+(MAX(0,W468)*0.20)+(MAX(0,H468)*0.15)+(MAX(0,N468)*0.10)+(MAX(0,T468)*0.10))/9),1),"")</f>
        <v/>
      </c>
      <c r="AB468" s="29">
        <f>IF(A468&lt;&gt;"",MIN(1,(0.5*AA468/100)+(0.3*MAX(0,K468)/9)+(0.2*MAX(0,Q468)/9)),"")</f>
        <v/>
      </c>
    </row>
    <row r="469">
      <c r="A469" s="4">
        <f>IF('Raw Data'!A456&lt;&gt;"",'Raw Data'!A456,"")</f>
        <v/>
      </c>
      <c r="B469" s="4">
        <f>IF('Raw Data'!B456&lt;&gt;"",'Raw Data'!B456,"")</f>
        <v/>
      </c>
      <c r="C469" s="4">
        <f>IF('Raw Data'!C456&lt;&gt;"",'Raw Data'!C456,"")</f>
        <v/>
      </c>
      <c r="D469" s="4">
        <f>IF('Raw Data'!D456&lt;&gt;"",'Raw Data'!D456,"")</f>
        <v/>
      </c>
      <c r="E469" s="4">
        <f>IF('Raw Data'!E456&lt;&gt;"",'Raw Data'!E456,"")</f>
        <v/>
      </c>
      <c r="F469" s="14">
        <f>IF('Raw Data'!A456&lt;&gt;"",AVERAGE('Raw Data'!F456,'Raw Data'!H456,'Raw Data'!J456,'Raw Data'!L456,'Raw Data'!N456),"")</f>
        <v/>
      </c>
      <c r="G469" s="14">
        <f>IF('Raw Data'!A456&lt;&gt;"",AVERAGE('Raw Data'!G456,'Raw Data'!I456,'Raw Data'!K456,'Raw Data'!M456,'Raw Data'!O456),"")</f>
        <v/>
      </c>
      <c r="H469" s="14">
        <f>IF(F469&lt;&gt;"",F469-G469,"")</f>
        <v/>
      </c>
      <c r="I469" s="14">
        <f>IF('Raw Data'!A456&lt;&gt;"",AVERAGE('Raw Data'!P456,'Raw Data'!R456,'Raw Data'!T456,'Raw Data'!V456,'Raw Data'!X456),"")</f>
        <v/>
      </c>
      <c r="J469" s="14">
        <f>IF('Raw Data'!A456&lt;&gt;"",AVERAGE('Raw Data'!Q456,'Raw Data'!S456,'Raw Data'!U456,'Raw Data'!W456,'Raw Data'!Y456),"")</f>
        <v/>
      </c>
      <c r="K469" s="14">
        <f>IF(I469&lt;&gt;"",I469-J469,"")</f>
        <v/>
      </c>
      <c r="L469" s="14">
        <f>IF('Raw Data'!A456&lt;&gt;"",AVERAGE('Raw Data'!Z456,'Raw Data'!AB456,'Raw Data'!AD456,'Raw Data'!AF456,'Raw Data'!AH456),"")</f>
        <v/>
      </c>
      <c r="M469" s="14">
        <f>IF('Raw Data'!A456&lt;&gt;"",AVERAGE('Raw Data'!AA456,'Raw Data'!AC456,'Raw Data'!AE456,'Raw Data'!AG456,'Raw Data'!AI456),"")</f>
        <v/>
      </c>
      <c r="N469" s="14">
        <f>IF(L469&lt;&gt;"",L469-M469,"")</f>
        <v/>
      </c>
      <c r="O469" s="14">
        <f>IF('Raw Data'!A456&lt;&gt;"",AVERAGE('Raw Data'!AJ456,'Raw Data'!AL456,'Raw Data'!AN456,'Raw Data'!AP456,'Raw Data'!AR456),"")</f>
        <v/>
      </c>
      <c r="P469" s="14">
        <f>IF('Raw Data'!A456&lt;&gt;"",AVERAGE('Raw Data'!AK456,'Raw Data'!AM456,'Raw Data'!AO456,'Raw Data'!AQ456,'Raw Data'!AS456),"")</f>
        <v/>
      </c>
      <c r="Q469" s="14">
        <f>IF(O469&lt;&gt;"",O469-P469,"")</f>
        <v/>
      </c>
      <c r="R469" s="14">
        <f>IF('Raw Data'!A456&lt;&gt;"",AVERAGE('Raw Data'!AT456,'Raw Data'!AV456,'Raw Data'!AX456,'Raw Data'!AZ456,'Raw Data'!BB456),"")</f>
        <v/>
      </c>
      <c r="S469" s="14">
        <f>IF('Raw Data'!A456&lt;&gt;"",AVERAGE('Raw Data'!AU456,'Raw Data'!AW456,'Raw Data'!AY456,'Raw Data'!BA456,'Raw Data'!BC456),"")</f>
        <v/>
      </c>
      <c r="T469" s="14">
        <f>IF(R469&lt;&gt;"",R469-S469,"")</f>
        <v/>
      </c>
      <c r="U469" s="14">
        <f>IF('Raw Data'!A456&lt;&gt;"",AVERAGE('Raw Data'!BD456,'Raw Data'!BF456,'Raw Data'!BH456,'Raw Data'!BJ456,'Raw Data'!BL456),"")</f>
        <v/>
      </c>
      <c r="V469" s="14">
        <f>IF('Raw Data'!A456&lt;&gt;"",AVERAGE('Raw Data'!BE456,'Raw Data'!BG456,'Raw Data'!BI456,'Raw Data'!BK456,'Raw Data'!BM456),"")</f>
        <v/>
      </c>
      <c r="W469" s="14">
        <f>IF(U469&lt;&gt;"",U469-V469,"")</f>
        <v/>
      </c>
      <c r="X469" s="14">
        <f>IF(A469&lt;&gt;"",AVERAGE(F469,I469,L469,O469,R469,U469),"")</f>
        <v/>
      </c>
      <c r="Y469" s="14">
        <f>IF(A469&lt;&gt;"",AVERAGE(G469,J469,M469,P469,S469,V469),"")</f>
        <v/>
      </c>
      <c r="Z469" s="14">
        <f>IF(A469&lt;&gt;"",X469-Y469,"")</f>
        <v/>
      </c>
      <c r="AA469" s="15">
        <f>IF(A469&lt;&gt;"",ROUND(MIN(100,100*((MAX(0,K469)*0.25)+(MAX(0,Q469)*0.20)+(MAX(0,W469)*0.20)+(MAX(0,H469)*0.15)+(MAX(0,N469)*0.10)+(MAX(0,T469)*0.10))/9),1),"")</f>
        <v/>
      </c>
      <c r="AB469" s="28">
        <f>IF(A469&lt;&gt;"",MIN(1,(0.5*AA469/100)+(0.3*MAX(0,K469)/9)+(0.2*MAX(0,Q469)/9)),"")</f>
        <v/>
      </c>
    </row>
    <row r="470">
      <c r="A470" s="13">
        <f>IF('Raw Data'!A457&lt;&gt;"",'Raw Data'!A457,"")</f>
        <v/>
      </c>
      <c r="B470" s="13">
        <f>IF('Raw Data'!B457&lt;&gt;"",'Raw Data'!B457,"")</f>
        <v/>
      </c>
      <c r="C470" s="13">
        <f>IF('Raw Data'!C457&lt;&gt;"",'Raw Data'!C457,"")</f>
        <v/>
      </c>
      <c r="D470" s="13">
        <f>IF('Raw Data'!D457&lt;&gt;"",'Raw Data'!D457,"")</f>
        <v/>
      </c>
      <c r="E470" s="13">
        <f>IF('Raw Data'!E457&lt;&gt;"",'Raw Data'!E457,"")</f>
        <v/>
      </c>
      <c r="F470" s="17">
        <f>IF('Raw Data'!A457&lt;&gt;"",AVERAGE('Raw Data'!F457,'Raw Data'!H457,'Raw Data'!J457,'Raw Data'!L457,'Raw Data'!N457),"")</f>
        <v/>
      </c>
      <c r="G470" s="17">
        <f>IF('Raw Data'!A457&lt;&gt;"",AVERAGE('Raw Data'!G457,'Raw Data'!I457,'Raw Data'!K457,'Raw Data'!M457,'Raw Data'!O457),"")</f>
        <v/>
      </c>
      <c r="H470" s="17">
        <f>IF(F470&lt;&gt;"",F470-G470,"")</f>
        <v/>
      </c>
      <c r="I470" s="17">
        <f>IF('Raw Data'!A457&lt;&gt;"",AVERAGE('Raw Data'!P457,'Raw Data'!R457,'Raw Data'!T457,'Raw Data'!V457,'Raw Data'!X457),"")</f>
        <v/>
      </c>
      <c r="J470" s="17">
        <f>IF('Raw Data'!A457&lt;&gt;"",AVERAGE('Raw Data'!Q457,'Raw Data'!S457,'Raw Data'!U457,'Raw Data'!W457,'Raw Data'!Y457),"")</f>
        <v/>
      </c>
      <c r="K470" s="17">
        <f>IF(I470&lt;&gt;"",I470-J470,"")</f>
        <v/>
      </c>
      <c r="L470" s="17">
        <f>IF('Raw Data'!A457&lt;&gt;"",AVERAGE('Raw Data'!Z457,'Raw Data'!AB457,'Raw Data'!AD457,'Raw Data'!AF457,'Raw Data'!AH457),"")</f>
        <v/>
      </c>
      <c r="M470" s="17">
        <f>IF('Raw Data'!A457&lt;&gt;"",AVERAGE('Raw Data'!AA457,'Raw Data'!AC457,'Raw Data'!AE457,'Raw Data'!AG457,'Raw Data'!AI457),"")</f>
        <v/>
      </c>
      <c r="N470" s="17">
        <f>IF(L470&lt;&gt;"",L470-M470,"")</f>
        <v/>
      </c>
      <c r="O470" s="17">
        <f>IF('Raw Data'!A457&lt;&gt;"",AVERAGE('Raw Data'!AJ457,'Raw Data'!AL457,'Raw Data'!AN457,'Raw Data'!AP457,'Raw Data'!AR457),"")</f>
        <v/>
      </c>
      <c r="P470" s="17">
        <f>IF('Raw Data'!A457&lt;&gt;"",AVERAGE('Raw Data'!AK457,'Raw Data'!AM457,'Raw Data'!AO457,'Raw Data'!AQ457,'Raw Data'!AS457),"")</f>
        <v/>
      </c>
      <c r="Q470" s="17">
        <f>IF(O470&lt;&gt;"",O470-P470,"")</f>
        <v/>
      </c>
      <c r="R470" s="17">
        <f>IF('Raw Data'!A457&lt;&gt;"",AVERAGE('Raw Data'!AT457,'Raw Data'!AV457,'Raw Data'!AX457,'Raw Data'!AZ457,'Raw Data'!BB457),"")</f>
        <v/>
      </c>
      <c r="S470" s="17">
        <f>IF('Raw Data'!A457&lt;&gt;"",AVERAGE('Raw Data'!AU457,'Raw Data'!AW457,'Raw Data'!AY457,'Raw Data'!BA457,'Raw Data'!BC457),"")</f>
        <v/>
      </c>
      <c r="T470" s="17">
        <f>IF(R470&lt;&gt;"",R470-S470,"")</f>
        <v/>
      </c>
      <c r="U470" s="17">
        <f>IF('Raw Data'!A457&lt;&gt;"",AVERAGE('Raw Data'!BD457,'Raw Data'!BF457,'Raw Data'!BH457,'Raw Data'!BJ457,'Raw Data'!BL457),"")</f>
        <v/>
      </c>
      <c r="V470" s="17">
        <f>IF('Raw Data'!A457&lt;&gt;"",AVERAGE('Raw Data'!BE457,'Raw Data'!BG457,'Raw Data'!BI457,'Raw Data'!BK457,'Raw Data'!BM457),"")</f>
        <v/>
      </c>
      <c r="W470" s="17">
        <f>IF(U470&lt;&gt;"",U470-V470,"")</f>
        <v/>
      </c>
      <c r="X470" s="17">
        <f>IF(A470&lt;&gt;"",AVERAGE(F470,I470,L470,O470,R470,U470),"")</f>
        <v/>
      </c>
      <c r="Y470" s="17">
        <f>IF(A470&lt;&gt;"",AVERAGE(G470,J470,M470,P470,S470,V470),"")</f>
        <v/>
      </c>
      <c r="Z470" s="17">
        <f>IF(A470&lt;&gt;"",X470-Y470,"")</f>
        <v/>
      </c>
      <c r="AA470" s="18">
        <f>IF(A470&lt;&gt;"",ROUND(MIN(100,100*((MAX(0,K470)*0.25)+(MAX(0,Q470)*0.20)+(MAX(0,W470)*0.20)+(MAX(0,H470)*0.15)+(MAX(0,N470)*0.10)+(MAX(0,T470)*0.10))/9),1),"")</f>
        <v/>
      </c>
      <c r="AB470" s="29">
        <f>IF(A470&lt;&gt;"",MIN(1,(0.5*AA470/100)+(0.3*MAX(0,K470)/9)+(0.2*MAX(0,Q470)/9)),"")</f>
        <v/>
      </c>
    </row>
    <row r="471">
      <c r="A471" s="4">
        <f>IF('Raw Data'!A458&lt;&gt;"",'Raw Data'!A458,"")</f>
        <v/>
      </c>
      <c r="B471" s="4">
        <f>IF('Raw Data'!B458&lt;&gt;"",'Raw Data'!B458,"")</f>
        <v/>
      </c>
      <c r="C471" s="4">
        <f>IF('Raw Data'!C458&lt;&gt;"",'Raw Data'!C458,"")</f>
        <v/>
      </c>
      <c r="D471" s="4">
        <f>IF('Raw Data'!D458&lt;&gt;"",'Raw Data'!D458,"")</f>
        <v/>
      </c>
      <c r="E471" s="4">
        <f>IF('Raw Data'!E458&lt;&gt;"",'Raw Data'!E458,"")</f>
        <v/>
      </c>
      <c r="F471" s="14">
        <f>IF('Raw Data'!A458&lt;&gt;"",AVERAGE('Raw Data'!F458,'Raw Data'!H458,'Raw Data'!J458,'Raw Data'!L458,'Raw Data'!N458),"")</f>
        <v/>
      </c>
      <c r="G471" s="14">
        <f>IF('Raw Data'!A458&lt;&gt;"",AVERAGE('Raw Data'!G458,'Raw Data'!I458,'Raw Data'!K458,'Raw Data'!M458,'Raw Data'!O458),"")</f>
        <v/>
      </c>
      <c r="H471" s="14">
        <f>IF(F471&lt;&gt;"",F471-G471,"")</f>
        <v/>
      </c>
      <c r="I471" s="14">
        <f>IF('Raw Data'!A458&lt;&gt;"",AVERAGE('Raw Data'!P458,'Raw Data'!R458,'Raw Data'!T458,'Raw Data'!V458,'Raw Data'!X458),"")</f>
        <v/>
      </c>
      <c r="J471" s="14">
        <f>IF('Raw Data'!A458&lt;&gt;"",AVERAGE('Raw Data'!Q458,'Raw Data'!S458,'Raw Data'!U458,'Raw Data'!W458,'Raw Data'!Y458),"")</f>
        <v/>
      </c>
      <c r="K471" s="14">
        <f>IF(I471&lt;&gt;"",I471-J471,"")</f>
        <v/>
      </c>
      <c r="L471" s="14">
        <f>IF('Raw Data'!A458&lt;&gt;"",AVERAGE('Raw Data'!Z458,'Raw Data'!AB458,'Raw Data'!AD458,'Raw Data'!AF458,'Raw Data'!AH458),"")</f>
        <v/>
      </c>
      <c r="M471" s="14">
        <f>IF('Raw Data'!A458&lt;&gt;"",AVERAGE('Raw Data'!AA458,'Raw Data'!AC458,'Raw Data'!AE458,'Raw Data'!AG458,'Raw Data'!AI458),"")</f>
        <v/>
      </c>
      <c r="N471" s="14">
        <f>IF(L471&lt;&gt;"",L471-M471,"")</f>
        <v/>
      </c>
      <c r="O471" s="14">
        <f>IF('Raw Data'!A458&lt;&gt;"",AVERAGE('Raw Data'!AJ458,'Raw Data'!AL458,'Raw Data'!AN458,'Raw Data'!AP458,'Raw Data'!AR458),"")</f>
        <v/>
      </c>
      <c r="P471" s="14">
        <f>IF('Raw Data'!A458&lt;&gt;"",AVERAGE('Raw Data'!AK458,'Raw Data'!AM458,'Raw Data'!AO458,'Raw Data'!AQ458,'Raw Data'!AS458),"")</f>
        <v/>
      </c>
      <c r="Q471" s="14">
        <f>IF(O471&lt;&gt;"",O471-P471,"")</f>
        <v/>
      </c>
      <c r="R471" s="14">
        <f>IF('Raw Data'!A458&lt;&gt;"",AVERAGE('Raw Data'!AT458,'Raw Data'!AV458,'Raw Data'!AX458,'Raw Data'!AZ458,'Raw Data'!BB458),"")</f>
        <v/>
      </c>
      <c r="S471" s="14">
        <f>IF('Raw Data'!A458&lt;&gt;"",AVERAGE('Raw Data'!AU458,'Raw Data'!AW458,'Raw Data'!AY458,'Raw Data'!BA458,'Raw Data'!BC458),"")</f>
        <v/>
      </c>
      <c r="T471" s="14">
        <f>IF(R471&lt;&gt;"",R471-S471,"")</f>
        <v/>
      </c>
      <c r="U471" s="14">
        <f>IF('Raw Data'!A458&lt;&gt;"",AVERAGE('Raw Data'!BD458,'Raw Data'!BF458,'Raw Data'!BH458,'Raw Data'!BJ458,'Raw Data'!BL458),"")</f>
        <v/>
      </c>
      <c r="V471" s="14">
        <f>IF('Raw Data'!A458&lt;&gt;"",AVERAGE('Raw Data'!BE458,'Raw Data'!BG458,'Raw Data'!BI458,'Raw Data'!BK458,'Raw Data'!BM458),"")</f>
        <v/>
      </c>
      <c r="W471" s="14">
        <f>IF(U471&lt;&gt;"",U471-V471,"")</f>
        <v/>
      </c>
      <c r="X471" s="14">
        <f>IF(A471&lt;&gt;"",AVERAGE(F471,I471,L471,O471,R471,U471),"")</f>
        <v/>
      </c>
      <c r="Y471" s="14">
        <f>IF(A471&lt;&gt;"",AVERAGE(G471,J471,M471,P471,S471,V471),"")</f>
        <v/>
      </c>
      <c r="Z471" s="14">
        <f>IF(A471&lt;&gt;"",X471-Y471,"")</f>
        <v/>
      </c>
      <c r="AA471" s="15">
        <f>IF(A471&lt;&gt;"",ROUND(MIN(100,100*((MAX(0,K471)*0.25)+(MAX(0,Q471)*0.20)+(MAX(0,W471)*0.20)+(MAX(0,H471)*0.15)+(MAX(0,N471)*0.10)+(MAX(0,T471)*0.10))/9),1),"")</f>
        <v/>
      </c>
      <c r="AB471" s="28">
        <f>IF(A471&lt;&gt;"",MIN(1,(0.5*AA471/100)+(0.3*MAX(0,K471)/9)+(0.2*MAX(0,Q471)/9)),"")</f>
        <v/>
      </c>
    </row>
    <row r="472">
      <c r="A472" s="13">
        <f>IF('Raw Data'!A459&lt;&gt;"",'Raw Data'!A459,"")</f>
        <v/>
      </c>
      <c r="B472" s="13">
        <f>IF('Raw Data'!B459&lt;&gt;"",'Raw Data'!B459,"")</f>
        <v/>
      </c>
      <c r="C472" s="13">
        <f>IF('Raw Data'!C459&lt;&gt;"",'Raw Data'!C459,"")</f>
        <v/>
      </c>
      <c r="D472" s="13">
        <f>IF('Raw Data'!D459&lt;&gt;"",'Raw Data'!D459,"")</f>
        <v/>
      </c>
      <c r="E472" s="13">
        <f>IF('Raw Data'!E459&lt;&gt;"",'Raw Data'!E459,"")</f>
        <v/>
      </c>
      <c r="F472" s="17">
        <f>IF('Raw Data'!A459&lt;&gt;"",AVERAGE('Raw Data'!F459,'Raw Data'!H459,'Raw Data'!J459,'Raw Data'!L459,'Raw Data'!N459),"")</f>
        <v/>
      </c>
      <c r="G472" s="17">
        <f>IF('Raw Data'!A459&lt;&gt;"",AVERAGE('Raw Data'!G459,'Raw Data'!I459,'Raw Data'!K459,'Raw Data'!M459,'Raw Data'!O459),"")</f>
        <v/>
      </c>
      <c r="H472" s="17">
        <f>IF(F472&lt;&gt;"",F472-G472,"")</f>
        <v/>
      </c>
      <c r="I472" s="17">
        <f>IF('Raw Data'!A459&lt;&gt;"",AVERAGE('Raw Data'!P459,'Raw Data'!R459,'Raw Data'!T459,'Raw Data'!V459,'Raw Data'!X459),"")</f>
        <v/>
      </c>
      <c r="J472" s="17">
        <f>IF('Raw Data'!A459&lt;&gt;"",AVERAGE('Raw Data'!Q459,'Raw Data'!S459,'Raw Data'!U459,'Raw Data'!W459,'Raw Data'!Y459),"")</f>
        <v/>
      </c>
      <c r="K472" s="17">
        <f>IF(I472&lt;&gt;"",I472-J472,"")</f>
        <v/>
      </c>
      <c r="L472" s="17">
        <f>IF('Raw Data'!A459&lt;&gt;"",AVERAGE('Raw Data'!Z459,'Raw Data'!AB459,'Raw Data'!AD459,'Raw Data'!AF459,'Raw Data'!AH459),"")</f>
        <v/>
      </c>
      <c r="M472" s="17">
        <f>IF('Raw Data'!A459&lt;&gt;"",AVERAGE('Raw Data'!AA459,'Raw Data'!AC459,'Raw Data'!AE459,'Raw Data'!AG459,'Raw Data'!AI459),"")</f>
        <v/>
      </c>
      <c r="N472" s="17">
        <f>IF(L472&lt;&gt;"",L472-M472,"")</f>
        <v/>
      </c>
      <c r="O472" s="17">
        <f>IF('Raw Data'!A459&lt;&gt;"",AVERAGE('Raw Data'!AJ459,'Raw Data'!AL459,'Raw Data'!AN459,'Raw Data'!AP459,'Raw Data'!AR459),"")</f>
        <v/>
      </c>
      <c r="P472" s="17">
        <f>IF('Raw Data'!A459&lt;&gt;"",AVERAGE('Raw Data'!AK459,'Raw Data'!AM459,'Raw Data'!AO459,'Raw Data'!AQ459,'Raw Data'!AS459),"")</f>
        <v/>
      </c>
      <c r="Q472" s="17">
        <f>IF(O472&lt;&gt;"",O472-P472,"")</f>
        <v/>
      </c>
      <c r="R472" s="17">
        <f>IF('Raw Data'!A459&lt;&gt;"",AVERAGE('Raw Data'!AT459,'Raw Data'!AV459,'Raw Data'!AX459,'Raw Data'!AZ459,'Raw Data'!BB459),"")</f>
        <v/>
      </c>
      <c r="S472" s="17">
        <f>IF('Raw Data'!A459&lt;&gt;"",AVERAGE('Raw Data'!AU459,'Raw Data'!AW459,'Raw Data'!AY459,'Raw Data'!BA459,'Raw Data'!BC459),"")</f>
        <v/>
      </c>
      <c r="T472" s="17">
        <f>IF(R472&lt;&gt;"",R472-S472,"")</f>
        <v/>
      </c>
      <c r="U472" s="17">
        <f>IF('Raw Data'!A459&lt;&gt;"",AVERAGE('Raw Data'!BD459,'Raw Data'!BF459,'Raw Data'!BH459,'Raw Data'!BJ459,'Raw Data'!BL459),"")</f>
        <v/>
      </c>
      <c r="V472" s="17">
        <f>IF('Raw Data'!A459&lt;&gt;"",AVERAGE('Raw Data'!BE459,'Raw Data'!BG459,'Raw Data'!BI459,'Raw Data'!BK459,'Raw Data'!BM459),"")</f>
        <v/>
      </c>
      <c r="W472" s="17">
        <f>IF(U472&lt;&gt;"",U472-V472,"")</f>
        <v/>
      </c>
      <c r="X472" s="17">
        <f>IF(A472&lt;&gt;"",AVERAGE(F472,I472,L472,O472,R472,U472),"")</f>
        <v/>
      </c>
      <c r="Y472" s="17">
        <f>IF(A472&lt;&gt;"",AVERAGE(G472,J472,M472,P472,S472,V472),"")</f>
        <v/>
      </c>
      <c r="Z472" s="17">
        <f>IF(A472&lt;&gt;"",X472-Y472,"")</f>
        <v/>
      </c>
      <c r="AA472" s="18">
        <f>IF(A472&lt;&gt;"",ROUND(MIN(100,100*((MAX(0,K472)*0.25)+(MAX(0,Q472)*0.20)+(MAX(0,W472)*0.20)+(MAX(0,H472)*0.15)+(MAX(0,N472)*0.10)+(MAX(0,T472)*0.10))/9),1),"")</f>
        <v/>
      </c>
      <c r="AB472" s="29">
        <f>IF(A472&lt;&gt;"",MIN(1,(0.5*AA472/100)+(0.3*MAX(0,K472)/9)+(0.2*MAX(0,Q472)/9)),"")</f>
        <v/>
      </c>
    </row>
    <row r="473">
      <c r="A473" s="4">
        <f>IF('Raw Data'!A460&lt;&gt;"",'Raw Data'!A460,"")</f>
        <v/>
      </c>
      <c r="B473" s="4">
        <f>IF('Raw Data'!B460&lt;&gt;"",'Raw Data'!B460,"")</f>
        <v/>
      </c>
      <c r="C473" s="4">
        <f>IF('Raw Data'!C460&lt;&gt;"",'Raw Data'!C460,"")</f>
        <v/>
      </c>
      <c r="D473" s="4">
        <f>IF('Raw Data'!D460&lt;&gt;"",'Raw Data'!D460,"")</f>
        <v/>
      </c>
      <c r="E473" s="4">
        <f>IF('Raw Data'!E460&lt;&gt;"",'Raw Data'!E460,"")</f>
        <v/>
      </c>
      <c r="F473" s="14">
        <f>IF('Raw Data'!A460&lt;&gt;"",AVERAGE('Raw Data'!F460,'Raw Data'!H460,'Raw Data'!J460,'Raw Data'!L460,'Raw Data'!N460),"")</f>
        <v/>
      </c>
      <c r="G473" s="14">
        <f>IF('Raw Data'!A460&lt;&gt;"",AVERAGE('Raw Data'!G460,'Raw Data'!I460,'Raw Data'!K460,'Raw Data'!M460,'Raw Data'!O460),"")</f>
        <v/>
      </c>
      <c r="H473" s="14">
        <f>IF(F473&lt;&gt;"",F473-G473,"")</f>
        <v/>
      </c>
      <c r="I473" s="14">
        <f>IF('Raw Data'!A460&lt;&gt;"",AVERAGE('Raw Data'!P460,'Raw Data'!R460,'Raw Data'!T460,'Raw Data'!V460,'Raw Data'!X460),"")</f>
        <v/>
      </c>
      <c r="J473" s="14">
        <f>IF('Raw Data'!A460&lt;&gt;"",AVERAGE('Raw Data'!Q460,'Raw Data'!S460,'Raw Data'!U460,'Raw Data'!W460,'Raw Data'!Y460),"")</f>
        <v/>
      </c>
      <c r="K473" s="14">
        <f>IF(I473&lt;&gt;"",I473-J473,"")</f>
        <v/>
      </c>
      <c r="L473" s="14">
        <f>IF('Raw Data'!A460&lt;&gt;"",AVERAGE('Raw Data'!Z460,'Raw Data'!AB460,'Raw Data'!AD460,'Raw Data'!AF460,'Raw Data'!AH460),"")</f>
        <v/>
      </c>
      <c r="M473" s="14">
        <f>IF('Raw Data'!A460&lt;&gt;"",AVERAGE('Raw Data'!AA460,'Raw Data'!AC460,'Raw Data'!AE460,'Raw Data'!AG460,'Raw Data'!AI460),"")</f>
        <v/>
      </c>
      <c r="N473" s="14">
        <f>IF(L473&lt;&gt;"",L473-M473,"")</f>
        <v/>
      </c>
      <c r="O473" s="14">
        <f>IF('Raw Data'!A460&lt;&gt;"",AVERAGE('Raw Data'!AJ460,'Raw Data'!AL460,'Raw Data'!AN460,'Raw Data'!AP460,'Raw Data'!AR460),"")</f>
        <v/>
      </c>
      <c r="P473" s="14">
        <f>IF('Raw Data'!A460&lt;&gt;"",AVERAGE('Raw Data'!AK460,'Raw Data'!AM460,'Raw Data'!AO460,'Raw Data'!AQ460,'Raw Data'!AS460),"")</f>
        <v/>
      </c>
      <c r="Q473" s="14">
        <f>IF(O473&lt;&gt;"",O473-P473,"")</f>
        <v/>
      </c>
      <c r="R473" s="14">
        <f>IF('Raw Data'!A460&lt;&gt;"",AVERAGE('Raw Data'!AT460,'Raw Data'!AV460,'Raw Data'!AX460,'Raw Data'!AZ460,'Raw Data'!BB460),"")</f>
        <v/>
      </c>
      <c r="S473" s="14">
        <f>IF('Raw Data'!A460&lt;&gt;"",AVERAGE('Raw Data'!AU460,'Raw Data'!AW460,'Raw Data'!AY460,'Raw Data'!BA460,'Raw Data'!BC460),"")</f>
        <v/>
      </c>
      <c r="T473" s="14">
        <f>IF(R473&lt;&gt;"",R473-S473,"")</f>
        <v/>
      </c>
      <c r="U473" s="14">
        <f>IF('Raw Data'!A460&lt;&gt;"",AVERAGE('Raw Data'!BD460,'Raw Data'!BF460,'Raw Data'!BH460,'Raw Data'!BJ460,'Raw Data'!BL460),"")</f>
        <v/>
      </c>
      <c r="V473" s="14">
        <f>IF('Raw Data'!A460&lt;&gt;"",AVERAGE('Raw Data'!BE460,'Raw Data'!BG460,'Raw Data'!BI460,'Raw Data'!BK460,'Raw Data'!BM460),"")</f>
        <v/>
      </c>
      <c r="W473" s="14">
        <f>IF(U473&lt;&gt;"",U473-V473,"")</f>
        <v/>
      </c>
      <c r="X473" s="14">
        <f>IF(A473&lt;&gt;"",AVERAGE(F473,I473,L473,O473,R473,U473),"")</f>
        <v/>
      </c>
      <c r="Y473" s="14">
        <f>IF(A473&lt;&gt;"",AVERAGE(G473,J473,M473,P473,S473,V473),"")</f>
        <v/>
      </c>
      <c r="Z473" s="14">
        <f>IF(A473&lt;&gt;"",X473-Y473,"")</f>
        <v/>
      </c>
      <c r="AA473" s="15">
        <f>IF(A473&lt;&gt;"",ROUND(MIN(100,100*((MAX(0,K473)*0.25)+(MAX(0,Q473)*0.20)+(MAX(0,W473)*0.20)+(MAX(0,H473)*0.15)+(MAX(0,N473)*0.10)+(MAX(0,T473)*0.10))/9),1),"")</f>
        <v/>
      </c>
      <c r="AB473" s="28">
        <f>IF(A473&lt;&gt;"",MIN(1,(0.5*AA473/100)+(0.3*MAX(0,K473)/9)+(0.2*MAX(0,Q473)/9)),"")</f>
        <v/>
      </c>
    </row>
    <row r="474">
      <c r="A474" s="13">
        <f>IF('Raw Data'!A461&lt;&gt;"",'Raw Data'!A461,"")</f>
        <v/>
      </c>
      <c r="B474" s="13">
        <f>IF('Raw Data'!B461&lt;&gt;"",'Raw Data'!B461,"")</f>
        <v/>
      </c>
      <c r="C474" s="13">
        <f>IF('Raw Data'!C461&lt;&gt;"",'Raw Data'!C461,"")</f>
        <v/>
      </c>
      <c r="D474" s="13">
        <f>IF('Raw Data'!D461&lt;&gt;"",'Raw Data'!D461,"")</f>
        <v/>
      </c>
      <c r="E474" s="13">
        <f>IF('Raw Data'!E461&lt;&gt;"",'Raw Data'!E461,"")</f>
        <v/>
      </c>
      <c r="F474" s="17">
        <f>IF('Raw Data'!A461&lt;&gt;"",AVERAGE('Raw Data'!F461,'Raw Data'!H461,'Raw Data'!J461,'Raw Data'!L461,'Raw Data'!N461),"")</f>
        <v/>
      </c>
      <c r="G474" s="17">
        <f>IF('Raw Data'!A461&lt;&gt;"",AVERAGE('Raw Data'!G461,'Raw Data'!I461,'Raw Data'!K461,'Raw Data'!M461,'Raw Data'!O461),"")</f>
        <v/>
      </c>
      <c r="H474" s="17">
        <f>IF(F474&lt;&gt;"",F474-G474,"")</f>
        <v/>
      </c>
      <c r="I474" s="17">
        <f>IF('Raw Data'!A461&lt;&gt;"",AVERAGE('Raw Data'!P461,'Raw Data'!R461,'Raw Data'!T461,'Raw Data'!V461,'Raw Data'!X461),"")</f>
        <v/>
      </c>
      <c r="J474" s="17">
        <f>IF('Raw Data'!A461&lt;&gt;"",AVERAGE('Raw Data'!Q461,'Raw Data'!S461,'Raw Data'!U461,'Raw Data'!W461,'Raw Data'!Y461),"")</f>
        <v/>
      </c>
      <c r="K474" s="17">
        <f>IF(I474&lt;&gt;"",I474-J474,"")</f>
        <v/>
      </c>
      <c r="L474" s="17">
        <f>IF('Raw Data'!A461&lt;&gt;"",AVERAGE('Raw Data'!Z461,'Raw Data'!AB461,'Raw Data'!AD461,'Raw Data'!AF461,'Raw Data'!AH461),"")</f>
        <v/>
      </c>
      <c r="M474" s="17">
        <f>IF('Raw Data'!A461&lt;&gt;"",AVERAGE('Raw Data'!AA461,'Raw Data'!AC461,'Raw Data'!AE461,'Raw Data'!AG461,'Raw Data'!AI461),"")</f>
        <v/>
      </c>
      <c r="N474" s="17">
        <f>IF(L474&lt;&gt;"",L474-M474,"")</f>
        <v/>
      </c>
      <c r="O474" s="17">
        <f>IF('Raw Data'!A461&lt;&gt;"",AVERAGE('Raw Data'!AJ461,'Raw Data'!AL461,'Raw Data'!AN461,'Raw Data'!AP461,'Raw Data'!AR461),"")</f>
        <v/>
      </c>
      <c r="P474" s="17">
        <f>IF('Raw Data'!A461&lt;&gt;"",AVERAGE('Raw Data'!AK461,'Raw Data'!AM461,'Raw Data'!AO461,'Raw Data'!AQ461,'Raw Data'!AS461),"")</f>
        <v/>
      </c>
      <c r="Q474" s="17">
        <f>IF(O474&lt;&gt;"",O474-P474,"")</f>
        <v/>
      </c>
      <c r="R474" s="17">
        <f>IF('Raw Data'!A461&lt;&gt;"",AVERAGE('Raw Data'!AT461,'Raw Data'!AV461,'Raw Data'!AX461,'Raw Data'!AZ461,'Raw Data'!BB461),"")</f>
        <v/>
      </c>
      <c r="S474" s="17">
        <f>IF('Raw Data'!A461&lt;&gt;"",AVERAGE('Raw Data'!AU461,'Raw Data'!AW461,'Raw Data'!AY461,'Raw Data'!BA461,'Raw Data'!BC461),"")</f>
        <v/>
      </c>
      <c r="T474" s="17">
        <f>IF(R474&lt;&gt;"",R474-S474,"")</f>
        <v/>
      </c>
      <c r="U474" s="17">
        <f>IF('Raw Data'!A461&lt;&gt;"",AVERAGE('Raw Data'!BD461,'Raw Data'!BF461,'Raw Data'!BH461,'Raw Data'!BJ461,'Raw Data'!BL461),"")</f>
        <v/>
      </c>
      <c r="V474" s="17">
        <f>IF('Raw Data'!A461&lt;&gt;"",AVERAGE('Raw Data'!BE461,'Raw Data'!BG461,'Raw Data'!BI461,'Raw Data'!BK461,'Raw Data'!BM461),"")</f>
        <v/>
      </c>
      <c r="W474" s="17">
        <f>IF(U474&lt;&gt;"",U474-V474,"")</f>
        <v/>
      </c>
      <c r="X474" s="17">
        <f>IF(A474&lt;&gt;"",AVERAGE(F474,I474,L474,O474,R474,U474),"")</f>
        <v/>
      </c>
      <c r="Y474" s="17">
        <f>IF(A474&lt;&gt;"",AVERAGE(G474,J474,M474,P474,S474,V474),"")</f>
        <v/>
      </c>
      <c r="Z474" s="17">
        <f>IF(A474&lt;&gt;"",X474-Y474,"")</f>
        <v/>
      </c>
      <c r="AA474" s="18">
        <f>IF(A474&lt;&gt;"",ROUND(MIN(100,100*((MAX(0,K474)*0.25)+(MAX(0,Q474)*0.20)+(MAX(0,W474)*0.20)+(MAX(0,H474)*0.15)+(MAX(0,N474)*0.10)+(MAX(0,T474)*0.10))/9),1),"")</f>
        <v/>
      </c>
      <c r="AB474" s="29">
        <f>IF(A474&lt;&gt;"",MIN(1,(0.5*AA474/100)+(0.3*MAX(0,K474)/9)+(0.2*MAX(0,Q474)/9)),"")</f>
        <v/>
      </c>
    </row>
    <row r="475">
      <c r="A475" s="4">
        <f>IF('Raw Data'!A462&lt;&gt;"",'Raw Data'!A462,"")</f>
        <v/>
      </c>
      <c r="B475" s="4">
        <f>IF('Raw Data'!B462&lt;&gt;"",'Raw Data'!B462,"")</f>
        <v/>
      </c>
      <c r="C475" s="4">
        <f>IF('Raw Data'!C462&lt;&gt;"",'Raw Data'!C462,"")</f>
        <v/>
      </c>
      <c r="D475" s="4">
        <f>IF('Raw Data'!D462&lt;&gt;"",'Raw Data'!D462,"")</f>
        <v/>
      </c>
      <c r="E475" s="4">
        <f>IF('Raw Data'!E462&lt;&gt;"",'Raw Data'!E462,"")</f>
        <v/>
      </c>
      <c r="F475" s="14">
        <f>IF('Raw Data'!A462&lt;&gt;"",AVERAGE('Raw Data'!F462,'Raw Data'!H462,'Raw Data'!J462,'Raw Data'!L462,'Raw Data'!N462),"")</f>
        <v/>
      </c>
      <c r="G475" s="14">
        <f>IF('Raw Data'!A462&lt;&gt;"",AVERAGE('Raw Data'!G462,'Raw Data'!I462,'Raw Data'!K462,'Raw Data'!M462,'Raw Data'!O462),"")</f>
        <v/>
      </c>
      <c r="H475" s="14">
        <f>IF(F475&lt;&gt;"",F475-G475,"")</f>
        <v/>
      </c>
      <c r="I475" s="14">
        <f>IF('Raw Data'!A462&lt;&gt;"",AVERAGE('Raw Data'!P462,'Raw Data'!R462,'Raw Data'!T462,'Raw Data'!V462,'Raw Data'!X462),"")</f>
        <v/>
      </c>
      <c r="J475" s="14">
        <f>IF('Raw Data'!A462&lt;&gt;"",AVERAGE('Raw Data'!Q462,'Raw Data'!S462,'Raw Data'!U462,'Raw Data'!W462,'Raw Data'!Y462),"")</f>
        <v/>
      </c>
      <c r="K475" s="14">
        <f>IF(I475&lt;&gt;"",I475-J475,"")</f>
        <v/>
      </c>
      <c r="L475" s="14">
        <f>IF('Raw Data'!A462&lt;&gt;"",AVERAGE('Raw Data'!Z462,'Raw Data'!AB462,'Raw Data'!AD462,'Raw Data'!AF462,'Raw Data'!AH462),"")</f>
        <v/>
      </c>
      <c r="M475" s="14">
        <f>IF('Raw Data'!A462&lt;&gt;"",AVERAGE('Raw Data'!AA462,'Raw Data'!AC462,'Raw Data'!AE462,'Raw Data'!AG462,'Raw Data'!AI462),"")</f>
        <v/>
      </c>
      <c r="N475" s="14">
        <f>IF(L475&lt;&gt;"",L475-M475,"")</f>
        <v/>
      </c>
      <c r="O475" s="14">
        <f>IF('Raw Data'!A462&lt;&gt;"",AVERAGE('Raw Data'!AJ462,'Raw Data'!AL462,'Raw Data'!AN462,'Raw Data'!AP462,'Raw Data'!AR462),"")</f>
        <v/>
      </c>
      <c r="P475" s="14">
        <f>IF('Raw Data'!A462&lt;&gt;"",AVERAGE('Raw Data'!AK462,'Raw Data'!AM462,'Raw Data'!AO462,'Raw Data'!AQ462,'Raw Data'!AS462),"")</f>
        <v/>
      </c>
      <c r="Q475" s="14">
        <f>IF(O475&lt;&gt;"",O475-P475,"")</f>
        <v/>
      </c>
      <c r="R475" s="14">
        <f>IF('Raw Data'!A462&lt;&gt;"",AVERAGE('Raw Data'!AT462,'Raw Data'!AV462,'Raw Data'!AX462,'Raw Data'!AZ462,'Raw Data'!BB462),"")</f>
        <v/>
      </c>
      <c r="S475" s="14">
        <f>IF('Raw Data'!A462&lt;&gt;"",AVERAGE('Raw Data'!AU462,'Raw Data'!AW462,'Raw Data'!AY462,'Raw Data'!BA462,'Raw Data'!BC462),"")</f>
        <v/>
      </c>
      <c r="T475" s="14">
        <f>IF(R475&lt;&gt;"",R475-S475,"")</f>
        <v/>
      </c>
      <c r="U475" s="14">
        <f>IF('Raw Data'!A462&lt;&gt;"",AVERAGE('Raw Data'!BD462,'Raw Data'!BF462,'Raw Data'!BH462,'Raw Data'!BJ462,'Raw Data'!BL462),"")</f>
        <v/>
      </c>
      <c r="V475" s="14">
        <f>IF('Raw Data'!A462&lt;&gt;"",AVERAGE('Raw Data'!BE462,'Raw Data'!BG462,'Raw Data'!BI462,'Raw Data'!BK462,'Raw Data'!BM462),"")</f>
        <v/>
      </c>
      <c r="W475" s="14">
        <f>IF(U475&lt;&gt;"",U475-V475,"")</f>
        <v/>
      </c>
      <c r="X475" s="14">
        <f>IF(A475&lt;&gt;"",AVERAGE(F475,I475,L475,O475,R475,U475),"")</f>
        <v/>
      </c>
      <c r="Y475" s="14">
        <f>IF(A475&lt;&gt;"",AVERAGE(G475,J475,M475,P475,S475,V475),"")</f>
        <v/>
      </c>
      <c r="Z475" s="14">
        <f>IF(A475&lt;&gt;"",X475-Y475,"")</f>
        <v/>
      </c>
      <c r="AA475" s="15">
        <f>IF(A475&lt;&gt;"",ROUND(MIN(100,100*((MAX(0,K475)*0.25)+(MAX(0,Q475)*0.20)+(MAX(0,W475)*0.20)+(MAX(0,H475)*0.15)+(MAX(0,N475)*0.10)+(MAX(0,T475)*0.10))/9),1),"")</f>
        <v/>
      </c>
      <c r="AB475" s="28">
        <f>IF(A475&lt;&gt;"",MIN(1,(0.5*AA475/100)+(0.3*MAX(0,K475)/9)+(0.2*MAX(0,Q475)/9)),"")</f>
        <v/>
      </c>
    </row>
    <row r="476">
      <c r="A476" s="13">
        <f>IF('Raw Data'!A463&lt;&gt;"",'Raw Data'!A463,"")</f>
        <v/>
      </c>
      <c r="B476" s="13">
        <f>IF('Raw Data'!B463&lt;&gt;"",'Raw Data'!B463,"")</f>
        <v/>
      </c>
      <c r="C476" s="13">
        <f>IF('Raw Data'!C463&lt;&gt;"",'Raw Data'!C463,"")</f>
        <v/>
      </c>
      <c r="D476" s="13">
        <f>IF('Raw Data'!D463&lt;&gt;"",'Raw Data'!D463,"")</f>
        <v/>
      </c>
      <c r="E476" s="13">
        <f>IF('Raw Data'!E463&lt;&gt;"",'Raw Data'!E463,"")</f>
        <v/>
      </c>
      <c r="F476" s="17">
        <f>IF('Raw Data'!A463&lt;&gt;"",AVERAGE('Raw Data'!F463,'Raw Data'!H463,'Raw Data'!J463,'Raw Data'!L463,'Raw Data'!N463),"")</f>
        <v/>
      </c>
      <c r="G476" s="17">
        <f>IF('Raw Data'!A463&lt;&gt;"",AVERAGE('Raw Data'!G463,'Raw Data'!I463,'Raw Data'!K463,'Raw Data'!M463,'Raw Data'!O463),"")</f>
        <v/>
      </c>
      <c r="H476" s="17">
        <f>IF(F476&lt;&gt;"",F476-G476,"")</f>
        <v/>
      </c>
      <c r="I476" s="17">
        <f>IF('Raw Data'!A463&lt;&gt;"",AVERAGE('Raw Data'!P463,'Raw Data'!R463,'Raw Data'!T463,'Raw Data'!V463,'Raw Data'!X463),"")</f>
        <v/>
      </c>
      <c r="J476" s="17">
        <f>IF('Raw Data'!A463&lt;&gt;"",AVERAGE('Raw Data'!Q463,'Raw Data'!S463,'Raw Data'!U463,'Raw Data'!W463,'Raw Data'!Y463),"")</f>
        <v/>
      </c>
      <c r="K476" s="17">
        <f>IF(I476&lt;&gt;"",I476-J476,"")</f>
        <v/>
      </c>
      <c r="L476" s="17">
        <f>IF('Raw Data'!A463&lt;&gt;"",AVERAGE('Raw Data'!Z463,'Raw Data'!AB463,'Raw Data'!AD463,'Raw Data'!AF463,'Raw Data'!AH463),"")</f>
        <v/>
      </c>
      <c r="M476" s="17">
        <f>IF('Raw Data'!A463&lt;&gt;"",AVERAGE('Raw Data'!AA463,'Raw Data'!AC463,'Raw Data'!AE463,'Raw Data'!AG463,'Raw Data'!AI463),"")</f>
        <v/>
      </c>
      <c r="N476" s="17">
        <f>IF(L476&lt;&gt;"",L476-M476,"")</f>
        <v/>
      </c>
      <c r="O476" s="17">
        <f>IF('Raw Data'!A463&lt;&gt;"",AVERAGE('Raw Data'!AJ463,'Raw Data'!AL463,'Raw Data'!AN463,'Raw Data'!AP463,'Raw Data'!AR463),"")</f>
        <v/>
      </c>
      <c r="P476" s="17">
        <f>IF('Raw Data'!A463&lt;&gt;"",AVERAGE('Raw Data'!AK463,'Raw Data'!AM463,'Raw Data'!AO463,'Raw Data'!AQ463,'Raw Data'!AS463),"")</f>
        <v/>
      </c>
      <c r="Q476" s="17">
        <f>IF(O476&lt;&gt;"",O476-P476,"")</f>
        <v/>
      </c>
      <c r="R476" s="17">
        <f>IF('Raw Data'!A463&lt;&gt;"",AVERAGE('Raw Data'!AT463,'Raw Data'!AV463,'Raw Data'!AX463,'Raw Data'!AZ463,'Raw Data'!BB463),"")</f>
        <v/>
      </c>
      <c r="S476" s="17">
        <f>IF('Raw Data'!A463&lt;&gt;"",AVERAGE('Raw Data'!AU463,'Raw Data'!AW463,'Raw Data'!AY463,'Raw Data'!BA463,'Raw Data'!BC463),"")</f>
        <v/>
      </c>
      <c r="T476" s="17">
        <f>IF(R476&lt;&gt;"",R476-S476,"")</f>
        <v/>
      </c>
      <c r="U476" s="17">
        <f>IF('Raw Data'!A463&lt;&gt;"",AVERAGE('Raw Data'!BD463,'Raw Data'!BF463,'Raw Data'!BH463,'Raw Data'!BJ463,'Raw Data'!BL463),"")</f>
        <v/>
      </c>
      <c r="V476" s="17">
        <f>IF('Raw Data'!A463&lt;&gt;"",AVERAGE('Raw Data'!BE463,'Raw Data'!BG463,'Raw Data'!BI463,'Raw Data'!BK463,'Raw Data'!BM463),"")</f>
        <v/>
      </c>
      <c r="W476" s="17">
        <f>IF(U476&lt;&gt;"",U476-V476,"")</f>
        <v/>
      </c>
      <c r="X476" s="17">
        <f>IF(A476&lt;&gt;"",AVERAGE(F476,I476,L476,O476,R476,U476),"")</f>
        <v/>
      </c>
      <c r="Y476" s="17">
        <f>IF(A476&lt;&gt;"",AVERAGE(G476,J476,M476,P476,S476,V476),"")</f>
        <v/>
      </c>
      <c r="Z476" s="17">
        <f>IF(A476&lt;&gt;"",X476-Y476,"")</f>
        <v/>
      </c>
      <c r="AA476" s="18">
        <f>IF(A476&lt;&gt;"",ROUND(MIN(100,100*((MAX(0,K476)*0.25)+(MAX(0,Q476)*0.20)+(MAX(0,W476)*0.20)+(MAX(0,H476)*0.15)+(MAX(0,N476)*0.10)+(MAX(0,T476)*0.10))/9),1),"")</f>
        <v/>
      </c>
      <c r="AB476" s="29">
        <f>IF(A476&lt;&gt;"",MIN(1,(0.5*AA476/100)+(0.3*MAX(0,K476)/9)+(0.2*MAX(0,Q476)/9)),"")</f>
        <v/>
      </c>
    </row>
    <row r="477">
      <c r="A477" s="4">
        <f>IF('Raw Data'!A464&lt;&gt;"",'Raw Data'!A464,"")</f>
        <v/>
      </c>
      <c r="B477" s="4">
        <f>IF('Raw Data'!B464&lt;&gt;"",'Raw Data'!B464,"")</f>
        <v/>
      </c>
      <c r="C477" s="4">
        <f>IF('Raw Data'!C464&lt;&gt;"",'Raw Data'!C464,"")</f>
        <v/>
      </c>
      <c r="D477" s="4">
        <f>IF('Raw Data'!D464&lt;&gt;"",'Raw Data'!D464,"")</f>
        <v/>
      </c>
      <c r="E477" s="4">
        <f>IF('Raw Data'!E464&lt;&gt;"",'Raw Data'!E464,"")</f>
        <v/>
      </c>
      <c r="F477" s="14">
        <f>IF('Raw Data'!A464&lt;&gt;"",AVERAGE('Raw Data'!F464,'Raw Data'!H464,'Raw Data'!J464,'Raw Data'!L464,'Raw Data'!N464),"")</f>
        <v/>
      </c>
      <c r="G477" s="14">
        <f>IF('Raw Data'!A464&lt;&gt;"",AVERAGE('Raw Data'!G464,'Raw Data'!I464,'Raw Data'!K464,'Raw Data'!M464,'Raw Data'!O464),"")</f>
        <v/>
      </c>
      <c r="H477" s="14">
        <f>IF(F477&lt;&gt;"",F477-G477,"")</f>
        <v/>
      </c>
      <c r="I477" s="14">
        <f>IF('Raw Data'!A464&lt;&gt;"",AVERAGE('Raw Data'!P464,'Raw Data'!R464,'Raw Data'!T464,'Raw Data'!V464,'Raw Data'!X464),"")</f>
        <v/>
      </c>
      <c r="J477" s="14">
        <f>IF('Raw Data'!A464&lt;&gt;"",AVERAGE('Raw Data'!Q464,'Raw Data'!S464,'Raw Data'!U464,'Raw Data'!W464,'Raw Data'!Y464),"")</f>
        <v/>
      </c>
      <c r="K477" s="14">
        <f>IF(I477&lt;&gt;"",I477-J477,"")</f>
        <v/>
      </c>
      <c r="L477" s="14">
        <f>IF('Raw Data'!A464&lt;&gt;"",AVERAGE('Raw Data'!Z464,'Raw Data'!AB464,'Raw Data'!AD464,'Raw Data'!AF464,'Raw Data'!AH464),"")</f>
        <v/>
      </c>
      <c r="M477" s="14">
        <f>IF('Raw Data'!A464&lt;&gt;"",AVERAGE('Raw Data'!AA464,'Raw Data'!AC464,'Raw Data'!AE464,'Raw Data'!AG464,'Raw Data'!AI464),"")</f>
        <v/>
      </c>
      <c r="N477" s="14">
        <f>IF(L477&lt;&gt;"",L477-M477,"")</f>
        <v/>
      </c>
      <c r="O477" s="14">
        <f>IF('Raw Data'!A464&lt;&gt;"",AVERAGE('Raw Data'!AJ464,'Raw Data'!AL464,'Raw Data'!AN464,'Raw Data'!AP464,'Raw Data'!AR464),"")</f>
        <v/>
      </c>
      <c r="P477" s="14">
        <f>IF('Raw Data'!A464&lt;&gt;"",AVERAGE('Raw Data'!AK464,'Raw Data'!AM464,'Raw Data'!AO464,'Raw Data'!AQ464,'Raw Data'!AS464),"")</f>
        <v/>
      </c>
      <c r="Q477" s="14">
        <f>IF(O477&lt;&gt;"",O477-P477,"")</f>
        <v/>
      </c>
      <c r="R477" s="14">
        <f>IF('Raw Data'!A464&lt;&gt;"",AVERAGE('Raw Data'!AT464,'Raw Data'!AV464,'Raw Data'!AX464,'Raw Data'!AZ464,'Raw Data'!BB464),"")</f>
        <v/>
      </c>
      <c r="S477" s="14">
        <f>IF('Raw Data'!A464&lt;&gt;"",AVERAGE('Raw Data'!AU464,'Raw Data'!AW464,'Raw Data'!AY464,'Raw Data'!BA464,'Raw Data'!BC464),"")</f>
        <v/>
      </c>
      <c r="T477" s="14">
        <f>IF(R477&lt;&gt;"",R477-S477,"")</f>
        <v/>
      </c>
      <c r="U477" s="14">
        <f>IF('Raw Data'!A464&lt;&gt;"",AVERAGE('Raw Data'!BD464,'Raw Data'!BF464,'Raw Data'!BH464,'Raw Data'!BJ464,'Raw Data'!BL464),"")</f>
        <v/>
      </c>
      <c r="V477" s="14">
        <f>IF('Raw Data'!A464&lt;&gt;"",AVERAGE('Raw Data'!BE464,'Raw Data'!BG464,'Raw Data'!BI464,'Raw Data'!BK464,'Raw Data'!BM464),"")</f>
        <v/>
      </c>
      <c r="W477" s="14">
        <f>IF(U477&lt;&gt;"",U477-V477,"")</f>
        <v/>
      </c>
      <c r="X477" s="14">
        <f>IF(A477&lt;&gt;"",AVERAGE(F477,I477,L477,O477,R477,U477),"")</f>
        <v/>
      </c>
      <c r="Y477" s="14">
        <f>IF(A477&lt;&gt;"",AVERAGE(G477,J477,M477,P477,S477,V477),"")</f>
        <v/>
      </c>
      <c r="Z477" s="14">
        <f>IF(A477&lt;&gt;"",X477-Y477,"")</f>
        <v/>
      </c>
      <c r="AA477" s="15">
        <f>IF(A477&lt;&gt;"",ROUND(MIN(100,100*((MAX(0,K477)*0.25)+(MAX(0,Q477)*0.20)+(MAX(0,W477)*0.20)+(MAX(0,H477)*0.15)+(MAX(0,N477)*0.10)+(MAX(0,T477)*0.10))/9),1),"")</f>
        <v/>
      </c>
      <c r="AB477" s="28">
        <f>IF(A477&lt;&gt;"",MIN(1,(0.5*AA477/100)+(0.3*MAX(0,K477)/9)+(0.2*MAX(0,Q477)/9)),"")</f>
        <v/>
      </c>
    </row>
    <row r="478">
      <c r="A478" s="13">
        <f>IF('Raw Data'!A465&lt;&gt;"",'Raw Data'!A465,"")</f>
        <v/>
      </c>
      <c r="B478" s="13">
        <f>IF('Raw Data'!B465&lt;&gt;"",'Raw Data'!B465,"")</f>
        <v/>
      </c>
      <c r="C478" s="13">
        <f>IF('Raw Data'!C465&lt;&gt;"",'Raw Data'!C465,"")</f>
        <v/>
      </c>
      <c r="D478" s="13">
        <f>IF('Raw Data'!D465&lt;&gt;"",'Raw Data'!D465,"")</f>
        <v/>
      </c>
      <c r="E478" s="13">
        <f>IF('Raw Data'!E465&lt;&gt;"",'Raw Data'!E465,"")</f>
        <v/>
      </c>
      <c r="F478" s="17">
        <f>IF('Raw Data'!A465&lt;&gt;"",AVERAGE('Raw Data'!F465,'Raw Data'!H465,'Raw Data'!J465,'Raw Data'!L465,'Raw Data'!N465),"")</f>
        <v/>
      </c>
      <c r="G478" s="17">
        <f>IF('Raw Data'!A465&lt;&gt;"",AVERAGE('Raw Data'!G465,'Raw Data'!I465,'Raw Data'!K465,'Raw Data'!M465,'Raw Data'!O465),"")</f>
        <v/>
      </c>
      <c r="H478" s="17">
        <f>IF(F478&lt;&gt;"",F478-G478,"")</f>
        <v/>
      </c>
      <c r="I478" s="17">
        <f>IF('Raw Data'!A465&lt;&gt;"",AVERAGE('Raw Data'!P465,'Raw Data'!R465,'Raw Data'!T465,'Raw Data'!V465,'Raw Data'!X465),"")</f>
        <v/>
      </c>
      <c r="J478" s="17">
        <f>IF('Raw Data'!A465&lt;&gt;"",AVERAGE('Raw Data'!Q465,'Raw Data'!S465,'Raw Data'!U465,'Raw Data'!W465,'Raw Data'!Y465),"")</f>
        <v/>
      </c>
      <c r="K478" s="17">
        <f>IF(I478&lt;&gt;"",I478-J478,"")</f>
        <v/>
      </c>
      <c r="L478" s="17">
        <f>IF('Raw Data'!A465&lt;&gt;"",AVERAGE('Raw Data'!Z465,'Raw Data'!AB465,'Raw Data'!AD465,'Raw Data'!AF465,'Raw Data'!AH465),"")</f>
        <v/>
      </c>
      <c r="M478" s="17">
        <f>IF('Raw Data'!A465&lt;&gt;"",AVERAGE('Raw Data'!AA465,'Raw Data'!AC465,'Raw Data'!AE465,'Raw Data'!AG465,'Raw Data'!AI465),"")</f>
        <v/>
      </c>
      <c r="N478" s="17">
        <f>IF(L478&lt;&gt;"",L478-M478,"")</f>
        <v/>
      </c>
      <c r="O478" s="17">
        <f>IF('Raw Data'!A465&lt;&gt;"",AVERAGE('Raw Data'!AJ465,'Raw Data'!AL465,'Raw Data'!AN465,'Raw Data'!AP465,'Raw Data'!AR465),"")</f>
        <v/>
      </c>
      <c r="P478" s="17">
        <f>IF('Raw Data'!A465&lt;&gt;"",AVERAGE('Raw Data'!AK465,'Raw Data'!AM465,'Raw Data'!AO465,'Raw Data'!AQ465,'Raw Data'!AS465),"")</f>
        <v/>
      </c>
      <c r="Q478" s="17">
        <f>IF(O478&lt;&gt;"",O478-P478,"")</f>
        <v/>
      </c>
      <c r="R478" s="17">
        <f>IF('Raw Data'!A465&lt;&gt;"",AVERAGE('Raw Data'!AT465,'Raw Data'!AV465,'Raw Data'!AX465,'Raw Data'!AZ465,'Raw Data'!BB465),"")</f>
        <v/>
      </c>
      <c r="S478" s="17">
        <f>IF('Raw Data'!A465&lt;&gt;"",AVERAGE('Raw Data'!AU465,'Raw Data'!AW465,'Raw Data'!AY465,'Raw Data'!BA465,'Raw Data'!BC465),"")</f>
        <v/>
      </c>
      <c r="T478" s="17">
        <f>IF(R478&lt;&gt;"",R478-S478,"")</f>
        <v/>
      </c>
      <c r="U478" s="17">
        <f>IF('Raw Data'!A465&lt;&gt;"",AVERAGE('Raw Data'!BD465,'Raw Data'!BF465,'Raw Data'!BH465,'Raw Data'!BJ465,'Raw Data'!BL465),"")</f>
        <v/>
      </c>
      <c r="V478" s="17">
        <f>IF('Raw Data'!A465&lt;&gt;"",AVERAGE('Raw Data'!BE465,'Raw Data'!BG465,'Raw Data'!BI465,'Raw Data'!BK465,'Raw Data'!BM465),"")</f>
        <v/>
      </c>
      <c r="W478" s="17">
        <f>IF(U478&lt;&gt;"",U478-V478,"")</f>
        <v/>
      </c>
      <c r="X478" s="17">
        <f>IF(A478&lt;&gt;"",AVERAGE(F478,I478,L478,O478,R478,U478),"")</f>
        <v/>
      </c>
      <c r="Y478" s="17">
        <f>IF(A478&lt;&gt;"",AVERAGE(G478,J478,M478,P478,S478,V478),"")</f>
        <v/>
      </c>
      <c r="Z478" s="17">
        <f>IF(A478&lt;&gt;"",X478-Y478,"")</f>
        <v/>
      </c>
      <c r="AA478" s="18">
        <f>IF(A478&lt;&gt;"",ROUND(MIN(100,100*((MAX(0,K478)*0.25)+(MAX(0,Q478)*0.20)+(MAX(0,W478)*0.20)+(MAX(0,H478)*0.15)+(MAX(0,N478)*0.10)+(MAX(0,T478)*0.10))/9),1),"")</f>
        <v/>
      </c>
      <c r="AB478" s="29">
        <f>IF(A478&lt;&gt;"",MIN(1,(0.5*AA478/100)+(0.3*MAX(0,K478)/9)+(0.2*MAX(0,Q478)/9)),"")</f>
        <v/>
      </c>
    </row>
    <row r="479">
      <c r="A479" s="4">
        <f>IF('Raw Data'!A466&lt;&gt;"",'Raw Data'!A466,"")</f>
        <v/>
      </c>
      <c r="B479" s="4">
        <f>IF('Raw Data'!B466&lt;&gt;"",'Raw Data'!B466,"")</f>
        <v/>
      </c>
      <c r="C479" s="4">
        <f>IF('Raw Data'!C466&lt;&gt;"",'Raw Data'!C466,"")</f>
        <v/>
      </c>
      <c r="D479" s="4">
        <f>IF('Raw Data'!D466&lt;&gt;"",'Raw Data'!D466,"")</f>
        <v/>
      </c>
      <c r="E479" s="4">
        <f>IF('Raw Data'!E466&lt;&gt;"",'Raw Data'!E466,"")</f>
        <v/>
      </c>
      <c r="F479" s="14">
        <f>IF('Raw Data'!A466&lt;&gt;"",AVERAGE('Raw Data'!F466,'Raw Data'!H466,'Raw Data'!J466,'Raw Data'!L466,'Raw Data'!N466),"")</f>
        <v/>
      </c>
      <c r="G479" s="14">
        <f>IF('Raw Data'!A466&lt;&gt;"",AVERAGE('Raw Data'!G466,'Raw Data'!I466,'Raw Data'!K466,'Raw Data'!M466,'Raw Data'!O466),"")</f>
        <v/>
      </c>
      <c r="H479" s="14">
        <f>IF(F479&lt;&gt;"",F479-G479,"")</f>
        <v/>
      </c>
      <c r="I479" s="14">
        <f>IF('Raw Data'!A466&lt;&gt;"",AVERAGE('Raw Data'!P466,'Raw Data'!R466,'Raw Data'!T466,'Raw Data'!V466,'Raw Data'!X466),"")</f>
        <v/>
      </c>
      <c r="J479" s="14">
        <f>IF('Raw Data'!A466&lt;&gt;"",AVERAGE('Raw Data'!Q466,'Raw Data'!S466,'Raw Data'!U466,'Raw Data'!W466,'Raw Data'!Y466),"")</f>
        <v/>
      </c>
      <c r="K479" s="14">
        <f>IF(I479&lt;&gt;"",I479-J479,"")</f>
        <v/>
      </c>
      <c r="L479" s="14">
        <f>IF('Raw Data'!A466&lt;&gt;"",AVERAGE('Raw Data'!Z466,'Raw Data'!AB466,'Raw Data'!AD466,'Raw Data'!AF466,'Raw Data'!AH466),"")</f>
        <v/>
      </c>
      <c r="M479" s="14">
        <f>IF('Raw Data'!A466&lt;&gt;"",AVERAGE('Raw Data'!AA466,'Raw Data'!AC466,'Raw Data'!AE466,'Raw Data'!AG466,'Raw Data'!AI466),"")</f>
        <v/>
      </c>
      <c r="N479" s="14">
        <f>IF(L479&lt;&gt;"",L479-M479,"")</f>
        <v/>
      </c>
      <c r="O479" s="14">
        <f>IF('Raw Data'!A466&lt;&gt;"",AVERAGE('Raw Data'!AJ466,'Raw Data'!AL466,'Raw Data'!AN466,'Raw Data'!AP466,'Raw Data'!AR466),"")</f>
        <v/>
      </c>
      <c r="P479" s="14">
        <f>IF('Raw Data'!A466&lt;&gt;"",AVERAGE('Raw Data'!AK466,'Raw Data'!AM466,'Raw Data'!AO466,'Raw Data'!AQ466,'Raw Data'!AS466),"")</f>
        <v/>
      </c>
      <c r="Q479" s="14">
        <f>IF(O479&lt;&gt;"",O479-P479,"")</f>
        <v/>
      </c>
      <c r="R479" s="14">
        <f>IF('Raw Data'!A466&lt;&gt;"",AVERAGE('Raw Data'!AT466,'Raw Data'!AV466,'Raw Data'!AX466,'Raw Data'!AZ466,'Raw Data'!BB466),"")</f>
        <v/>
      </c>
      <c r="S479" s="14">
        <f>IF('Raw Data'!A466&lt;&gt;"",AVERAGE('Raw Data'!AU466,'Raw Data'!AW466,'Raw Data'!AY466,'Raw Data'!BA466,'Raw Data'!BC466),"")</f>
        <v/>
      </c>
      <c r="T479" s="14">
        <f>IF(R479&lt;&gt;"",R479-S479,"")</f>
        <v/>
      </c>
      <c r="U479" s="14">
        <f>IF('Raw Data'!A466&lt;&gt;"",AVERAGE('Raw Data'!BD466,'Raw Data'!BF466,'Raw Data'!BH466,'Raw Data'!BJ466,'Raw Data'!BL466),"")</f>
        <v/>
      </c>
      <c r="V479" s="14">
        <f>IF('Raw Data'!A466&lt;&gt;"",AVERAGE('Raw Data'!BE466,'Raw Data'!BG466,'Raw Data'!BI466,'Raw Data'!BK466,'Raw Data'!BM466),"")</f>
        <v/>
      </c>
      <c r="W479" s="14">
        <f>IF(U479&lt;&gt;"",U479-V479,"")</f>
        <v/>
      </c>
      <c r="X479" s="14">
        <f>IF(A479&lt;&gt;"",AVERAGE(F479,I479,L479,O479,R479,U479),"")</f>
        <v/>
      </c>
      <c r="Y479" s="14">
        <f>IF(A479&lt;&gt;"",AVERAGE(G479,J479,M479,P479,S479,V479),"")</f>
        <v/>
      </c>
      <c r="Z479" s="14">
        <f>IF(A479&lt;&gt;"",X479-Y479,"")</f>
        <v/>
      </c>
      <c r="AA479" s="15">
        <f>IF(A479&lt;&gt;"",ROUND(MIN(100,100*((MAX(0,K479)*0.25)+(MAX(0,Q479)*0.20)+(MAX(0,W479)*0.20)+(MAX(0,H479)*0.15)+(MAX(0,N479)*0.10)+(MAX(0,T479)*0.10))/9),1),"")</f>
        <v/>
      </c>
      <c r="AB479" s="28">
        <f>IF(A479&lt;&gt;"",MIN(1,(0.5*AA479/100)+(0.3*MAX(0,K479)/9)+(0.2*MAX(0,Q479)/9)),"")</f>
        <v/>
      </c>
    </row>
    <row r="480">
      <c r="A480" s="13">
        <f>IF('Raw Data'!A467&lt;&gt;"",'Raw Data'!A467,"")</f>
        <v/>
      </c>
      <c r="B480" s="13">
        <f>IF('Raw Data'!B467&lt;&gt;"",'Raw Data'!B467,"")</f>
        <v/>
      </c>
      <c r="C480" s="13">
        <f>IF('Raw Data'!C467&lt;&gt;"",'Raw Data'!C467,"")</f>
        <v/>
      </c>
      <c r="D480" s="13">
        <f>IF('Raw Data'!D467&lt;&gt;"",'Raw Data'!D467,"")</f>
        <v/>
      </c>
      <c r="E480" s="13">
        <f>IF('Raw Data'!E467&lt;&gt;"",'Raw Data'!E467,"")</f>
        <v/>
      </c>
      <c r="F480" s="17">
        <f>IF('Raw Data'!A467&lt;&gt;"",AVERAGE('Raw Data'!F467,'Raw Data'!H467,'Raw Data'!J467,'Raw Data'!L467,'Raw Data'!N467),"")</f>
        <v/>
      </c>
      <c r="G480" s="17">
        <f>IF('Raw Data'!A467&lt;&gt;"",AVERAGE('Raw Data'!G467,'Raw Data'!I467,'Raw Data'!K467,'Raw Data'!M467,'Raw Data'!O467),"")</f>
        <v/>
      </c>
      <c r="H480" s="17">
        <f>IF(F480&lt;&gt;"",F480-G480,"")</f>
        <v/>
      </c>
      <c r="I480" s="17">
        <f>IF('Raw Data'!A467&lt;&gt;"",AVERAGE('Raw Data'!P467,'Raw Data'!R467,'Raw Data'!T467,'Raw Data'!V467,'Raw Data'!X467),"")</f>
        <v/>
      </c>
      <c r="J480" s="17">
        <f>IF('Raw Data'!A467&lt;&gt;"",AVERAGE('Raw Data'!Q467,'Raw Data'!S467,'Raw Data'!U467,'Raw Data'!W467,'Raw Data'!Y467),"")</f>
        <v/>
      </c>
      <c r="K480" s="17">
        <f>IF(I480&lt;&gt;"",I480-J480,"")</f>
        <v/>
      </c>
      <c r="L480" s="17">
        <f>IF('Raw Data'!A467&lt;&gt;"",AVERAGE('Raw Data'!Z467,'Raw Data'!AB467,'Raw Data'!AD467,'Raw Data'!AF467,'Raw Data'!AH467),"")</f>
        <v/>
      </c>
      <c r="M480" s="17">
        <f>IF('Raw Data'!A467&lt;&gt;"",AVERAGE('Raw Data'!AA467,'Raw Data'!AC467,'Raw Data'!AE467,'Raw Data'!AG467,'Raw Data'!AI467),"")</f>
        <v/>
      </c>
      <c r="N480" s="17">
        <f>IF(L480&lt;&gt;"",L480-M480,"")</f>
        <v/>
      </c>
      <c r="O480" s="17">
        <f>IF('Raw Data'!A467&lt;&gt;"",AVERAGE('Raw Data'!AJ467,'Raw Data'!AL467,'Raw Data'!AN467,'Raw Data'!AP467,'Raw Data'!AR467),"")</f>
        <v/>
      </c>
      <c r="P480" s="17">
        <f>IF('Raw Data'!A467&lt;&gt;"",AVERAGE('Raw Data'!AK467,'Raw Data'!AM467,'Raw Data'!AO467,'Raw Data'!AQ467,'Raw Data'!AS467),"")</f>
        <v/>
      </c>
      <c r="Q480" s="17">
        <f>IF(O480&lt;&gt;"",O480-P480,"")</f>
        <v/>
      </c>
      <c r="R480" s="17">
        <f>IF('Raw Data'!A467&lt;&gt;"",AVERAGE('Raw Data'!AT467,'Raw Data'!AV467,'Raw Data'!AX467,'Raw Data'!AZ467,'Raw Data'!BB467),"")</f>
        <v/>
      </c>
      <c r="S480" s="17">
        <f>IF('Raw Data'!A467&lt;&gt;"",AVERAGE('Raw Data'!AU467,'Raw Data'!AW467,'Raw Data'!AY467,'Raw Data'!BA467,'Raw Data'!BC467),"")</f>
        <v/>
      </c>
      <c r="T480" s="17">
        <f>IF(R480&lt;&gt;"",R480-S480,"")</f>
        <v/>
      </c>
      <c r="U480" s="17">
        <f>IF('Raw Data'!A467&lt;&gt;"",AVERAGE('Raw Data'!BD467,'Raw Data'!BF467,'Raw Data'!BH467,'Raw Data'!BJ467,'Raw Data'!BL467),"")</f>
        <v/>
      </c>
      <c r="V480" s="17">
        <f>IF('Raw Data'!A467&lt;&gt;"",AVERAGE('Raw Data'!BE467,'Raw Data'!BG467,'Raw Data'!BI467,'Raw Data'!BK467,'Raw Data'!BM467),"")</f>
        <v/>
      </c>
      <c r="W480" s="17">
        <f>IF(U480&lt;&gt;"",U480-V480,"")</f>
        <v/>
      </c>
      <c r="X480" s="17">
        <f>IF(A480&lt;&gt;"",AVERAGE(F480,I480,L480,O480,R480,U480),"")</f>
        <v/>
      </c>
      <c r="Y480" s="17">
        <f>IF(A480&lt;&gt;"",AVERAGE(G480,J480,M480,P480,S480,V480),"")</f>
        <v/>
      </c>
      <c r="Z480" s="17">
        <f>IF(A480&lt;&gt;"",X480-Y480,"")</f>
        <v/>
      </c>
      <c r="AA480" s="18">
        <f>IF(A480&lt;&gt;"",ROUND(MIN(100,100*((MAX(0,K480)*0.25)+(MAX(0,Q480)*0.20)+(MAX(0,W480)*0.20)+(MAX(0,H480)*0.15)+(MAX(0,N480)*0.10)+(MAX(0,T480)*0.10))/9),1),"")</f>
        <v/>
      </c>
      <c r="AB480" s="29">
        <f>IF(A480&lt;&gt;"",MIN(1,(0.5*AA480/100)+(0.3*MAX(0,K480)/9)+(0.2*MAX(0,Q480)/9)),"")</f>
        <v/>
      </c>
    </row>
    <row r="481">
      <c r="A481" s="4">
        <f>IF('Raw Data'!A468&lt;&gt;"",'Raw Data'!A468,"")</f>
        <v/>
      </c>
      <c r="B481" s="4">
        <f>IF('Raw Data'!B468&lt;&gt;"",'Raw Data'!B468,"")</f>
        <v/>
      </c>
      <c r="C481" s="4">
        <f>IF('Raw Data'!C468&lt;&gt;"",'Raw Data'!C468,"")</f>
        <v/>
      </c>
      <c r="D481" s="4">
        <f>IF('Raw Data'!D468&lt;&gt;"",'Raw Data'!D468,"")</f>
        <v/>
      </c>
      <c r="E481" s="4">
        <f>IF('Raw Data'!E468&lt;&gt;"",'Raw Data'!E468,"")</f>
        <v/>
      </c>
      <c r="F481" s="14">
        <f>IF('Raw Data'!A468&lt;&gt;"",AVERAGE('Raw Data'!F468,'Raw Data'!H468,'Raw Data'!J468,'Raw Data'!L468,'Raw Data'!N468),"")</f>
        <v/>
      </c>
      <c r="G481" s="14">
        <f>IF('Raw Data'!A468&lt;&gt;"",AVERAGE('Raw Data'!G468,'Raw Data'!I468,'Raw Data'!K468,'Raw Data'!M468,'Raw Data'!O468),"")</f>
        <v/>
      </c>
      <c r="H481" s="14">
        <f>IF(F481&lt;&gt;"",F481-G481,"")</f>
        <v/>
      </c>
      <c r="I481" s="14">
        <f>IF('Raw Data'!A468&lt;&gt;"",AVERAGE('Raw Data'!P468,'Raw Data'!R468,'Raw Data'!T468,'Raw Data'!V468,'Raw Data'!X468),"")</f>
        <v/>
      </c>
      <c r="J481" s="14">
        <f>IF('Raw Data'!A468&lt;&gt;"",AVERAGE('Raw Data'!Q468,'Raw Data'!S468,'Raw Data'!U468,'Raw Data'!W468,'Raw Data'!Y468),"")</f>
        <v/>
      </c>
      <c r="K481" s="14">
        <f>IF(I481&lt;&gt;"",I481-J481,"")</f>
        <v/>
      </c>
      <c r="L481" s="14">
        <f>IF('Raw Data'!A468&lt;&gt;"",AVERAGE('Raw Data'!Z468,'Raw Data'!AB468,'Raw Data'!AD468,'Raw Data'!AF468,'Raw Data'!AH468),"")</f>
        <v/>
      </c>
      <c r="M481" s="14">
        <f>IF('Raw Data'!A468&lt;&gt;"",AVERAGE('Raw Data'!AA468,'Raw Data'!AC468,'Raw Data'!AE468,'Raw Data'!AG468,'Raw Data'!AI468),"")</f>
        <v/>
      </c>
      <c r="N481" s="14">
        <f>IF(L481&lt;&gt;"",L481-M481,"")</f>
        <v/>
      </c>
      <c r="O481" s="14">
        <f>IF('Raw Data'!A468&lt;&gt;"",AVERAGE('Raw Data'!AJ468,'Raw Data'!AL468,'Raw Data'!AN468,'Raw Data'!AP468,'Raw Data'!AR468),"")</f>
        <v/>
      </c>
      <c r="P481" s="14">
        <f>IF('Raw Data'!A468&lt;&gt;"",AVERAGE('Raw Data'!AK468,'Raw Data'!AM468,'Raw Data'!AO468,'Raw Data'!AQ468,'Raw Data'!AS468),"")</f>
        <v/>
      </c>
      <c r="Q481" s="14">
        <f>IF(O481&lt;&gt;"",O481-P481,"")</f>
        <v/>
      </c>
      <c r="R481" s="14">
        <f>IF('Raw Data'!A468&lt;&gt;"",AVERAGE('Raw Data'!AT468,'Raw Data'!AV468,'Raw Data'!AX468,'Raw Data'!AZ468,'Raw Data'!BB468),"")</f>
        <v/>
      </c>
      <c r="S481" s="14">
        <f>IF('Raw Data'!A468&lt;&gt;"",AVERAGE('Raw Data'!AU468,'Raw Data'!AW468,'Raw Data'!AY468,'Raw Data'!BA468,'Raw Data'!BC468),"")</f>
        <v/>
      </c>
      <c r="T481" s="14">
        <f>IF(R481&lt;&gt;"",R481-S481,"")</f>
        <v/>
      </c>
      <c r="U481" s="14">
        <f>IF('Raw Data'!A468&lt;&gt;"",AVERAGE('Raw Data'!BD468,'Raw Data'!BF468,'Raw Data'!BH468,'Raw Data'!BJ468,'Raw Data'!BL468),"")</f>
        <v/>
      </c>
      <c r="V481" s="14">
        <f>IF('Raw Data'!A468&lt;&gt;"",AVERAGE('Raw Data'!BE468,'Raw Data'!BG468,'Raw Data'!BI468,'Raw Data'!BK468,'Raw Data'!BM468),"")</f>
        <v/>
      </c>
      <c r="W481" s="14">
        <f>IF(U481&lt;&gt;"",U481-V481,"")</f>
        <v/>
      </c>
      <c r="X481" s="14">
        <f>IF(A481&lt;&gt;"",AVERAGE(F481,I481,L481,O481,R481,U481),"")</f>
        <v/>
      </c>
      <c r="Y481" s="14">
        <f>IF(A481&lt;&gt;"",AVERAGE(G481,J481,M481,P481,S481,V481),"")</f>
        <v/>
      </c>
      <c r="Z481" s="14">
        <f>IF(A481&lt;&gt;"",X481-Y481,"")</f>
        <v/>
      </c>
      <c r="AA481" s="15">
        <f>IF(A481&lt;&gt;"",ROUND(MIN(100,100*((MAX(0,K481)*0.25)+(MAX(0,Q481)*0.20)+(MAX(0,W481)*0.20)+(MAX(0,H481)*0.15)+(MAX(0,N481)*0.10)+(MAX(0,T481)*0.10))/9),1),"")</f>
        <v/>
      </c>
      <c r="AB481" s="28">
        <f>IF(A481&lt;&gt;"",MIN(1,(0.5*AA481/100)+(0.3*MAX(0,K481)/9)+(0.2*MAX(0,Q481)/9)),"")</f>
        <v/>
      </c>
    </row>
    <row r="482">
      <c r="A482" s="13">
        <f>IF('Raw Data'!A469&lt;&gt;"",'Raw Data'!A469,"")</f>
        <v/>
      </c>
      <c r="B482" s="13">
        <f>IF('Raw Data'!B469&lt;&gt;"",'Raw Data'!B469,"")</f>
        <v/>
      </c>
      <c r="C482" s="13">
        <f>IF('Raw Data'!C469&lt;&gt;"",'Raw Data'!C469,"")</f>
        <v/>
      </c>
      <c r="D482" s="13">
        <f>IF('Raw Data'!D469&lt;&gt;"",'Raw Data'!D469,"")</f>
        <v/>
      </c>
      <c r="E482" s="13">
        <f>IF('Raw Data'!E469&lt;&gt;"",'Raw Data'!E469,"")</f>
        <v/>
      </c>
      <c r="F482" s="17">
        <f>IF('Raw Data'!A469&lt;&gt;"",AVERAGE('Raw Data'!F469,'Raw Data'!H469,'Raw Data'!J469,'Raw Data'!L469,'Raw Data'!N469),"")</f>
        <v/>
      </c>
      <c r="G482" s="17">
        <f>IF('Raw Data'!A469&lt;&gt;"",AVERAGE('Raw Data'!G469,'Raw Data'!I469,'Raw Data'!K469,'Raw Data'!M469,'Raw Data'!O469),"")</f>
        <v/>
      </c>
      <c r="H482" s="17">
        <f>IF(F482&lt;&gt;"",F482-G482,"")</f>
        <v/>
      </c>
      <c r="I482" s="17">
        <f>IF('Raw Data'!A469&lt;&gt;"",AVERAGE('Raw Data'!P469,'Raw Data'!R469,'Raw Data'!T469,'Raw Data'!V469,'Raw Data'!X469),"")</f>
        <v/>
      </c>
      <c r="J482" s="17">
        <f>IF('Raw Data'!A469&lt;&gt;"",AVERAGE('Raw Data'!Q469,'Raw Data'!S469,'Raw Data'!U469,'Raw Data'!W469,'Raw Data'!Y469),"")</f>
        <v/>
      </c>
      <c r="K482" s="17">
        <f>IF(I482&lt;&gt;"",I482-J482,"")</f>
        <v/>
      </c>
      <c r="L482" s="17">
        <f>IF('Raw Data'!A469&lt;&gt;"",AVERAGE('Raw Data'!Z469,'Raw Data'!AB469,'Raw Data'!AD469,'Raw Data'!AF469,'Raw Data'!AH469),"")</f>
        <v/>
      </c>
      <c r="M482" s="17">
        <f>IF('Raw Data'!A469&lt;&gt;"",AVERAGE('Raw Data'!AA469,'Raw Data'!AC469,'Raw Data'!AE469,'Raw Data'!AG469,'Raw Data'!AI469),"")</f>
        <v/>
      </c>
      <c r="N482" s="17">
        <f>IF(L482&lt;&gt;"",L482-M482,"")</f>
        <v/>
      </c>
      <c r="O482" s="17">
        <f>IF('Raw Data'!A469&lt;&gt;"",AVERAGE('Raw Data'!AJ469,'Raw Data'!AL469,'Raw Data'!AN469,'Raw Data'!AP469,'Raw Data'!AR469),"")</f>
        <v/>
      </c>
      <c r="P482" s="17">
        <f>IF('Raw Data'!A469&lt;&gt;"",AVERAGE('Raw Data'!AK469,'Raw Data'!AM469,'Raw Data'!AO469,'Raw Data'!AQ469,'Raw Data'!AS469),"")</f>
        <v/>
      </c>
      <c r="Q482" s="17">
        <f>IF(O482&lt;&gt;"",O482-P482,"")</f>
        <v/>
      </c>
      <c r="R482" s="17">
        <f>IF('Raw Data'!A469&lt;&gt;"",AVERAGE('Raw Data'!AT469,'Raw Data'!AV469,'Raw Data'!AX469,'Raw Data'!AZ469,'Raw Data'!BB469),"")</f>
        <v/>
      </c>
      <c r="S482" s="17">
        <f>IF('Raw Data'!A469&lt;&gt;"",AVERAGE('Raw Data'!AU469,'Raw Data'!AW469,'Raw Data'!AY469,'Raw Data'!BA469,'Raw Data'!BC469),"")</f>
        <v/>
      </c>
      <c r="T482" s="17">
        <f>IF(R482&lt;&gt;"",R482-S482,"")</f>
        <v/>
      </c>
      <c r="U482" s="17">
        <f>IF('Raw Data'!A469&lt;&gt;"",AVERAGE('Raw Data'!BD469,'Raw Data'!BF469,'Raw Data'!BH469,'Raw Data'!BJ469,'Raw Data'!BL469),"")</f>
        <v/>
      </c>
      <c r="V482" s="17">
        <f>IF('Raw Data'!A469&lt;&gt;"",AVERAGE('Raw Data'!BE469,'Raw Data'!BG469,'Raw Data'!BI469,'Raw Data'!BK469,'Raw Data'!BM469),"")</f>
        <v/>
      </c>
      <c r="W482" s="17">
        <f>IF(U482&lt;&gt;"",U482-V482,"")</f>
        <v/>
      </c>
      <c r="X482" s="17">
        <f>IF(A482&lt;&gt;"",AVERAGE(F482,I482,L482,O482,R482,U482),"")</f>
        <v/>
      </c>
      <c r="Y482" s="17">
        <f>IF(A482&lt;&gt;"",AVERAGE(G482,J482,M482,P482,S482,V482),"")</f>
        <v/>
      </c>
      <c r="Z482" s="17">
        <f>IF(A482&lt;&gt;"",X482-Y482,"")</f>
        <v/>
      </c>
      <c r="AA482" s="18">
        <f>IF(A482&lt;&gt;"",ROUND(MIN(100,100*((MAX(0,K482)*0.25)+(MAX(0,Q482)*0.20)+(MAX(0,W482)*0.20)+(MAX(0,H482)*0.15)+(MAX(0,N482)*0.10)+(MAX(0,T482)*0.10))/9),1),"")</f>
        <v/>
      </c>
      <c r="AB482" s="29">
        <f>IF(A482&lt;&gt;"",MIN(1,(0.5*AA482/100)+(0.3*MAX(0,K482)/9)+(0.2*MAX(0,Q482)/9)),"")</f>
        <v/>
      </c>
    </row>
    <row r="483">
      <c r="A483" s="4">
        <f>IF('Raw Data'!A470&lt;&gt;"",'Raw Data'!A470,"")</f>
        <v/>
      </c>
      <c r="B483" s="4">
        <f>IF('Raw Data'!B470&lt;&gt;"",'Raw Data'!B470,"")</f>
        <v/>
      </c>
      <c r="C483" s="4">
        <f>IF('Raw Data'!C470&lt;&gt;"",'Raw Data'!C470,"")</f>
        <v/>
      </c>
      <c r="D483" s="4">
        <f>IF('Raw Data'!D470&lt;&gt;"",'Raw Data'!D470,"")</f>
        <v/>
      </c>
      <c r="E483" s="4">
        <f>IF('Raw Data'!E470&lt;&gt;"",'Raw Data'!E470,"")</f>
        <v/>
      </c>
      <c r="F483" s="14">
        <f>IF('Raw Data'!A470&lt;&gt;"",AVERAGE('Raw Data'!F470,'Raw Data'!H470,'Raw Data'!J470,'Raw Data'!L470,'Raw Data'!N470),"")</f>
        <v/>
      </c>
      <c r="G483" s="14">
        <f>IF('Raw Data'!A470&lt;&gt;"",AVERAGE('Raw Data'!G470,'Raw Data'!I470,'Raw Data'!K470,'Raw Data'!M470,'Raw Data'!O470),"")</f>
        <v/>
      </c>
      <c r="H483" s="14">
        <f>IF(F483&lt;&gt;"",F483-G483,"")</f>
        <v/>
      </c>
      <c r="I483" s="14">
        <f>IF('Raw Data'!A470&lt;&gt;"",AVERAGE('Raw Data'!P470,'Raw Data'!R470,'Raw Data'!T470,'Raw Data'!V470,'Raw Data'!X470),"")</f>
        <v/>
      </c>
      <c r="J483" s="14">
        <f>IF('Raw Data'!A470&lt;&gt;"",AVERAGE('Raw Data'!Q470,'Raw Data'!S470,'Raw Data'!U470,'Raw Data'!W470,'Raw Data'!Y470),"")</f>
        <v/>
      </c>
      <c r="K483" s="14">
        <f>IF(I483&lt;&gt;"",I483-J483,"")</f>
        <v/>
      </c>
      <c r="L483" s="14">
        <f>IF('Raw Data'!A470&lt;&gt;"",AVERAGE('Raw Data'!Z470,'Raw Data'!AB470,'Raw Data'!AD470,'Raw Data'!AF470,'Raw Data'!AH470),"")</f>
        <v/>
      </c>
      <c r="M483" s="14">
        <f>IF('Raw Data'!A470&lt;&gt;"",AVERAGE('Raw Data'!AA470,'Raw Data'!AC470,'Raw Data'!AE470,'Raw Data'!AG470,'Raw Data'!AI470),"")</f>
        <v/>
      </c>
      <c r="N483" s="14">
        <f>IF(L483&lt;&gt;"",L483-M483,"")</f>
        <v/>
      </c>
      <c r="O483" s="14">
        <f>IF('Raw Data'!A470&lt;&gt;"",AVERAGE('Raw Data'!AJ470,'Raw Data'!AL470,'Raw Data'!AN470,'Raw Data'!AP470,'Raw Data'!AR470),"")</f>
        <v/>
      </c>
      <c r="P483" s="14">
        <f>IF('Raw Data'!A470&lt;&gt;"",AVERAGE('Raw Data'!AK470,'Raw Data'!AM470,'Raw Data'!AO470,'Raw Data'!AQ470,'Raw Data'!AS470),"")</f>
        <v/>
      </c>
      <c r="Q483" s="14">
        <f>IF(O483&lt;&gt;"",O483-P483,"")</f>
        <v/>
      </c>
      <c r="R483" s="14">
        <f>IF('Raw Data'!A470&lt;&gt;"",AVERAGE('Raw Data'!AT470,'Raw Data'!AV470,'Raw Data'!AX470,'Raw Data'!AZ470,'Raw Data'!BB470),"")</f>
        <v/>
      </c>
      <c r="S483" s="14">
        <f>IF('Raw Data'!A470&lt;&gt;"",AVERAGE('Raw Data'!AU470,'Raw Data'!AW470,'Raw Data'!AY470,'Raw Data'!BA470,'Raw Data'!BC470),"")</f>
        <v/>
      </c>
      <c r="T483" s="14">
        <f>IF(R483&lt;&gt;"",R483-S483,"")</f>
        <v/>
      </c>
      <c r="U483" s="14">
        <f>IF('Raw Data'!A470&lt;&gt;"",AVERAGE('Raw Data'!BD470,'Raw Data'!BF470,'Raw Data'!BH470,'Raw Data'!BJ470,'Raw Data'!BL470),"")</f>
        <v/>
      </c>
      <c r="V483" s="14">
        <f>IF('Raw Data'!A470&lt;&gt;"",AVERAGE('Raw Data'!BE470,'Raw Data'!BG470,'Raw Data'!BI470,'Raw Data'!BK470,'Raw Data'!BM470),"")</f>
        <v/>
      </c>
      <c r="W483" s="14">
        <f>IF(U483&lt;&gt;"",U483-V483,"")</f>
        <v/>
      </c>
      <c r="X483" s="14">
        <f>IF(A483&lt;&gt;"",AVERAGE(F483,I483,L483,O483,R483,U483),"")</f>
        <v/>
      </c>
      <c r="Y483" s="14">
        <f>IF(A483&lt;&gt;"",AVERAGE(G483,J483,M483,P483,S483,V483),"")</f>
        <v/>
      </c>
      <c r="Z483" s="14">
        <f>IF(A483&lt;&gt;"",X483-Y483,"")</f>
        <v/>
      </c>
      <c r="AA483" s="15">
        <f>IF(A483&lt;&gt;"",ROUND(MIN(100,100*((MAX(0,K483)*0.25)+(MAX(0,Q483)*0.20)+(MAX(0,W483)*0.20)+(MAX(0,H483)*0.15)+(MAX(0,N483)*0.10)+(MAX(0,T483)*0.10))/9),1),"")</f>
        <v/>
      </c>
      <c r="AB483" s="28">
        <f>IF(A483&lt;&gt;"",MIN(1,(0.5*AA483/100)+(0.3*MAX(0,K483)/9)+(0.2*MAX(0,Q483)/9)),"")</f>
        <v/>
      </c>
    </row>
    <row r="484">
      <c r="A484" s="13">
        <f>IF('Raw Data'!A471&lt;&gt;"",'Raw Data'!A471,"")</f>
        <v/>
      </c>
      <c r="B484" s="13">
        <f>IF('Raw Data'!B471&lt;&gt;"",'Raw Data'!B471,"")</f>
        <v/>
      </c>
      <c r="C484" s="13">
        <f>IF('Raw Data'!C471&lt;&gt;"",'Raw Data'!C471,"")</f>
        <v/>
      </c>
      <c r="D484" s="13">
        <f>IF('Raw Data'!D471&lt;&gt;"",'Raw Data'!D471,"")</f>
        <v/>
      </c>
      <c r="E484" s="13">
        <f>IF('Raw Data'!E471&lt;&gt;"",'Raw Data'!E471,"")</f>
        <v/>
      </c>
      <c r="F484" s="17">
        <f>IF('Raw Data'!A471&lt;&gt;"",AVERAGE('Raw Data'!F471,'Raw Data'!H471,'Raw Data'!J471,'Raw Data'!L471,'Raw Data'!N471),"")</f>
        <v/>
      </c>
      <c r="G484" s="17">
        <f>IF('Raw Data'!A471&lt;&gt;"",AVERAGE('Raw Data'!G471,'Raw Data'!I471,'Raw Data'!K471,'Raw Data'!M471,'Raw Data'!O471),"")</f>
        <v/>
      </c>
      <c r="H484" s="17">
        <f>IF(F484&lt;&gt;"",F484-G484,"")</f>
        <v/>
      </c>
      <c r="I484" s="17">
        <f>IF('Raw Data'!A471&lt;&gt;"",AVERAGE('Raw Data'!P471,'Raw Data'!R471,'Raw Data'!T471,'Raw Data'!V471,'Raw Data'!X471),"")</f>
        <v/>
      </c>
      <c r="J484" s="17">
        <f>IF('Raw Data'!A471&lt;&gt;"",AVERAGE('Raw Data'!Q471,'Raw Data'!S471,'Raw Data'!U471,'Raw Data'!W471,'Raw Data'!Y471),"")</f>
        <v/>
      </c>
      <c r="K484" s="17">
        <f>IF(I484&lt;&gt;"",I484-J484,"")</f>
        <v/>
      </c>
      <c r="L484" s="17">
        <f>IF('Raw Data'!A471&lt;&gt;"",AVERAGE('Raw Data'!Z471,'Raw Data'!AB471,'Raw Data'!AD471,'Raw Data'!AF471,'Raw Data'!AH471),"")</f>
        <v/>
      </c>
      <c r="M484" s="17">
        <f>IF('Raw Data'!A471&lt;&gt;"",AVERAGE('Raw Data'!AA471,'Raw Data'!AC471,'Raw Data'!AE471,'Raw Data'!AG471,'Raw Data'!AI471),"")</f>
        <v/>
      </c>
      <c r="N484" s="17">
        <f>IF(L484&lt;&gt;"",L484-M484,"")</f>
        <v/>
      </c>
      <c r="O484" s="17">
        <f>IF('Raw Data'!A471&lt;&gt;"",AVERAGE('Raw Data'!AJ471,'Raw Data'!AL471,'Raw Data'!AN471,'Raw Data'!AP471,'Raw Data'!AR471),"")</f>
        <v/>
      </c>
      <c r="P484" s="17">
        <f>IF('Raw Data'!A471&lt;&gt;"",AVERAGE('Raw Data'!AK471,'Raw Data'!AM471,'Raw Data'!AO471,'Raw Data'!AQ471,'Raw Data'!AS471),"")</f>
        <v/>
      </c>
      <c r="Q484" s="17">
        <f>IF(O484&lt;&gt;"",O484-P484,"")</f>
        <v/>
      </c>
      <c r="R484" s="17">
        <f>IF('Raw Data'!A471&lt;&gt;"",AVERAGE('Raw Data'!AT471,'Raw Data'!AV471,'Raw Data'!AX471,'Raw Data'!AZ471,'Raw Data'!BB471),"")</f>
        <v/>
      </c>
      <c r="S484" s="17">
        <f>IF('Raw Data'!A471&lt;&gt;"",AVERAGE('Raw Data'!AU471,'Raw Data'!AW471,'Raw Data'!AY471,'Raw Data'!BA471,'Raw Data'!BC471),"")</f>
        <v/>
      </c>
      <c r="T484" s="17">
        <f>IF(R484&lt;&gt;"",R484-S484,"")</f>
        <v/>
      </c>
      <c r="U484" s="17">
        <f>IF('Raw Data'!A471&lt;&gt;"",AVERAGE('Raw Data'!BD471,'Raw Data'!BF471,'Raw Data'!BH471,'Raw Data'!BJ471,'Raw Data'!BL471),"")</f>
        <v/>
      </c>
      <c r="V484" s="17">
        <f>IF('Raw Data'!A471&lt;&gt;"",AVERAGE('Raw Data'!BE471,'Raw Data'!BG471,'Raw Data'!BI471,'Raw Data'!BK471,'Raw Data'!BM471),"")</f>
        <v/>
      </c>
      <c r="W484" s="17">
        <f>IF(U484&lt;&gt;"",U484-V484,"")</f>
        <v/>
      </c>
      <c r="X484" s="17">
        <f>IF(A484&lt;&gt;"",AVERAGE(F484,I484,L484,O484,R484,U484),"")</f>
        <v/>
      </c>
      <c r="Y484" s="17">
        <f>IF(A484&lt;&gt;"",AVERAGE(G484,J484,M484,P484,S484,V484),"")</f>
        <v/>
      </c>
      <c r="Z484" s="17">
        <f>IF(A484&lt;&gt;"",X484-Y484,"")</f>
        <v/>
      </c>
      <c r="AA484" s="18">
        <f>IF(A484&lt;&gt;"",ROUND(MIN(100,100*((MAX(0,K484)*0.25)+(MAX(0,Q484)*0.20)+(MAX(0,W484)*0.20)+(MAX(0,H484)*0.15)+(MAX(0,N484)*0.10)+(MAX(0,T484)*0.10))/9),1),"")</f>
        <v/>
      </c>
      <c r="AB484" s="29">
        <f>IF(A484&lt;&gt;"",MIN(1,(0.5*AA484/100)+(0.3*MAX(0,K484)/9)+(0.2*MAX(0,Q484)/9)),"")</f>
        <v/>
      </c>
    </row>
    <row r="485">
      <c r="A485" s="4">
        <f>IF('Raw Data'!A472&lt;&gt;"",'Raw Data'!A472,"")</f>
        <v/>
      </c>
      <c r="B485" s="4">
        <f>IF('Raw Data'!B472&lt;&gt;"",'Raw Data'!B472,"")</f>
        <v/>
      </c>
      <c r="C485" s="4">
        <f>IF('Raw Data'!C472&lt;&gt;"",'Raw Data'!C472,"")</f>
        <v/>
      </c>
      <c r="D485" s="4">
        <f>IF('Raw Data'!D472&lt;&gt;"",'Raw Data'!D472,"")</f>
        <v/>
      </c>
      <c r="E485" s="4">
        <f>IF('Raw Data'!E472&lt;&gt;"",'Raw Data'!E472,"")</f>
        <v/>
      </c>
      <c r="F485" s="14">
        <f>IF('Raw Data'!A472&lt;&gt;"",AVERAGE('Raw Data'!F472,'Raw Data'!H472,'Raw Data'!J472,'Raw Data'!L472,'Raw Data'!N472),"")</f>
        <v/>
      </c>
      <c r="G485" s="14">
        <f>IF('Raw Data'!A472&lt;&gt;"",AVERAGE('Raw Data'!G472,'Raw Data'!I472,'Raw Data'!K472,'Raw Data'!M472,'Raw Data'!O472),"")</f>
        <v/>
      </c>
      <c r="H485" s="14">
        <f>IF(F485&lt;&gt;"",F485-G485,"")</f>
        <v/>
      </c>
      <c r="I485" s="14">
        <f>IF('Raw Data'!A472&lt;&gt;"",AVERAGE('Raw Data'!P472,'Raw Data'!R472,'Raw Data'!T472,'Raw Data'!V472,'Raw Data'!X472),"")</f>
        <v/>
      </c>
      <c r="J485" s="14">
        <f>IF('Raw Data'!A472&lt;&gt;"",AVERAGE('Raw Data'!Q472,'Raw Data'!S472,'Raw Data'!U472,'Raw Data'!W472,'Raw Data'!Y472),"")</f>
        <v/>
      </c>
      <c r="K485" s="14">
        <f>IF(I485&lt;&gt;"",I485-J485,"")</f>
        <v/>
      </c>
      <c r="L485" s="14">
        <f>IF('Raw Data'!A472&lt;&gt;"",AVERAGE('Raw Data'!Z472,'Raw Data'!AB472,'Raw Data'!AD472,'Raw Data'!AF472,'Raw Data'!AH472),"")</f>
        <v/>
      </c>
      <c r="M485" s="14">
        <f>IF('Raw Data'!A472&lt;&gt;"",AVERAGE('Raw Data'!AA472,'Raw Data'!AC472,'Raw Data'!AE472,'Raw Data'!AG472,'Raw Data'!AI472),"")</f>
        <v/>
      </c>
      <c r="N485" s="14">
        <f>IF(L485&lt;&gt;"",L485-M485,"")</f>
        <v/>
      </c>
      <c r="O485" s="14">
        <f>IF('Raw Data'!A472&lt;&gt;"",AVERAGE('Raw Data'!AJ472,'Raw Data'!AL472,'Raw Data'!AN472,'Raw Data'!AP472,'Raw Data'!AR472),"")</f>
        <v/>
      </c>
      <c r="P485" s="14">
        <f>IF('Raw Data'!A472&lt;&gt;"",AVERAGE('Raw Data'!AK472,'Raw Data'!AM472,'Raw Data'!AO472,'Raw Data'!AQ472,'Raw Data'!AS472),"")</f>
        <v/>
      </c>
      <c r="Q485" s="14">
        <f>IF(O485&lt;&gt;"",O485-P485,"")</f>
        <v/>
      </c>
      <c r="R485" s="14">
        <f>IF('Raw Data'!A472&lt;&gt;"",AVERAGE('Raw Data'!AT472,'Raw Data'!AV472,'Raw Data'!AX472,'Raw Data'!AZ472,'Raw Data'!BB472),"")</f>
        <v/>
      </c>
      <c r="S485" s="14">
        <f>IF('Raw Data'!A472&lt;&gt;"",AVERAGE('Raw Data'!AU472,'Raw Data'!AW472,'Raw Data'!AY472,'Raw Data'!BA472,'Raw Data'!BC472),"")</f>
        <v/>
      </c>
      <c r="T485" s="14">
        <f>IF(R485&lt;&gt;"",R485-S485,"")</f>
        <v/>
      </c>
      <c r="U485" s="14">
        <f>IF('Raw Data'!A472&lt;&gt;"",AVERAGE('Raw Data'!BD472,'Raw Data'!BF472,'Raw Data'!BH472,'Raw Data'!BJ472,'Raw Data'!BL472),"")</f>
        <v/>
      </c>
      <c r="V485" s="14">
        <f>IF('Raw Data'!A472&lt;&gt;"",AVERAGE('Raw Data'!BE472,'Raw Data'!BG472,'Raw Data'!BI472,'Raw Data'!BK472,'Raw Data'!BM472),"")</f>
        <v/>
      </c>
      <c r="W485" s="14">
        <f>IF(U485&lt;&gt;"",U485-V485,"")</f>
        <v/>
      </c>
      <c r="X485" s="14">
        <f>IF(A485&lt;&gt;"",AVERAGE(F485,I485,L485,O485,R485,U485),"")</f>
        <v/>
      </c>
      <c r="Y485" s="14">
        <f>IF(A485&lt;&gt;"",AVERAGE(G485,J485,M485,P485,S485,V485),"")</f>
        <v/>
      </c>
      <c r="Z485" s="14">
        <f>IF(A485&lt;&gt;"",X485-Y485,"")</f>
        <v/>
      </c>
      <c r="AA485" s="15">
        <f>IF(A485&lt;&gt;"",ROUND(MIN(100,100*((MAX(0,K485)*0.25)+(MAX(0,Q485)*0.20)+(MAX(0,W485)*0.20)+(MAX(0,H485)*0.15)+(MAX(0,N485)*0.10)+(MAX(0,T485)*0.10))/9),1),"")</f>
        <v/>
      </c>
      <c r="AB485" s="28">
        <f>IF(A485&lt;&gt;"",MIN(1,(0.5*AA485/100)+(0.3*MAX(0,K485)/9)+(0.2*MAX(0,Q485)/9)),"")</f>
        <v/>
      </c>
    </row>
    <row r="486">
      <c r="A486" s="13">
        <f>IF('Raw Data'!A473&lt;&gt;"",'Raw Data'!A473,"")</f>
        <v/>
      </c>
      <c r="B486" s="13">
        <f>IF('Raw Data'!B473&lt;&gt;"",'Raw Data'!B473,"")</f>
        <v/>
      </c>
      <c r="C486" s="13">
        <f>IF('Raw Data'!C473&lt;&gt;"",'Raw Data'!C473,"")</f>
        <v/>
      </c>
      <c r="D486" s="13">
        <f>IF('Raw Data'!D473&lt;&gt;"",'Raw Data'!D473,"")</f>
        <v/>
      </c>
      <c r="E486" s="13">
        <f>IF('Raw Data'!E473&lt;&gt;"",'Raw Data'!E473,"")</f>
        <v/>
      </c>
      <c r="F486" s="17">
        <f>IF('Raw Data'!A473&lt;&gt;"",AVERAGE('Raw Data'!F473,'Raw Data'!H473,'Raw Data'!J473,'Raw Data'!L473,'Raw Data'!N473),"")</f>
        <v/>
      </c>
      <c r="G486" s="17">
        <f>IF('Raw Data'!A473&lt;&gt;"",AVERAGE('Raw Data'!G473,'Raw Data'!I473,'Raw Data'!K473,'Raw Data'!M473,'Raw Data'!O473),"")</f>
        <v/>
      </c>
      <c r="H486" s="17">
        <f>IF(F486&lt;&gt;"",F486-G486,"")</f>
        <v/>
      </c>
      <c r="I486" s="17">
        <f>IF('Raw Data'!A473&lt;&gt;"",AVERAGE('Raw Data'!P473,'Raw Data'!R473,'Raw Data'!T473,'Raw Data'!V473,'Raw Data'!X473),"")</f>
        <v/>
      </c>
      <c r="J486" s="17">
        <f>IF('Raw Data'!A473&lt;&gt;"",AVERAGE('Raw Data'!Q473,'Raw Data'!S473,'Raw Data'!U473,'Raw Data'!W473,'Raw Data'!Y473),"")</f>
        <v/>
      </c>
      <c r="K486" s="17">
        <f>IF(I486&lt;&gt;"",I486-J486,"")</f>
        <v/>
      </c>
      <c r="L486" s="17">
        <f>IF('Raw Data'!A473&lt;&gt;"",AVERAGE('Raw Data'!Z473,'Raw Data'!AB473,'Raw Data'!AD473,'Raw Data'!AF473,'Raw Data'!AH473),"")</f>
        <v/>
      </c>
      <c r="M486" s="17">
        <f>IF('Raw Data'!A473&lt;&gt;"",AVERAGE('Raw Data'!AA473,'Raw Data'!AC473,'Raw Data'!AE473,'Raw Data'!AG473,'Raw Data'!AI473),"")</f>
        <v/>
      </c>
      <c r="N486" s="17">
        <f>IF(L486&lt;&gt;"",L486-M486,"")</f>
        <v/>
      </c>
      <c r="O486" s="17">
        <f>IF('Raw Data'!A473&lt;&gt;"",AVERAGE('Raw Data'!AJ473,'Raw Data'!AL473,'Raw Data'!AN473,'Raw Data'!AP473,'Raw Data'!AR473),"")</f>
        <v/>
      </c>
      <c r="P486" s="17">
        <f>IF('Raw Data'!A473&lt;&gt;"",AVERAGE('Raw Data'!AK473,'Raw Data'!AM473,'Raw Data'!AO473,'Raw Data'!AQ473,'Raw Data'!AS473),"")</f>
        <v/>
      </c>
      <c r="Q486" s="17">
        <f>IF(O486&lt;&gt;"",O486-P486,"")</f>
        <v/>
      </c>
      <c r="R486" s="17">
        <f>IF('Raw Data'!A473&lt;&gt;"",AVERAGE('Raw Data'!AT473,'Raw Data'!AV473,'Raw Data'!AX473,'Raw Data'!AZ473,'Raw Data'!BB473),"")</f>
        <v/>
      </c>
      <c r="S486" s="17">
        <f>IF('Raw Data'!A473&lt;&gt;"",AVERAGE('Raw Data'!AU473,'Raw Data'!AW473,'Raw Data'!AY473,'Raw Data'!BA473,'Raw Data'!BC473),"")</f>
        <v/>
      </c>
      <c r="T486" s="17">
        <f>IF(R486&lt;&gt;"",R486-S486,"")</f>
        <v/>
      </c>
      <c r="U486" s="17">
        <f>IF('Raw Data'!A473&lt;&gt;"",AVERAGE('Raw Data'!BD473,'Raw Data'!BF473,'Raw Data'!BH473,'Raw Data'!BJ473,'Raw Data'!BL473),"")</f>
        <v/>
      </c>
      <c r="V486" s="17">
        <f>IF('Raw Data'!A473&lt;&gt;"",AVERAGE('Raw Data'!BE473,'Raw Data'!BG473,'Raw Data'!BI473,'Raw Data'!BK473,'Raw Data'!BM473),"")</f>
        <v/>
      </c>
      <c r="W486" s="17">
        <f>IF(U486&lt;&gt;"",U486-V486,"")</f>
        <v/>
      </c>
      <c r="X486" s="17">
        <f>IF(A486&lt;&gt;"",AVERAGE(F486,I486,L486,O486,R486,U486),"")</f>
        <v/>
      </c>
      <c r="Y486" s="17">
        <f>IF(A486&lt;&gt;"",AVERAGE(G486,J486,M486,P486,S486,V486),"")</f>
        <v/>
      </c>
      <c r="Z486" s="17">
        <f>IF(A486&lt;&gt;"",X486-Y486,"")</f>
        <v/>
      </c>
      <c r="AA486" s="18">
        <f>IF(A486&lt;&gt;"",ROUND(MIN(100,100*((MAX(0,K486)*0.25)+(MAX(0,Q486)*0.20)+(MAX(0,W486)*0.20)+(MAX(0,H486)*0.15)+(MAX(0,N486)*0.10)+(MAX(0,T486)*0.10))/9),1),"")</f>
        <v/>
      </c>
      <c r="AB486" s="29">
        <f>IF(A486&lt;&gt;"",MIN(1,(0.5*AA486/100)+(0.3*MAX(0,K486)/9)+(0.2*MAX(0,Q486)/9)),"")</f>
        <v/>
      </c>
    </row>
    <row r="487">
      <c r="A487" s="4">
        <f>IF('Raw Data'!A474&lt;&gt;"",'Raw Data'!A474,"")</f>
        <v/>
      </c>
      <c r="B487" s="4">
        <f>IF('Raw Data'!B474&lt;&gt;"",'Raw Data'!B474,"")</f>
        <v/>
      </c>
      <c r="C487" s="4">
        <f>IF('Raw Data'!C474&lt;&gt;"",'Raw Data'!C474,"")</f>
        <v/>
      </c>
      <c r="D487" s="4">
        <f>IF('Raw Data'!D474&lt;&gt;"",'Raw Data'!D474,"")</f>
        <v/>
      </c>
      <c r="E487" s="4">
        <f>IF('Raw Data'!E474&lt;&gt;"",'Raw Data'!E474,"")</f>
        <v/>
      </c>
      <c r="F487" s="14">
        <f>IF('Raw Data'!A474&lt;&gt;"",AVERAGE('Raw Data'!F474,'Raw Data'!H474,'Raw Data'!J474,'Raw Data'!L474,'Raw Data'!N474),"")</f>
        <v/>
      </c>
      <c r="G487" s="14">
        <f>IF('Raw Data'!A474&lt;&gt;"",AVERAGE('Raw Data'!G474,'Raw Data'!I474,'Raw Data'!K474,'Raw Data'!M474,'Raw Data'!O474),"")</f>
        <v/>
      </c>
      <c r="H487" s="14">
        <f>IF(F487&lt;&gt;"",F487-G487,"")</f>
        <v/>
      </c>
      <c r="I487" s="14">
        <f>IF('Raw Data'!A474&lt;&gt;"",AVERAGE('Raw Data'!P474,'Raw Data'!R474,'Raw Data'!T474,'Raw Data'!V474,'Raw Data'!X474),"")</f>
        <v/>
      </c>
      <c r="J487" s="14">
        <f>IF('Raw Data'!A474&lt;&gt;"",AVERAGE('Raw Data'!Q474,'Raw Data'!S474,'Raw Data'!U474,'Raw Data'!W474,'Raw Data'!Y474),"")</f>
        <v/>
      </c>
      <c r="K487" s="14">
        <f>IF(I487&lt;&gt;"",I487-J487,"")</f>
        <v/>
      </c>
      <c r="L487" s="14">
        <f>IF('Raw Data'!A474&lt;&gt;"",AVERAGE('Raw Data'!Z474,'Raw Data'!AB474,'Raw Data'!AD474,'Raw Data'!AF474,'Raw Data'!AH474),"")</f>
        <v/>
      </c>
      <c r="M487" s="14">
        <f>IF('Raw Data'!A474&lt;&gt;"",AVERAGE('Raw Data'!AA474,'Raw Data'!AC474,'Raw Data'!AE474,'Raw Data'!AG474,'Raw Data'!AI474),"")</f>
        <v/>
      </c>
      <c r="N487" s="14">
        <f>IF(L487&lt;&gt;"",L487-M487,"")</f>
        <v/>
      </c>
      <c r="O487" s="14">
        <f>IF('Raw Data'!A474&lt;&gt;"",AVERAGE('Raw Data'!AJ474,'Raw Data'!AL474,'Raw Data'!AN474,'Raw Data'!AP474,'Raw Data'!AR474),"")</f>
        <v/>
      </c>
      <c r="P487" s="14">
        <f>IF('Raw Data'!A474&lt;&gt;"",AVERAGE('Raw Data'!AK474,'Raw Data'!AM474,'Raw Data'!AO474,'Raw Data'!AQ474,'Raw Data'!AS474),"")</f>
        <v/>
      </c>
      <c r="Q487" s="14">
        <f>IF(O487&lt;&gt;"",O487-P487,"")</f>
        <v/>
      </c>
      <c r="R487" s="14">
        <f>IF('Raw Data'!A474&lt;&gt;"",AVERAGE('Raw Data'!AT474,'Raw Data'!AV474,'Raw Data'!AX474,'Raw Data'!AZ474,'Raw Data'!BB474),"")</f>
        <v/>
      </c>
      <c r="S487" s="14">
        <f>IF('Raw Data'!A474&lt;&gt;"",AVERAGE('Raw Data'!AU474,'Raw Data'!AW474,'Raw Data'!AY474,'Raw Data'!BA474,'Raw Data'!BC474),"")</f>
        <v/>
      </c>
      <c r="T487" s="14">
        <f>IF(R487&lt;&gt;"",R487-S487,"")</f>
        <v/>
      </c>
      <c r="U487" s="14">
        <f>IF('Raw Data'!A474&lt;&gt;"",AVERAGE('Raw Data'!BD474,'Raw Data'!BF474,'Raw Data'!BH474,'Raw Data'!BJ474,'Raw Data'!BL474),"")</f>
        <v/>
      </c>
      <c r="V487" s="14">
        <f>IF('Raw Data'!A474&lt;&gt;"",AVERAGE('Raw Data'!BE474,'Raw Data'!BG474,'Raw Data'!BI474,'Raw Data'!BK474,'Raw Data'!BM474),"")</f>
        <v/>
      </c>
      <c r="W487" s="14">
        <f>IF(U487&lt;&gt;"",U487-V487,"")</f>
        <v/>
      </c>
      <c r="X487" s="14">
        <f>IF(A487&lt;&gt;"",AVERAGE(F487,I487,L487,O487,R487,U487),"")</f>
        <v/>
      </c>
      <c r="Y487" s="14">
        <f>IF(A487&lt;&gt;"",AVERAGE(G487,J487,M487,P487,S487,V487),"")</f>
        <v/>
      </c>
      <c r="Z487" s="14">
        <f>IF(A487&lt;&gt;"",X487-Y487,"")</f>
        <v/>
      </c>
      <c r="AA487" s="15">
        <f>IF(A487&lt;&gt;"",ROUND(MIN(100,100*((MAX(0,K487)*0.25)+(MAX(0,Q487)*0.20)+(MAX(0,W487)*0.20)+(MAX(0,H487)*0.15)+(MAX(0,N487)*0.10)+(MAX(0,T487)*0.10))/9),1),"")</f>
        <v/>
      </c>
      <c r="AB487" s="28">
        <f>IF(A487&lt;&gt;"",MIN(1,(0.5*AA487/100)+(0.3*MAX(0,K487)/9)+(0.2*MAX(0,Q487)/9)),"")</f>
        <v/>
      </c>
    </row>
    <row r="488">
      <c r="A488" s="13">
        <f>IF('Raw Data'!A475&lt;&gt;"",'Raw Data'!A475,"")</f>
        <v/>
      </c>
      <c r="B488" s="13">
        <f>IF('Raw Data'!B475&lt;&gt;"",'Raw Data'!B475,"")</f>
        <v/>
      </c>
      <c r="C488" s="13">
        <f>IF('Raw Data'!C475&lt;&gt;"",'Raw Data'!C475,"")</f>
        <v/>
      </c>
      <c r="D488" s="13">
        <f>IF('Raw Data'!D475&lt;&gt;"",'Raw Data'!D475,"")</f>
        <v/>
      </c>
      <c r="E488" s="13">
        <f>IF('Raw Data'!E475&lt;&gt;"",'Raw Data'!E475,"")</f>
        <v/>
      </c>
      <c r="F488" s="17">
        <f>IF('Raw Data'!A475&lt;&gt;"",AVERAGE('Raw Data'!F475,'Raw Data'!H475,'Raw Data'!J475,'Raw Data'!L475,'Raw Data'!N475),"")</f>
        <v/>
      </c>
      <c r="G488" s="17">
        <f>IF('Raw Data'!A475&lt;&gt;"",AVERAGE('Raw Data'!G475,'Raw Data'!I475,'Raw Data'!K475,'Raw Data'!M475,'Raw Data'!O475),"")</f>
        <v/>
      </c>
      <c r="H488" s="17">
        <f>IF(F488&lt;&gt;"",F488-G488,"")</f>
        <v/>
      </c>
      <c r="I488" s="17">
        <f>IF('Raw Data'!A475&lt;&gt;"",AVERAGE('Raw Data'!P475,'Raw Data'!R475,'Raw Data'!T475,'Raw Data'!V475,'Raw Data'!X475),"")</f>
        <v/>
      </c>
      <c r="J488" s="17">
        <f>IF('Raw Data'!A475&lt;&gt;"",AVERAGE('Raw Data'!Q475,'Raw Data'!S475,'Raw Data'!U475,'Raw Data'!W475,'Raw Data'!Y475),"")</f>
        <v/>
      </c>
      <c r="K488" s="17">
        <f>IF(I488&lt;&gt;"",I488-J488,"")</f>
        <v/>
      </c>
      <c r="L488" s="17">
        <f>IF('Raw Data'!A475&lt;&gt;"",AVERAGE('Raw Data'!Z475,'Raw Data'!AB475,'Raw Data'!AD475,'Raw Data'!AF475,'Raw Data'!AH475),"")</f>
        <v/>
      </c>
      <c r="M488" s="17">
        <f>IF('Raw Data'!A475&lt;&gt;"",AVERAGE('Raw Data'!AA475,'Raw Data'!AC475,'Raw Data'!AE475,'Raw Data'!AG475,'Raw Data'!AI475),"")</f>
        <v/>
      </c>
      <c r="N488" s="17">
        <f>IF(L488&lt;&gt;"",L488-M488,"")</f>
        <v/>
      </c>
      <c r="O488" s="17">
        <f>IF('Raw Data'!A475&lt;&gt;"",AVERAGE('Raw Data'!AJ475,'Raw Data'!AL475,'Raw Data'!AN475,'Raw Data'!AP475,'Raw Data'!AR475),"")</f>
        <v/>
      </c>
      <c r="P488" s="17">
        <f>IF('Raw Data'!A475&lt;&gt;"",AVERAGE('Raw Data'!AK475,'Raw Data'!AM475,'Raw Data'!AO475,'Raw Data'!AQ475,'Raw Data'!AS475),"")</f>
        <v/>
      </c>
      <c r="Q488" s="17">
        <f>IF(O488&lt;&gt;"",O488-P488,"")</f>
        <v/>
      </c>
      <c r="R488" s="17">
        <f>IF('Raw Data'!A475&lt;&gt;"",AVERAGE('Raw Data'!AT475,'Raw Data'!AV475,'Raw Data'!AX475,'Raw Data'!AZ475,'Raw Data'!BB475),"")</f>
        <v/>
      </c>
      <c r="S488" s="17">
        <f>IF('Raw Data'!A475&lt;&gt;"",AVERAGE('Raw Data'!AU475,'Raw Data'!AW475,'Raw Data'!AY475,'Raw Data'!BA475,'Raw Data'!BC475),"")</f>
        <v/>
      </c>
      <c r="T488" s="17">
        <f>IF(R488&lt;&gt;"",R488-S488,"")</f>
        <v/>
      </c>
      <c r="U488" s="17">
        <f>IF('Raw Data'!A475&lt;&gt;"",AVERAGE('Raw Data'!BD475,'Raw Data'!BF475,'Raw Data'!BH475,'Raw Data'!BJ475,'Raw Data'!BL475),"")</f>
        <v/>
      </c>
      <c r="V488" s="17">
        <f>IF('Raw Data'!A475&lt;&gt;"",AVERAGE('Raw Data'!BE475,'Raw Data'!BG475,'Raw Data'!BI475,'Raw Data'!BK475,'Raw Data'!BM475),"")</f>
        <v/>
      </c>
      <c r="W488" s="17">
        <f>IF(U488&lt;&gt;"",U488-V488,"")</f>
        <v/>
      </c>
      <c r="X488" s="17">
        <f>IF(A488&lt;&gt;"",AVERAGE(F488,I488,L488,O488,R488,U488),"")</f>
        <v/>
      </c>
      <c r="Y488" s="17">
        <f>IF(A488&lt;&gt;"",AVERAGE(G488,J488,M488,P488,S488,V488),"")</f>
        <v/>
      </c>
      <c r="Z488" s="17">
        <f>IF(A488&lt;&gt;"",X488-Y488,"")</f>
        <v/>
      </c>
      <c r="AA488" s="18">
        <f>IF(A488&lt;&gt;"",ROUND(MIN(100,100*((MAX(0,K488)*0.25)+(MAX(0,Q488)*0.20)+(MAX(0,W488)*0.20)+(MAX(0,H488)*0.15)+(MAX(0,N488)*0.10)+(MAX(0,T488)*0.10))/9),1),"")</f>
        <v/>
      </c>
      <c r="AB488" s="29">
        <f>IF(A488&lt;&gt;"",MIN(1,(0.5*AA488/100)+(0.3*MAX(0,K488)/9)+(0.2*MAX(0,Q488)/9)),"")</f>
        <v/>
      </c>
    </row>
    <row r="489">
      <c r="A489" s="4">
        <f>IF('Raw Data'!A476&lt;&gt;"",'Raw Data'!A476,"")</f>
        <v/>
      </c>
      <c r="B489" s="4">
        <f>IF('Raw Data'!B476&lt;&gt;"",'Raw Data'!B476,"")</f>
        <v/>
      </c>
      <c r="C489" s="4">
        <f>IF('Raw Data'!C476&lt;&gt;"",'Raw Data'!C476,"")</f>
        <v/>
      </c>
      <c r="D489" s="4">
        <f>IF('Raw Data'!D476&lt;&gt;"",'Raw Data'!D476,"")</f>
        <v/>
      </c>
      <c r="E489" s="4">
        <f>IF('Raw Data'!E476&lt;&gt;"",'Raw Data'!E476,"")</f>
        <v/>
      </c>
      <c r="F489" s="14">
        <f>IF('Raw Data'!A476&lt;&gt;"",AVERAGE('Raw Data'!F476,'Raw Data'!H476,'Raw Data'!J476,'Raw Data'!L476,'Raw Data'!N476),"")</f>
        <v/>
      </c>
      <c r="G489" s="14">
        <f>IF('Raw Data'!A476&lt;&gt;"",AVERAGE('Raw Data'!G476,'Raw Data'!I476,'Raw Data'!K476,'Raw Data'!M476,'Raw Data'!O476),"")</f>
        <v/>
      </c>
      <c r="H489" s="14">
        <f>IF(F489&lt;&gt;"",F489-G489,"")</f>
        <v/>
      </c>
      <c r="I489" s="14">
        <f>IF('Raw Data'!A476&lt;&gt;"",AVERAGE('Raw Data'!P476,'Raw Data'!R476,'Raw Data'!T476,'Raw Data'!V476,'Raw Data'!X476),"")</f>
        <v/>
      </c>
      <c r="J489" s="14">
        <f>IF('Raw Data'!A476&lt;&gt;"",AVERAGE('Raw Data'!Q476,'Raw Data'!S476,'Raw Data'!U476,'Raw Data'!W476,'Raw Data'!Y476),"")</f>
        <v/>
      </c>
      <c r="K489" s="14">
        <f>IF(I489&lt;&gt;"",I489-J489,"")</f>
        <v/>
      </c>
      <c r="L489" s="14">
        <f>IF('Raw Data'!A476&lt;&gt;"",AVERAGE('Raw Data'!Z476,'Raw Data'!AB476,'Raw Data'!AD476,'Raw Data'!AF476,'Raw Data'!AH476),"")</f>
        <v/>
      </c>
      <c r="M489" s="14">
        <f>IF('Raw Data'!A476&lt;&gt;"",AVERAGE('Raw Data'!AA476,'Raw Data'!AC476,'Raw Data'!AE476,'Raw Data'!AG476,'Raw Data'!AI476),"")</f>
        <v/>
      </c>
      <c r="N489" s="14">
        <f>IF(L489&lt;&gt;"",L489-M489,"")</f>
        <v/>
      </c>
      <c r="O489" s="14">
        <f>IF('Raw Data'!A476&lt;&gt;"",AVERAGE('Raw Data'!AJ476,'Raw Data'!AL476,'Raw Data'!AN476,'Raw Data'!AP476,'Raw Data'!AR476),"")</f>
        <v/>
      </c>
      <c r="P489" s="14">
        <f>IF('Raw Data'!A476&lt;&gt;"",AVERAGE('Raw Data'!AK476,'Raw Data'!AM476,'Raw Data'!AO476,'Raw Data'!AQ476,'Raw Data'!AS476),"")</f>
        <v/>
      </c>
      <c r="Q489" s="14">
        <f>IF(O489&lt;&gt;"",O489-P489,"")</f>
        <v/>
      </c>
      <c r="R489" s="14">
        <f>IF('Raw Data'!A476&lt;&gt;"",AVERAGE('Raw Data'!AT476,'Raw Data'!AV476,'Raw Data'!AX476,'Raw Data'!AZ476,'Raw Data'!BB476),"")</f>
        <v/>
      </c>
      <c r="S489" s="14">
        <f>IF('Raw Data'!A476&lt;&gt;"",AVERAGE('Raw Data'!AU476,'Raw Data'!AW476,'Raw Data'!AY476,'Raw Data'!BA476,'Raw Data'!BC476),"")</f>
        <v/>
      </c>
      <c r="T489" s="14">
        <f>IF(R489&lt;&gt;"",R489-S489,"")</f>
        <v/>
      </c>
      <c r="U489" s="14">
        <f>IF('Raw Data'!A476&lt;&gt;"",AVERAGE('Raw Data'!BD476,'Raw Data'!BF476,'Raw Data'!BH476,'Raw Data'!BJ476,'Raw Data'!BL476),"")</f>
        <v/>
      </c>
      <c r="V489" s="14">
        <f>IF('Raw Data'!A476&lt;&gt;"",AVERAGE('Raw Data'!BE476,'Raw Data'!BG476,'Raw Data'!BI476,'Raw Data'!BK476,'Raw Data'!BM476),"")</f>
        <v/>
      </c>
      <c r="W489" s="14">
        <f>IF(U489&lt;&gt;"",U489-V489,"")</f>
        <v/>
      </c>
      <c r="X489" s="14">
        <f>IF(A489&lt;&gt;"",AVERAGE(F489,I489,L489,O489,R489,U489),"")</f>
        <v/>
      </c>
      <c r="Y489" s="14">
        <f>IF(A489&lt;&gt;"",AVERAGE(G489,J489,M489,P489,S489,V489),"")</f>
        <v/>
      </c>
      <c r="Z489" s="14">
        <f>IF(A489&lt;&gt;"",X489-Y489,"")</f>
        <v/>
      </c>
      <c r="AA489" s="15">
        <f>IF(A489&lt;&gt;"",ROUND(MIN(100,100*((MAX(0,K489)*0.25)+(MAX(0,Q489)*0.20)+(MAX(0,W489)*0.20)+(MAX(0,H489)*0.15)+(MAX(0,N489)*0.10)+(MAX(0,T489)*0.10))/9),1),"")</f>
        <v/>
      </c>
      <c r="AB489" s="28">
        <f>IF(A489&lt;&gt;"",MIN(1,(0.5*AA489/100)+(0.3*MAX(0,K489)/9)+(0.2*MAX(0,Q489)/9)),"")</f>
        <v/>
      </c>
    </row>
    <row r="490">
      <c r="A490" s="13">
        <f>IF('Raw Data'!A477&lt;&gt;"",'Raw Data'!A477,"")</f>
        <v/>
      </c>
      <c r="B490" s="13">
        <f>IF('Raw Data'!B477&lt;&gt;"",'Raw Data'!B477,"")</f>
        <v/>
      </c>
      <c r="C490" s="13">
        <f>IF('Raw Data'!C477&lt;&gt;"",'Raw Data'!C477,"")</f>
        <v/>
      </c>
      <c r="D490" s="13">
        <f>IF('Raw Data'!D477&lt;&gt;"",'Raw Data'!D477,"")</f>
        <v/>
      </c>
      <c r="E490" s="13">
        <f>IF('Raw Data'!E477&lt;&gt;"",'Raw Data'!E477,"")</f>
        <v/>
      </c>
      <c r="F490" s="17">
        <f>IF('Raw Data'!A477&lt;&gt;"",AVERAGE('Raw Data'!F477,'Raw Data'!H477,'Raw Data'!J477,'Raw Data'!L477,'Raw Data'!N477),"")</f>
        <v/>
      </c>
      <c r="G490" s="17">
        <f>IF('Raw Data'!A477&lt;&gt;"",AVERAGE('Raw Data'!G477,'Raw Data'!I477,'Raw Data'!K477,'Raw Data'!M477,'Raw Data'!O477),"")</f>
        <v/>
      </c>
      <c r="H490" s="17">
        <f>IF(F490&lt;&gt;"",F490-G490,"")</f>
        <v/>
      </c>
      <c r="I490" s="17">
        <f>IF('Raw Data'!A477&lt;&gt;"",AVERAGE('Raw Data'!P477,'Raw Data'!R477,'Raw Data'!T477,'Raw Data'!V477,'Raw Data'!X477),"")</f>
        <v/>
      </c>
      <c r="J490" s="17">
        <f>IF('Raw Data'!A477&lt;&gt;"",AVERAGE('Raw Data'!Q477,'Raw Data'!S477,'Raw Data'!U477,'Raw Data'!W477,'Raw Data'!Y477),"")</f>
        <v/>
      </c>
      <c r="K490" s="17">
        <f>IF(I490&lt;&gt;"",I490-J490,"")</f>
        <v/>
      </c>
      <c r="L490" s="17">
        <f>IF('Raw Data'!A477&lt;&gt;"",AVERAGE('Raw Data'!Z477,'Raw Data'!AB477,'Raw Data'!AD477,'Raw Data'!AF477,'Raw Data'!AH477),"")</f>
        <v/>
      </c>
      <c r="M490" s="17">
        <f>IF('Raw Data'!A477&lt;&gt;"",AVERAGE('Raw Data'!AA477,'Raw Data'!AC477,'Raw Data'!AE477,'Raw Data'!AG477,'Raw Data'!AI477),"")</f>
        <v/>
      </c>
      <c r="N490" s="17">
        <f>IF(L490&lt;&gt;"",L490-M490,"")</f>
        <v/>
      </c>
      <c r="O490" s="17">
        <f>IF('Raw Data'!A477&lt;&gt;"",AVERAGE('Raw Data'!AJ477,'Raw Data'!AL477,'Raw Data'!AN477,'Raw Data'!AP477,'Raw Data'!AR477),"")</f>
        <v/>
      </c>
      <c r="P490" s="17">
        <f>IF('Raw Data'!A477&lt;&gt;"",AVERAGE('Raw Data'!AK477,'Raw Data'!AM477,'Raw Data'!AO477,'Raw Data'!AQ477,'Raw Data'!AS477),"")</f>
        <v/>
      </c>
      <c r="Q490" s="17">
        <f>IF(O490&lt;&gt;"",O490-P490,"")</f>
        <v/>
      </c>
      <c r="R490" s="17">
        <f>IF('Raw Data'!A477&lt;&gt;"",AVERAGE('Raw Data'!AT477,'Raw Data'!AV477,'Raw Data'!AX477,'Raw Data'!AZ477,'Raw Data'!BB477),"")</f>
        <v/>
      </c>
      <c r="S490" s="17">
        <f>IF('Raw Data'!A477&lt;&gt;"",AVERAGE('Raw Data'!AU477,'Raw Data'!AW477,'Raw Data'!AY477,'Raw Data'!BA477,'Raw Data'!BC477),"")</f>
        <v/>
      </c>
      <c r="T490" s="17">
        <f>IF(R490&lt;&gt;"",R490-S490,"")</f>
        <v/>
      </c>
      <c r="U490" s="17">
        <f>IF('Raw Data'!A477&lt;&gt;"",AVERAGE('Raw Data'!BD477,'Raw Data'!BF477,'Raw Data'!BH477,'Raw Data'!BJ477,'Raw Data'!BL477),"")</f>
        <v/>
      </c>
      <c r="V490" s="17">
        <f>IF('Raw Data'!A477&lt;&gt;"",AVERAGE('Raw Data'!BE477,'Raw Data'!BG477,'Raw Data'!BI477,'Raw Data'!BK477,'Raw Data'!BM477),"")</f>
        <v/>
      </c>
      <c r="W490" s="17">
        <f>IF(U490&lt;&gt;"",U490-V490,"")</f>
        <v/>
      </c>
      <c r="X490" s="17">
        <f>IF(A490&lt;&gt;"",AVERAGE(F490,I490,L490,O490,R490,U490),"")</f>
        <v/>
      </c>
      <c r="Y490" s="17">
        <f>IF(A490&lt;&gt;"",AVERAGE(G490,J490,M490,P490,S490,V490),"")</f>
        <v/>
      </c>
      <c r="Z490" s="17">
        <f>IF(A490&lt;&gt;"",X490-Y490,"")</f>
        <v/>
      </c>
      <c r="AA490" s="18">
        <f>IF(A490&lt;&gt;"",ROUND(MIN(100,100*((MAX(0,K490)*0.25)+(MAX(0,Q490)*0.20)+(MAX(0,W490)*0.20)+(MAX(0,H490)*0.15)+(MAX(0,N490)*0.10)+(MAX(0,T490)*0.10))/9),1),"")</f>
        <v/>
      </c>
      <c r="AB490" s="29">
        <f>IF(A490&lt;&gt;"",MIN(1,(0.5*AA490/100)+(0.3*MAX(0,K490)/9)+(0.2*MAX(0,Q490)/9)),"")</f>
        <v/>
      </c>
    </row>
    <row r="491">
      <c r="A491" s="4">
        <f>IF('Raw Data'!A478&lt;&gt;"",'Raw Data'!A478,"")</f>
        <v/>
      </c>
      <c r="B491" s="4">
        <f>IF('Raw Data'!B478&lt;&gt;"",'Raw Data'!B478,"")</f>
        <v/>
      </c>
      <c r="C491" s="4">
        <f>IF('Raw Data'!C478&lt;&gt;"",'Raw Data'!C478,"")</f>
        <v/>
      </c>
      <c r="D491" s="4">
        <f>IF('Raw Data'!D478&lt;&gt;"",'Raw Data'!D478,"")</f>
        <v/>
      </c>
      <c r="E491" s="4">
        <f>IF('Raw Data'!E478&lt;&gt;"",'Raw Data'!E478,"")</f>
        <v/>
      </c>
      <c r="F491" s="14">
        <f>IF('Raw Data'!A478&lt;&gt;"",AVERAGE('Raw Data'!F478,'Raw Data'!H478,'Raw Data'!J478,'Raw Data'!L478,'Raw Data'!N478),"")</f>
        <v/>
      </c>
      <c r="G491" s="14">
        <f>IF('Raw Data'!A478&lt;&gt;"",AVERAGE('Raw Data'!G478,'Raw Data'!I478,'Raw Data'!K478,'Raw Data'!M478,'Raw Data'!O478),"")</f>
        <v/>
      </c>
      <c r="H491" s="14">
        <f>IF(F491&lt;&gt;"",F491-G491,"")</f>
        <v/>
      </c>
      <c r="I491" s="14">
        <f>IF('Raw Data'!A478&lt;&gt;"",AVERAGE('Raw Data'!P478,'Raw Data'!R478,'Raw Data'!T478,'Raw Data'!V478,'Raw Data'!X478),"")</f>
        <v/>
      </c>
      <c r="J491" s="14">
        <f>IF('Raw Data'!A478&lt;&gt;"",AVERAGE('Raw Data'!Q478,'Raw Data'!S478,'Raw Data'!U478,'Raw Data'!W478,'Raw Data'!Y478),"")</f>
        <v/>
      </c>
      <c r="K491" s="14">
        <f>IF(I491&lt;&gt;"",I491-J491,"")</f>
        <v/>
      </c>
      <c r="L491" s="14">
        <f>IF('Raw Data'!A478&lt;&gt;"",AVERAGE('Raw Data'!Z478,'Raw Data'!AB478,'Raw Data'!AD478,'Raw Data'!AF478,'Raw Data'!AH478),"")</f>
        <v/>
      </c>
      <c r="M491" s="14">
        <f>IF('Raw Data'!A478&lt;&gt;"",AVERAGE('Raw Data'!AA478,'Raw Data'!AC478,'Raw Data'!AE478,'Raw Data'!AG478,'Raw Data'!AI478),"")</f>
        <v/>
      </c>
      <c r="N491" s="14">
        <f>IF(L491&lt;&gt;"",L491-M491,"")</f>
        <v/>
      </c>
      <c r="O491" s="14">
        <f>IF('Raw Data'!A478&lt;&gt;"",AVERAGE('Raw Data'!AJ478,'Raw Data'!AL478,'Raw Data'!AN478,'Raw Data'!AP478,'Raw Data'!AR478),"")</f>
        <v/>
      </c>
      <c r="P491" s="14">
        <f>IF('Raw Data'!A478&lt;&gt;"",AVERAGE('Raw Data'!AK478,'Raw Data'!AM478,'Raw Data'!AO478,'Raw Data'!AQ478,'Raw Data'!AS478),"")</f>
        <v/>
      </c>
      <c r="Q491" s="14">
        <f>IF(O491&lt;&gt;"",O491-P491,"")</f>
        <v/>
      </c>
      <c r="R491" s="14">
        <f>IF('Raw Data'!A478&lt;&gt;"",AVERAGE('Raw Data'!AT478,'Raw Data'!AV478,'Raw Data'!AX478,'Raw Data'!AZ478,'Raw Data'!BB478),"")</f>
        <v/>
      </c>
      <c r="S491" s="14">
        <f>IF('Raw Data'!A478&lt;&gt;"",AVERAGE('Raw Data'!AU478,'Raw Data'!AW478,'Raw Data'!AY478,'Raw Data'!BA478,'Raw Data'!BC478),"")</f>
        <v/>
      </c>
      <c r="T491" s="14">
        <f>IF(R491&lt;&gt;"",R491-S491,"")</f>
        <v/>
      </c>
      <c r="U491" s="14">
        <f>IF('Raw Data'!A478&lt;&gt;"",AVERAGE('Raw Data'!BD478,'Raw Data'!BF478,'Raw Data'!BH478,'Raw Data'!BJ478,'Raw Data'!BL478),"")</f>
        <v/>
      </c>
      <c r="V491" s="14">
        <f>IF('Raw Data'!A478&lt;&gt;"",AVERAGE('Raw Data'!BE478,'Raw Data'!BG478,'Raw Data'!BI478,'Raw Data'!BK478,'Raw Data'!BM478),"")</f>
        <v/>
      </c>
      <c r="W491" s="14">
        <f>IF(U491&lt;&gt;"",U491-V491,"")</f>
        <v/>
      </c>
      <c r="X491" s="14">
        <f>IF(A491&lt;&gt;"",AVERAGE(F491,I491,L491,O491,R491,U491),"")</f>
        <v/>
      </c>
      <c r="Y491" s="14">
        <f>IF(A491&lt;&gt;"",AVERAGE(G491,J491,M491,P491,S491,V491),"")</f>
        <v/>
      </c>
      <c r="Z491" s="14">
        <f>IF(A491&lt;&gt;"",X491-Y491,"")</f>
        <v/>
      </c>
      <c r="AA491" s="15">
        <f>IF(A491&lt;&gt;"",ROUND(MIN(100,100*((MAX(0,K491)*0.25)+(MAX(0,Q491)*0.20)+(MAX(0,W491)*0.20)+(MAX(0,H491)*0.15)+(MAX(0,N491)*0.10)+(MAX(0,T491)*0.10))/9),1),"")</f>
        <v/>
      </c>
      <c r="AB491" s="28">
        <f>IF(A491&lt;&gt;"",MIN(1,(0.5*AA491/100)+(0.3*MAX(0,K491)/9)+(0.2*MAX(0,Q491)/9)),"")</f>
        <v/>
      </c>
    </row>
    <row r="492">
      <c r="A492" s="13">
        <f>IF('Raw Data'!A479&lt;&gt;"",'Raw Data'!A479,"")</f>
        <v/>
      </c>
      <c r="B492" s="13">
        <f>IF('Raw Data'!B479&lt;&gt;"",'Raw Data'!B479,"")</f>
        <v/>
      </c>
      <c r="C492" s="13">
        <f>IF('Raw Data'!C479&lt;&gt;"",'Raw Data'!C479,"")</f>
        <v/>
      </c>
      <c r="D492" s="13">
        <f>IF('Raw Data'!D479&lt;&gt;"",'Raw Data'!D479,"")</f>
        <v/>
      </c>
      <c r="E492" s="13">
        <f>IF('Raw Data'!E479&lt;&gt;"",'Raw Data'!E479,"")</f>
        <v/>
      </c>
      <c r="F492" s="17">
        <f>IF('Raw Data'!A479&lt;&gt;"",AVERAGE('Raw Data'!F479,'Raw Data'!H479,'Raw Data'!J479,'Raw Data'!L479,'Raw Data'!N479),"")</f>
        <v/>
      </c>
      <c r="G492" s="17">
        <f>IF('Raw Data'!A479&lt;&gt;"",AVERAGE('Raw Data'!G479,'Raw Data'!I479,'Raw Data'!K479,'Raw Data'!M479,'Raw Data'!O479),"")</f>
        <v/>
      </c>
      <c r="H492" s="17">
        <f>IF(F492&lt;&gt;"",F492-G492,"")</f>
        <v/>
      </c>
      <c r="I492" s="17">
        <f>IF('Raw Data'!A479&lt;&gt;"",AVERAGE('Raw Data'!P479,'Raw Data'!R479,'Raw Data'!T479,'Raw Data'!V479,'Raw Data'!X479),"")</f>
        <v/>
      </c>
      <c r="J492" s="17">
        <f>IF('Raw Data'!A479&lt;&gt;"",AVERAGE('Raw Data'!Q479,'Raw Data'!S479,'Raw Data'!U479,'Raw Data'!W479,'Raw Data'!Y479),"")</f>
        <v/>
      </c>
      <c r="K492" s="17">
        <f>IF(I492&lt;&gt;"",I492-J492,"")</f>
        <v/>
      </c>
      <c r="L492" s="17">
        <f>IF('Raw Data'!A479&lt;&gt;"",AVERAGE('Raw Data'!Z479,'Raw Data'!AB479,'Raw Data'!AD479,'Raw Data'!AF479,'Raw Data'!AH479),"")</f>
        <v/>
      </c>
      <c r="M492" s="17">
        <f>IF('Raw Data'!A479&lt;&gt;"",AVERAGE('Raw Data'!AA479,'Raw Data'!AC479,'Raw Data'!AE479,'Raw Data'!AG479,'Raw Data'!AI479),"")</f>
        <v/>
      </c>
      <c r="N492" s="17">
        <f>IF(L492&lt;&gt;"",L492-M492,"")</f>
        <v/>
      </c>
      <c r="O492" s="17">
        <f>IF('Raw Data'!A479&lt;&gt;"",AVERAGE('Raw Data'!AJ479,'Raw Data'!AL479,'Raw Data'!AN479,'Raw Data'!AP479,'Raw Data'!AR479),"")</f>
        <v/>
      </c>
      <c r="P492" s="17">
        <f>IF('Raw Data'!A479&lt;&gt;"",AVERAGE('Raw Data'!AK479,'Raw Data'!AM479,'Raw Data'!AO479,'Raw Data'!AQ479,'Raw Data'!AS479),"")</f>
        <v/>
      </c>
      <c r="Q492" s="17">
        <f>IF(O492&lt;&gt;"",O492-P492,"")</f>
        <v/>
      </c>
      <c r="R492" s="17">
        <f>IF('Raw Data'!A479&lt;&gt;"",AVERAGE('Raw Data'!AT479,'Raw Data'!AV479,'Raw Data'!AX479,'Raw Data'!AZ479,'Raw Data'!BB479),"")</f>
        <v/>
      </c>
      <c r="S492" s="17">
        <f>IF('Raw Data'!A479&lt;&gt;"",AVERAGE('Raw Data'!AU479,'Raw Data'!AW479,'Raw Data'!AY479,'Raw Data'!BA479,'Raw Data'!BC479),"")</f>
        <v/>
      </c>
      <c r="T492" s="17">
        <f>IF(R492&lt;&gt;"",R492-S492,"")</f>
        <v/>
      </c>
      <c r="U492" s="17">
        <f>IF('Raw Data'!A479&lt;&gt;"",AVERAGE('Raw Data'!BD479,'Raw Data'!BF479,'Raw Data'!BH479,'Raw Data'!BJ479,'Raw Data'!BL479),"")</f>
        <v/>
      </c>
      <c r="V492" s="17">
        <f>IF('Raw Data'!A479&lt;&gt;"",AVERAGE('Raw Data'!BE479,'Raw Data'!BG479,'Raw Data'!BI479,'Raw Data'!BK479,'Raw Data'!BM479),"")</f>
        <v/>
      </c>
      <c r="W492" s="17">
        <f>IF(U492&lt;&gt;"",U492-V492,"")</f>
        <v/>
      </c>
      <c r="X492" s="17">
        <f>IF(A492&lt;&gt;"",AVERAGE(F492,I492,L492,O492,R492,U492),"")</f>
        <v/>
      </c>
      <c r="Y492" s="17">
        <f>IF(A492&lt;&gt;"",AVERAGE(G492,J492,M492,P492,S492,V492),"")</f>
        <v/>
      </c>
      <c r="Z492" s="17">
        <f>IF(A492&lt;&gt;"",X492-Y492,"")</f>
        <v/>
      </c>
      <c r="AA492" s="18">
        <f>IF(A492&lt;&gt;"",ROUND(MIN(100,100*((MAX(0,K492)*0.25)+(MAX(0,Q492)*0.20)+(MAX(0,W492)*0.20)+(MAX(0,H492)*0.15)+(MAX(0,N492)*0.10)+(MAX(0,T492)*0.10))/9),1),"")</f>
        <v/>
      </c>
      <c r="AB492" s="29">
        <f>IF(A492&lt;&gt;"",MIN(1,(0.5*AA492/100)+(0.3*MAX(0,K492)/9)+(0.2*MAX(0,Q492)/9)),"")</f>
        <v/>
      </c>
    </row>
    <row r="493">
      <c r="A493" s="4">
        <f>IF('Raw Data'!A480&lt;&gt;"",'Raw Data'!A480,"")</f>
        <v/>
      </c>
      <c r="B493" s="4">
        <f>IF('Raw Data'!B480&lt;&gt;"",'Raw Data'!B480,"")</f>
        <v/>
      </c>
      <c r="C493" s="4">
        <f>IF('Raw Data'!C480&lt;&gt;"",'Raw Data'!C480,"")</f>
        <v/>
      </c>
      <c r="D493" s="4">
        <f>IF('Raw Data'!D480&lt;&gt;"",'Raw Data'!D480,"")</f>
        <v/>
      </c>
      <c r="E493" s="4">
        <f>IF('Raw Data'!E480&lt;&gt;"",'Raw Data'!E480,"")</f>
        <v/>
      </c>
      <c r="F493" s="14">
        <f>IF('Raw Data'!A480&lt;&gt;"",AVERAGE('Raw Data'!F480,'Raw Data'!H480,'Raw Data'!J480,'Raw Data'!L480,'Raw Data'!N480),"")</f>
        <v/>
      </c>
      <c r="G493" s="14">
        <f>IF('Raw Data'!A480&lt;&gt;"",AVERAGE('Raw Data'!G480,'Raw Data'!I480,'Raw Data'!K480,'Raw Data'!M480,'Raw Data'!O480),"")</f>
        <v/>
      </c>
      <c r="H493" s="14">
        <f>IF(F493&lt;&gt;"",F493-G493,"")</f>
        <v/>
      </c>
      <c r="I493" s="14">
        <f>IF('Raw Data'!A480&lt;&gt;"",AVERAGE('Raw Data'!P480,'Raw Data'!R480,'Raw Data'!T480,'Raw Data'!V480,'Raw Data'!X480),"")</f>
        <v/>
      </c>
      <c r="J493" s="14">
        <f>IF('Raw Data'!A480&lt;&gt;"",AVERAGE('Raw Data'!Q480,'Raw Data'!S480,'Raw Data'!U480,'Raw Data'!W480,'Raw Data'!Y480),"")</f>
        <v/>
      </c>
      <c r="K493" s="14">
        <f>IF(I493&lt;&gt;"",I493-J493,"")</f>
        <v/>
      </c>
      <c r="L493" s="14">
        <f>IF('Raw Data'!A480&lt;&gt;"",AVERAGE('Raw Data'!Z480,'Raw Data'!AB480,'Raw Data'!AD480,'Raw Data'!AF480,'Raw Data'!AH480),"")</f>
        <v/>
      </c>
      <c r="M493" s="14">
        <f>IF('Raw Data'!A480&lt;&gt;"",AVERAGE('Raw Data'!AA480,'Raw Data'!AC480,'Raw Data'!AE480,'Raw Data'!AG480,'Raw Data'!AI480),"")</f>
        <v/>
      </c>
      <c r="N493" s="14">
        <f>IF(L493&lt;&gt;"",L493-M493,"")</f>
        <v/>
      </c>
      <c r="O493" s="14">
        <f>IF('Raw Data'!A480&lt;&gt;"",AVERAGE('Raw Data'!AJ480,'Raw Data'!AL480,'Raw Data'!AN480,'Raw Data'!AP480,'Raw Data'!AR480),"")</f>
        <v/>
      </c>
      <c r="P493" s="14">
        <f>IF('Raw Data'!A480&lt;&gt;"",AVERAGE('Raw Data'!AK480,'Raw Data'!AM480,'Raw Data'!AO480,'Raw Data'!AQ480,'Raw Data'!AS480),"")</f>
        <v/>
      </c>
      <c r="Q493" s="14">
        <f>IF(O493&lt;&gt;"",O493-P493,"")</f>
        <v/>
      </c>
      <c r="R493" s="14">
        <f>IF('Raw Data'!A480&lt;&gt;"",AVERAGE('Raw Data'!AT480,'Raw Data'!AV480,'Raw Data'!AX480,'Raw Data'!AZ480,'Raw Data'!BB480),"")</f>
        <v/>
      </c>
      <c r="S493" s="14">
        <f>IF('Raw Data'!A480&lt;&gt;"",AVERAGE('Raw Data'!AU480,'Raw Data'!AW480,'Raw Data'!AY480,'Raw Data'!BA480,'Raw Data'!BC480),"")</f>
        <v/>
      </c>
      <c r="T493" s="14">
        <f>IF(R493&lt;&gt;"",R493-S493,"")</f>
        <v/>
      </c>
      <c r="U493" s="14">
        <f>IF('Raw Data'!A480&lt;&gt;"",AVERAGE('Raw Data'!BD480,'Raw Data'!BF480,'Raw Data'!BH480,'Raw Data'!BJ480,'Raw Data'!BL480),"")</f>
        <v/>
      </c>
      <c r="V493" s="14">
        <f>IF('Raw Data'!A480&lt;&gt;"",AVERAGE('Raw Data'!BE480,'Raw Data'!BG480,'Raw Data'!BI480,'Raw Data'!BK480,'Raw Data'!BM480),"")</f>
        <v/>
      </c>
      <c r="W493" s="14">
        <f>IF(U493&lt;&gt;"",U493-V493,"")</f>
        <v/>
      </c>
      <c r="X493" s="14">
        <f>IF(A493&lt;&gt;"",AVERAGE(F493,I493,L493,O493,R493,U493),"")</f>
        <v/>
      </c>
      <c r="Y493" s="14">
        <f>IF(A493&lt;&gt;"",AVERAGE(G493,J493,M493,P493,S493,V493),"")</f>
        <v/>
      </c>
      <c r="Z493" s="14">
        <f>IF(A493&lt;&gt;"",X493-Y493,"")</f>
        <v/>
      </c>
      <c r="AA493" s="15">
        <f>IF(A493&lt;&gt;"",ROUND(MIN(100,100*((MAX(0,K493)*0.25)+(MAX(0,Q493)*0.20)+(MAX(0,W493)*0.20)+(MAX(0,H493)*0.15)+(MAX(0,N493)*0.10)+(MAX(0,T493)*0.10))/9),1),"")</f>
        <v/>
      </c>
      <c r="AB493" s="28">
        <f>IF(A493&lt;&gt;"",MIN(1,(0.5*AA493/100)+(0.3*MAX(0,K493)/9)+(0.2*MAX(0,Q493)/9)),"")</f>
        <v/>
      </c>
    </row>
    <row r="494">
      <c r="A494" s="13">
        <f>IF('Raw Data'!A481&lt;&gt;"",'Raw Data'!A481,"")</f>
        <v/>
      </c>
      <c r="B494" s="13">
        <f>IF('Raw Data'!B481&lt;&gt;"",'Raw Data'!B481,"")</f>
        <v/>
      </c>
      <c r="C494" s="13">
        <f>IF('Raw Data'!C481&lt;&gt;"",'Raw Data'!C481,"")</f>
        <v/>
      </c>
      <c r="D494" s="13">
        <f>IF('Raw Data'!D481&lt;&gt;"",'Raw Data'!D481,"")</f>
        <v/>
      </c>
      <c r="E494" s="13">
        <f>IF('Raw Data'!E481&lt;&gt;"",'Raw Data'!E481,"")</f>
        <v/>
      </c>
      <c r="F494" s="17">
        <f>IF('Raw Data'!A481&lt;&gt;"",AVERAGE('Raw Data'!F481,'Raw Data'!H481,'Raw Data'!J481,'Raw Data'!L481,'Raw Data'!N481),"")</f>
        <v/>
      </c>
      <c r="G494" s="17">
        <f>IF('Raw Data'!A481&lt;&gt;"",AVERAGE('Raw Data'!G481,'Raw Data'!I481,'Raw Data'!K481,'Raw Data'!M481,'Raw Data'!O481),"")</f>
        <v/>
      </c>
      <c r="H494" s="17">
        <f>IF(F494&lt;&gt;"",F494-G494,"")</f>
        <v/>
      </c>
      <c r="I494" s="17">
        <f>IF('Raw Data'!A481&lt;&gt;"",AVERAGE('Raw Data'!P481,'Raw Data'!R481,'Raw Data'!T481,'Raw Data'!V481,'Raw Data'!X481),"")</f>
        <v/>
      </c>
      <c r="J494" s="17">
        <f>IF('Raw Data'!A481&lt;&gt;"",AVERAGE('Raw Data'!Q481,'Raw Data'!S481,'Raw Data'!U481,'Raw Data'!W481,'Raw Data'!Y481),"")</f>
        <v/>
      </c>
      <c r="K494" s="17">
        <f>IF(I494&lt;&gt;"",I494-J494,"")</f>
        <v/>
      </c>
      <c r="L494" s="17">
        <f>IF('Raw Data'!A481&lt;&gt;"",AVERAGE('Raw Data'!Z481,'Raw Data'!AB481,'Raw Data'!AD481,'Raw Data'!AF481,'Raw Data'!AH481),"")</f>
        <v/>
      </c>
      <c r="M494" s="17">
        <f>IF('Raw Data'!A481&lt;&gt;"",AVERAGE('Raw Data'!AA481,'Raw Data'!AC481,'Raw Data'!AE481,'Raw Data'!AG481,'Raw Data'!AI481),"")</f>
        <v/>
      </c>
      <c r="N494" s="17">
        <f>IF(L494&lt;&gt;"",L494-M494,"")</f>
        <v/>
      </c>
      <c r="O494" s="17">
        <f>IF('Raw Data'!A481&lt;&gt;"",AVERAGE('Raw Data'!AJ481,'Raw Data'!AL481,'Raw Data'!AN481,'Raw Data'!AP481,'Raw Data'!AR481),"")</f>
        <v/>
      </c>
      <c r="P494" s="17">
        <f>IF('Raw Data'!A481&lt;&gt;"",AVERAGE('Raw Data'!AK481,'Raw Data'!AM481,'Raw Data'!AO481,'Raw Data'!AQ481,'Raw Data'!AS481),"")</f>
        <v/>
      </c>
      <c r="Q494" s="17">
        <f>IF(O494&lt;&gt;"",O494-P494,"")</f>
        <v/>
      </c>
      <c r="R494" s="17">
        <f>IF('Raw Data'!A481&lt;&gt;"",AVERAGE('Raw Data'!AT481,'Raw Data'!AV481,'Raw Data'!AX481,'Raw Data'!AZ481,'Raw Data'!BB481),"")</f>
        <v/>
      </c>
      <c r="S494" s="17">
        <f>IF('Raw Data'!A481&lt;&gt;"",AVERAGE('Raw Data'!AU481,'Raw Data'!AW481,'Raw Data'!AY481,'Raw Data'!BA481,'Raw Data'!BC481),"")</f>
        <v/>
      </c>
      <c r="T494" s="17">
        <f>IF(R494&lt;&gt;"",R494-S494,"")</f>
        <v/>
      </c>
      <c r="U494" s="17">
        <f>IF('Raw Data'!A481&lt;&gt;"",AVERAGE('Raw Data'!BD481,'Raw Data'!BF481,'Raw Data'!BH481,'Raw Data'!BJ481,'Raw Data'!BL481),"")</f>
        <v/>
      </c>
      <c r="V494" s="17">
        <f>IF('Raw Data'!A481&lt;&gt;"",AVERAGE('Raw Data'!BE481,'Raw Data'!BG481,'Raw Data'!BI481,'Raw Data'!BK481,'Raw Data'!BM481),"")</f>
        <v/>
      </c>
      <c r="W494" s="17">
        <f>IF(U494&lt;&gt;"",U494-V494,"")</f>
        <v/>
      </c>
      <c r="X494" s="17">
        <f>IF(A494&lt;&gt;"",AVERAGE(F494,I494,L494,O494,R494,U494),"")</f>
        <v/>
      </c>
      <c r="Y494" s="17">
        <f>IF(A494&lt;&gt;"",AVERAGE(G494,J494,M494,P494,S494,V494),"")</f>
        <v/>
      </c>
      <c r="Z494" s="17">
        <f>IF(A494&lt;&gt;"",X494-Y494,"")</f>
        <v/>
      </c>
      <c r="AA494" s="18">
        <f>IF(A494&lt;&gt;"",ROUND(MIN(100,100*((MAX(0,K494)*0.25)+(MAX(0,Q494)*0.20)+(MAX(0,W494)*0.20)+(MAX(0,H494)*0.15)+(MAX(0,N494)*0.10)+(MAX(0,T494)*0.10))/9),1),"")</f>
        <v/>
      </c>
      <c r="AB494" s="29">
        <f>IF(A494&lt;&gt;"",MIN(1,(0.5*AA494/100)+(0.3*MAX(0,K494)/9)+(0.2*MAX(0,Q494)/9)),"")</f>
        <v/>
      </c>
    </row>
    <row r="495">
      <c r="A495" s="4">
        <f>IF('Raw Data'!A482&lt;&gt;"",'Raw Data'!A482,"")</f>
        <v/>
      </c>
      <c r="B495" s="4">
        <f>IF('Raw Data'!B482&lt;&gt;"",'Raw Data'!B482,"")</f>
        <v/>
      </c>
      <c r="C495" s="4">
        <f>IF('Raw Data'!C482&lt;&gt;"",'Raw Data'!C482,"")</f>
        <v/>
      </c>
      <c r="D495" s="4">
        <f>IF('Raw Data'!D482&lt;&gt;"",'Raw Data'!D482,"")</f>
        <v/>
      </c>
      <c r="E495" s="4">
        <f>IF('Raw Data'!E482&lt;&gt;"",'Raw Data'!E482,"")</f>
        <v/>
      </c>
      <c r="F495" s="14">
        <f>IF('Raw Data'!A482&lt;&gt;"",AVERAGE('Raw Data'!F482,'Raw Data'!H482,'Raw Data'!J482,'Raw Data'!L482,'Raw Data'!N482),"")</f>
        <v/>
      </c>
      <c r="G495" s="14">
        <f>IF('Raw Data'!A482&lt;&gt;"",AVERAGE('Raw Data'!G482,'Raw Data'!I482,'Raw Data'!K482,'Raw Data'!M482,'Raw Data'!O482),"")</f>
        <v/>
      </c>
      <c r="H495" s="14">
        <f>IF(F495&lt;&gt;"",F495-G495,"")</f>
        <v/>
      </c>
      <c r="I495" s="14">
        <f>IF('Raw Data'!A482&lt;&gt;"",AVERAGE('Raw Data'!P482,'Raw Data'!R482,'Raw Data'!T482,'Raw Data'!V482,'Raw Data'!X482),"")</f>
        <v/>
      </c>
      <c r="J495" s="14">
        <f>IF('Raw Data'!A482&lt;&gt;"",AVERAGE('Raw Data'!Q482,'Raw Data'!S482,'Raw Data'!U482,'Raw Data'!W482,'Raw Data'!Y482),"")</f>
        <v/>
      </c>
      <c r="K495" s="14">
        <f>IF(I495&lt;&gt;"",I495-J495,"")</f>
        <v/>
      </c>
      <c r="L495" s="14">
        <f>IF('Raw Data'!A482&lt;&gt;"",AVERAGE('Raw Data'!Z482,'Raw Data'!AB482,'Raw Data'!AD482,'Raw Data'!AF482,'Raw Data'!AH482),"")</f>
        <v/>
      </c>
      <c r="M495" s="14">
        <f>IF('Raw Data'!A482&lt;&gt;"",AVERAGE('Raw Data'!AA482,'Raw Data'!AC482,'Raw Data'!AE482,'Raw Data'!AG482,'Raw Data'!AI482),"")</f>
        <v/>
      </c>
      <c r="N495" s="14">
        <f>IF(L495&lt;&gt;"",L495-M495,"")</f>
        <v/>
      </c>
      <c r="O495" s="14">
        <f>IF('Raw Data'!A482&lt;&gt;"",AVERAGE('Raw Data'!AJ482,'Raw Data'!AL482,'Raw Data'!AN482,'Raw Data'!AP482,'Raw Data'!AR482),"")</f>
        <v/>
      </c>
      <c r="P495" s="14">
        <f>IF('Raw Data'!A482&lt;&gt;"",AVERAGE('Raw Data'!AK482,'Raw Data'!AM482,'Raw Data'!AO482,'Raw Data'!AQ482,'Raw Data'!AS482),"")</f>
        <v/>
      </c>
      <c r="Q495" s="14">
        <f>IF(O495&lt;&gt;"",O495-P495,"")</f>
        <v/>
      </c>
      <c r="R495" s="14">
        <f>IF('Raw Data'!A482&lt;&gt;"",AVERAGE('Raw Data'!AT482,'Raw Data'!AV482,'Raw Data'!AX482,'Raw Data'!AZ482,'Raw Data'!BB482),"")</f>
        <v/>
      </c>
      <c r="S495" s="14">
        <f>IF('Raw Data'!A482&lt;&gt;"",AVERAGE('Raw Data'!AU482,'Raw Data'!AW482,'Raw Data'!AY482,'Raw Data'!BA482,'Raw Data'!BC482),"")</f>
        <v/>
      </c>
      <c r="T495" s="14">
        <f>IF(R495&lt;&gt;"",R495-S495,"")</f>
        <v/>
      </c>
      <c r="U495" s="14">
        <f>IF('Raw Data'!A482&lt;&gt;"",AVERAGE('Raw Data'!BD482,'Raw Data'!BF482,'Raw Data'!BH482,'Raw Data'!BJ482,'Raw Data'!BL482),"")</f>
        <v/>
      </c>
      <c r="V495" s="14">
        <f>IF('Raw Data'!A482&lt;&gt;"",AVERAGE('Raw Data'!BE482,'Raw Data'!BG482,'Raw Data'!BI482,'Raw Data'!BK482,'Raw Data'!BM482),"")</f>
        <v/>
      </c>
      <c r="W495" s="14">
        <f>IF(U495&lt;&gt;"",U495-V495,"")</f>
        <v/>
      </c>
      <c r="X495" s="14">
        <f>IF(A495&lt;&gt;"",AVERAGE(F495,I495,L495,O495,R495,U495),"")</f>
        <v/>
      </c>
      <c r="Y495" s="14">
        <f>IF(A495&lt;&gt;"",AVERAGE(G495,J495,M495,P495,S495,V495),"")</f>
        <v/>
      </c>
      <c r="Z495" s="14">
        <f>IF(A495&lt;&gt;"",X495-Y495,"")</f>
        <v/>
      </c>
      <c r="AA495" s="15">
        <f>IF(A495&lt;&gt;"",ROUND(MIN(100,100*((MAX(0,K495)*0.25)+(MAX(0,Q495)*0.20)+(MAX(0,W495)*0.20)+(MAX(0,H495)*0.15)+(MAX(0,N495)*0.10)+(MAX(0,T495)*0.10))/9),1),"")</f>
        <v/>
      </c>
      <c r="AB495" s="28">
        <f>IF(A495&lt;&gt;"",MIN(1,(0.5*AA495/100)+(0.3*MAX(0,K495)/9)+(0.2*MAX(0,Q495)/9)),"")</f>
        <v/>
      </c>
    </row>
    <row r="496">
      <c r="A496" s="13">
        <f>IF('Raw Data'!A483&lt;&gt;"",'Raw Data'!A483,"")</f>
        <v/>
      </c>
      <c r="B496" s="13">
        <f>IF('Raw Data'!B483&lt;&gt;"",'Raw Data'!B483,"")</f>
        <v/>
      </c>
      <c r="C496" s="13">
        <f>IF('Raw Data'!C483&lt;&gt;"",'Raw Data'!C483,"")</f>
        <v/>
      </c>
      <c r="D496" s="13">
        <f>IF('Raw Data'!D483&lt;&gt;"",'Raw Data'!D483,"")</f>
        <v/>
      </c>
      <c r="E496" s="13">
        <f>IF('Raw Data'!E483&lt;&gt;"",'Raw Data'!E483,"")</f>
        <v/>
      </c>
      <c r="F496" s="17">
        <f>IF('Raw Data'!A483&lt;&gt;"",AVERAGE('Raw Data'!F483,'Raw Data'!H483,'Raw Data'!J483,'Raw Data'!L483,'Raw Data'!N483),"")</f>
        <v/>
      </c>
      <c r="G496" s="17">
        <f>IF('Raw Data'!A483&lt;&gt;"",AVERAGE('Raw Data'!G483,'Raw Data'!I483,'Raw Data'!K483,'Raw Data'!M483,'Raw Data'!O483),"")</f>
        <v/>
      </c>
      <c r="H496" s="17">
        <f>IF(F496&lt;&gt;"",F496-G496,"")</f>
        <v/>
      </c>
      <c r="I496" s="17">
        <f>IF('Raw Data'!A483&lt;&gt;"",AVERAGE('Raw Data'!P483,'Raw Data'!R483,'Raw Data'!T483,'Raw Data'!V483,'Raw Data'!X483),"")</f>
        <v/>
      </c>
      <c r="J496" s="17">
        <f>IF('Raw Data'!A483&lt;&gt;"",AVERAGE('Raw Data'!Q483,'Raw Data'!S483,'Raw Data'!U483,'Raw Data'!W483,'Raw Data'!Y483),"")</f>
        <v/>
      </c>
      <c r="K496" s="17">
        <f>IF(I496&lt;&gt;"",I496-J496,"")</f>
        <v/>
      </c>
      <c r="L496" s="17">
        <f>IF('Raw Data'!A483&lt;&gt;"",AVERAGE('Raw Data'!Z483,'Raw Data'!AB483,'Raw Data'!AD483,'Raw Data'!AF483,'Raw Data'!AH483),"")</f>
        <v/>
      </c>
      <c r="M496" s="17">
        <f>IF('Raw Data'!A483&lt;&gt;"",AVERAGE('Raw Data'!AA483,'Raw Data'!AC483,'Raw Data'!AE483,'Raw Data'!AG483,'Raw Data'!AI483),"")</f>
        <v/>
      </c>
      <c r="N496" s="17">
        <f>IF(L496&lt;&gt;"",L496-M496,"")</f>
        <v/>
      </c>
      <c r="O496" s="17">
        <f>IF('Raw Data'!A483&lt;&gt;"",AVERAGE('Raw Data'!AJ483,'Raw Data'!AL483,'Raw Data'!AN483,'Raw Data'!AP483,'Raw Data'!AR483),"")</f>
        <v/>
      </c>
      <c r="P496" s="17">
        <f>IF('Raw Data'!A483&lt;&gt;"",AVERAGE('Raw Data'!AK483,'Raw Data'!AM483,'Raw Data'!AO483,'Raw Data'!AQ483,'Raw Data'!AS483),"")</f>
        <v/>
      </c>
      <c r="Q496" s="17">
        <f>IF(O496&lt;&gt;"",O496-P496,"")</f>
        <v/>
      </c>
      <c r="R496" s="17">
        <f>IF('Raw Data'!A483&lt;&gt;"",AVERAGE('Raw Data'!AT483,'Raw Data'!AV483,'Raw Data'!AX483,'Raw Data'!AZ483,'Raw Data'!BB483),"")</f>
        <v/>
      </c>
      <c r="S496" s="17">
        <f>IF('Raw Data'!A483&lt;&gt;"",AVERAGE('Raw Data'!AU483,'Raw Data'!AW483,'Raw Data'!AY483,'Raw Data'!BA483,'Raw Data'!BC483),"")</f>
        <v/>
      </c>
      <c r="T496" s="17">
        <f>IF(R496&lt;&gt;"",R496-S496,"")</f>
        <v/>
      </c>
      <c r="U496" s="17">
        <f>IF('Raw Data'!A483&lt;&gt;"",AVERAGE('Raw Data'!BD483,'Raw Data'!BF483,'Raw Data'!BH483,'Raw Data'!BJ483,'Raw Data'!BL483),"")</f>
        <v/>
      </c>
      <c r="V496" s="17">
        <f>IF('Raw Data'!A483&lt;&gt;"",AVERAGE('Raw Data'!BE483,'Raw Data'!BG483,'Raw Data'!BI483,'Raw Data'!BK483,'Raw Data'!BM483),"")</f>
        <v/>
      </c>
      <c r="W496" s="17">
        <f>IF(U496&lt;&gt;"",U496-V496,"")</f>
        <v/>
      </c>
      <c r="X496" s="17">
        <f>IF(A496&lt;&gt;"",AVERAGE(F496,I496,L496,O496,R496,U496),"")</f>
        <v/>
      </c>
      <c r="Y496" s="17">
        <f>IF(A496&lt;&gt;"",AVERAGE(G496,J496,M496,P496,S496,V496),"")</f>
        <v/>
      </c>
      <c r="Z496" s="17">
        <f>IF(A496&lt;&gt;"",X496-Y496,"")</f>
        <v/>
      </c>
      <c r="AA496" s="18">
        <f>IF(A496&lt;&gt;"",ROUND(MIN(100,100*((MAX(0,K496)*0.25)+(MAX(0,Q496)*0.20)+(MAX(0,W496)*0.20)+(MAX(0,H496)*0.15)+(MAX(0,N496)*0.10)+(MAX(0,T496)*0.10))/9),1),"")</f>
        <v/>
      </c>
      <c r="AB496" s="29">
        <f>IF(A496&lt;&gt;"",MIN(1,(0.5*AA496/100)+(0.3*MAX(0,K496)/9)+(0.2*MAX(0,Q496)/9)),"")</f>
        <v/>
      </c>
    </row>
    <row r="497">
      <c r="A497" s="4">
        <f>IF('Raw Data'!A484&lt;&gt;"",'Raw Data'!A484,"")</f>
        <v/>
      </c>
      <c r="B497" s="4">
        <f>IF('Raw Data'!B484&lt;&gt;"",'Raw Data'!B484,"")</f>
        <v/>
      </c>
      <c r="C497" s="4">
        <f>IF('Raw Data'!C484&lt;&gt;"",'Raw Data'!C484,"")</f>
        <v/>
      </c>
      <c r="D497" s="4">
        <f>IF('Raw Data'!D484&lt;&gt;"",'Raw Data'!D484,"")</f>
        <v/>
      </c>
      <c r="E497" s="4">
        <f>IF('Raw Data'!E484&lt;&gt;"",'Raw Data'!E484,"")</f>
        <v/>
      </c>
      <c r="F497" s="14">
        <f>IF('Raw Data'!A484&lt;&gt;"",AVERAGE('Raw Data'!F484,'Raw Data'!H484,'Raw Data'!J484,'Raw Data'!L484,'Raw Data'!N484),"")</f>
        <v/>
      </c>
      <c r="G497" s="14">
        <f>IF('Raw Data'!A484&lt;&gt;"",AVERAGE('Raw Data'!G484,'Raw Data'!I484,'Raw Data'!K484,'Raw Data'!M484,'Raw Data'!O484),"")</f>
        <v/>
      </c>
      <c r="H497" s="14">
        <f>IF(F497&lt;&gt;"",F497-G497,"")</f>
        <v/>
      </c>
      <c r="I497" s="14">
        <f>IF('Raw Data'!A484&lt;&gt;"",AVERAGE('Raw Data'!P484,'Raw Data'!R484,'Raw Data'!T484,'Raw Data'!V484,'Raw Data'!X484),"")</f>
        <v/>
      </c>
      <c r="J497" s="14">
        <f>IF('Raw Data'!A484&lt;&gt;"",AVERAGE('Raw Data'!Q484,'Raw Data'!S484,'Raw Data'!U484,'Raw Data'!W484,'Raw Data'!Y484),"")</f>
        <v/>
      </c>
      <c r="K497" s="14">
        <f>IF(I497&lt;&gt;"",I497-J497,"")</f>
        <v/>
      </c>
      <c r="L497" s="14">
        <f>IF('Raw Data'!A484&lt;&gt;"",AVERAGE('Raw Data'!Z484,'Raw Data'!AB484,'Raw Data'!AD484,'Raw Data'!AF484,'Raw Data'!AH484),"")</f>
        <v/>
      </c>
      <c r="M497" s="14">
        <f>IF('Raw Data'!A484&lt;&gt;"",AVERAGE('Raw Data'!AA484,'Raw Data'!AC484,'Raw Data'!AE484,'Raw Data'!AG484,'Raw Data'!AI484),"")</f>
        <v/>
      </c>
      <c r="N497" s="14">
        <f>IF(L497&lt;&gt;"",L497-M497,"")</f>
        <v/>
      </c>
      <c r="O497" s="14">
        <f>IF('Raw Data'!A484&lt;&gt;"",AVERAGE('Raw Data'!AJ484,'Raw Data'!AL484,'Raw Data'!AN484,'Raw Data'!AP484,'Raw Data'!AR484),"")</f>
        <v/>
      </c>
      <c r="P497" s="14">
        <f>IF('Raw Data'!A484&lt;&gt;"",AVERAGE('Raw Data'!AK484,'Raw Data'!AM484,'Raw Data'!AO484,'Raw Data'!AQ484,'Raw Data'!AS484),"")</f>
        <v/>
      </c>
      <c r="Q497" s="14">
        <f>IF(O497&lt;&gt;"",O497-P497,"")</f>
        <v/>
      </c>
      <c r="R497" s="14">
        <f>IF('Raw Data'!A484&lt;&gt;"",AVERAGE('Raw Data'!AT484,'Raw Data'!AV484,'Raw Data'!AX484,'Raw Data'!AZ484,'Raw Data'!BB484),"")</f>
        <v/>
      </c>
      <c r="S497" s="14">
        <f>IF('Raw Data'!A484&lt;&gt;"",AVERAGE('Raw Data'!AU484,'Raw Data'!AW484,'Raw Data'!AY484,'Raw Data'!BA484,'Raw Data'!BC484),"")</f>
        <v/>
      </c>
      <c r="T497" s="14">
        <f>IF(R497&lt;&gt;"",R497-S497,"")</f>
        <v/>
      </c>
      <c r="U497" s="14">
        <f>IF('Raw Data'!A484&lt;&gt;"",AVERAGE('Raw Data'!BD484,'Raw Data'!BF484,'Raw Data'!BH484,'Raw Data'!BJ484,'Raw Data'!BL484),"")</f>
        <v/>
      </c>
      <c r="V497" s="14">
        <f>IF('Raw Data'!A484&lt;&gt;"",AVERAGE('Raw Data'!BE484,'Raw Data'!BG484,'Raw Data'!BI484,'Raw Data'!BK484,'Raw Data'!BM484),"")</f>
        <v/>
      </c>
      <c r="W497" s="14">
        <f>IF(U497&lt;&gt;"",U497-V497,"")</f>
        <v/>
      </c>
      <c r="X497" s="14">
        <f>IF(A497&lt;&gt;"",AVERAGE(F497,I497,L497,O497,R497,U497),"")</f>
        <v/>
      </c>
      <c r="Y497" s="14">
        <f>IF(A497&lt;&gt;"",AVERAGE(G497,J497,M497,P497,S497,V497),"")</f>
        <v/>
      </c>
      <c r="Z497" s="14">
        <f>IF(A497&lt;&gt;"",X497-Y497,"")</f>
        <v/>
      </c>
      <c r="AA497" s="15">
        <f>IF(A497&lt;&gt;"",ROUND(MIN(100,100*((MAX(0,K497)*0.25)+(MAX(0,Q497)*0.20)+(MAX(0,W497)*0.20)+(MAX(0,H497)*0.15)+(MAX(0,N497)*0.10)+(MAX(0,T497)*0.10))/9),1),"")</f>
        <v/>
      </c>
      <c r="AB497" s="28">
        <f>IF(A497&lt;&gt;"",MIN(1,(0.5*AA497/100)+(0.3*MAX(0,K497)/9)+(0.2*MAX(0,Q497)/9)),"")</f>
        <v/>
      </c>
    </row>
    <row r="498">
      <c r="A498" s="13">
        <f>IF('Raw Data'!A485&lt;&gt;"",'Raw Data'!A485,"")</f>
        <v/>
      </c>
      <c r="B498" s="13">
        <f>IF('Raw Data'!B485&lt;&gt;"",'Raw Data'!B485,"")</f>
        <v/>
      </c>
      <c r="C498" s="13">
        <f>IF('Raw Data'!C485&lt;&gt;"",'Raw Data'!C485,"")</f>
        <v/>
      </c>
      <c r="D498" s="13">
        <f>IF('Raw Data'!D485&lt;&gt;"",'Raw Data'!D485,"")</f>
        <v/>
      </c>
      <c r="E498" s="13">
        <f>IF('Raw Data'!E485&lt;&gt;"",'Raw Data'!E485,"")</f>
        <v/>
      </c>
      <c r="F498" s="17">
        <f>IF('Raw Data'!A485&lt;&gt;"",AVERAGE('Raw Data'!F485,'Raw Data'!H485,'Raw Data'!J485,'Raw Data'!L485,'Raw Data'!N485),"")</f>
        <v/>
      </c>
      <c r="G498" s="17">
        <f>IF('Raw Data'!A485&lt;&gt;"",AVERAGE('Raw Data'!G485,'Raw Data'!I485,'Raw Data'!K485,'Raw Data'!M485,'Raw Data'!O485),"")</f>
        <v/>
      </c>
      <c r="H498" s="17">
        <f>IF(F498&lt;&gt;"",F498-G498,"")</f>
        <v/>
      </c>
      <c r="I498" s="17">
        <f>IF('Raw Data'!A485&lt;&gt;"",AVERAGE('Raw Data'!P485,'Raw Data'!R485,'Raw Data'!T485,'Raw Data'!V485,'Raw Data'!X485),"")</f>
        <v/>
      </c>
      <c r="J498" s="17">
        <f>IF('Raw Data'!A485&lt;&gt;"",AVERAGE('Raw Data'!Q485,'Raw Data'!S485,'Raw Data'!U485,'Raw Data'!W485,'Raw Data'!Y485),"")</f>
        <v/>
      </c>
      <c r="K498" s="17">
        <f>IF(I498&lt;&gt;"",I498-J498,"")</f>
        <v/>
      </c>
      <c r="L498" s="17">
        <f>IF('Raw Data'!A485&lt;&gt;"",AVERAGE('Raw Data'!Z485,'Raw Data'!AB485,'Raw Data'!AD485,'Raw Data'!AF485,'Raw Data'!AH485),"")</f>
        <v/>
      </c>
      <c r="M498" s="17">
        <f>IF('Raw Data'!A485&lt;&gt;"",AVERAGE('Raw Data'!AA485,'Raw Data'!AC485,'Raw Data'!AE485,'Raw Data'!AG485,'Raw Data'!AI485),"")</f>
        <v/>
      </c>
      <c r="N498" s="17">
        <f>IF(L498&lt;&gt;"",L498-M498,"")</f>
        <v/>
      </c>
      <c r="O498" s="17">
        <f>IF('Raw Data'!A485&lt;&gt;"",AVERAGE('Raw Data'!AJ485,'Raw Data'!AL485,'Raw Data'!AN485,'Raw Data'!AP485,'Raw Data'!AR485),"")</f>
        <v/>
      </c>
      <c r="P498" s="17">
        <f>IF('Raw Data'!A485&lt;&gt;"",AVERAGE('Raw Data'!AK485,'Raw Data'!AM485,'Raw Data'!AO485,'Raw Data'!AQ485,'Raw Data'!AS485),"")</f>
        <v/>
      </c>
      <c r="Q498" s="17">
        <f>IF(O498&lt;&gt;"",O498-P498,"")</f>
        <v/>
      </c>
      <c r="R498" s="17">
        <f>IF('Raw Data'!A485&lt;&gt;"",AVERAGE('Raw Data'!AT485,'Raw Data'!AV485,'Raw Data'!AX485,'Raw Data'!AZ485,'Raw Data'!BB485),"")</f>
        <v/>
      </c>
      <c r="S498" s="17">
        <f>IF('Raw Data'!A485&lt;&gt;"",AVERAGE('Raw Data'!AU485,'Raw Data'!AW485,'Raw Data'!AY485,'Raw Data'!BA485,'Raw Data'!BC485),"")</f>
        <v/>
      </c>
      <c r="T498" s="17">
        <f>IF(R498&lt;&gt;"",R498-S498,"")</f>
        <v/>
      </c>
      <c r="U498" s="17">
        <f>IF('Raw Data'!A485&lt;&gt;"",AVERAGE('Raw Data'!BD485,'Raw Data'!BF485,'Raw Data'!BH485,'Raw Data'!BJ485,'Raw Data'!BL485),"")</f>
        <v/>
      </c>
      <c r="V498" s="17">
        <f>IF('Raw Data'!A485&lt;&gt;"",AVERAGE('Raw Data'!BE485,'Raw Data'!BG485,'Raw Data'!BI485,'Raw Data'!BK485,'Raw Data'!BM485),"")</f>
        <v/>
      </c>
      <c r="W498" s="17">
        <f>IF(U498&lt;&gt;"",U498-V498,"")</f>
        <v/>
      </c>
      <c r="X498" s="17">
        <f>IF(A498&lt;&gt;"",AVERAGE(F498,I498,L498,O498,R498,U498),"")</f>
        <v/>
      </c>
      <c r="Y498" s="17">
        <f>IF(A498&lt;&gt;"",AVERAGE(G498,J498,M498,P498,S498,V498),"")</f>
        <v/>
      </c>
      <c r="Z498" s="17">
        <f>IF(A498&lt;&gt;"",X498-Y498,"")</f>
        <v/>
      </c>
      <c r="AA498" s="18">
        <f>IF(A498&lt;&gt;"",ROUND(MIN(100,100*((MAX(0,K498)*0.25)+(MAX(0,Q498)*0.20)+(MAX(0,W498)*0.20)+(MAX(0,H498)*0.15)+(MAX(0,N498)*0.10)+(MAX(0,T498)*0.10))/9),1),"")</f>
        <v/>
      </c>
      <c r="AB498" s="29">
        <f>IF(A498&lt;&gt;"",MIN(1,(0.5*AA498/100)+(0.3*MAX(0,K498)/9)+(0.2*MAX(0,Q498)/9)),"")</f>
        <v/>
      </c>
    </row>
    <row r="499">
      <c r="A499" s="4">
        <f>IF('Raw Data'!A486&lt;&gt;"",'Raw Data'!A486,"")</f>
        <v/>
      </c>
      <c r="B499" s="4">
        <f>IF('Raw Data'!B486&lt;&gt;"",'Raw Data'!B486,"")</f>
        <v/>
      </c>
      <c r="C499" s="4">
        <f>IF('Raw Data'!C486&lt;&gt;"",'Raw Data'!C486,"")</f>
        <v/>
      </c>
      <c r="D499" s="4">
        <f>IF('Raw Data'!D486&lt;&gt;"",'Raw Data'!D486,"")</f>
        <v/>
      </c>
      <c r="E499" s="4">
        <f>IF('Raw Data'!E486&lt;&gt;"",'Raw Data'!E486,"")</f>
        <v/>
      </c>
      <c r="F499" s="14">
        <f>IF('Raw Data'!A486&lt;&gt;"",AVERAGE('Raw Data'!F486,'Raw Data'!H486,'Raw Data'!J486,'Raw Data'!L486,'Raw Data'!N486),"")</f>
        <v/>
      </c>
      <c r="G499" s="14">
        <f>IF('Raw Data'!A486&lt;&gt;"",AVERAGE('Raw Data'!G486,'Raw Data'!I486,'Raw Data'!K486,'Raw Data'!M486,'Raw Data'!O486),"")</f>
        <v/>
      </c>
      <c r="H499" s="14">
        <f>IF(F499&lt;&gt;"",F499-G499,"")</f>
        <v/>
      </c>
      <c r="I499" s="14">
        <f>IF('Raw Data'!A486&lt;&gt;"",AVERAGE('Raw Data'!P486,'Raw Data'!R486,'Raw Data'!T486,'Raw Data'!V486,'Raw Data'!X486),"")</f>
        <v/>
      </c>
      <c r="J499" s="14">
        <f>IF('Raw Data'!A486&lt;&gt;"",AVERAGE('Raw Data'!Q486,'Raw Data'!S486,'Raw Data'!U486,'Raw Data'!W486,'Raw Data'!Y486),"")</f>
        <v/>
      </c>
      <c r="K499" s="14">
        <f>IF(I499&lt;&gt;"",I499-J499,"")</f>
        <v/>
      </c>
      <c r="L499" s="14">
        <f>IF('Raw Data'!A486&lt;&gt;"",AVERAGE('Raw Data'!Z486,'Raw Data'!AB486,'Raw Data'!AD486,'Raw Data'!AF486,'Raw Data'!AH486),"")</f>
        <v/>
      </c>
      <c r="M499" s="14">
        <f>IF('Raw Data'!A486&lt;&gt;"",AVERAGE('Raw Data'!AA486,'Raw Data'!AC486,'Raw Data'!AE486,'Raw Data'!AG486,'Raw Data'!AI486),"")</f>
        <v/>
      </c>
      <c r="N499" s="14">
        <f>IF(L499&lt;&gt;"",L499-M499,"")</f>
        <v/>
      </c>
      <c r="O499" s="14">
        <f>IF('Raw Data'!A486&lt;&gt;"",AVERAGE('Raw Data'!AJ486,'Raw Data'!AL486,'Raw Data'!AN486,'Raw Data'!AP486,'Raw Data'!AR486),"")</f>
        <v/>
      </c>
      <c r="P499" s="14">
        <f>IF('Raw Data'!A486&lt;&gt;"",AVERAGE('Raw Data'!AK486,'Raw Data'!AM486,'Raw Data'!AO486,'Raw Data'!AQ486,'Raw Data'!AS486),"")</f>
        <v/>
      </c>
      <c r="Q499" s="14">
        <f>IF(O499&lt;&gt;"",O499-P499,"")</f>
        <v/>
      </c>
      <c r="R499" s="14">
        <f>IF('Raw Data'!A486&lt;&gt;"",AVERAGE('Raw Data'!AT486,'Raw Data'!AV486,'Raw Data'!AX486,'Raw Data'!AZ486,'Raw Data'!BB486),"")</f>
        <v/>
      </c>
      <c r="S499" s="14">
        <f>IF('Raw Data'!A486&lt;&gt;"",AVERAGE('Raw Data'!AU486,'Raw Data'!AW486,'Raw Data'!AY486,'Raw Data'!BA486,'Raw Data'!BC486),"")</f>
        <v/>
      </c>
      <c r="T499" s="14">
        <f>IF(R499&lt;&gt;"",R499-S499,"")</f>
        <v/>
      </c>
      <c r="U499" s="14">
        <f>IF('Raw Data'!A486&lt;&gt;"",AVERAGE('Raw Data'!BD486,'Raw Data'!BF486,'Raw Data'!BH486,'Raw Data'!BJ486,'Raw Data'!BL486),"")</f>
        <v/>
      </c>
      <c r="V499" s="14">
        <f>IF('Raw Data'!A486&lt;&gt;"",AVERAGE('Raw Data'!BE486,'Raw Data'!BG486,'Raw Data'!BI486,'Raw Data'!BK486,'Raw Data'!BM486),"")</f>
        <v/>
      </c>
      <c r="W499" s="14">
        <f>IF(U499&lt;&gt;"",U499-V499,"")</f>
        <v/>
      </c>
      <c r="X499" s="14">
        <f>IF(A499&lt;&gt;"",AVERAGE(F499,I499,L499,O499,R499,U499),"")</f>
        <v/>
      </c>
      <c r="Y499" s="14">
        <f>IF(A499&lt;&gt;"",AVERAGE(G499,J499,M499,P499,S499,V499),"")</f>
        <v/>
      </c>
      <c r="Z499" s="14">
        <f>IF(A499&lt;&gt;"",X499-Y499,"")</f>
        <v/>
      </c>
      <c r="AA499" s="15">
        <f>IF(A499&lt;&gt;"",ROUND(MIN(100,100*((MAX(0,K499)*0.25)+(MAX(0,Q499)*0.20)+(MAX(0,W499)*0.20)+(MAX(0,H499)*0.15)+(MAX(0,N499)*0.10)+(MAX(0,T499)*0.10))/9),1),"")</f>
        <v/>
      </c>
      <c r="AB499" s="28">
        <f>IF(A499&lt;&gt;"",MIN(1,(0.5*AA499/100)+(0.3*MAX(0,K499)/9)+(0.2*MAX(0,Q499)/9)),"")</f>
        <v/>
      </c>
    </row>
    <row r="500">
      <c r="A500" s="13">
        <f>IF('Raw Data'!A487&lt;&gt;"",'Raw Data'!A487,"")</f>
        <v/>
      </c>
      <c r="B500" s="13">
        <f>IF('Raw Data'!B487&lt;&gt;"",'Raw Data'!B487,"")</f>
        <v/>
      </c>
      <c r="C500" s="13">
        <f>IF('Raw Data'!C487&lt;&gt;"",'Raw Data'!C487,"")</f>
        <v/>
      </c>
      <c r="D500" s="13">
        <f>IF('Raw Data'!D487&lt;&gt;"",'Raw Data'!D487,"")</f>
        <v/>
      </c>
      <c r="E500" s="13">
        <f>IF('Raw Data'!E487&lt;&gt;"",'Raw Data'!E487,"")</f>
        <v/>
      </c>
      <c r="F500" s="17">
        <f>IF('Raw Data'!A487&lt;&gt;"",AVERAGE('Raw Data'!F487,'Raw Data'!H487,'Raw Data'!J487,'Raw Data'!L487,'Raw Data'!N487),"")</f>
        <v/>
      </c>
      <c r="G500" s="17">
        <f>IF('Raw Data'!A487&lt;&gt;"",AVERAGE('Raw Data'!G487,'Raw Data'!I487,'Raw Data'!K487,'Raw Data'!M487,'Raw Data'!O487),"")</f>
        <v/>
      </c>
      <c r="H500" s="17">
        <f>IF(F500&lt;&gt;"",F500-G500,"")</f>
        <v/>
      </c>
      <c r="I500" s="17">
        <f>IF('Raw Data'!A487&lt;&gt;"",AVERAGE('Raw Data'!P487,'Raw Data'!R487,'Raw Data'!T487,'Raw Data'!V487,'Raw Data'!X487),"")</f>
        <v/>
      </c>
      <c r="J500" s="17">
        <f>IF('Raw Data'!A487&lt;&gt;"",AVERAGE('Raw Data'!Q487,'Raw Data'!S487,'Raw Data'!U487,'Raw Data'!W487,'Raw Data'!Y487),"")</f>
        <v/>
      </c>
      <c r="K500" s="17">
        <f>IF(I500&lt;&gt;"",I500-J500,"")</f>
        <v/>
      </c>
      <c r="L500" s="17">
        <f>IF('Raw Data'!A487&lt;&gt;"",AVERAGE('Raw Data'!Z487,'Raw Data'!AB487,'Raw Data'!AD487,'Raw Data'!AF487,'Raw Data'!AH487),"")</f>
        <v/>
      </c>
      <c r="M500" s="17">
        <f>IF('Raw Data'!A487&lt;&gt;"",AVERAGE('Raw Data'!AA487,'Raw Data'!AC487,'Raw Data'!AE487,'Raw Data'!AG487,'Raw Data'!AI487),"")</f>
        <v/>
      </c>
      <c r="N500" s="17">
        <f>IF(L500&lt;&gt;"",L500-M500,"")</f>
        <v/>
      </c>
      <c r="O500" s="17">
        <f>IF('Raw Data'!A487&lt;&gt;"",AVERAGE('Raw Data'!AJ487,'Raw Data'!AL487,'Raw Data'!AN487,'Raw Data'!AP487,'Raw Data'!AR487),"")</f>
        <v/>
      </c>
      <c r="P500" s="17">
        <f>IF('Raw Data'!A487&lt;&gt;"",AVERAGE('Raw Data'!AK487,'Raw Data'!AM487,'Raw Data'!AO487,'Raw Data'!AQ487,'Raw Data'!AS487),"")</f>
        <v/>
      </c>
      <c r="Q500" s="17">
        <f>IF(O500&lt;&gt;"",O500-P500,"")</f>
        <v/>
      </c>
      <c r="R500" s="17">
        <f>IF('Raw Data'!A487&lt;&gt;"",AVERAGE('Raw Data'!AT487,'Raw Data'!AV487,'Raw Data'!AX487,'Raw Data'!AZ487,'Raw Data'!BB487),"")</f>
        <v/>
      </c>
      <c r="S500" s="17">
        <f>IF('Raw Data'!A487&lt;&gt;"",AVERAGE('Raw Data'!AU487,'Raw Data'!AW487,'Raw Data'!AY487,'Raw Data'!BA487,'Raw Data'!BC487),"")</f>
        <v/>
      </c>
      <c r="T500" s="17">
        <f>IF(R500&lt;&gt;"",R500-S500,"")</f>
        <v/>
      </c>
      <c r="U500" s="17">
        <f>IF('Raw Data'!A487&lt;&gt;"",AVERAGE('Raw Data'!BD487,'Raw Data'!BF487,'Raw Data'!BH487,'Raw Data'!BJ487,'Raw Data'!BL487),"")</f>
        <v/>
      </c>
      <c r="V500" s="17">
        <f>IF('Raw Data'!A487&lt;&gt;"",AVERAGE('Raw Data'!BE487,'Raw Data'!BG487,'Raw Data'!BI487,'Raw Data'!BK487,'Raw Data'!BM487),"")</f>
        <v/>
      </c>
      <c r="W500" s="17">
        <f>IF(U500&lt;&gt;"",U500-V500,"")</f>
        <v/>
      </c>
      <c r="X500" s="17">
        <f>IF(A500&lt;&gt;"",AVERAGE(F500,I500,L500,O500,R500,U500),"")</f>
        <v/>
      </c>
      <c r="Y500" s="17">
        <f>IF(A500&lt;&gt;"",AVERAGE(G500,J500,M500,P500,S500,V500),"")</f>
        <v/>
      </c>
      <c r="Z500" s="17">
        <f>IF(A500&lt;&gt;"",X500-Y500,"")</f>
        <v/>
      </c>
      <c r="AA500" s="18">
        <f>IF(A500&lt;&gt;"",ROUND(MIN(100,100*((MAX(0,K500)*0.25)+(MAX(0,Q500)*0.20)+(MAX(0,W500)*0.20)+(MAX(0,H500)*0.15)+(MAX(0,N500)*0.10)+(MAX(0,T500)*0.10))/9),1),"")</f>
        <v/>
      </c>
      <c r="AB500" s="29">
        <f>IF(A500&lt;&gt;"",MIN(1,(0.5*AA500/100)+(0.3*MAX(0,K500)/9)+(0.2*MAX(0,Q500)/9)),"")</f>
        <v/>
      </c>
    </row>
    <row r="501">
      <c r="A501" s="4">
        <f>IF('Raw Data'!A488&lt;&gt;"",'Raw Data'!A488,"")</f>
        <v/>
      </c>
      <c r="B501" s="4">
        <f>IF('Raw Data'!B488&lt;&gt;"",'Raw Data'!B488,"")</f>
        <v/>
      </c>
      <c r="C501" s="4">
        <f>IF('Raw Data'!C488&lt;&gt;"",'Raw Data'!C488,"")</f>
        <v/>
      </c>
      <c r="D501" s="4">
        <f>IF('Raw Data'!D488&lt;&gt;"",'Raw Data'!D488,"")</f>
        <v/>
      </c>
      <c r="E501" s="4">
        <f>IF('Raw Data'!E488&lt;&gt;"",'Raw Data'!E488,"")</f>
        <v/>
      </c>
      <c r="F501" s="14">
        <f>IF('Raw Data'!A488&lt;&gt;"",AVERAGE('Raw Data'!F488,'Raw Data'!H488,'Raw Data'!J488,'Raw Data'!L488,'Raw Data'!N488),"")</f>
        <v/>
      </c>
      <c r="G501" s="14">
        <f>IF('Raw Data'!A488&lt;&gt;"",AVERAGE('Raw Data'!G488,'Raw Data'!I488,'Raw Data'!K488,'Raw Data'!M488,'Raw Data'!O488),"")</f>
        <v/>
      </c>
      <c r="H501" s="14">
        <f>IF(F501&lt;&gt;"",F501-G501,"")</f>
        <v/>
      </c>
      <c r="I501" s="14">
        <f>IF('Raw Data'!A488&lt;&gt;"",AVERAGE('Raw Data'!P488,'Raw Data'!R488,'Raw Data'!T488,'Raw Data'!V488,'Raw Data'!X488),"")</f>
        <v/>
      </c>
      <c r="J501" s="14">
        <f>IF('Raw Data'!A488&lt;&gt;"",AVERAGE('Raw Data'!Q488,'Raw Data'!S488,'Raw Data'!U488,'Raw Data'!W488,'Raw Data'!Y488),"")</f>
        <v/>
      </c>
      <c r="K501" s="14">
        <f>IF(I501&lt;&gt;"",I501-J501,"")</f>
        <v/>
      </c>
      <c r="L501" s="14">
        <f>IF('Raw Data'!A488&lt;&gt;"",AVERAGE('Raw Data'!Z488,'Raw Data'!AB488,'Raw Data'!AD488,'Raw Data'!AF488,'Raw Data'!AH488),"")</f>
        <v/>
      </c>
      <c r="M501" s="14">
        <f>IF('Raw Data'!A488&lt;&gt;"",AVERAGE('Raw Data'!AA488,'Raw Data'!AC488,'Raw Data'!AE488,'Raw Data'!AG488,'Raw Data'!AI488),"")</f>
        <v/>
      </c>
      <c r="N501" s="14">
        <f>IF(L501&lt;&gt;"",L501-M501,"")</f>
        <v/>
      </c>
      <c r="O501" s="14">
        <f>IF('Raw Data'!A488&lt;&gt;"",AVERAGE('Raw Data'!AJ488,'Raw Data'!AL488,'Raw Data'!AN488,'Raw Data'!AP488,'Raw Data'!AR488),"")</f>
        <v/>
      </c>
      <c r="P501" s="14">
        <f>IF('Raw Data'!A488&lt;&gt;"",AVERAGE('Raw Data'!AK488,'Raw Data'!AM488,'Raw Data'!AO488,'Raw Data'!AQ488,'Raw Data'!AS488),"")</f>
        <v/>
      </c>
      <c r="Q501" s="14">
        <f>IF(O501&lt;&gt;"",O501-P501,"")</f>
        <v/>
      </c>
      <c r="R501" s="14">
        <f>IF('Raw Data'!A488&lt;&gt;"",AVERAGE('Raw Data'!AT488,'Raw Data'!AV488,'Raw Data'!AX488,'Raw Data'!AZ488,'Raw Data'!BB488),"")</f>
        <v/>
      </c>
      <c r="S501" s="14">
        <f>IF('Raw Data'!A488&lt;&gt;"",AVERAGE('Raw Data'!AU488,'Raw Data'!AW488,'Raw Data'!AY488,'Raw Data'!BA488,'Raw Data'!BC488),"")</f>
        <v/>
      </c>
      <c r="T501" s="14">
        <f>IF(R501&lt;&gt;"",R501-S501,"")</f>
        <v/>
      </c>
      <c r="U501" s="14">
        <f>IF('Raw Data'!A488&lt;&gt;"",AVERAGE('Raw Data'!BD488,'Raw Data'!BF488,'Raw Data'!BH488,'Raw Data'!BJ488,'Raw Data'!BL488),"")</f>
        <v/>
      </c>
      <c r="V501" s="14">
        <f>IF('Raw Data'!A488&lt;&gt;"",AVERAGE('Raw Data'!BE488,'Raw Data'!BG488,'Raw Data'!BI488,'Raw Data'!BK488,'Raw Data'!BM488),"")</f>
        <v/>
      </c>
      <c r="W501" s="14">
        <f>IF(U501&lt;&gt;"",U501-V501,"")</f>
        <v/>
      </c>
      <c r="X501" s="14">
        <f>IF(A501&lt;&gt;"",AVERAGE(F501,I501,L501,O501,R501,U501),"")</f>
        <v/>
      </c>
      <c r="Y501" s="14">
        <f>IF(A501&lt;&gt;"",AVERAGE(G501,J501,M501,P501,S501,V501),"")</f>
        <v/>
      </c>
      <c r="Z501" s="14">
        <f>IF(A501&lt;&gt;"",X501-Y501,"")</f>
        <v/>
      </c>
      <c r="AA501" s="15">
        <f>IF(A501&lt;&gt;"",ROUND(MIN(100,100*((MAX(0,K501)*0.25)+(MAX(0,Q501)*0.20)+(MAX(0,W501)*0.20)+(MAX(0,H501)*0.15)+(MAX(0,N501)*0.10)+(MAX(0,T501)*0.10))/9),1),"")</f>
        <v/>
      </c>
      <c r="AB501" s="28">
        <f>IF(A501&lt;&gt;"",MIN(1,(0.5*AA501/100)+(0.3*MAX(0,K501)/9)+(0.2*MAX(0,Q501)/9)),"")</f>
        <v/>
      </c>
    </row>
    <row r="502">
      <c r="A502" s="13">
        <f>IF('Raw Data'!A489&lt;&gt;"",'Raw Data'!A489,"")</f>
        <v/>
      </c>
      <c r="B502" s="13">
        <f>IF('Raw Data'!B489&lt;&gt;"",'Raw Data'!B489,"")</f>
        <v/>
      </c>
      <c r="C502" s="13">
        <f>IF('Raw Data'!C489&lt;&gt;"",'Raw Data'!C489,"")</f>
        <v/>
      </c>
      <c r="D502" s="13">
        <f>IF('Raw Data'!D489&lt;&gt;"",'Raw Data'!D489,"")</f>
        <v/>
      </c>
      <c r="E502" s="13">
        <f>IF('Raw Data'!E489&lt;&gt;"",'Raw Data'!E489,"")</f>
        <v/>
      </c>
      <c r="F502" s="17">
        <f>IF('Raw Data'!A489&lt;&gt;"",AVERAGE('Raw Data'!F489,'Raw Data'!H489,'Raw Data'!J489,'Raw Data'!L489,'Raw Data'!N489),"")</f>
        <v/>
      </c>
      <c r="G502" s="17">
        <f>IF('Raw Data'!A489&lt;&gt;"",AVERAGE('Raw Data'!G489,'Raw Data'!I489,'Raw Data'!K489,'Raw Data'!M489,'Raw Data'!O489),"")</f>
        <v/>
      </c>
      <c r="H502" s="17">
        <f>IF(F502&lt;&gt;"",F502-G502,"")</f>
        <v/>
      </c>
      <c r="I502" s="17">
        <f>IF('Raw Data'!A489&lt;&gt;"",AVERAGE('Raw Data'!P489,'Raw Data'!R489,'Raw Data'!T489,'Raw Data'!V489,'Raw Data'!X489),"")</f>
        <v/>
      </c>
      <c r="J502" s="17">
        <f>IF('Raw Data'!A489&lt;&gt;"",AVERAGE('Raw Data'!Q489,'Raw Data'!S489,'Raw Data'!U489,'Raw Data'!W489,'Raw Data'!Y489),"")</f>
        <v/>
      </c>
      <c r="K502" s="17">
        <f>IF(I502&lt;&gt;"",I502-J502,"")</f>
        <v/>
      </c>
      <c r="L502" s="17">
        <f>IF('Raw Data'!A489&lt;&gt;"",AVERAGE('Raw Data'!Z489,'Raw Data'!AB489,'Raw Data'!AD489,'Raw Data'!AF489,'Raw Data'!AH489),"")</f>
        <v/>
      </c>
      <c r="M502" s="17">
        <f>IF('Raw Data'!A489&lt;&gt;"",AVERAGE('Raw Data'!AA489,'Raw Data'!AC489,'Raw Data'!AE489,'Raw Data'!AG489,'Raw Data'!AI489),"")</f>
        <v/>
      </c>
      <c r="N502" s="17">
        <f>IF(L502&lt;&gt;"",L502-M502,"")</f>
        <v/>
      </c>
      <c r="O502" s="17">
        <f>IF('Raw Data'!A489&lt;&gt;"",AVERAGE('Raw Data'!AJ489,'Raw Data'!AL489,'Raw Data'!AN489,'Raw Data'!AP489,'Raw Data'!AR489),"")</f>
        <v/>
      </c>
      <c r="P502" s="17">
        <f>IF('Raw Data'!A489&lt;&gt;"",AVERAGE('Raw Data'!AK489,'Raw Data'!AM489,'Raw Data'!AO489,'Raw Data'!AQ489,'Raw Data'!AS489),"")</f>
        <v/>
      </c>
      <c r="Q502" s="17">
        <f>IF(O502&lt;&gt;"",O502-P502,"")</f>
        <v/>
      </c>
      <c r="R502" s="17">
        <f>IF('Raw Data'!A489&lt;&gt;"",AVERAGE('Raw Data'!AT489,'Raw Data'!AV489,'Raw Data'!AX489,'Raw Data'!AZ489,'Raw Data'!BB489),"")</f>
        <v/>
      </c>
      <c r="S502" s="17">
        <f>IF('Raw Data'!A489&lt;&gt;"",AVERAGE('Raw Data'!AU489,'Raw Data'!AW489,'Raw Data'!AY489,'Raw Data'!BA489,'Raw Data'!BC489),"")</f>
        <v/>
      </c>
      <c r="T502" s="17">
        <f>IF(R502&lt;&gt;"",R502-S502,"")</f>
        <v/>
      </c>
      <c r="U502" s="17">
        <f>IF('Raw Data'!A489&lt;&gt;"",AVERAGE('Raw Data'!BD489,'Raw Data'!BF489,'Raw Data'!BH489,'Raw Data'!BJ489,'Raw Data'!BL489),"")</f>
        <v/>
      </c>
      <c r="V502" s="17">
        <f>IF('Raw Data'!A489&lt;&gt;"",AVERAGE('Raw Data'!BE489,'Raw Data'!BG489,'Raw Data'!BI489,'Raw Data'!BK489,'Raw Data'!BM489),"")</f>
        <v/>
      </c>
      <c r="W502" s="17">
        <f>IF(U502&lt;&gt;"",U502-V502,"")</f>
        <v/>
      </c>
      <c r="X502" s="17">
        <f>IF(A502&lt;&gt;"",AVERAGE(F502,I502,L502,O502,R502,U502),"")</f>
        <v/>
      </c>
      <c r="Y502" s="17">
        <f>IF(A502&lt;&gt;"",AVERAGE(G502,J502,M502,P502,S502,V502),"")</f>
        <v/>
      </c>
      <c r="Z502" s="17">
        <f>IF(A502&lt;&gt;"",X502-Y502,"")</f>
        <v/>
      </c>
      <c r="AA502" s="18">
        <f>IF(A502&lt;&gt;"",ROUND(MIN(100,100*((MAX(0,K502)*0.25)+(MAX(0,Q502)*0.20)+(MAX(0,W502)*0.20)+(MAX(0,H502)*0.15)+(MAX(0,N502)*0.10)+(MAX(0,T502)*0.10))/9),1),"")</f>
        <v/>
      </c>
      <c r="AB502" s="29">
        <f>IF(A502&lt;&gt;"",MIN(1,(0.5*AA502/100)+(0.3*MAX(0,K502)/9)+(0.2*MAX(0,Q502)/9)),"")</f>
        <v/>
      </c>
    </row>
    <row r="503">
      <c r="A503" s="4">
        <f>IF('Raw Data'!A490&lt;&gt;"",'Raw Data'!A490,"")</f>
        <v/>
      </c>
      <c r="B503" s="4">
        <f>IF('Raw Data'!B490&lt;&gt;"",'Raw Data'!B490,"")</f>
        <v/>
      </c>
      <c r="C503" s="4">
        <f>IF('Raw Data'!C490&lt;&gt;"",'Raw Data'!C490,"")</f>
        <v/>
      </c>
      <c r="D503" s="4">
        <f>IF('Raw Data'!D490&lt;&gt;"",'Raw Data'!D490,"")</f>
        <v/>
      </c>
      <c r="E503" s="4">
        <f>IF('Raw Data'!E490&lt;&gt;"",'Raw Data'!E490,"")</f>
        <v/>
      </c>
      <c r="F503" s="14">
        <f>IF('Raw Data'!A490&lt;&gt;"",AVERAGE('Raw Data'!F490,'Raw Data'!H490,'Raw Data'!J490,'Raw Data'!L490,'Raw Data'!N490),"")</f>
        <v/>
      </c>
      <c r="G503" s="14">
        <f>IF('Raw Data'!A490&lt;&gt;"",AVERAGE('Raw Data'!G490,'Raw Data'!I490,'Raw Data'!K490,'Raw Data'!M490,'Raw Data'!O490),"")</f>
        <v/>
      </c>
      <c r="H503" s="14">
        <f>IF(F503&lt;&gt;"",F503-G503,"")</f>
        <v/>
      </c>
      <c r="I503" s="14">
        <f>IF('Raw Data'!A490&lt;&gt;"",AVERAGE('Raw Data'!P490,'Raw Data'!R490,'Raw Data'!T490,'Raw Data'!V490,'Raw Data'!X490),"")</f>
        <v/>
      </c>
      <c r="J503" s="14">
        <f>IF('Raw Data'!A490&lt;&gt;"",AVERAGE('Raw Data'!Q490,'Raw Data'!S490,'Raw Data'!U490,'Raw Data'!W490,'Raw Data'!Y490),"")</f>
        <v/>
      </c>
      <c r="K503" s="14">
        <f>IF(I503&lt;&gt;"",I503-J503,"")</f>
        <v/>
      </c>
      <c r="L503" s="14">
        <f>IF('Raw Data'!A490&lt;&gt;"",AVERAGE('Raw Data'!Z490,'Raw Data'!AB490,'Raw Data'!AD490,'Raw Data'!AF490,'Raw Data'!AH490),"")</f>
        <v/>
      </c>
      <c r="M503" s="14">
        <f>IF('Raw Data'!A490&lt;&gt;"",AVERAGE('Raw Data'!AA490,'Raw Data'!AC490,'Raw Data'!AE490,'Raw Data'!AG490,'Raw Data'!AI490),"")</f>
        <v/>
      </c>
      <c r="N503" s="14">
        <f>IF(L503&lt;&gt;"",L503-M503,"")</f>
        <v/>
      </c>
      <c r="O503" s="14">
        <f>IF('Raw Data'!A490&lt;&gt;"",AVERAGE('Raw Data'!AJ490,'Raw Data'!AL490,'Raw Data'!AN490,'Raw Data'!AP490,'Raw Data'!AR490),"")</f>
        <v/>
      </c>
      <c r="P503" s="14">
        <f>IF('Raw Data'!A490&lt;&gt;"",AVERAGE('Raw Data'!AK490,'Raw Data'!AM490,'Raw Data'!AO490,'Raw Data'!AQ490,'Raw Data'!AS490),"")</f>
        <v/>
      </c>
      <c r="Q503" s="14">
        <f>IF(O503&lt;&gt;"",O503-P503,"")</f>
        <v/>
      </c>
      <c r="R503" s="14">
        <f>IF('Raw Data'!A490&lt;&gt;"",AVERAGE('Raw Data'!AT490,'Raw Data'!AV490,'Raw Data'!AX490,'Raw Data'!AZ490,'Raw Data'!BB490),"")</f>
        <v/>
      </c>
      <c r="S503" s="14">
        <f>IF('Raw Data'!A490&lt;&gt;"",AVERAGE('Raw Data'!AU490,'Raw Data'!AW490,'Raw Data'!AY490,'Raw Data'!BA490,'Raw Data'!BC490),"")</f>
        <v/>
      </c>
      <c r="T503" s="14">
        <f>IF(R503&lt;&gt;"",R503-S503,"")</f>
        <v/>
      </c>
      <c r="U503" s="14">
        <f>IF('Raw Data'!A490&lt;&gt;"",AVERAGE('Raw Data'!BD490,'Raw Data'!BF490,'Raw Data'!BH490,'Raw Data'!BJ490,'Raw Data'!BL490),"")</f>
        <v/>
      </c>
      <c r="V503" s="14">
        <f>IF('Raw Data'!A490&lt;&gt;"",AVERAGE('Raw Data'!BE490,'Raw Data'!BG490,'Raw Data'!BI490,'Raw Data'!BK490,'Raw Data'!BM490),"")</f>
        <v/>
      </c>
      <c r="W503" s="14">
        <f>IF(U503&lt;&gt;"",U503-V503,"")</f>
        <v/>
      </c>
      <c r="X503" s="14">
        <f>IF(A503&lt;&gt;"",AVERAGE(F503,I503,L503,O503,R503,U503),"")</f>
        <v/>
      </c>
      <c r="Y503" s="14">
        <f>IF(A503&lt;&gt;"",AVERAGE(G503,J503,M503,P503,S503,V503),"")</f>
        <v/>
      </c>
      <c r="Z503" s="14">
        <f>IF(A503&lt;&gt;"",X503-Y503,"")</f>
        <v/>
      </c>
      <c r="AA503" s="15">
        <f>IF(A503&lt;&gt;"",ROUND(MIN(100,100*((MAX(0,K503)*0.25)+(MAX(0,Q503)*0.20)+(MAX(0,W503)*0.20)+(MAX(0,H503)*0.15)+(MAX(0,N503)*0.10)+(MAX(0,T503)*0.10))/9),1),"")</f>
        <v/>
      </c>
      <c r="AB503" s="28">
        <f>IF(A503&lt;&gt;"",MIN(1,(0.5*AA503/100)+(0.3*MAX(0,K503)/9)+(0.2*MAX(0,Q503)/9)),"")</f>
        <v/>
      </c>
    </row>
    <row r="504">
      <c r="A504" s="13">
        <f>IF('Raw Data'!A491&lt;&gt;"",'Raw Data'!A491,"")</f>
        <v/>
      </c>
      <c r="B504" s="13">
        <f>IF('Raw Data'!B491&lt;&gt;"",'Raw Data'!B491,"")</f>
        <v/>
      </c>
      <c r="C504" s="13">
        <f>IF('Raw Data'!C491&lt;&gt;"",'Raw Data'!C491,"")</f>
        <v/>
      </c>
      <c r="D504" s="13">
        <f>IF('Raw Data'!D491&lt;&gt;"",'Raw Data'!D491,"")</f>
        <v/>
      </c>
      <c r="E504" s="13">
        <f>IF('Raw Data'!E491&lt;&gt;"",'Raw Data'!E491,"")</f>
        <v/>
      </c>
      <c r="F504" s="17">
        <f>IF('Raw Data'!A491&lt;&gt;"",AVERAGE('Raw Data'!F491,'Raw Data'!H491,'Raw Data'!J491,'Raw Data'!L491,'Raw Data'!N491),"")</f>
        <v/>
      </c>
      <c r="G504" s="17">
        <f>IF('Raw Data'!A491&lt;&gt;"",AVERAGE('Raw Data'!G491,'Raw Data'!I491,'Raw Data'!K491,'Raw Data'!M491,'Raw Data'!O491),"")</f>
        <v/>
      </c>
      <c r="H504" s="17">
        <f>IF(F504&lt;&gt;"",F504-G504,"")</f>
        <v/>
      </c>
      <c r="I504" s="17">
        <f>IF('Raw Data'!A491&lt;&gt;"",AVERAGE('Raw Data'!P491,'Raw Data'!R491,'Raw Data'!T491,'Raw Data'!V491,'Raw Data'!X491),"")</f>
        <v/>
      </c>
      <c r="J504" s="17">
        <f>IF('Raw Data'!A491&lt;&gt;"",AVERAGE('Raw Data'!Q491,'Raw Data'!S491,'Raw Data'!U491,'Raw Data'!W491,'Raw Data'!Y491),"")</f>
        <v/>
      </c>
      <c r="K504" s="17">
        <f>IF(I504&lt;&gt;"",I504-J504,"")</f>
        <v/>
      </c>
      <c r="L504" s="17">
        <f>IF('Raw Data'!A491&lt;&gt;"",AVERAGE('Raw Data'!Z491,'Raw Data'!AB491,'Raw Data'!AD491,'Raw Data'!AF491,'Raw Data'!AH491),"")</f>
        <v/>
      </c>
      <c r="M504" s="17">
        <f>IF('Raw Data'!A491&lt;&gt;"",AVERAGE('Raw Data'!AA491,'Raw Data'!AC491,'Raw Data'!AE491,'Raw Data'!AG491,'Raw Data'!AI491),"")</f>
        <v/>
      </c>
      <c r="N504" s="17">
        <f>IF(L504&lt;&gt;"",L504-M504,"")</f>
        <v/>
      </c>
      <c r="O504" s="17">
        <f>IF('Raw Data'!A491&lt;&gt;"",AVERAGE('Raw Data'!AJ491,'Raw Data'!AL491,'Raw Data'!AN491,'Raw Data'!AP491,'Raw Data'!AR491),"")</f>
        <v/>
      </c>
      <c r="P504" s="17">
        <f>IF('Raw Data'!A491&lt;&gt;"",AVERAGE('Raw Data'!AK491,'Raw Data'!AM491,'Raw Data'!AO491,'Raw Data'!AQ491,'Raw Data'!AS491),"")</f>
        <v/>
      </c>
      <c r="Q504" s="17">
        <f>IF(O504&lt;&gt;"",O504-P504,"")</f>
        <v/>
      </c>
      <c r="R504" s="17">
        <f>IF('Raw Data'!A491&lt;&gt;"",AVERAGE('Raw Data'!AT491,'Raw Data'!AV491,'Raw Data'!AX491,'Raw Data'!AZ491,'Raw Data'!BB491),"")</f>
        <v/>
      </c>
      <c r="S504" s="17">
        <f>IF('Raw Data'!A491&lt;&gt;"",AVERAGE('Raw Data'!AU491,'Raw Data'!AW491,'Raw Data'!AY491,'Raw Data'!BA491,'Raw Data'!BC491),"")</f>
        <v/>
      </c>
      <c r="T504" s="17">
        <f>IF(R504&lt;&gt;"",R504-S504,"")</f>
        <v/>
      </c>
      <c r="U504" s="17">
        <f>IF('Raw Data'!A491&lt;&gt;"",AVERAGE('Raw Data'!BD491,'Raw Data'!BF491,'Raw Data'!BH491,'Raw Data'!BJ491,'Raw Data'!BL491),"")</f>
        <v/>
      </c>
      <c r="V504" s="17">
        <f>IF('Raw Data'!A491&lt;&gt;"",AVERAGE('Raw Data'!BE491,'Raw Data'!BG491,'Raw Data'!BI491,'Raw Data'!BK491,'Raw Data'!BM491),"")</f>
        <v/>
      </c>
      <c r="W504" s="17">
        <f>IF(U504&lt;&gt;"",U504-V504,"")</f>
        <v/>
      </c>
      <c r="X504" s="17">
        <f>IF(A504&lt;&gt;"",AVERAGE(F504,I504,L504,O504,R504,U504),"")</f>
        <v/>
      </c>
      <c r="Y504" s="17">
        <f>IF(A504&lt;&gt;"",AVERAGE(G504,J504,M504,P504,S504,V504),"")</f>
        <v/>
      </c>
      <c r="Z504" s="17">
        <f>IF(A504&lt;&gt;"",X504-Y504,"")</f>
        <v/>
      </c>
      <c r="AA504" s="18">
        <f>IF(A504&lt;&gt;"",ROUND(MIN(100,100*((MAX(0,K504)*0.25)+(MAX(0,Q504)*0.20)+(MAX(0,W504)*0.20)+(MAX(0,H504)*0.15)+(MAX(0,N504)*0.10)+(MAX(0,T504)*0.10))/9),1),"")</f>
        <v/>
      </c>
      <c r="AB504" s="29">
        <f>IF(A504&lt;&gt;"",MIN(1,(0.5*AA504/100)+(0.3*MAX(0,K504)/9)+(0.2*MAX(0,Q504)/9)),"")</f>
        <v/>
      </c>
    </row>
    <row r="505">
      <c r="A505" s="4">
        <f>IF('Raw Data'!A492&lt;&gt;"",'Raw Data'!A492,"")</f>
        <v/>
      </c>
      <c r="B505" s="4">
        <f>IF('Raw Data'!B492&lt;&gt;"",'Raw Data'!B492,"")</f>
        <v/>
      </c>
      <c r="C505" s="4">
        <f>IF('Raw Data'!C492&lt;&gt;"",'Raw Data'!C492,"")</f>
        <v/>
      </c>
      <c r="D505" s="4">
        <f>IF('Raw Data'!D492&lt;&gt;"",'Raw Data'!D492,"")</f>
        <v/>
      </c>
      <c r="E505" s="4">
        <f>IF('Raw Data'!E492&lt;&gt;"",'Raw Data'!E492,"")</f>
        <v/>
      </c>
      <c r="F505" s="14">
        <f>IF('Raw Data'!A492&lt;&gt;"",AVERAGE('Raw Data'!F492,'Raw Data'!H492,'Raw Data'!J492,'Raw Data'!L492,'Raw Data'!N492),"")</f>
        <v/>
      </c>
      <c r="G505" s="14">
        <f>IF('Raw Data'!A492&lt;&gt;"",AVERAGE('Raw Data'!G492,'Raw Data'!I492,'Raw Data'!K492,'Raw Data'!M492,'Raw Data'!O492),"")</f>
        <v/>
      </c>
      <c r="H505" s="14">
        <f>IF(F505&lt;&gt;"",F505-G505,"")</f>
        <v/>
      </c>
      <c r="I505" s="14">
        <f>IF('Raw Data'!A492&lt;&gt;"",AVERAGE('Raw Data'!P492,'Raw Data'!R492,'Raw Data'!T492,'Raw Data'!V492,'Raw Data'!X492),"")</f>
        <v/>
      </c>
      <c r="J505" s="14">
        <f>IF('Raw Data'!A492&lt;&gt;"",AVERAGE('Raw Data'!Q492,'Raw Data'!S492,'Raw Data'!U492,'Raw Data'!W492,'Raw Data'!Y492),"")</f>
        <v/>
      </c>
      <c r="K505" s="14">
        <f>IF(I505&lt;&gt;"",I505-J505,"")</f>
        <v/>
      </c>
      <c r="L505" s="14">
        <f>IF('Raw Data'!A492&lt;&gt;"",AVERAGE('Raw Data'!Z492,'Raw Data'!AB492,'Raw Data'!AD492,'Raw Data'!AF492,'Raw Data'!AH492),"")</f>
        <v/>
      </c>
      <c r="M505" s="14">
        <f>IF('Raw Data'!A492&lt;&gt;"",AVERAGE('Raw Data'!AA492,'Raw Data'!AC492,'Raw Data'!AE492,'Raw Data'!AG492,'Raw Data'!AI492),"")</f>
        <v/>
      </c>
      <c r="N505" s="14">
        <f>IF(L505&lt;&gt;"",L505-M505,"")</f>
        <v/>
      </c>
      <c r="O505" s="14">
        <f>IF('Raw Data'!A492&lt;&gt;"",AVERAGE('Raw Data'!AJ492,'Raw Data'!AL492,'Raw Data'!AN492,'Raw Data'!AP492,'Raw Data'!AR492),"")</f>
        <v/>
      </c>
      <c r="P505" s="14">
        <f>IF('Raw Data'!A492&lt;&gt;"",AVERAGE('Raw Data'!AK492,'Raw Data'!AM492,'Raw Data'!AO492,'Raw Data'!AQ492,'Raw Data'!AS492),"")</f>
        <v/>
      </c>
      <c r="Q505" s="14">
        <f>IF(O505&lt;&gt;"",O505-P505,"")</f>
        <v/>
      </c>
      <c r="R505" s="14">
        <f>IF('Raw Data'!A492&lt;&gt;"",AVERAGE('Raw Data'!AT492,'Raw Data'!AV492,'Raw Data'!AX492,'Raw Data'!AZ492,'Raw Data'!BB492),"")</f>
        <v/>
      </c>
      <c r="S505" s="14">
        <f>IF('Raw Data'!A492&lt;&gt;"",AVERAGE('Raw Data'!AU492,'Raw Data'!AW492,'Raw Data'!AY492,'Raw Data'!BA492,'Raw Data'!BC492),"")</f>
        <v/>
      </c>
      <c r="T505" s="14">
        <f>IF(R505&lt;&gt;"",R505-S505,"")</f>
        <v/>
      </c>
      <c r="U505" s="14">
        <f>IF('Raw Data'!A492&lt;&gt;"",AVERAGE('Raw Data'!BD492,'Raw Data'!BF492,'Raw Data'!BH492,'Raw Data'!BJ492,'Raw Data'!BL492),"")</f>
        <v/>
      </c>
      <c r="V505" s="14">
        <f>IF('Raw Data'!A492&lt;&gt;"",AVERAGE('Raw Data'!BE492,'Raw Data'!BG492,'Raw Data'!BI492,'Raw Data'!BK492,'Raw Data'!BM492),"")</f>
        <v/>
      </c>
      <c r="W505" s="14">
        <f>IF(U505&lt;&gt;"",U505-V505,"")</f>
        <v/>
      </c>
      <c r="X505" s="14">
        <f>IF(A505&lt;&gt;"",AVERAGE(F505,I505,L505,O505,R505,U505),"")</f>
        <v/>
      </c>
      <c r="Y505" s="14">
        <f>IF(A505&lt;&gt;"",AVERAGE(G505,J505,M505,P505,S505,V505),"")</f>
        <v/>
      </c>
      <c r="Z505" s="14">
        <f>IF(A505&lt;&gt;"",X505-Y505,"")</f>
        <v/>
      </c>
      <c r="AA505" s="15">
        <f>IF(A505&lt;&gt;"",ROUND(MIN(100,100*((MAX(0,K505)*0.25)+(MAX(0,Q505)*0.20)+(MAX(0,W505)*0.20)+(MAX(0,H505)*0.15)+(MAX(0,N505)*0.10)+(MAX(0,T505)*0.10))/9),1),"")</f>
        <v/>
      </c>
      <c r="AB505" s="28">
        <f>IF(A505&lt;&gt;"",MIN(1,(0.5*AA505/100)+(0.3*MAX(0,K505)/9)+(0.2*MAX(0,Q505)/9)),"")</f>
        <v/>
      </c>
    </row>
    <row r="506">
      <c r="A506" s="13">
        <f>IF('Raw Data'!A493&lt;&gt;"",'Raw Data'!A493,"")</f>
        <v/>
      </c>
      <c r="B506" s="13">
        <f>IF('Raw Data'!B493&lt;&gt;"",'Raw Data'!B493,"")</f>
        <v/>
      </c>
      <c r="C506" s="13">
        <f>IF('Raw Data'!C493&lt;&gt;"",'Raw Data'!C493,"")</f>
        <v/>
      </c>
      <c r="D506" s="13">
        <f>IF('Raw Data'!D493&lt;&gt;"",'Raw Data'!D493,"")</f>
        <v/>
      </c>
      <c r="E506" s="13">
        <f>IF('Raw Data'!E493&lt;&gt;"",'Raw Data'!E493,"")</f>
        <v/>
      </c>
      <c r="F506" s="17">
        <f>IF('Raw Data'!A493&lt;&gt;"",AVERAGE('Raw Data'!F493,'Raw Data'!H493,'Raw Data'!J493,'Raw Data'!L493,'Raw Data'!N493),"")</f>
        <v/>
      </c>
      <c r="G506" s="17">
        <f>IF('Raw Data'!A493&lt;&gt;"",AVERAGE('Raw Data'!G493,'Raw Data'!I493,'Raw Data'!K493,'Raw Data'!M493,'Raw Data'!O493),"")</f>
        <v/>
      </c>
      <c r="H506" s="17">
        <f>IF(F506&lt;&gt;"",F506-G506,"")</f>
        <v/>
      </c>
      <c r="I506" s="17">
        <f>IF('Raw Data'!A493&lt;&gt;"",AVERAGE('Raw Data'!P493,'Raw Data'!R493,'Raw Data'!T493,'Raw Data'!V493,'Raw Data'!X493),"")</f>
        <v/>
      </c>
      <c r="J506" s="17">
        <f>IF('Raw Data'!A493&lt;&gt;"",AVERAGE('Raw Data'!Q493,'Raw Data'!S493,'Raw Data'!U493,'Raw Data'!W493,'Raw Data'!Y493),"")</f>
        <v/>
      </c>
      <c r="K506" s="17">
        <f>IF(I506&lt;&gt;"",I506-J506,"")</f>
        <v/>
      </c>
      <c r="L506" s="17">
        <f>IF('Raw Data'!A493&lt;&gt;"",AVERAGE('Raw Data'!Z493,'Raw Data'!AB493,'Raw Data'!AD493,'Raw Data'!AF493,'Raw Data'!AH493),"")</f>
        <v/>
      </c>
      <c r="M506" s="17">
        <f>IF('Raw Data'!A493&lt;&gt;"",AVERAGE('Raw Data'!AA493,'Raw Data'!AC493,'Raw Data'!AE493,'Raw Data'!AG493,'Raw Data'!AI493),"")</f>
        <v/>
      </c>
      <c r="N506" s="17">
        <f>IF(L506&lt;&gt;"",L506-M506,"")</f>
        <v/>
      </c>
      <c r="O506" s="17">
        <f>IF('Raw Data'!A493&lt;&gt;"",AVERAGE('Raw Data'!AJ493,'Raw Data'!AL493,'Raw Data'!AN493,'Raw Data'!AP493,'Raw Data'!AR493),"")</f>
        <v/>
      </c>
      <c r="P506" s="17">
        <f>IF('Raw Data'!A493&lt;&gt;"",AVERAGE('Raw Data'!AK493,'Raw Data'!AM493,'Raw Data'!AO493,'Raw Data'!AQ493,'Raw Data'!AS493),"")</f>
        <v/>
      </c>
      <c r="Q506" s="17">
        <f>IF(O506&lt;&gt;"",O506-P506,"")</f>
        <v/>
      </c>
      <c r="R506" s="17">
        <f>IF('Raw Data'!A493&lt;&gt;"",AVERAGE('Raw Data'!AT493,'Raw Data'!AV493,'Raw Data'!AX493,'Raw Data'!AZ493,'Raw Data'!BB493),"")</f>
        <v/>
      </c>
      <c r="S506" s="17">
        <f>IF('Raw Data'!A493&lt;&gt;"",AVERAGE('Raw Data'!AU493,'Raw Data'!AW493,'Raw Data'!AY493,'Raw Data'!BA493,'Raw Data'!BC493),"")</f>
        <v/>
      </c>
      <c r="T506" s="17">
        <f>IF(R506&lt;&gt;"",R506-S506,"")</f>
        <v/>
      </c>
      <c r="U506" s="17">
        <f>IF('Raw Data'!A493&lt;&gt;"",AVERAGE('Raw Data'!BD493,'Raw Data'!BF493,'Raw Data'!BH493,'Raw Data'!BJ493,'Raw Data'!BL493),"")</f>
        <v/>
      </c>
      <c r="V506" s="17">
        <f>IF('Raw Data'!A493&lt;&gt;"",AVERAGE('Raw Data'!BE493,'Raw Data'!BG493,'Raw Data'!BI493,'Raw Data'!BK493,'Raw Data'!BM493),"")</f>
        <v/>
      </c>
      <c r="W506" s="17">
        <f>IF(U506&lt;&gt;"",U506-V506,"")</f>
        <v/>
      </c>
      <c r="X506" s="17">
        <f>IF(A506&lt;&gt;"",AVERAGE(F506,I506,L506,O506,R506,U506),"")</f>
        <v/>
      </c>
      <c r="Y506" s="17">
        <f>IF(A506&lt;&gt;"",AVERAGE(G506,J506,M506,P506,S506,V506),"")</f>
        <v/>
      </c>
      <c r="Z506" s="17">
        <f>IF(A506&lt;&gt;"",X506-Y506,"")</f>
        <v/>
      </c>
      <c r="AA506" s="18">
        <f>IF(A506&lt;&gt;"",ROUND(MIN(100,100*((MAX(0,K506)*0.25)+(MAX(0,Q506)*0.20)+(MAX(0,W506)*0.20)+(MAX(0,H506)*0.15)+(MAX(0,N506)*0.10)+(MAX(0,T506)*0.10))/9),1),"")</f>
        <v/>
      </c>
      <c r="AB506" s="29">
        <f>IF(A506&lt;&gt;"",MIN(1,(0.5*AA506/100)+(0.3*MAX(0,K506)/9)+(0.2*MAX(0,Q506)/9)),"")</f>
        <v/>
      </c>
    </row>
    <row r="507">
      <c r="A507" s="4">
        <f>IF('Raw Data'!A494&lt;&gt;"",'Raw Data'!A494,"")</f>
        <v/>
      </c>
      <c r="B507" s="4">
        <f>IF('Raw Data'!B494&lt;&gt;"",'Raw Data'!B494,"")</f>
        <v/>
      </c>
      <c r="C507" s="4">
        <f>IF('Raw Data'!C494&lt;&gt;"",'Raw Data'!C494,"")</f>
        <v/>
      </c>
      <c r="D507" s="4">
        <f>IF('Raw Data'!D494&lt;&gt;"",'Raw Data'!D494,"")</f>
        <v/>
      </c>
      <c r="E507" s="4">
        <f>IF('Raw Data'!E494&lt;&gt;"",'Raw Data'!E494,"")</f>
        <v/>
      </c>
      <c r="F507" s="14">
        <f>IF('Raw Data'!A494&lt;&gt;"",AVERAGE('Raw Data'!F494,'Raw Data'!H494,'Raw Data'!J494,'Raw Data'!L494,'Raw Data'!N494),"")</f>
        <v/>
      </c>
      <c r="G507" s="14">
        <f>IF('Raw Data'!A494&lt;&gt;"",AVERAGE('Raw Data'!G494,'Raw Data'!I494,'Raw Data'!K494,'Raw Data'!M494,'Raw Data'!O494),"")</f>
        <v/>
      </c>
      <c r="H507" s="14">
        <f>IF(F507&lt;&gt;"",F507-G507,"")</f>
        <v/>
      </c>
      <c r="I507" s="14">
        <f>IF('Raw Data'!A494&lt;&gt;"",AVERAGE('Raw Data'!P494,'Raw Data'!R494,'Raw Data'!T494,'Raw Data'!V494,'Raw Data'!X494),"")</f>
        <v/>
      </c>
      <c r="J507" s="14">
        <f>IF('Raw Data'!A494&lt;&gt;"",AVERAGE('Raw Data'!Q494,'Raw Data'!S494,'Raw Data'!U494,'Raw Data'!W494,'Raw Data'!Y494),"")</f>
        <v/>
      </c>
      <c r="K507" s="14">
        <f>IF(I507&lt;&gt;"",I507-J507,"")</f>
        <v/>
      </c>
      <c r="L507" s="14">
        <f>IF('Raw Data'!A494&lt;&gt;"",AVERAGE('Raw Data'!Z494,'Raw Data'!AB494,'Raw Data'!AD494,'Raw Data'!AF494,'Raw Data'!AH494),"")</f>
        <v/>
      </c>
      <c r="M507" s="14">
        <f>IF('Raw Data'!A494&lt;&gt;"",AVERAGE('Raw Data'!AA494,'Raw Data'!AC494,'Raw Data'!AE494,'Raw Data'!AG494,'Raw Data'!AI494),"")</f>
        <v/>
      </c>
      <c r="N507" s="14">
        <f>IF(L507&lt;&gt;"",L507-M507,"")</f>
        <v/>
      </c>
      <c r="O507" s="14">
        <f>IF('Raw Data'!A494&lt;&gt;"",AVERAGE('Raw Data'!AJ494,'Raw Data'!AL494,'Raw Data'!AN494,'Raw Data'!AP494,'Raw Data'!AR494),"")</f>
        <v/>
      </c>
      <c r="P507" s="14">
        <f>IF('Raw Data'!A494&lt;&gt;"",AVERAGE('Raw Data'!AK494,'Raw Data'!AM494,'Raw Data'!AO494,'Raw Data'!AQ494,'Raw Data'!AS494),"")</f>
        <v/>
      </c>
      <c r="Q507" s="14">
        <f>IF(O507&lt;&gt;"",O507-P507,"")</f>
        <v/>
      </c>
      <c r="R507" s="14">
        <f>IF('Raw Data'!A494&lt;&gt;"",AVERAGE('Raw Data'!AT494,'Raw Data'!AV494,'Raw Data'!AX494,'Raw Data'!AZ494,'Raw Data'!BB494),"")</f>
        <v/>
      </c>
      <c r="S507" s="14">
        <f>IF('Raw Data'!A494&lt;&gt;"",AVERAGE('Raw Data'!AU494,'Raw Data'!AW494,'Raw Data'!AY494,'Raw Data'!BA494,'Raw Data'!BC494),"")</f>
        <v/>
      </c>
      <c r="T507" s="14">
        <f>IF(R507&lt;&gt;"",R507-S507,"")</f>
        <v/>
      </c>
      <c r="U507" s="14">
        <f>IF('Raw Data'!A494&lt;&gt;"",AVERAGE('Raw Data'!BD494,'Raw Data'!BF494,'Raw Data'!BH494,'Raw Data'!BJ494,'Raw Data'!BL494),"")</f>
        <v/>
      </c>
      <c r="V507" s="14">
        <f>IF('Raw Data'!A494&lt;&gt;"",AVERAGE('Raw Data'!BE494,'Raw Data'!BG494,'Raw Data'!BI494,'Raw Data'!BK494,'Raw Data'!BM494),"")</f>
        <v/>
      </c>
      <c r="W507" s="14">
        <f>IF(U507&lt;&gt;"",U507-V507,"")</f>
        <v/>
      </c>
      <c r="X507" s="14">
        <f>IF(A507&lt;&gt;"",AVERAGE(F507,I507,L507,O507,R507,U507),"")</f>
        <v/>
      </c>
      <c r="Y507" s="14">
        <f>IF(A507&lt;&gt;"",AVERAGE(G507,J507,M507,P507,S507,V507),"")</f>
        <v/>
      </c>
      <c r="Z507" s="14">
        <f>IF(A507&lt;&gt;"",X507-Y507,"")</f>
        <v/>
      </c>
      <c r="AA507" s="15">
        <f>IF(A507&lt;&gt;"",ROUND(MIN(100,100*((MAX(0,K507)*0.25)+(MAX(0,Q507)*0.20)+(MAX(0,W507)*0.20)+(MAX(0,H507)*0.15)+(MAX(0,N507)*0.10)+(MAX(0,T507)*0.10))/9),1),"")</f>
        <v/>
      </c>
      <c r="AB507" s="28">
        <f>IF(A507&lt;&gt;"",MIN(1,(0.5*AA507/100)+(0.3*MAX(0,K507)/9)+(0.2*MAX(0,Q507)/9)),"")</f>
        <v/>
      </c>
    </row>
    <row r="508">
      <c r="A508" s="13">
        <f>IF('Raw Data'!A495&lt;&gt;"",'Raw Data'!A495,"")</f>
        <v/>
      </c>
      <c r="B508" s="13">
        <f>IF('Raw Data'!B495&lt;&gt;"",'Raw Data'!B495,"")</f>
        <v/>
      </c>
      <c r="C508" s="13">
        <f>IF('Raw Data'!C495&lt;&gt;"",'Raw Data'!C495,"")</f>
        <v/>
      </c>
      <c r="D508" s="13">
        <f>IF('Raw Data'!D495&lt;&gt;"",'Raw Data'!D495,"")</f>
        <v/>
      </c>
      <c r="E508" s="13">
        <f>IF('Raw Data'!E495&lt;&gt;"",'Raw Data'!E495,"")</f>
        <v/>
      </c>
      <c r="F508" s="17">
        <f>IF('Raw Data'!A495&lt;&gt;"",AVERAGE('Raw Data'!F495,'Raw Data'!H495,'Raw Data'!J495,'Raw Data'!L495,'Raw Data'!N495),"")</f>
        <v/>
      </c>
      <c r="G508" s="17">
        <f>IF('Raw Data'!A495&lt;&gt;"",AVERAGE('Raw Data'!G495,'Raw Data'!I495,'Raw Data'!K495,'Raw Data'!M495,'Raw Data'!O495),"")</f>
        <v/>
      </c>
      <c r="H508" s="17">
        <f>IF(F508&lt;&gt;"",F508-G508,"")</f>
        <v/>
      </c>
      <c r="I508" s="17">
        <f>IF('Raw Data'!A495&lt;&gt;"",AVERAGE('Raw Data'!P495,'Raw Data'!R495,'Raw Data'!T495,'Raw Data'!V495,'Raw Data'!X495),"")</f>
        <v/>
      </c>
      <c r="J508" s="17">
        <f>IF('Raw Data'!A495&lt;&gt;"",AVERAGE('Raw Data'!Q495,'Raw Data'!S495,'Raw Data'!U495,'Raw Data'!W495,'Raw Data'!Y495),"")</f>
        <v/>
      </c>
      <c r="K508" s="17">
        <f>IF(I508&lt;&gt;"",I508-J508,"")</f>
        <v/>
      </c>
      <c r="L508" s="17">
        <f>IF('Raw Data'!A495&lt;&gt;"",AVERAGE('Raw Data'!Z495,'Raw Data'!AB495,'Raw Data'!AD495,'Raw Data'!AF495,'Raw Data'!AH495),"")</f>
        <v/>
      </c>
      <c r="M508" s="17">
        <f>IF('Raw Data'!A495&lt;&gt;"",AVERAGE('Raw Data'!AA495,'Raw Data'!AC495,'Raw Data'!AE495,'Raw Data'!AG495,'Raw Data'!AI495),"")</f>
        <v/>
      </c>
      <c r="N508" s="17">
        <f>IF(L508&lt;&gt;"",L508-M508,"")</f>
        <v/>
      </c>
      <c r="O508" s="17">
        <f>IF('Raw Data'!A495&lt;&gt;"",AVERAGE('Raw Data'!AJ495,'Raw Data'!AL495,'Raw Data'!AN495,'Raw Data'!AP495,'Raw Data'!AR495),"")</f>
        <v/>
      </c>
      <c r="P508" s="17">
        <f>IF('Raw Data'!A495&lt;&gt;"",AVERAGE('Raw Data'!AK495,'Raw Data'!AM495,'Raw Data'!AO495,'Raw Data'!AQ495,'Raw Data'!AS495),"")</f>
        <v/>
      </c>
      <c r="Q508" s="17">
        <f>IF(O508&lt;&gt;"",O508-P508,"")</f>
        <v/>
      </c>
      <c r="R508" s="17">
        <f>IF('Raw Data'!A495&lt;&gt;"",AVERAGE('Raw Data'!AT495,'Raw Data'!AV495,'Raw Data'!AX495,'Raw Data'!AZ495,'Raw Data'!BB495),"")</f>
        <v/>
      </c>
      <c r="S508" s="17">
        <f>IF('Raw Data'!A495&lt;&gt;"",AVERAGE('Raw Data'!AU495,'Raw Data'!AW495,'Raw Data'!AY495,'Raw Data'!BA495,'Raw Data'!BC495),"")</f>
        <v/>
      </c>
      <c r="T508" s="17">
        <f>IF(R508&lt;&gt;"",R508-S508,"")</f>
        <v/>
      </c>
      <c r="U508" s="17">
        <f>IF('Raw Data'!A495&lt;&gt;"",AVERAGE('Raw Data'!BD495,'Raw Data'!BF495,'Raw Data'!BH495,'Raw Data'!BJ495,'Raw Data'!BL495),"")</f>
        <v/>
      </c>
      <c r="V508" s="17">
        <f>IF('Raw Data'!A495&lt;&gt;"",AVERAGE('Raw Data'!BE495,'Raw Data'!BG495,'Raw Data'!BI495,'Raw Data'!BK495,'Raw Data'!BM495),"")</f>
        <v/>
      </c>
      <c r="W508" s="17">
        <f>IF(U508&lt;&gt;"",U508-V508,"")</f>
        <v/>
      </c>
      <c r="X508" s="17">
        <f>IF(A508&lt;&gt;"",AVERAGE(F508,I508,L508,O508,R508,U508),"")</f>
        <v/>
      </c>
      <c r="Y508" s="17">
        <f>IF(A508&lt;&gt;"",AVERAGE(G508,J508,M508,P508,S508,V508),"")</f>
        <v/>
      </c>
      <c r="Z508" s="17">
        <f>IF(A508&lt;&gt;"",X508-Y508,"")</f>
        <v/>
      </c>
      <c r="AA508" s="18">
        <f>IF(A508&lt;&gt;"",ROUND(MIN(100,100*((MAX(0,K508)*0.25)+(MAX(0,Q508)*0.20)+(MAX(0,W508)*0.20)+(MAX(0,H508)*0.15)+(MAX(0,N508)*0.10)+(MAX(0,T508)*0.10))/9),1),"")</f>
        <v/>
      </c>
      <c r="AB508" s="29">
        <f>IF(A508&lt;&gt;"",MIN(1,(0.5*AA508/100)+(0.3*MAX(0,K508)/9)+(0.2*MAX(0,Q508)/9)),"")</f>
        <v/>
      </c>
    </row>
    <row r="509">
      <c r="A509" s="4">
        <f>IF('Raw Data'!A496&lt;&gt;"",'Raw Data'!A496,"")</f>
        <v/>
      </c>
      <c r="B509" s="4">
        <f>IF('Raw Data'!B496&lt;&gt;"",'Raw Data'!B496,"")</f>
        <v/>
      </c>
      <c r="C509" s="4">
        <f>IF('Raw Data'!C496&lt;&gt;"",'Raw Data'!C496,"")</f>
        <v/>
      </c>
      <c r="D509" s="4">
        <f>IF('Raw Data'!D496&lt;&gt;"",'Raw Data'!D496,"")</f>
        <v/>
      </c>
      <c r="E509" s="4">
        <f>IF('Raw Data'!E496&lt;&gt;"",'Raw Data'!E496,"")</f>
        <v/>
      </c>
      <c r="F509" s="14">
        <f>IF('Raw Data'!A496&lt;&gt;"",AVERAGE('Raw Data'!F496,'Raw Data'!H496,'Raw Data'!J496,'Raw Data'!L496,'Raw Data'!N496),"")</f>
        <v/>
      </c>
      <c r="G509" s="14">
        <f>IF('Raw Data'!A496&lt;&gt;"",AVERAGE('Raw Data'!G496,'Raw Data'!I496,'Raw Data'!K496,'Raw Data'!M496,'Raw Data'!O496),"")</f>
        <v/>
      </c>
      <c r="H509" s="14">
        <f>IF(F509&lt;&gt;"",F509-G509,"")</f>
        <v/>
      </c>
      <c r="I509" s="14">
        <f>IF('Raw Data'!A496&lt;&gt;"",AVERAGE('Raw Data'!P496,'Raw Data'!R496,'Raw Data'!T496,'Raw Data'!V496,'Raw Data'!X496),"")</f>
        <v/>
      </c>
      <c r="J509" s="14">
        <f>IF('Raw Data'!A496&lt;&gt;"",AVERAGE('Raw Data'!Q496,'Raw Data'!S496,'Raw Data'!U496,'Raw Data'!W496,'Raw Data'!Y496),"")</f>
        <v/>
      </c>
      <c r="K509" s="14">
        <f>IF(I509&lt;&gt;"",I509-J509,"")</f>
        <v/>
      </c>
      <c r="L509" s="14">
        <f>IF('Raw Data'!A496&lt;&gt;"",AVERAGE('Raw Data'!Z496,'Raw Data'!AB496,'Raw Data'!AD496,'Raw Data'!AF496,'Raw Data'!AH496),"")</f>
        <v/>
      </c>
      <c r="M509" s="14">
        <f>IF('Raw Data'!A496&lt;&gt;"",AVERAGE('Raw Data'!AA496,'Raw Data'!AC496,'Raw Data'!AE496,'Raw Data'!AG496,'Raw Data'!AI496),"")</f>
        <v/>
      </c>
      <c r="N509" s="14">
        <f>IF(L509&lt;&gt;"",L509-M509,"")</f>
        <v/>
      </c>
      <c r="O509" s="14">
        <f>IF('Raw Data'!A496&lt;&gt;"",AVERAGE('Raw Data'!AJ496,'Raw Data'!AL496,'Raw Data'!AN496,'Raw Data'!AP496,'Raw Data'!AR496),"")</f>
        <v/>
      </c>
      <c r="P509" s="14">
        <f>IF('Raw Data'!A496&lt;&gt;"",AVERAGE('Raw Data'!AK496,'Raw Data'!AM496,'Raw Data'!AO496,'Raw Data'!AQ496,'Raw Data'!AS496),"")</f>
        <v/>
      </c>
      <c r="Q509" s="14">
        <f>IF(O509&lt;&gt;"",O509-P509,"")</f>
        <v/>
      </c>
      <c r="R509" s="14">
        <f>IF('Raw Data'!A496&lt;&gt;"",AVERAGE('Raw Data'!AT496,'Raw Data'!AV496,'Raw Data'!AX496,'Raw Data'!AZ496,'Raw Data'!BB496),"")</f>
        <v/>
      </c>
      <c r="S509" s="14">
        <f>IF('Raw Data'!A496&lt;&gt;"",AVERAGE('Raw Data'!AU496,'Raw Data'!AW496,'Raw Data'!AY496,'Raw Data'!BA496,'Raw Data'!BC496),"")</f>
        <v/>
      </c>
      <c r="T509" s="14">
        <f>IF(R509&lt;&gt;"",R509-S509,"")</f>
        <v/>
      </c>
      <c r="U509" s="14">
        <f>IF('Raw Data'!A496&lt;&gt;"",AVERAGE('Raw Data'!BD496,'Raw Data'!BF496,'Raw Data'!BH496,'Raw Data'!BJ496,'Raw Data'!BL496),"")</f>
        <v/>
      </c>
      <c r="V509" s="14">
        <f>IF('Raw Data'!A496&lt;&gt;"",AVERAGE('Raw Data'!BE496,'Raw Data'!BG496,'Raw Data'!BI496,'Raw Data'!BK496,'Raw Data'!BM496),"")</f>
        <v/>
      </c>
      <c r="W509" s="14">
        <f>IF(U509&lt;&gt;"",U509-V509,"")</f>
        <v/>
      </c>
      <c r="X509" s="14">
        <f>IF(A509&lt;&gt;"",AVERAGE(F509,I509,L509,O509,R509,U509),"")</f>
        <v/>
      </c>
      <c r="Y509" s="14">
        <f>IF(A509&lt;&gt;"",AVERAGE(G509,J509,M509,P509,S509,V509),"")</f>
        <v/>
      </c>
      <c r="Z509" s="14">
        <f>IF(A509&lt;&gt;"",X509-Y509,"")</f>
        <v/>
      </c>
      <c r="AA509" s="15">
        <f>IF(A509&lt;&gt;"",ROUND(MIN(100,100*((MAX(0,K509)*0.25)+(MAX(0,Q509)*0.20)+(MAX(0,W509)*0.20)+(MAX(0,H509)*0.15)+(MAX(0,N509)*0.10)+(MAX(0,T509)*0.10))/9),1),"")</f>
        <v/>
      </c>
      <c r="AB509" s="28">
        <f>IF(A509&lt;&gt;"",MIN(1,(0.5*AA509/100)+(0.3*MAX(0,K509)/9)+(0.2*MAX(0,Q509)/9)),"")</f>
        <v/>
      </c>
    </row>
    <row r="510">
      <c r="A510" s="13">
        <f>IF('Raw Data'!A497&lt;&gt;"",'Raw Data'!A497,"")</f>
        <v/>
      </c>
      <c r="B510" s="13">
        <f>IF('Raw Data'!B497&lt;&gt;"",'Raw Data'!B497,"")</f>
        <v/>
      </c>
      <c r="C510" s="13">
        <f>IF('Raw Data'!C497&lt;&gt;"",'Raw Data'!C497,"")</f>
        <v/>
      </c>
      <c r="D510" s="13">
        <f>IF('Raw Data'!D497&lt;&gt;"",'Raw Data'!D497,"")</f>
        <v/>
      </c>
      <c r="E510" s="13">
        <f>IF('Raw Data'!E497&lt;&gt;"",'Raw Data'!E497,"")</f>
        <v/>
      </c>
      <c r="F510" s="17">
        <f>IF('Raw Data'!A497&lt;&gt;"",AVERAGE('Raw Data'!F497,'Raw Data'!H497,'Raw Data'!J497,'Raw Data'!L497,'Raw Data'!N497),"")</f>
        <v/>
      </c>
      <c r="G510" s="17">
        <f>IF('Raw Data'!A497&lt;&gt;"",AVERAGE('Raw Data'!G497,'Raw Data'!I497,'Raw Data'!K497,'Raw Data'!M497,'Raw Data'!O497),"")</f>
        <v/>
      </c>
      <c r="H510" s="17">
        <f>IF(F510&lt;&gt;"",F510-G510,"")</f>
        <v/>
      </c>
      <c r="I510" s="17">
        <f>IF('Raw Data'!A497&lt;&gt;"",AVERAGE('Raw Data'!P497,'Raw Data'!R497,'Raw Data'!T497,'Raw Data'!V497,'Raw Data'!X497),"")</f>
        <v/>
      </c>
      <c r="J510" s="17">
        <f>IF('Raw Data'!A497&lt;&gt;"",AVERAGE('Raw Data'!Q497,'Raw Data'!S497,'Raw Data'!U497,'Raw Data'!W497,'Raw Data'!Y497),"")</f>
        <v/>
      </c>
      <c r="K510" s="17">
        <f>IF(I510&lt;&gt;"",I510-J510,"")</f>
        <v/>
      </c>
      <c r="L510" s="17">
        <f>IF('Raw Data'!A497&lt;&gt;"",AVERAGE('Raw Data'!Z497,'Raw Data'!AB497,'Raw Data'!AD497,'Raw Data'!AF497,'Raw Data'!AH497),"")</f>
        <v/>
      </c>
      <c r="M510" s="17">
        <f>IF('Raw Data'!A497&lt;&gt;"",AVERAGE('Raw Data'!AA497,'Raw Data'!AC497,'Raw Data'!AE497,'Raw Data'!AG497,'Raw Data'!AI497),"")</f>
        <v/>
      </c>
      <c r="N510" s="17">
        <f>IF(L510&lt;&gt;"",L510-M510,"")</f>
        <v/>
      </c>
      <c r="O510" s="17">
        <f>IF('Raw Data'!A497&lt;&gt;"",AVERAGE('Raw Data'!AJ497,'Raw Data'!AL497,'Raw Data'!AN497,'Raw Data'!AP497,'Raw Data'!AR497),"")</f>
        <v/>
      </c>
      <c r="P510" s="17">
        <f>IF('Raw Data'!A497&lt;&gt;"",AVERAGE('Raw Data'!AK497,'Raw Data'!AM497,'Raw Data'!AO497,'Raw Data'!AQ497,'Raw Data'!AS497),"")</f>
        <v/>
      </c>
      <c r="Q510" s="17">
        <f>IF(O510&lt;&gt;"",O510-P510,"")</f>
        <v/>
      </c>
      <c r="R510" s="17">
        <f>IF('Raw Data'!A497&lt;&gt;"",AVERAGE('Raw Data'!AT497,'Raw Data'!AV497,'Raw Data'!AX497,'Raw Data'!AZ497,'Raw Data'!BB497),"")</f>
        <v/>
      </c>
      <c r="S510" s="17">
        <f>IF('Raw Data'!A497&lt;&gt;"",AVERAGE('Raw Data'!AU497,'Raw Data'!AW497,'Raw Data'!AY497,'Raw Data'!BA497,'Raw Data'!BC497),"")</f>
        <v/>
      </c>
      <c r="T510" s="17">
        <f>IF(R510&lt;&gt;"",R510-S510,"")</f>
        <v/>
      </c>
      <c r="U510" s="17">
        <f>IF('Raw Data'!A497&lt;&gt;"",AVERAGE('Raw Data'!BD497,'Raw Data'!BF497,'Raw Data'!BH497,'Raw Data'!BJ497,'Raw Data'!BL497),"")</f>
        <v/>
      </c>
      <c r="V510" s="17">
        <f>IF('Raw Data'!A497&lt;&gt;"",AVERAGE('Raw Data'!BE497,'Raw Data'!BG497,'Raw Data'!BI497,'Raw Data'!BK497,'Raw Data'!BM497),"")</f>
        <v/>
      </c>
      <c r="W510" s="17">
        <f>IF(U510&lt;&gt;"",U510-V510,"")</f>
        <v/>
      </c>
      <c r="X510" s="17">
        <f>IF(A510&lt;&gt;"",AVERAGE(F510,I510,L510,O510,R510,U510),"")</f>
        <v/>
      </c>
      <c r="Y510" s="17">
        <f>IF(A510&lt;&gt;"",AVERAGE(G510,J510,M510,P510,S510,V510),"")</f>
        <v/>
      </c>
      <c r="Z510" s="17">
        <f>IF(A510&lt;&gt;"",X510-Y510,"")</f>
        <v/>
      </c>
      <c r="AA510" s="18">
        <f>IF(A510&lt;&gt;"",ROUND(MIN(100,100*((MAX(0,K510)*0.25)+(MAX(0,Q510)*0.20)+(MAX(0,W510)*0.20)+(MAX(0,H510)*0.15)+(MAX(0,N510)*0.10)+(MAX(0,T510)*0.10))/9),1),"")</f>
        <v/>
      </c>
      <c r="AB510" s="29">
        <f>IF(A510&lt;&gt;"",MIN(1,(0.5*AA510/100)+(0.3*MAX(0,K510)/9)+(0.2*MAX(0,Q510)/9)),"")</f>
        <v/>
      </c>
    </row>
    <row r="511">
      <c r="A511" s="4">
        <f>IF('Raw Data'!A498&lt;&gt;"",'Raw Data'!A498,"")</f>
        <v/>
      </c>
      <c r="B511" s="4">
        <f>IF('Raw Data'!B498&lt;&gt;"",'Raw Data'!B498,"")</f>
        <v/>
      </c>
      <c r="C511" s="4">
        <f>IF('Raw Data'!C498&lt;&gt;"",'Raw Data'!C498,"")</f>
        <v/>
      </c>
      <c r="D511" s="4">
        <f>IF('Raw Data'!D498&lt;&gt;"",'Raw Data'!D498,"")</f>
        <v/>
      </c>
      <c r="E511" s="4">
        <f>IF('Raw Data'!E498&lt;&gt;"",'Raw Data'!E498,"")</f>
        <v/>
      </c>
      <c r="F511" s="14">
        <f>IF('Raw Data'!A498&lt;&gt;"",AVERAGE('Raw Data'!F498,'Raw Data'!H498,'Raw Data'!J498,'Raw Data'!L498,'Raw Data'!N498),"")</f>
        <v/>
      </c>
      <c r="G511" s="14">
        <f>IF('Raw Data'!A498&lt;&gt;"",AVERAGE('Raw Data'!G498,'Raw Data'!I498,'Raw Data'!K498,'Raw Data'!M498,'Raw Data'!O498),"")</f>
        <v/>
      </c>
      <c r="H511" s="14">
        <f>IF(F511&lt;&gt;"",F511-G511,"")</f>
        <v/>
      </c>
      <c r="I511" s="14">
        <f>IF('Raw Data'!A498&lt;&gt;"",AVERAGE('Raw Data'!P498,'Raw Data'!R498,'Raw Data'!T498,'Raw Data'!V498,'Raw Data'!X498),"")</f>
        <v/>
      </c>
      <c r="J511" s="14">
        <f>IF('Raw Data'!A498&lt;&gt;"",AVERAGE('Raw Data'!Q498,'Raw Data'!S498,'Raw Data'!U498,'Raw Data'!W498,'Raw Data'!Y498),"")</f>
        <v/>
      </c>
      <c r="K511" s="14">
        <f>IF(I511&lt;&gt;"",I511-J511,"")</f>
        <v/>
      </c>
      <c r="L511" s="14">
        <f>IF('Raw Data'!A498&lt;&gt;"",AVERAGE('Raw Data'!Z498,'Raw Data'!AB498,'Raw Data'!AD498,'Raw Data'!AF498,'Raw Data'!AH498),"")</f>
        <v/>
      </c>
      <c r="M511" s="14">
        <f>IF('Raw Data'!A498&lt;&gt;"",AVERAGE('Raw Data'!AA498,'Raw Data'!AC498,'Raw Data'!AE498,'Raw Data'!AG498,'Raw Data'!AI498),"")</f>
        <v/>
      </c>
      <c r="N511" s="14">
        <f>IF(L511&lt;&gt;"",L511-M511,"")</f>
        <v/>
      </c>
      <c r="O511" s="14">
        <f>IF('Raw Data'!A498&lt;&gt;"",AVERAGE('Raw Data'!AJ498,'Raw Data'!AL498,'Raw Data'!AN498,'Raw Data'!AP498,'Raw Data'!AR498),"")</f>
        <v/>
      </c>
      <c r="P511" s="14">
        <f>IF('Raw Data'!A498&lt;&gt;"",AVERAGE('Raw Data'!AK498,'Raw Data'!AM498,'Raw Data'!AO498,'Raw Data'!AQ498,'Raw Data'!AS498),"")</f>
        <v/>
      </c>
      <c r="Q511" s="14">
        <f>IF(O511&lt;&gt;"",O511-P511,"")</f>
        <v/>
      </c>
      <c r="R511" s="14">
        <f>IF('Raw Data'!A498&lt;&gt;"",AVERAGE('Raw Data'!AT498,'Raw Data'!AV498,'Raw Data'!AX498,'Raw Data'!AZ498,'Raw Data'!BB498),"")</f>
        <v/>
      </c>
      <c r="S511" s="14">
        <f>IF('Raw Data'!A498&lt;&gt;"",AVERAGE('Raw Data'!AU498,'Raw Data'!AW498,'Raw Data'!AY498,'Raw Data'!BA498,'Raw Data'!BC498),"")</f>
        <v/>
      </c>
      <c r="T511" s="14">
        <f>IF(R511&lt;&gt;"",R511-S511,"")</f>
        <v/>
      </c>
      <c r="U511" s="14">
        <f>IF('Raw Data'!A498&lt;&gt;"",AVERAGE('Raw Data'!BD498,'Raw Data'!BF498,'Raw Data'!BH498,'Raw Data'!BJ498,'Raw Data'!BL498),"")</f>
        <v/>
      </c>
      <c r="V511" s="14">
        <f>IF('Raw Data'!A498&lt;&gt;"",AVERAGE('Raw Data'!BE498,'Raw Data'!BG498,'Raw Data'!BI498,'Raw Data'!BK498,'Raw Data'!BM498),"")</f>
        <v/>
      </c>
      <c r="W511" s="14">
        <f>IF(U511&lt;&gt;"",U511-V511,"")</f>
        <v/>
      </c>
      <c r="X511" s="14">
        <f>IF(A511&lt;&gt;"",AVERAGE(F511,I511,L511,O511,R511,U511),"")</f>
        <v/>
      </c>
      <c r="Y511" s="14">
        <f>IF(A511&lt;&gt;"",AVERAGE(G511,J511,M511,P511,S511,V511),"")</f>
        <v/>
      </c>
      <c r="Z511" s="14">
        <f>IF(A511&lt;&gt;"",X511-Y511,"")</f>
        <v/>
      </c>
      <c r="AA511" s="15">
        <f>IF(A511&lt;&gt;"",ROUND(MIN(100,100*((MAX(0,K511)*0.25)+(MAX(0,Q511)*0.20)+(MAX(0,W511)*0.20)+(MAX(0,H511)*0.15)+(MAX(0,N511)*0.10)+(MAX(0,T511)*0.10))/9),1),"")</f>
        <v/>
      </c>
      <c r="AB511" s="28">
        <f>IF(A511&lt;&gt;"",MIN(1,(0.5*AA511/100)+(0.3*MAX(0,K511)/9)+(0.2*MAX(0,Q511)/9)),"")</f>
        <v/>
      </c>
    </row>
    <row r="512">
      <c r="A512" s="13">
        <f>IF('Raw Data'!A499&lt;&gt;"",'Raw Data'!A499,"")</f>
        <v/>
      </c>
      <c r="B512" s="13">
        <f>IF('Raw Data'!B499&lt;&gt;"",'Raw Data'!B499,"")</f>
        <v/>
      </c>
      <c r="C512" s="13">
        <f>IF('Raw Data'!C499&lt;&gt;"",'Raw Data'!C499,"")</f>
        <v/>
      </c>
      <c r="D512" s="13">
        <f>IF('Raw Data'!D499&lt;&gt;"",'Raw Data'!D499,"")</f>
        <v/>
      </c>
      <c r="E512" s="13">
        <f>IF('Raw Data'!E499&lt;&gt;"",'Raw Data'!E499,"")</f>
        <v/>
      </c>
      <c r="F512" s="17">
        <f>IF('Raw Data'!A499&lt;&gt;"",AVERAGE('Raw Data'!F499,'Raw Data'!H499,'Raw Data'!J499,'Raw Data'!L499,'Raw Data'!N499),"")</f>
        <v/>
      </c>
      <c r="G512" s="17">
        <f>IF('Raw Data'!A499&lt;&gt;"",AVERAGE('Raw Data'!G499,'Raw Data'!I499,'Raw Data'!K499,'Raw Data'!M499,'Raw Data'!O499),"")</f>
        <v/>
      </c>
      <c r="H512" s="17">
        <f>IF(F512&lt;&gt;"",F512-G512,"")</f>
        <v/>
      </c>
      <c r="I512" s="17">
        <f>IF('Raw Data'!A499&lt;&gt;"",AVERAGE('Raw Data'!P499,'Raw Data'!R499,'Raw Data'!T499,'Raw Data'!V499,'Raw Data'!X499),"")</f>
        <v/>
      </c>
      <c r="J512" s="17">
        <f>IF('Raw Data'!A499&lt;&gt;"",AVERAGE('Raw Data'!Q499,'Raw Data'!S499,'Raw Data'!U499,'Raw Data'!W499,'Raw Data'!Y499),"")</f>
        <v/>
      </c>
      <c r="K512" s="17">
        <f>IF(I512&lt;&gt;"",I512-J512,"")</f>
        <v/>
      </c>
      <c r="L512" s="17">
        <f>IF('Raw Data'!A499&lt;&gt;"",AVERAGE('Raw Data'!Z499,'Raw Data'!AB499,'Raw Data'!AD499,'Raw Data'!AF499,'Raw Data'!AH499),"")</f>
        <v/>
      </c>
      <c r="M512" s="17">
        <f>IF('Raw Data'!A499&lt;&gt;"",AVERAGE('Raw Data'!AA499,'Raw Data'!AC499,'Raw Data'!AE499,'Raw Data'!AG499,'Raw Data'!AI499),"")</f>
        <v/>
      </c>
      <c r="N512" s="17">
        <f>IF(L512&lt;&gt;"",L512-M512,"")</f>
        <v/>
      </c>
      <c r="O512" s="17">
        <f>IF('Raw Data'!A499&lt;&gt;"",AVERAGE('Raw Data'!AJ499,'Raw Data'!AL499,'Raw Data'!AN499,'Raw Data'!AP499,'Raw Data'!AR499),"")</f>
        <v/>
      </c>
      <c r="P512" s="17">
        <f>IF('Raw Data'!A499&lt;&gt;"",AVERAGE('Raw Data'!AK499,'Raw Data'!AM499,'Raw Data'!AO499,'Raw Data'!AQ499,'Raw Data'!AS499),"")</f>
        <v/>
      </c>
      <c r="Q512" s="17">
        <f>IF(O512&lt;&gt;"",O512-P512,"")</f>
        <v/>
      </c>
      <c r="R512" s="17">
        <f>IF('Raw Data'!A499&lt;&gt;"",AVERAGE('Raw Data'!AT499,'Raw Data'!AV499,'Raw Data'!AX499,'Raw Data'!AZ499,'Raw Data'!BB499),"")</f>
        <v/>
      </c>
      <c r="S512" s="17">
        <f>IF('Raw Data'!A499&lt;&gt;"",AVERAGE('Raw Data'!AU499,'Raw Data'!AW499,'Raw Data'!AY499,'Raw Data'!BA499,'Raw Data'!BC499),"")</f>
        <v/>
      </c>
      <c r="T512" s="17">
        <f>IF(R512&lt;&gt;"",R512-S512,"")</f>
        <v/>
      </c>
      <c r="U512" s="17">
        <f>IF('Raw Data'!A499&lt;&gt;"",AVERAGE('Raw Data'!BD499,'Raw Data'!BF499,'Raw Data'!BH499,'Raw Data'!BJ499,'Raw Data'!BL499),"")</f>
        <v/>
      </c>
      <c r="V512" s="17">
        <f>IF('Raw Data'!A499&lt;&gt;"",AVERAGE('Raw Data'!BE499,'Raw Data'!BG499,'Raw Data'!BI499,'Raw Data'!BK499,'Raw Data'!BM499),"")</f>
        <v/>
      </c>
      <c r="W512" s="17">
        <f>IF(U512&lt;&gt;"",U512-V512,"")</f>
        <v/>
      </c>
      <c r="X512" s="17">
        <f>IF(A512&lt;&gt;"",AVERAGE(F512,I512,L512,O512,R512,U512),"")</f>
        <v/>
      </c>
      <c r="Y512" s="17">
        <f>IF(A512&lt;&gt;"",AVERAGE(G512,J512,M512,P512,S512,V512),"")</f>
        <v/>
      </c>
      <c r="Z512" s="17">
        <f>IF(A512&lt;&gt;"",X512-Y512,"")</f>
        <v/>
      </c>
      <c r="AA512" s="18">
        <f>IF(A512&lt;&gt;"",ROUND(MIN(100,100*((MAX(0,K512)*0.25)+(MAX(0,Q512)*0.20)+(MAX(0,W512)*0.20)+(MAX(0,H512)*0.15)+(MAX(0,N512)*0.10)+(MAX(0,T512)*0.10))/9),1),"")</f>
        <v/>
      </c>
      <c r="AB512" s="29">
        <f>IF(A512&lt;&gt;"",MIN(1,(0.5*AA512/100)+(0.3*MAX(0,K512)/9)+(0.2*MAX(0,Q512)/9)),"")</f>
        <v/>
      </c>
    </row>
    <row r="513">
      <c r="A513" s="4">
        <f>IF('Raw Data'!A500&lt;&gt;"",'Raw Data'!A500,"")</f>
        <v/>
      </c>
      <c r="B513" s="4">
        <f>IF('Raw Data'!B500&lt;&gt;"",'Raw Data'!B500,"")</f>
        <v/>
      </c>
      <c r="C513" s="4">
        <f>IF('Raw Data'!C500&lt;&gt;"",'Raw Data'!C500,"")</f>
        <v/>
      </c>
      <c r="D513" s="4">
        <f>IF('Raw Data'!D500&lt;&gt;"",'Raw Data'!D500,"")</f>
        <v/>
      </c>
      <c r="E513" s="4">
        <f>IF('Raw Data'!E500&lt;&gt;"",'Raw Data'!E500,"")</f>
        <v/>
      </c>
      <c r="F513" s="14">
        <f>IF('Raw Data'!A500&lt;&gt;"",AVERAGE('Raw Data'!F500,'Raw Data'!H500,'Raw Data'!J500,'Raw Data'!L500,'Raw Data'!N500),"")</f>
        <v/>
      </c>
      <c r="G513" s="14">
        <f>IF('Raw Data'!A500&lt;&gt;"",AVERAGE('Raw Data'!G500,'Raw Data'!I500,'Raw Data'!K500,'Raw Data'!M500,'Raw Data'!O500),"")</f>
        <v/>
      </c>
      <c r="H513" s="14">
        <f>IF(F513&lt;&gt;"",F513-G513,"")</f>
        <v/>
      </c>
      <c r="I513" s="14">
        <f>IF('Raw Data'!A500&lt;&gt;"",AVERAGE('Raw Data'!P500,'Raw Data'!R500,'Raw Data'!T500,'Raw Data'!V500,'Raw Data'!X500),"")</f>
        <v/>
      </c>
      <c r="J513" s="14">
        <f>IF('Raw Data'!A500&lt;&gt;"",AVERAGE('Raw Data'!Q500,'Raw Data'!S500,'Raw Data'!U500,'Raw Data'!W500,'Raw Data'!Y500),"")</f>
        <v/>
      </c>
      <c r="K513" s="14">
        <f>IF(I513&lt;&gt;"",I513-J513,"")</f>
        <v/>
      </c>
      <c r="L513" s="14">
        <f>IF('Raw Data'!A500&lt;&gt;"",AVERAGE('Raw Data'!Z500,'Raw Data'!AB500,'Raw Data'!AD500,'Raw Data'!AF500,'Raw Data'!AH500),"")</f>
        <v/>
      </c>
      <c r="M513" s="14">
        <f>IF('Raw Data'!A500&lt;&gt;"",AVERAGE('Raw Data'!AA500,'Raw Data'!AC500,'Raw Data'!AE500,'Raw Data'!AG500,'Raw Data'!AI500),"")</f>
        <v/>
      </c>
      <c r="N513" s="14">
        <f>IF(L513&lt;&gt;"",L513-M513,"")</f>
        <v/>
      </c>
      <c r="O513" s="14">
        <f>IF('Raw Data'!A500&lt;&gt;"",AVERAGE('Raw Data'!AJ500,'Raw Data'!AL500,'Raw Data'!AN500,'Raw Data'!AP500,'Raw Data'!AR500),"")</f>
        <v/>
      </c>
      <c r="P513" s="14">
        <f>IF('Raw Data'!A500&lt;&gt;"",AVERAGE('Raw Data'!AK500,'Raw Data'!AM500,'Raw Data'!AO500,'Raw Data'!AQ500,'Raw Data'!AS500),"")</f>
        <v/>
      </c>
      <c r="Q513" s="14">
        <f>IF(O513&lt;&gt;"",O513-P513,"")</f>
        <v/>
      </c>
      <c r="R513" s="14">
        <f>IF('Raw Data'!A500&lt;&gt;"",AVERAGE('Raw Data'!AT500,'Raw Data'!AV500,'Raw Data'!AX500,'Raw Data'!AZ500,'Raw Data'!BB500),"")</f>
        <v/>
      </c>
      <c r="S513" s="14">
        <f>IF('Raw Data'!A500&lt;&gt;"",AVERAGE('Raw Data'!AU500,'Raw Data'!AW500,'Raw Data'!AY500,'Raw Data'!BA500,'Raw Data'!BC500),"")</f>
        <v/>
      </c>
      <c r="T513" s="14">
        <f>IF(R513&lt;&gt;"",R513-S513,"")</f>
        <v/>
      </c>
      <c r="U513" s="14">
        <f>IF('Raw Data'!A500&lt;&gt;"",AVERAGE('Raw Data'!BD500,'Raw Data'!BF500,'Raw Data'!BH500,'Raw Data'!BJ500,'Raw Data'!BL500),"")</f>
        <v/>
      </c>
      <c r="V513" s="14">
        <f>IF('Raw Data'!A500&lt;&gt;"",AVERAGE('Raw Data'!BE500,'Raw Data'!BG500,'Raw Data'!BI500,'Raw Data'!BK500,'Raw Data'!BM500),"")</f>
        <v/>
      </c>
      <c r="W513" s="14">
        <f>IF(U513&lt;&gt;"",U513-V513,"")</f>
        <v/>
      </c>
      <c r="X513" s="14">
        <f>IF(A513&lt;&gt;"",AVERAGE(F513,I513,L513,O513,R513,U513),"")</f>
        <v/>
      </c>
      <c r="Y513" s="14">
        <f>IF(A513&lt;&gt;"",AVERAGE(G513,J513,M513,P513,S513,V513),"")</f>
        <v/>
      </c>
      <c r="Z513" s="14">
        <f>IF(A513&lt;&gt;"",X513-Y513,"")</f>
        <v/>
      </c>
      <c r="AA513" s="15">
        <f>IF(A513&lt;&gt;"",ROUND(MIN(100,100*((MAX(0,K513)*0.25)+(MAX(0,Q513)*0.20)+(MAX(0,W513)*0.20)+(MAX(0,H513)*0.15)+(MAX(0,N513)*0.10)+(MAX(0,T513)*0.10))/9),1),"")</f>
        <v/>
      </c>
      <c r="AB513" s="28">
        <f>IF(A513&lt;&gt;"",MIN(1,(0.5*AA513/100)+(0.3*MAX(0,K513)/9)+(0.2*MAX(0,Q513)/9)),"")</f>
        <v/>
      </c>
    </row>
    <row r="514">
      <c r="A514" s="13">
        <f>IF('Raw Data'!A501&lt;&gt;"",'Raw Data'!A501,"")</f>
        <v/>
      </c>
      <c r="B514" s="13">
        <f>IF('Raw Data'!B501&lt;&gt;"",'Raw Data'!B501,"")</f>
        <v/>
      </c>
      <c r="C514" s="13">
        <f>IF('Raw Data'!C501&lt;&gt;"",'Raw Data'!C501,"")</f>
        <v/>
      </c>
      <c r="D514" s="13">
        <f>IF('Raw Data'!D501&lt;&gt;"",'Raw Data'!D501,"")</f>
        <v/>
      </c>
      <c r="E514" s="13">
        <f>IF('Raw Data'!E501&lt;&gt;"",'Raw Data'!E501,"")</f>
        <v/>
      </c>
      <c r="F514" s="17">
        <f>IF('Raw Data'!A501&lt;&gt;"",AVERAGE('Raw Data'!F501,'Raw Data'!H501,'Raw Data'!J501,'Raw Data'!L501,'Raw Data'!N501),"")</f>
        <v/>
      </c>
      <c r="G514" s="17">
        <f>IF('Raw Data'!A501&lt;&gt;"",AVERAGE('Raw Data'!G501,'Raw Data'!I501,'Raw Data'!K501,'Raw Data'!M501,'Raw Data'!O501),"")</f>
        <v/>
      </c>
      <c r="H514" s="17">
        <f>IF(F514&lt;&gt;"",F514-G514,"")</f>
        <v/>
      </c>
      <c r="I514" s="17">
        <f>IF('Raw Data'!A501&lt;&gt;"",AVERAGE('Raw Data'!P501,'Raw Data'!R501,'Raw Data'!T501,'Raw Data'!V501,'Raw Data'!X501),"")</f>
        <v/>
      </c>
      <c r="J514" s="17">
        <f>IF('Raw Data'!A501&lt;&gt;"",AVERAGE('Raw Data'!Q501,'Raw Data'!S501,'Raw Data'!U501,'Raw Data'!W501,'Raw Data'!Y501),"")</f>
        <v/>
      </c>
      <c r="K514" s="17">
        <f>IF(I514&lt;&gt;"",I514-J514,"")</f>
        <v/>
      </c>
      <c r="L514" s="17">
        <f>IF('Raw Data'!A501&lt;&gt;"",AVERAGE('Raw Data'!Z501,'Raw Data'!AB501,'Raw Data'!AD501,'Raw Data'!AF501,'Raw Data'!AH501),"")</f>
        <v/>
      </c>
      <c r="M514" s="17">
        <f>IF('Raw Data'!A501&lt;&gt;"",AVERAGE('Raw Data'!AA501,'Raw Data'!AC501,'Raw Data'!AE501,'Raw Data'!AG501,'Raw Data'!AI501),"")</f>
        <v/>
      </c>
      <c r="N514" s="17">
        <f>IF(L514&lt;&gt;"",L514-M514,"")</f>
        <v/>
      </c>
      <c r="O514" s="17">
        <f>IF('Raw Data'!A501&lt;&gt;"",AVERAGE('Raw Data'!AJ501,'Raw Data'!AL501,'Raw Data'!AN501,'Raw Data'!AP501,'Raw Data'!AR501),"")</f>
        <v/>
      </c>
      <c r="P514" s="17">
        <f>IF('Raw Data'!A501&lt;&gt;"",AVERAGE('Raw Data'!AK501,'Raw Data'!AM501,'Raw Data'!AO501,'Raw Data'!AQ501,'Raw Data'!AS501),"")</f>
        <v/>
      </c>
      <c r="Q514" s="17">
        <f>IF(O514&lt;&gt;"",O514-P514,"")</f>
        <v/>
      </c>
      <c r="R514" s="17">
        <f>IF('Raw Data'!A501&lt;&gt;"",AVERAGE('Raw Data'!AT501,'Raw Data'!AV501,'Raw Data'!AX501,'Raw Data'!AZ501,'Raw Data'!BB501),"")</f>
        <v/>
      </c>
      <c r="S514" s="17">
        <f>IF('Raw Data'!A501&lt;&gt;"",AVERAGE('Raw Data'!AU501,'Raw Data'!AW501,'Raw Data'!AY501,'Raw Data'!BA501,'Raw Data'!BC501),"")</f>
        <v/>
      </c>
      <c r="T514" s="17">
        <f>IF(R514&lt;&gt;"",R514-S514,"")</f>
        <v/>
      </c>
      <c r="U514" s="17">
        <f>IF('Raw Data'!A501&lt;&gt;"",AVERAGE('Raw Data'!BD501,'Raw Data'!BF501,'Raw Data'!BH501,'Raw Data'!BJ501,'Raw Data'!BL501),"")</f>
        <v/>
      </c>
      <c r="V514" s="17">
        <f>IF('Raw Data'!A501&lt;&gt;"",AVERAGE('Raw Data'!BE501,'Raw Data'!BG501,'Raw Data'!BI501,'Raw Data'!BK501,'Raw Data'!BM501),"")</f>
        <v/>
      </c>
      <c r="W514" s="17">
        <f>IF(U514&lt;&gt;"",U514-V514,"")</f>
        <v/>
      </c>
      <c r="X514" s="17">
        <f>IF(A514&lt;&gt;"",AVERAGE(F514,I514,L514,O514,R514,U514),"")</f>
        <v/>
      </c>
      <c r="Y514" s="17">
        <f>IF(A514&lt;&gt;"",AVERAGE(G514,J514,M514,P514,S514,V514),"")</f>
        <v/>
      </c>
      <c r="Z514" s="17">
        <f>IF(A514&lt;&gt;"",X514-Y514,"")</f>
        <v/>
      </c>
      <c r="AA514" s="18">
        <f>IF(A514&lt;&gt;"",ROUND(MIN(100,100*((MAX(0,K514)*0.25)+(MAX(0,Q514)*0.20)+(MAX(0,W514)*0.20)+(MAX(0,H514)*0.15)+(MAX(0,N514)*0.10)+(MAX(0,T514)*0.10))/9),1),"")</f>
        <v/>
      </c>
      <c r="AB514" s="29">
        <f>IF(A514&lt;&gt;"",MIN(1,(0.5*AA514/100)+(0.3*MAX(0,K514)/9)+(0.2*MAX(0,Q514)/9)),"")</f>
        <v/>
      </c>
    </row>
    <row r="515">
      <c r="A515" s="4">
        <f>IF('Raw Data'!A502&lt;&gt;"",'Raw Data'!A502,"")</f>
        <v/>
      </c>
      <c r="B515" s="4">
        <f>IF('Raw Data'!B502&lt;&gt;"",'Raw Data'!B502,"")</f>
        <v/>
      </c>
      <c r="C515" s="4">
        <f>IF('Raw Data'!C502&lt;&gt;"",'Raw Data'!C502,"")</f>
        <v/>
      </c>
      <c r="D515" s="4">
        <f>IF('Raw Data'!D502&lt;&gt;"",'Raw Data'!D502,"")</f>
        <v/>
      </c>
      <c r="E515" s="4">
        <f>IF('Raw Data'!E502&lt;&gt;"",'Raw Data'!E502,"")</f>
        <v/>
      </c>
      <c r="F515" s="14">
        <f>IF('Raw Data'!A502&lt;&gt;"",AVERAGE('Raw Data'!F502,'Raw Data'!H502,'Raw Data'!J502,'Raw Data'!L502,'Raw Data'!N502),"")</f>
        <v/>
      </c>
      <c r="G515" s="14">
        <f>IF('Raw Data'!A502&lt;&gt;"",AVERAGE('Raw Data'!G502,'Raw Data'!I502,'Raw Data'!K502,'Raw Data'!M502,'Raw Data'!O502),"")</f>
        <v/>
      </c>
      <c r="H515" s="14">
        <f>IF(F515&lt;&gt;"",F515-G515,"")</f>
        <v/>
      </c>
      <c r="I515" s="14">
        <f>IF('Raw Data'!A502&lt;&gt;"",AVERAGE('Raw Data'!P502,'Raw Data'!R502,'Raw Data'!T502,'Raw Data'!V502,'Raw Data'!X502),"")</f>
        <v/>
      </c>
      <c r="J515" s="14">
        <f>IF('Raw Data'!A502&lt;&gt;"",AVERAGE('Raw Data'!Q502,'Raw Data'!S502,'Raw Data'!U502,'Raw Data'!W502,'Raw Data'!Y502),"")</f>
        <v/>
      </c>
      <c r="K515" s="14">
        <f>IF(I515&lt;&gt;"",I515-J515,"")</f>
        <v/>
      </c>
      <c r="L515" s="14">
        <f>IF('Raw Data'!A502&lt;&gt;"",AVERAGE('Raw Data'!Z502,'Raw Data'!AB502,'Raw Data'!AD502,'Raw Data'!AF502,'Raw Data'!AH502),"")</f>
        <v/>
      </c>
      <c r="M515" s="14">
        <f>IF('Raw Data'!A502&lt;&gt;"",AVERAGE('Raw Data'!AA502,'Raw Data'!AC502,'Raw Data'!AE502,'Raw Data'!AG502,'Raw Data'!AI502),"")</f>
        <v/>
      </c>
      <c r="N515" s="14">
        <f>IF(L515&lt;&gt;"",L515-M515,"")</f>
        <v/>
      </c>
      <c r="O515" s="14">
        <f>IF('Raw Data'!A502&lt;&gt;"",AVERAGE('Raw Data'!AJ502,'Raw Data'!AL502,'Raw Data'!AN502,'Raw Data'!AP502,'Raw Data'!AR502),"")</f>
        <v/>
      </c>
      <c r="P515" s="14">
        <f>IF('Raw Data'!A502&lt;&gt;"",AVERAGE('Raw Data'!AK502,'Raw Data'!AM502,'Raw Data'!AO502,'Raw Data'!AQ502,'Raw Data'!AS502),"")</f>
        <v/>
      </c>
      <c r="Q515" s="14">
        <f>IF(O515&lt;&gt;"",O515-P515,"")</f>
        <v/>
      </c>
      <c r="R515" s="14">
        <f>IF('Raw Data'!A502&lt;&gt;"",AVERAGE('Raw Data'!AT502,'Raw Data'!AV502,'Raw Data'!AX502,'Raw Data'!AZ502,'Raw Data'!BB502),"")</f>
        <v/>
      </c>
      <c r="S515" s="14">
        <f>IF('Raw Data'!A502&lt;&gt;"",AVERAGE('Raw Data'!AU502,'Raw Data'!AW502,'Raw Data'!AY502,'Raw Data'!BA502,'Raw Data'!BC502),"")</f>
        <v/>
      </c>
      <c r="T515" s="14">
        <f>IF(R515&lt;&gt;"",R515-S515,"")</f>
        <v/>
      </c>
      <c r="U515" s="14">
        <f>IF('Raw Data'!A502&lt;&gt;"",AVERAGE('Raw Data'!BD502,'Raw Data'!BF502,'Raw Data'!BH502,'Raw Data'!BJ502,'Raw Data'!BL502),"")</f>
        <v/>
      </c>
      <c r="V515" s="14">
        <f>IF('Raw Data'!A502&lt;&gt;"",AVERAGE('Raw Data'!BE502,'Raw Data'!BG502,'Raw Data'!BI502,'Raw Data'!BK502,'Raw Data'!BM502),"")</f>
        <v/>
      </c>
      <c r="W515" s="14">
        <f>IF(U515&lt;&gt;"",U515-V515,"")</f>
        <v/>
      </c>
      <c r="X515" s="14">
        <f>IF(A515&lt;&gt;"",AVERAGE(F515,I515,L515,O515,R515,U515),"")</f>
        <v/>
      </c>
      <c r="Y515" s="14">
        <f>IF(A515&lt;&gt;"",AVERAGE(G515,J515,M515,P515,S515,V515),"")</f>
        <v/>
      </c>
      <c r="Z515" s="14">
        <f>IF(A515&lt;&gt;"",X515-Y515,"")</f>
        <v/>
      </c>
      <c r="AA515" s="15">
        <f>IF(A515&lt;&gt;"",ROUND(MIN(100,100*((MAX(0,K515)*0.25)+(MAX(0,Q515)*0.20)+(MAX(0,W515)*0.20)+(MAX(0,H515)*0.15)+(MAX(0,N515)*0.10)+(MAX(0,T515)*0.10))/9),1),"")</f>
        <v/>
      </c>
      <c r="AB515" s="28">
        <f>IF(A515&lt;&gt;"",MIN(1,(0.5*AA515/100)+(0.3*MAX(0,K515)/9)+(0.2*MAX(0,Q515)/9)),"")</f>
        <v/>
      </c>
    </row>
    <row r="516">
      <c r="A516" s="13">
        <f>IF('Raw Data'!A503&lt;&gt;"",'Raw Data'!A503,"")</f>
        <v/>
      </c>
      <c r="B516" s="13">
        <f>IF('Raw Data'!B503&lt;&gt;"",'Raw Data'!B503,"")</f>
        <v/>
      </c>
      <c r="C516" s="13">
        <f>IF('Raw Data'!C503&lt;&gt;"",'Raw Data'!C503,"")</f>
        <v/>
      </c>
      <c r="D516" s="13">
        <f>IF('Raw Data'!D503&lt;&gt;"",'Raw Data'!D503,"")</f>
        <v/>
      </c>
      <c r="E516" s="13">
        <f>IF('Raw Data'!E503&lt;&gt;"",'Raw Data'!E503,"")</f>
        <v/>
      </c>
      <c r="F516" s="17">
        <f>IF('Raw Data'!A503&lt;&gt;"",AVERAGE('Raw Data'!F503,'Raw Data'!H503,'Raw Data'!J503,'Raw Data'!L503,'Raw Data'!N503),"")</f>
        <v/>
      </c>
      <c r="G516" s="17">
        <f>IF('Raw Data'!A503&lt;&gt;"",AVERAGE('Raw Data'!G503,'Raw Data'!I503,'Raw Data'!K503,'Raw Data'!M503,'Raw Data'!O503),"")</f>
        <v/>
      </c>
      <c r="H516" s="17">
        <f>IF(F516&lt;&gt;"",F516-G516,"")</f>
        <v/>
      </c>
      <c r="I516" s="17">
        <f>IF('Raw Data'!A503&lt;&gt;"",AVERAGE('Raw Data'!P503,'Raw Data'!R503,'Raw Data'!T503,'Raw Data'!V503,'Raw Data'!X503),"")</f>
        <v/>
      </c>
      <c r="J516" s="17">
        <f>IF('Raw Data'!A503&lt;&gt;"",AVERAGE('Raw Data'!Q503,'Raw Data'!S503,'Raw Data'!U503,'Raw Data'!W503,'Raw Data'!Y503),"")</f>
        <v/>
      </c>
      <c r="K516" s="17">
        <f>IF(I516&lt;&gt;"",I516-J516,"")</f>
        <v/>
      </c>
      <c r="L516" s="17">
        <f>IF('Raw Data'!A503&lt;&gt;"",AVERAGE('Raw Data'!Z503,'Raw Data'!AB503,'Raw Data'!AD503,'Raw Data'!AF503,'Raw Data'!AH503),"")</f>
        <v/>
      </c>
      <c r="M516" s="17">
        <f>IF('Raw Data'!A503&lt;&gt;"",AVERAGE('Raw Data'!AA503,'Raw Data'!AC503,'Raw Data'!AE503,'Raw Data'!AG503,'Raw Data'!AI503),"")</f>
        <v/>
      </c>
      <c r="N516" s="17">
        <f>IF(L516&lt;&gt;"",L516-M516,"")</f>
        <v/>
      </c>
      <c r="O516" s="17">
        <f>IF('Raw Data'!A503&lt;&gt;"",AVERAGE('Raw Data'!AJ503,'Raw Data'!AL503,'Raw Data'!AN503,'Raw Data'!AP503,'Raw Data'!AR503),"")</f>
        <v/>
      </c>
      <c r="P516" s="17">
        <f>IF('Raw Data'!A503&lt;&gt;"",AVERAGE('Raw Data'!AK503,'Raw Data'!AM503,'Raw Data'!AO503,'Raw Data'!AQ503,'Raw Data'!AS503),"")</f>
        <v/>
      </c>
      <c r="Q516" s="17">
        <f>IF(O516&lt;&gt;"",O516-P516,"")</f>
        <v/>
      </c>
      <c r="R516" s="17">
        <f>IF('Raw Data'!A503&lt;&gt;"",AVERAGE('Raw Data'!AT503,'Raw Data'!AV503,'Raw Data'!AX503,'Raw Data'!AZ503,'Raw Data'!BB503),"")</f>
        <v/>
      </c>
      <c r="S516" s="17">
        <f>IF('Raw Data'!A503&lt;&gt;"",AVERAGE('Raw Data'!AU503,'Raw Data'!AW503,'Raw Data'!AY503,'Raw Data'!BA503,'Raw Data'!BC503),"")</f>
        <v/>
      </c>
      <c r="T516" s="17">
        <f>IF(R516&lt;&gt;"",R516-S516,"")</f>
        <v/>
      </c>
      <c r="U516" s="17">
        <f>IF('Raw Data'!A503&lt;&gt;"",AVERAGE('Raw Data'!BD503,'Raw Data'!BF503,'Raw Data'!BH503,'Raw Data'!BJ503,'Raw Data'!BL503),"")</f>
        <v/>
      </c>
      <c r="V516" s="17">
        <f>IF('Raw Data'!A503&lt;&gt;"",AVERAGE('Raw Data'!BE503,'Raw Data'!BG503,'Raw Data'!BI503,'Raw Data'!BK503,'Raw Data'!BM503),"")</f>
        <v/>
      </c>
      <c r="W516" s="17">
        <f>IF(U516&lt;&gt;"",U516-V516,"")</f>
        <v/>
      </c>
      <c r="X516" s="17">
        <f>IF(A516&lt;&gt;"",AVERAGE(F516,I516,L516,O516,R516,U516),"")</f>
        <v/>
      </c>
      <c r="Y516" s="17">
        <f>IF(A516&lt;&gt;"",AVERAGE(G516,J516,M516,P516,S516,V516),"")</f>
        <v/>
      </c>
      <c r="Z516" s="17">
        <f>IF(A516&lt;&gt;"",X516-Y516,"")</f>
        <v/>
      </c>
      <c r="AA516" s="18">
        <f>IF(A516&lt;&gt;"",ROUND(MIN(100,100*((MAX(0,K516)*0.25)+(MAX(0,Q516)*0.20)+(MAX(0,W516)*0.20)+(MAX(0,H516)*0.15)+(MAX(0,N516)*0.10)+(MAX(0,T516)*0.10))/9),1),"")</f>
        <v/>
      </c>
      <c r="AB516" s="29">
        <f>IF(A516&lt;&gt;"",MIN(1,(0.5*AA516/100)+(0.3*MAX(0,K516)/9)+(0.2*MAX(0,Q516)/9)),"")</f>
        <v/>
      </c>
    </row>
  </sheetData>
  <mergeCells count="3">
    <mergeCell ref="A2:H2"/>
    <mergeCell ref="A15:R15"/>
    <mergeCell ref="A1:H1"/>
  </mergeCells>
  <conditionalFormatting sqref="F5:F10">
    <cfRule type="cellIs" priority="1" operator="equal" dxfId="0">
      <formula>"Healthy"</formula>
    </cfRule>
    <cfRule type="cellIs" priority="2" operator="equal" dxfId="1">
      <formula>"Watch"</formula>
    </cfRule>
    <cfRule type="cellIs" priority="3" operator="equal" dxfId="2">
      <formula>"Concern"</formula>
    </cfRule>
    <cfRule type="cellIs" priority="4" operator="equal" dxfId="3">
      <formula>"High Risk"</formula>
    </cfRule>
  </conditionalFormatting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R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 ht="38" customHeight="1">
      <c r="A1" s="30" t="inlineStr">
        <is>
          <t>Employee Experience Gap Analysis &amp; Retention Risk Assessment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2" customHeight="1">
      <c r="A2" s="32" t="inlineStr">
        <is>
          <t>Executive Dashboard  —  Key Metrics  •  Visual Analysis  •  Department View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</row>
    <row r="3" ht="6" customHeight="1"/>
    <row r="4" ht="26" customHeight="1">
      <c r="A4" s="34" t="inlineStr">
        <is>
          <t>Overall
Experience Index</t>
        </is>
      </c>
      <c r="B4" s="35" t="n"/>
      <c r="C4" s="35" t="n"/>
      <c r="D4" s="36" t="inlineStr">
        <is>
          <t>Retention
Risk Score</t>
        </is>
      </c>
      <c r="E4" s="37" t="n"/>
      <c r="F4" s="37" t="n"/>
      <c r="G4" s="38" t="inlineStr">
        <is>
          <t>Engagement
Score</t>
        </is>
      </c>
      <c r="H4" s="39" t="n"/>
      <c r="I4" s="39" t="n"/>
      <c r="J4" s="40" t="inlineStr">
        <is>
          <t>Largest
Gap</t>
        </is>
      </c>
      <c r="K4" s="41" t="n"/>
      <c r="L4" s="41" t="n"/>
      <c r="M4" s="34" t="inlineStr">
        <is>
          <t>Strongest
Dimension</t>
        </is>
      </c>
      <c r="N4" s="35" t="n"/>
      <c r="O4" s="35" t="n"/>
      <c r="P4" s="42" t="inlineStr">
        <is>
          <t>Total
Respondents</t>
        </is>
      </c>
      <c r="Q4" s="43" t="n"/>
      <c r="R4" s="43" t="n"/>
    </row>
    <row r="5" ht="38" customHeight="1">
      <c r="A5" s="44">
        <f>ROUND('Scoring Engine'!B11,1)</f>
        <v/>
      </c>
      <c r="B5" s="45" t="n"/>
      <c r="C5" s="45" t="n"/>
      <c r="D5" s="46">
        <f>ROUND('Scoring Engine'!B12,1)</f>
        <v/>
      </c>
      <c r="E5" s="45" t="n"/>
      <c r="F5" s="45" t="n"/>
      <c r="G5" s="47">
        <f>ROUND(('Scoring Engine'!E5+'Scoring Engine'!E6+'Scoring Engine'!E7+'Scoring Engine'!E8+'Scoring Engine'!E9+'Scoring Engine'!E10)/6,1)</f>
        <v/>
      </c>
      <c r="H5" s="45" t="n"/>
      <c r="I5" s="45" t="n"/>
      <c r="J5" s="48">
        <f>INDEX('Scoring Engine'!A5:A10,MATCH(MAX('Scoring Engine'!D5:D10),'Scoring Engine'!D5:D10,0))</f>
        <v/>
      </c>
      <c r="K5" s="45" t="n"/>
      <c r="L5" s="45" t="n"/>
      <c r="M5" s="44">
        <f>INDEX('Scoring Engine'!A5:A10,MATCH(MAX('Scoring Engine'!E5:E10),'Scoring Engine'!E5:E10,0))</f>
        <v/>
      </c>
      <c r="N5" s="45" t="n"/>
      <c r="O5" s="45" t="n"/>
      <c r="P5" s="49">
        <f>COUNTA('Raw Data'!A4:A53)</f>
        <v/>
      </c>
      <c r="Q5" s="45" t="n"/>
      <c r="R5" s="45" t="n"/>
    </row>
    <row r="6" ht="20" customHeight="1">
      <c r="A6" s="50" t="inlineStr">
        <is>
          <t>Weighted avg of 6 dimensions</t>
        </is>
      </c>
      <c r="B6" s="51" t="n"/>
      <c r="C6" s="51" t="n"/>
      <c r="D6" s="50" t="inlineStr">
        <is>
          <t>Higher = greater flight risk</t>
        </is>
      </c>
      <c r="E6" s="51" t="n"/>
      <c r="F6" s="51" t="n"/>
      <c r="G6" s="50" t="inlineStr">
        <is>
          <t>Avg health across dimensions</t>
        </is>
      </c>
      <c r="H6" s="51" t="n"/>
      <c r="I6" s="51" t="n"/>
      <c r="J6" s="50" t="inlineStr">
        <is>
          <t>Dimension needing attention</t>
        </is>
      </c>
      <c r="K6" s="51" t="n"/>
      <c r="L6" s="51" t="n"/>
      <c r="M6" s="50" t="inlineStr">
        <is>
          <t>Top-performing dimension</t>
        </is>
      </c>
      <c r="N6" s="51" t="n"/>
      <c r="O6" s="51" t="n"/>
      <c r="P6" s="50" t="inlineStr">
        <is>
          <t>Sample of 50</t>
        </is>
      </c>
      <c r="Q6" s="51" t="n"/>
      <c r="R6" s="51" t="n"/>
    </row>
    <row r="7" ht="8" customHeight="1"/>
    <row r="8" ht="28" customHeight="1">
      <c r="A8" s="52" t="inlineStr">
        <is>
          <t>1  Experience Profile  —  Promise vs Actual</t>
        </is>
      </c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</row>
    <row r="9">
      <c r="A9" s="3" t="inlineStr">
        <is>
          <t>Dimension</t>
        </is>
      </c>
      <c r="B9" s="3" t="inlineStr">
        <is>
          <t>Promise Avg</t>
        </is>
      </c>
      <c r="C9" s="3" t="inlineStr">
        <is>
          <t>Experience Avg</t>
        </is>
      </c>
    </row>
    <row r="10">
      <c r="A10" s="4" t="inlineStr">
        <is>
          <t>Job Fit</t>
        </is>
      </c>
      <c r="B10" s="14">
        <f>'Scoring Engine'!B5</f>
        <v/>
      </c>
      <c r="C10" s="14">
        <f>'Scoring Engine'!C5</f>
        <v/>
      </c>
    </row>
    <row r="11">
      <c r="A11" s="13" t="inlineStr">
        <is>
          <t>Manager Effectiveness</t>
        </is>
      </c>
      <c r="B11" s="17">
        <f>'Scoring Engine'!B6</f>
        <v/>
      </c>
      <c r="C11" s="17">
        <f>'Scoring Engine'!C6</f>
        <v/>
      </c>
    </row>
    <row r="12">
      <c r="A12" s="4" t="inlineStr">
        <is>
          <t>Team Collaboration</t>
        </is>
      </c>
      <c r="B12" s="14">
        <f>'Scoring Engine'!B7</f>
        <v/>
      </c>
      <c r="C12" s="14">
        <f>'Scoring Engine'!C7</f>
        <v/>
      </c>
    </row>
    <row r="13">
      <c r="A13" s="13" t="inlineStr">
        <is>
          <t>Workplace Culture</t>
        </is>
      </c>
      <c r="B13" s="17">
        <f>'Scoring Engine'!B8</f>
        <v/>
      </c>
      <c r="C13" s="17">
        <f>'Scoring Engine'!C8</f>
        <v/>
      </c>
    </row>
    <row r="14">
      <c r="A14" s="4" t="inlineStr">
        <is>
          <t>Innovation &amp; Empowerment</t>
        </is>
      </c>
      <c r="B14" s="14">
        <f>'Scoring Engine'!B9</f>
        <v/>
      </c>
      <c r="C14" s="14">
        <f>'Scoring Engine'!C9</f>
        <v/>
      </c>
    </row>
    <row r="15">
      <c r="A15" s="13" t="inlineStr">
        <is>
          <t>Rewards &amp; Growth</t>
        </is>
      </c>
      <c r="B15" s="17">
        <f>'Scoring Engine'!B10</f>
        <v/>
      </c>
      <c r="C15" s="17">
        <f>'Scoring Engine'!C10</f>
        <v/>
      </c>
    </row>
    <row r="16" ht="8" customHeight="1"/>
    <row r="17" ht="28" customHeight="1">
      <c r="A17" s="52" t="inlineStr">
        <is>
          <t>2  Gap Analysis Heat Map  —  All 30 Items by Dimension</t>
        </is>
      </c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</row>
    <row r="18">
      <c r="A18" s="3" t="inlineStr">
        <is>
          <t>Dimension</t>
        </is>
      </c>
      <c r="B18" s="3" t="inlineStr">
        <is>
          <t>Item 1</t>
        </is>
      </c>
      <c r="C18" s="3" t="inlineStr">
        <is>
          <t>Item 2</t>
        </is>
      </c>
      <c r="D18" s="3" t="inlineStr">
        <is>
          <t>Item 3</t>
        </is>
      </c>
      <c r="E18" s="3" t="inlineStr">
        <is>
          <t>Item 4</t>
        </is>
      </c>
      <c r="F18" s="3" t="inlineStr">
        <is>
          <t>Item 5</t>
        </is>
      </c>
    </row>
    <row r="19">
      <c r="A19" s="54" t="inlineStr">
        <is>
          <t>Job Fit</t>
        </is>
      </c>
      <c r="B19" s="14">
        <f>AVERAGE('Raw Data'!F4:F53)-AVERAGE('Raw Data'!G4:G53)</f>
        <v/>
      </c>
      <c r="C19" s="14">
        <f>AVERAGE('Raw Data'!H4:H53)-AVERAGE('Raw Data'!I4:I53)</f>
        <v/>
      </c>
      <c r="D19" s="14">
        <f>AVERAGE('Raw Data'!J4:J53)-AVERAGE('Raw Data'!K4:K53)</f>
        <v/>
      </c>
      <c r="E19" s="14">
        <f>AVERAGE('Raw Data'!L4:L53)-AVERAGE('Raw Data'!M4:M53)</f>
        <v/>
      </c>
      <c r="F19" s="14">
        <f>AVERAGE('Raw Data'!N4:N53)-AVERAGE('Raw Data'!O4:O53)</f>
        <v/>
      </c>
    </row>
    <row r="20">
      <c r="A20" s="55" t="inlineStr">
        <is>
          <t>Manager Effectiveness</t>
        </is>
      </c>
      <c r="B20" s="17">
        <f>AVERAGE('Raw Data'!P4:P53)-AVERAGE('Raw Data'!Q4:Q53)</f>
        <v/>
      </c>
      <c r="C20" s="17">
        <f>AVERAGE('Raw Data'!R4:R53)-AVERAGE('Raw Data'!S4:S53)</f>
        <v/>
      </c>
      <c r="D20" s="17">
        <f>AVERAGE('Raw Data'!T4:T53)-AVERAGE('Raw Data'!U4:U53)</f>
        <v/>
      </c>
      <c r="E20" s="17">
        <f>AVERAGE('Raw Data'!V4:V53)-AVERAGE('Raw Data'!W4:W53)</f>
        <v/>
      </c>
      <c r="F20" s="17">
        <f>AVERAGE('Raw Data'!X4:X53)-AVERAGE('Raw Data'!Y4:Y53)</f>
        <v/>
      </c>
    </row>
    <row r="21">
      <c r="A21" s="54" t="inlineStr">
        <is>
          <t>Team Collaboration</t>
        </is>
      </c>
      <c r="B21" s="14">
        <f>AVERAGE('Raw Data'!Z4:Z53)-AVERAGE('Raw Data'!AA4:AA53)</f>
        <v/>
      </c>
      <c r="C21" s="14">
        <f>AVERAGE('Raw Data'!AB4:AB53)-AVERAGE('Raw Data'!AC4:AC53)</f>
        <v/>
      </c>
      <c r="D21" s="14">
        <f>AVERAGE('Raw Data'!AD4:AD53)-AVERAGE('Raw Data'!AE4:AE53)</f>
        <v/>
      </c>
      <c r="E21" s="14">
        <f>AVERAGE('Raw Data'!AF4:AF53)-AVERAGE('Raw Data'!AG4:AG53)</f>
        <v/>
      </c>
      <c r="F21" s="14">
        <f>AVERAGE('Raw Data'!AH4:AH53)-AVERAGE('Raw Data'!AI4:AI53)</f>
        <v/>
      </c>
    </row>
    <row r="22">
      <c r="A22" s="55" t="inlineStr">
        <is>
          <t>Workplace Culture</t>
        </is>
      </c>
      <c r="B22" s="17">
        <f>AVERAGE('Raw Data'!AJ4:AJ53)-AVERAGE('Raw Data'!AK4:AK53)</f>
        <v/>
      </c>
      <c r="C22" s="17">
        <f>AVERAGE('Raw Data'!AL4:AL53)-AVERAGE('Raw Data'!AM4:AM53)</f>
        <v/>
      </c>
      <c r="D22" s="17">
        <f>AVERAGE('Raw Data'!AN4:AN53)-AVERAGE('Raw Data'!AO4:AO53)</f>
        <v/>
      </c>
      <c r="E22" s="17">
        <f>AVERAGE('Raw Data'!AP4:AP53)-AVERAGE('Raw Data'!AQ4:AQ53)</f>
        <v/>
      </c>
      <c r="F22" s="17">
        <f>AVERAGE('Raw Data'!AR4:AR53)-AVERAGE('Raw Data'!AS4:AS53)</f>
        <v/>
      </c>
    </row>
    <row r="23">
      <c r="A23" s="54" t="inlineStr">
        <is>
          <t>Innovation &amp; Empowerment</t>
        </is>
      </c>
      <c r="B23" s="14">
        <f>AVERAGE('Raw Data'!AT4:AT53)-AVERAGE('Raw Data'!AU4:AU53)</f>
        <v/>
      </c>
      <c r="C23" s="14">
        <f>AVERAGE('Raw Data'!AV4:AV53)-AVERAGE('Raw Data'!AW4:AW53)</f>
        <v/>
      </c>
      <c r="D23" s="14">
        <f>AVERAGE('Raw Data'!AX4:AX53)-AVERAGE('Raw Data'!AY4:AY53)</f>
        <v/>
      </c>
      <c r="E23" s="14">
        <f>AVERAGE('Raw Data'!AZ4:AZ53)-AVERAGE('Raw Data'!BA4:BA53)</f>
        <v/>
      </c>
      <c r="F23" s="14">
        <f>AVERAGE('Raw Data'!BB4:BB53)-AVERAGE('Raw Data'!BC4:BC53)</f>
        <v/>
      </c>
    </row>
    <row r="24">
      <c r="A24" s="55" t="inlineStr">
        <is>
          <t>Rewards &amp; Growth</t>
        </is>
      </c>
      <c r="B24" s="17">
        <f>AVERAGE('Raw Data'!BD4:BD53)-AVERAGE('Raw Data'!BE4:BE53)</f>
        <v/>
      </c>
      <c r="C24" s="17">
        <f>AVERAGE('Raw Data'!BF4:BF53)-AVERAGE('Raw Data'!BG4:BG53)</f>
        <v/>
      </c>
      <c r="D24" s="17">
        <f>AVERAGE('Raw Data'!BH4:BH53)-AVERAGE('Raw Data'!BI4:BI53)</f>
        <v/>
      </c>
      <c r="E24" s="17">
        <f>AVERAGE('Raw Data'!BJ4:BJ53)-AVERAGE('Raw Data'!BK4:BK53)</f>
        <v/>
      </c>
      <c r="F24" s="17">
        <f>AVERAGE('Raw Data'!BL4:BL53)-AVERAGE('Raw Data'!BM4:BM53)</f>
        <v/>
      </c>
    </row>
    <row r="25" ht="22" customHeight="1">
      <c r="A25" s="56" t="inlineStr">
        <is>
          <t>&lt; 1.0 Healthy   |   1.0 - 2.0 Watch   |   2.0 - 3.0 Concern   |   &gt; 3.0 High Risk</t>
        </is>
      </c>
    </row>
    <row r="26" ht="8" customHeight="1"/>
    <row r="27" ht="28" customHeight="1">
      <c r="A27" s="52" t="inlineStr">
        <is>
          <t>3  Risk Matrix  —  Gap vs Importance by Dimension</t>
        </is>
      </c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</row>
    <row r="28">
      <c r="A28" s="3" t="inlineStr">
        <is>
          <t>Dimension</t>
        </is>
      </c>
      <c r="B28" s="3" t="inlineStr">
        <is>
          <t>Gap Size</t>
        </is>
      </c>
      <c r="C28" s="3" t="inlineStr">
        <is>
          <t>Weight</t>
        </is>
      </c>
      <c r="D28" s="3" t="inlineStr">
        <is>
          <t>Risk Score</t>
        </is>
      </c>
    </row>
    <row r="29">
      <c r="A29" s="4" t="inlineStr">
        <is>
          <t>Job Fit</t>
        </is>
      </c>
      <c r="B29" s="14">
        <f>'Scoring Engine'!D5</f>
        <v/>
      </c>
      <c r="C29" s="16" t="n">
        <v>0.2</v>
      </c>
      <c r="D29" s="15">
        <f>B29*C29*100</f>
        <v/>
      </c>
      <c r="E29" s="57" t="n">
        <v>20</v>
      </c>
      <c r="F29" s="10">
        <f>A29</f>
        <v/>
      </c>
    </row>
    <row r="30">
      <c r="A30" s="13" t="inlineStr">
        <is>
          <t>Manager Effectiveness</t>
        </is>
      </c>
      <c r="B30" s="17">
        <f>'Scoring Engine'!D6</f>
        <v/>
      </c>
      <c r="C30" s="19" t="n">
        <v>0.2</v>
      </c>
      <c r="D30" s="18">
        <f>B30*C30*100</f>
        <v/>
      </c>
      <c r="E30" s="57" t="n">
        <v>20</v>
      </c>
      <c r="F30" s="10">
        <f>A30</f>
        <v/>
      </c>
    </row>
    <row r="31">
      <c r="A31" s="4" t="inlineStr">
        <is>
          <t>Team Collaboration</t>
        </is>
      </c>
      <c r="B31" s="14">
        <f>'Scoring Engine'!D7</f>
        <v/>
      </c>
      <c r="C31" s="16" t="n">
        <v>0.15</v>
      </c>
      <c r="D31" s="15">
        <f>B31*C31*100</f>
        <v/>
      </c>
      <c r="E31" s="57" t="n">
        <v>15</v>
      </c>
      <c r="F31" s="10">
        <f>A31</f>
        <v/>
      </c>
    </row>
    <row r="32">
      <c r="A32" s="13" t="inlineStr">
        <is>
          <t>Workplace Culture</t>
        </is>
      </c>
      <c r="B32" s="17">
        <f>'Scoring Engine'!D8</f>
        <v/>
      </c>
      <c r="C32" s="19" t="n">
        <v>0.15</v>
      </c>
      <c r="D32" s="18">
        <f>B32*C32*100</f>
        <v/>
      </c>
      <c r="E32" s="57" t="n">
        <v>15</v>
      </c>
      <c r="F32" s="10">
        <f>A32</f>
        <v/>
      </c>
    </row>
    <row r="33">
      <c r="A33" s="4" t="inlineStr">
        <is>
          <t>Innovation &amp; Empowerment</t>
        </is>
      </c>
      <c r="B33" s="14">
        <f>'Scoring Engine'!D9</f>
        <v/>
      </c>
      <c r="C33" s="16" t="n">
        <v>0.15</v>
      </c>
      <c r="D33" s="15">
        <f>B33*C33*100</f>
        <v/>
      </c>
      <c r="E33" s="57" t="n">
        <v>15</v>
      </c>
      <c r="F33" s="10">
        <f>A33</f>
        <v/>
      </c>
    </row>
    <row r="34">
      <c r="A34" s="13" t="inlineStr">
        <is>
          <t>Rewards &amp; Growth</t>
        </is>
      </c>
      <c r="B34" s="17">
        <f>'Scoring Engine'!D10</f>
        <v/>
      </c>
      <c r="C34" s="19" t="n">
        <v>0.15</v>
      </c>
      <c r="D34" s="18">
        <f>B34*C34*100</f>
        <v/>
      </c>
      <c r="E34" s="57" t="n">
        <v>15</v>
      </c>
      <c r="F34" s="10">
        <f>A34</f>
        <v/>
      </c>
    </row>
    <row r="43" ht="8" customHeight="1"/>
    <row r="44" ht="28" customHeight="1">
      <c r="A44" s="52" t="inlineStr">
        <is>
          <t>4  Department Comparison  —  Filterable Dimension Scores</t>
        </is>
      </c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</row>
    <row r="45">
      <c r="A45" s="58" t="inlineStr">
        <is>
          <t>Filter: Department</t>
        </is>
      </c>
      <c r="B45" s="59" t="inlineStr">
        <is>
          <t>All</t>
        </is>
      </c>
    </row>
    <row r="47">
      <c r="A47" s="3" t="inlineStr">
        <is>
          <t>Dimension</t>
        </is>
      </c>
      <c r="B47" s="3" t="inlineStr">
        <is>
          <t>Avg Promise</t>
        </is>
      </c>
      <c r="C47" s="3" t="inlineStr">
        <is>
          <t>Avg Experience</t>
        </is>
      </c>
      <c r="D47" s="3" t="inlineStr">
        <is>
          <t>Gap</t>
        </is>
      </c>
      <c r="E47" s="3" t="inlineStr">
        <is>
          <t>Health Score</t>
        </is>
      </c>
    </row>
    <row r="48">
      <c r="A48" s="54" t="inlineStr">
        <is>
          <t>Job Fit</t>
        </is>
      </c>
      <c r="B48" s="14">
        <f>(IF($B$45="All",AVERAGE('Raw Data'!F$4:F$53),AVERAGEIF('Raw Data'!$B$4:$B$53,$B$45,'Raw Data'!F$4:F$53))+IF($B$45="All",AVERAGE('Raw Data'!H$4:H$53),AVERAGEIF('Raw Data'!$B$4:$B$53,$B$45,'Raw Data'!H$4:H$53))+IF($B$45="All",AVERAGE('Raw Data'!J$4:J$53),AVERAGEIF('Raw Data'!$B$4:$B$53,$B$45,'Raw Data'!J$4:J$53))+IF($B$45="All",AVERAGE('Raw Data'!L$4:L$53),AVERAGEIF('Raw Data'!$B$4:$B$53,$B$45,'Raw Data'!L$4:L$53))+IF($B$45="All",AVERAGE('Raw Data'!N$4:N$53),AVERAGEIF('Raw Data'!$B$4:$B$53,$B$45,'Raw Data'!N$4:N$53)))/5</f>
        <v/>
      </c>
      <c r="C48" s="14">
        <f>(IF($B$45="All",AVERAGE('Raw Data'!G$4:G$53),AVERAGEIF('Raw Data'!$B$4:$B$53,$B$45,'Raw Data'!G$4:G$53))+IF($B$45="All",AVERAGE('Raw Data'!I$4:I$53),AVERAGEIF('Raw Data'!$B$4:$B$53,$B$45,'Raw Data'!I$4:I$53))+IF($B$45="All",AVERAGE('Raw Data'!K$4:K$53),AVERAGEIF('Raw Data'!$B$4:$B$53,$B$45,'Raw Data'!K$4:K$53))+IF($B$45="All",AVERAGE('Raw Data'!M$4:M$53),AVERAGEIF('Raw Data'!$B$4:$B$53,$B$45,'Raw Data'!M$4:M$53))+IF($B$45="All",AVERAGE('Raw Data'!O$4:O$53),AVERAGEIF('Raw Data'!$B$4:$B$53,$B$45,'Raw Data'!O$4:O$53)))/5</f>
        <v/>
      </c>
      <c r="D48" s="14">
        <f>B48-C48</f>
        <v/>
      </c>
      <c r="E48" s="15">
        <f>MAX(0,MIN(100,100-D48*20))</f>
        <v/>
      </c>
    </row>
    <row r="49">
      <c r="A49" s="55" t="inlineStr">
        <is>
          <t>Manager Effectiveness</t>
        </is>
      </c>
      <c r="B49" s="17">
        <f>(IF($B$45="All",AVERAGE('Raw Data'!P$4:P$53),AVERAGEIF('Raw Data'!$B$4:$B$53,$B$45,'Raw Data'!P$4:P$53))+IF($B$45="All",AVERAGE('Raw Data'!R$4:R$53),AVERAGEIF('Raw Data'!$B$4:$B$53,$B$45,'Raw Data'!R$4:R$53))+IF($B$45="All",AVERAGE('Raw Data'!T$4:T$53),AVERAGEIF('Raw Data'!$B$4:$B$53,$B$45,'Raw Data'!T$4:T$53))+IF($B$45="All",AVERAGE('Raw Data'!V$4:V$53),AVERAGEIF('Raw Data'!$B$4:$B$53,$B$45,'Raw Data'!V$4:V$53))+IF($B$45="All",AVERAGE('Raw Data'!X$4:X$53),AVERAGEIF('Raw Data'!$B$4:$B$53,$B$45,'Raw Data'!X$4:X$53)))/5</f>
        <v/>
      </c>
      <c r="C49" s="17">
        <f>(IF($B$45="All",AVERAGE('Raw Data'!Q$4:Q$53),AVERAGEIF('Raw Data'!$B$4:$B$53,$B$45,'Raw Data'!Q$4:Q$53))+IF($B$45="All",AVERAGE('Raw Data'!S$4:S$53),AVERAGEIF('Raw Data'!$B$4:$B$53,$B$45,'Raw Data'!S$4:S$53))+IF($B$45="All",AVERAGE('Raw Data'!U$4:U$53),AVERAGEIF('Raw Data'!$B$4:$B$53,$B$45,'Raw Data'!U$4:U$53))+IF($B$45="All",AVERAGE('Raw Data'!W$4:W$53),AVERAGEIF('Raw Data'!$B$4:$B$53,$B$45,'Raw Data'!W$4:W$53))+IF($B$45="All",AVERAGE('Raw Data'!Y$4:Y$53),AVERAGEIF('Raw Data'!$B$4:$B$53,$B$45,'Raw Data'!Y$4:Y$53)))/5</f>
        <v/>
      </c>
      <c r="D49" s="17">
        <f>B49-C49</f>
        <v/>
      </c>
      <c r="E49" s="18">
        <f>MAX(0,MIN(100,100-D49*20))</f>
        <v/>
      </c>
    </row>
    <row r="50">
      <c r="A50" s="54" t="inlineStr">
        <is>
          <t>Team Collaboration</t>
        </is>
      </c>
      <c r="B50" s="14">
        <f>(IF($B$45="All",AVERAGE('Raw Data'!Z$4:Z$53),AVERAGEIF('Raw Data'!$B$4:$B$53,$B$45,'Raw Data'!Z$4:Z$53))+IF($B$45="All",AVERAGE('Raw Data'!AB$4:AB$53),AVERAGEIF('Raw Data'!$B$4:$B$53,$B$45,'Raw Data'!AB$4:AB$53))+IF($B$45="All",AVERAGE('Raw Data'!AD$4:AD$53),AVERAGEIF('Raw Data'!$B$4:$B$53,$B$45,'Raw Data'!AD$4:AD$53))+IF($B$45="All",AVERAGE('Raw Data'!AF$4:AF$53),AVERAGEIF('Raw Data'!$B$4:$B$53,$B$45,'Raw Data'!AF$4:AF$53))+IF($B$45="All",AVERAGE('Raw Data'!AH$4:AH$53),AVERAGEIF('Raw Data'!$B$4:$B$53,$B$45,'Raw Data'!AH$4:AH$53)))/5</f>
        <v/>
      </c>
      <c r="C50" s="14">
        <f>(IF($B$45="All",AVERAGE('Raw Data'!AA$4:AA$53),AVERAGEIF('Raw Data'!$B$4:$B$53,$B$45,'Raw Data'!AA$4:AA$53))+IF($B$45="All",AVERAGE('Raw Data'!AC$4:AC$53),AVERAGEIF('Raw Data'!$B$4:$B$53,$B$45,'Raw Data'!AC$4:AC$53))+IF($B$45="All",AVERAGE('Raw Data'!AE$4:AE$53),AVERAGEIF('Raw Data'!$B$4:$B$53,$B$45,'Raw Data'!AE$4:AE$53))+IF($B$45="All",AVERAGE('Raw Data'!AG$4:AG$53),AVERAGEIF('Raw Data'!$B$4:$B$53,$B$45,'Raw Data'!AG$4:AG$53))+IF($B$45="All",AVERAGE('Raw Data'!AI$4:AI$53),AVERAGEIF('Raw Data'!$B$4:$B$53,$B$45,'Raw Data'!AI$4:AI$53)))/5</f>
        <v/>
      </c>
      <c r="D50" s="14">
        <f>B50-C50</f>
        <v/>
      </c>
      <c r="E50" s="15">
        <f>MAX(0,MIN(100,100-D50*20))</f>
        <v/>
      </c>
    </row>
    <row r="51">
      <c r="A51" s="55" t="inlineStr">
        <is>
          <t>Workplace Culture</t>
        </is>
      </c>
      <c r="B51" s="17">
        <f>(IF($B$45="All",AVERAGE('Raw Data'!AJ$4:AJ$53),AVERAGEIF('Raw Data'!$B$4:$B$53,$B$45,'Raw Data'!AJ$4:AJ$53))+IF($B$45="All",AVERAGE('Raw Data'!AL$4:AL$53),AVERAGEIF('Raw Data'!$B$4:$B$53,$B$45,'Raw Data'!AL$4:AL$53))+IF($B$45="All",AVERAGE('Raw Data'!AN$4:AN$53),AVERAGEIF('Raw Data'!$B$4:$B$53,$B$45,'Raw Data'!AN$4:AN$53))+IF($B$45="All",AVERAGE('Raw Data'!AP$4:AP$53),AVERAGEIF('Raw Data'!$B$4:$B$53,$B$45,'Raw Data'!AP$4:AP$53))+IF($B$45="All",AVERAGE('Raw Data'!AR$4:AR$53),AVERAGEIF('Raw Data'!$B$4:$B$53,$B$45,'Raw Data'!AR$4:AR$53)))/5</f>
        <v/>
      </c>
      <c r="C51" s="17">
        <f>(IF($B$45="All",AVERAGE('Raw Data'!AK$4:AK$53),AVERAGEIF('Raw Data'!$B$4:$B$53,$B$45,'Raw Data'!AK$4:AK$53))+IF($B$45="All",AVERAGE('Raw Data'!AM$4:AM$53),AVERAGEIF('Raw Data'!$B$4:$B$53,$B$45,'Raw Data'!AM$4:AM$53))+IF($B$45="All",AVERAGE('Raw Data'!AO$4:AO$53),AVERAGEIF('Raw Data'!$B$4:$B$53,$B$45,'Raw Data'!AO$4:AO$53))+IF($B$45="All",AVERAGE('Raw Data'!AQ$4:AQ$53),AVERAGEIF('Raw Data'!$B$4:$B$53,$B$45,'Raw Data'!AQ$4:AQ$53))+IF($B$45="All",AVERAGE('Raw Data'!AS$4:AS$53),AVERAGEIF('Raw Data'!$B$4:$B$53,$B$45,'Raw Data'!AS$4:AS$53)))/5</f>
        <v/>
      </c>
      <c r="D51" s="17">
        <f>B51-C51</f>
        <v/>
      </c>
      <c r="E51" s="18">
        <f>MAX(0,MIN(100,100-D51*20))</f>
        <v/>
      </c>
    </row>
    <row r="52">
      <c r="A52" s="54" t="inlineStr">
        <is>
          <t>Innovation &amp; Empowerment</t>
        </is>
      </c>
      <c r="B52" s="14">
        <f>(IF($B$45="All",AVERAGE('Raw Data'!AT$4:AT$53),AVERAGEIF('Raw Data'!$B$4:$B$53,$B$45,'Raw Data'!AT$4:AT$53))+IF($B$45="All",AVERAGE('Raw Data'!AV$4:AV$53),AVERAGEIF('Raw Data'!$B$4:$B$53,$B$45,'Raw Data'!AV$4:AV$53))+IF($B$45="All",AVERAGE('Raw Data'!AX$4:AX$53),AVERAGEIF('Raw Data'!$B$4:$B$53,$B$45,'Raw Data'!AX$4:AX$53))+IF($B$45="All",AVERAGE('Raw Data'!AZ$4:AZ$53),AVERAGEIF('Raw Data'!$B$4:$B$53,$B$45,'Raw Data'!AZ$4:AZ$53))+IF($B$45="All",AVERAGE('Raw Data'!BB$4:BB$53),AVERAGEIF('Raw Data'!$B$4:$B$53,$B$45,'Raw Data'!BB$4:BB$53)))/5</f>
        <v/>
      </c>
      <c r="C52" s="14">
        <f>(IF($B$45="All",AVERAGE('Raw Data'!AU$4:AU$53),AVERAGEIF('Raw Data'!$B$4:$B$53,$B$45,'Raw Data'!AU$4:AU$53))+IF($B$45="All",AVERAGE('Raw Data'!AW$4:AW$53),AVERAGEIF('Raw Data'!$B$4:$B$53,$B$45,'Raw Data'!AW$4:AW$53))+IF($B$45="All",AVERAGE('Raw Data'!AY$4:AY$53),AVERAGEIF('Raw Data'!$B$4:$B$53,$B$45,'Raw Data'!AY$4:AY$53))+IF($B$45="All",AVERAGE('Raw Data'!BA$4:BA$53),AVERAGEIF('Raw Data'!$B$4:$B$53,$B$45,'Raw Data'!BA$4:BA$53))+IF($B$45="All",AVERAGE('Raw Data'!BC$4:BC$53),AVERAGEIF('Raw Data'!$B$4:$B$53,$B$45,'Raw Data'!BC$4:BC$53)))/5</f>
        <v/>
      </c>
      <c r="D52" s="14">
        <f>B52-C52</f>
        <v/>
      </c>
      <c r="E52" s="15">
        <f>MAX(0,MIN(100,100-D52*20))</f>
        <v/>
      </c>
    </row>
    <row r="53">
      <c r="A53" s="55" t="inlineStr">
        <is>
          <t>Rewards &amp; Growth</t>
        </is>
      </c>
      <c r="B53" s="17">
        <f>(IF($B$45="All",AVERAGE('Raw Data'!BD$4:BD$53),AVERAGEIF('Raw Data'!$B$4:$B$53,$B$45,'Raw Data'!BD$4:BD$53))+IF($B$45="All",AVERAGE('Raw Data'!BF$4:BF$53),AVERAGEIF('Raw Data'!$B$4:$B$53,$B$45,'Raw Data'!BF$4:BF$53))+IF($B$45="All",AVERAGE('Raw Data'!BH$4:BH$53),AVERAGEIF('Raw Data'!$B$4:$B$53,$B$45,'Raw Data'!BH$4:BH$53))+IF($B$45="All",AVERAGE('Raw Data'!BJ$4:BJ$53),AVERAGEIF('Raw Data'!$B$4:$B$53,$B$45,'Raw Data'!BJ$4:BJ$53))+IF($B$45="All",AVERAGE('Raw Data'!BL$4:BL$53),AVERAGEIF('Raw Data'!$B$4:$B$53,$B$45,'Raw Data'!BL$4:BL$53)))/5</f>
        <v/>
      </c>
      <c r="C53" s="17">
        <f>(IF($B$45="All",AVERAGE('Raw Data'!BE$4:BE$53),AVERAGEIF('Raw Data'!$B$4:$B$53,$B$45,'Raw Data'!BE$4:BE$53))+IF($B$45="All",AVERAGE('Raw Data'!BG$4:BG$53),AVERAGEIF('Raw Data'!$B$4:$B$53,$B$45,'Raw Data'!BG$4:BG$53))+IF($B$45="All",AVERAGE('Raw Data'!BI$4:BI$53),AVERAGEIF('Raw Data'!$B$4:$B$53,$B$45,'Raw Data'!BI$4:BI$53))+IF($B$45="All",AVERAGE('Raw Data'!BK$4:BK$53),AVERAGEIF('Raw Data'!$B$4:$B$53,$B$45,'Raw Data'!BK$4:BK$53))+IF($B$45="All",AVERAGE('Raw Data'!BM$4:BM$53),AVERAGEIF('Raw Data'!$B$4:$B$53,$B$45,'Raw Data'!BM$4:BM$53)))/5</f>
        <v/>
      </c>
      <c r="D53" s="17">
        <f>B53-C53</f>
        <v/>
      </c>
      <c r="E53" s="18">
        <f>MAX(0,MIN(100,100-D53*20))</f>
        <v/>
      </c>
    </row>
  </sheetData>
  <mergeCells count="25">
    <mergeCell ref="J6:L6"/>
    <mergeCell ref="G6:I6"/>
    <mergeCell ref="J4:L4"/>
    <mergeCell ref="A27:R27"/>
    <mergeCell ref="M6:O6"/>
    <mergeCell ref="A5:C5"/>
    <mergeCell ref="G5:I5"/>
    <mergeCell ref="A2:R2"/>
    <mergeCell ref="D4:F4"/>
    <mergeCell ref="G4:I4"/>
    <mergeCell ref="A17:R17"/>
    <mergeCell ref="A4:C4"/>
    <mergeCell ref="A8:R8"/>
    <mergeCell ref="D5:F5"/>
    <mergeCell ref="P5:R5"/>
    <mergeCell ref="M4:O4"/>
    <mergeCell ref="A44:R44"/>
    <mergeCell ref="P4:R4"/>
    <mergeCell ref="J5:L5"/>
    <mergeCell ref="A6:C6"/>
    <mergeCell ref="M5:O5"/>
    <mergeCell ref="A1:R1"/>
    <mergeCell ref="D6:F6"/>
    <mergeCell ref="P6:R6"/>
    <mergeCell ref="A25:F25"/>
  </mergeCells>
  <conditionalFormatting sqref="B19:F24">
    <cfRule type="colorScale" priority="1">
      <colorScale>
        <cfvo type="num" val="0"/>
        <cfvo type="num" val="1.5"/>
        <cfvo type="num" val="3.5"/>
        <color rgb="0000B050"/>
        <color rgb="00FFC000"/>
        <color rgb="00C00000"/>
      </colorScale>
    </cfRule>
  </conditionalFormatting>
  <conditionalFormatting sqref="D48:D53">
    <cfRule type="colorScale" priority="2">
      <colorScale>
        <cfvo type="num" val="0"/>
        <cfvo type="num" val="1.5"/>
        <cfvo type="num" val="3.5"/>
        <color rgb="0000B050"/>
        <color rgb="00FFC000"/>
        <color rgb="00C00000"/>
      </colorScale>
    </cfRule>
  </conditionalFormatting>
  <dataValidations count="1">
    <dataValidation sqref="B45" showDropDown="0" showInputMessage="0" showErrorMessage="0" allowBlank="1" promptTitle="Department Filter" prompt="Select a department to filter the table below" type="list">
      <formula1>"All,Engineering,Marketing,Sales,Human Resources,Finance,Operations"</formula1>
    </dataValidation>
  </dataValidation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1" ht="28" customHeight="1">
      <c r="A1" s="11" t="inlineStr">
        <is>
          <t>Cronbach's Alpha -- Internal Consistency Reliability</t>
        </is>
      </c>
    </row>
    <row r="2">
      <c r="A2" s="2" t="inlineStr">
        <is>
          <t>Target: alpha &gt;= 0.70. All calculations use VAR (sample variance) and native Excel formulas.</t>
        </is>
      </c>
    </row>
    <row r="4">
      <c r="A4" s="3" t="inlineStr">
        <is>
          <t>Dimension</t>
        </is>
      </c>
      <c r="B4" s="3" t="inlineStr">
        <is>
          <t># Items (k)</t>
        </is>
      </c>
      <c r="C4" s="3" t="inlineStr">
        <is>
          <t>Sum Item Variances</t>
        </is>
      </c>
      <c r="D4" s="3" t="inlineStr">
        <is>
          <t>Total Score Variance</t>
        </is>
      </c>
      <c r="E4" s="3" t="inlineStr">
        <is>
          <t>Cronbach's alpha</t>
        </is>
      </c>
      <c r="F4" s="3" t="inlineStr">
        <is>
          <t>Interpretation</t>
        </is>
      </c>
    </row>
    <row r="5">
      <c r="A5" s="4" t="inlineStr">
        <is>
          <t>Job Fit</t>
        </is>
      </c>
      <c r="B5" s="4" t="n">
        <v>5</v>
      </c>
      <c r="C5" s="60">
        <f>SUM(VAR('Raw Data'!G4:G53),VAR('Raw Data'!I4:I53),VAR('Raw Data'!K4:K53),VAR('Raw Data'!M4:M53),VAR('Raw Data'!O4:O53))</f>
        <v/>
      </c>
      <c r="D5" s="60">
        <f>VAR(G105:G154)</f>
        <v/>
      </c>
      <c r="E5" s="60">
        <f>(B5/(B5-1))*(1-C5/D5)</f>
        <v/>
      </c>
      <c r="F5" s="4">
        <f>IF(E5&gt;=0.9,"Excellent",IF(E5&gt;=0.8,"Good",IF(E5&gt;=0.7,"Acceptable",IF(E5&gt;=0.6,"Questionable",IF(E5&gt;=0.5,"Poor","Unacceptable")))))</f>
        <v/>
      </c>
    </row>
    <row r="6">
      <c r="A6" s="13" t="inlineStr">
        <is>
          <t>Manager Effectiveness</t>
        </is>
      </c>
      <c r="B6" s="13" t="n">
        <v>5</v>
      </c>
      <c r="C6" s="61">
        <f>SUM(VAR('Raw Data'!Q4:Q53),VAR('Raw Data'!S4:S53),VAR('Raw Data'!U4:U53),VAR('Raw Data'!W4:W53),VAR('Raw Data'!Y4:Y53))</f>
        <v/>
      </c>
      <c r="D6" s="61">
        <f>VAR(G155:G204)</f>
        <v/>
      </c>
      <c r="E6" s="61">
        <f>(B6/(B6-1))*(1-C6/D6)</f>
        <v/>
      </c>
      <c r="F6" s="13">
        <f>IF(E6&gt;=0.9,"Excellent",IF(E6&gt;=0.8,"Good",IF(E6&gt;=0.7,"Acceptable",IF(E6&gt;=0.6,"Questionable",IF(E6&gt;=0.5,"Poor","Unacceptable")))))</f>
        <v/>
      </c>
    </row>
    <row r="7">
      <c r="A7" s="4" t="inlineStr">
        <is>
          <t>Team Collaboration</t>
        </is>
      </c>
      <c r="B7" s="4" t="n">
        <v>5</v>
      </c>
      <c r="C7" s="60">
        <f>SUM(VAR('Raw Data'!AA4:AA53),VAR('Raw Data'!AC4:AC53),VAR('Raw Data'!AE4:AE53),VAR('Raw Data'!AG4:AG53),VAR('Raw Data'!AI4:AI53))</f>
        <v/>
      </c>
      <c r="D7" s="60">
        <f>VAR(G205:G254)</f>
        <v/>
      </c>
      <c r="E7" s="60">
        <f>(B7/(B7-1))*(1-C7/D7)</f>
        <v/>
      </c>
      <c r="F7" s="4">
        <f>IF(E7&gt;=0.9,"Excellent",IF(E7&gt;=0.8,"Good",IF(E7&gt;=0.7,"Acceptable",IF(E7&gt;=0.6,"Questionable",IF(E7&gt;=0.5,"Poor","Unacceptable")))))</f>
        <v/>
      </c>
    </row>
    <row r="8">
      <c r="A8" s="13" t="inlineStr">
        <is>
          <t>Workplace Culture</t>
        </is>
      </c>
      <c r="B8" s="13" t="n">
        <v>5</v>
      </c>
      <c r="C8" s="61">
        <f>SUM(VAR('Raw Data'!AK4:AK53),VAR('Raw Data'!AM4:AM53),VAR('Raw Data'!AO4:AO53),VAR('Raw Data'!AQ4:AQ53),VAR('Raw Data'!AS4:AS53))</f>
        <v/>
      </c>
      <c r="D8" s="61">
        <f>VAR(G255:G304)</f>
        <v/>
      </c>
      <c r="E8" s="61">
        <f>(B8/(B8-1))*(1-C8/D8)</f>
        <v/>
      </c>
      <c r="F8" s="13">
        <f>IF(E8&gt;=0.9,"Excellent",IF(E8&gt;=0.8,"Good",IF(E8&gt;=0.7,"Acceptable",IF(E8&gt;=0.6,"Questionable",IF(E8&gt;=0.5,"Poor","Unacceptable")))))</f>
        <v/>
      </c>
    </row>
    <row r="9">
      <c r="A9" s="4" t="inlineStr">
        <is>
          <t>Innovation &amp; Empowerment</t>
        </is>
      </c>
      <c r="B9" s="4" t="n">
        <v>5</v>
      </c>
      <c r="C9" s="60">
        <f>SUM(VAR('Raw Data'!AU4:AU53),VAR('Raw Data'!AW4:AW53),VAR('Raw Data'!AY4:AY53),VAR('Raw Data'!BA4:BA53),VAR('Raw Data'!BC4:BC53))</f>
        <v/>
      </c>
      <c r="D9" s="60">
        <f>VAR(G305:G354)</f>
        <v/>
      </c>
      <c r="E9" s="60">
        <f>(B9/(B9-1))*(1-C9/D9)</f>
        <v/>
      </c>
      <c r="F9" s="4">
        <f>IF(E9&gt;=0.9,"Excellent",IF(E9&gt;=0.8,"Good",IF(E9&gt;=0.7,"Acceptable",IF(E9&gt;=0.6,"Questionable",IF(E9&gt;=0.5,"Poor","Unacceptable")))))</f>
        <v/>
      </c>
    </row>
    <row r="10">
      <c r="A10" s="13" t="inlineStr">
        <is>
          <t>Rewards &amp; Growth</t>
        </is>
      </c>
      <c r="B10" s="13" t="n">
        <v>5</v>
      </c>
      <c r="C10" s="61">
        <f>SUM(VAR('Raw Data'!BE4:BE53),VAR('Raw Data'!BG4:BG53),VAR('Raw Data'!BI4:BI53),VAR('Raw Data'!BK4:BK53),VAR('Raw Data'!BM4:BM53))</f>
        <v/>
      </c>
      <c r="D10" s="61">
        <f>VAR(G355:G404)</f>
        <v/>
      </c>
      <c r="E10" s="61">
        <f>(B10/(B10-1))*(1-C10/D10)</f>
        <v/>
      </c>
      <c r="F10" s="13">
        <f>IF(E10&gt;=0.9,"Excellent",IF(E10&gt;=0.8,"Good",IF(E10&gt;=0.7,"Acceptable",IF(E10&gt;=0.6,"Questionable",IF(E10&gt;=0.5,"Poor","Unacceptable")))))</f>
        <v/>
      </c>
    </row>
    <row r="12">
      <c r="A12" s="10" t="inlineStr">
        <is>
          <t>Cronbach's Alpha measures internal consistency: how closely related the items are as a group. alpha &gt;= 0.70 is the research standard for acceptable reliability.</t>
        </is>
      </c>
    </row>
    <row r="105">
      <c r="G105">
        <f>SUM('Raw Data'!G4+'Raw Data'!I4+'Raw Data'!K4+'Raw Data'!M4+'Raw Data'!O4)</f>
        <v/>
      </c>
    </row>
    <row r="106">
      <c r="G106">
        <f>SUM('Raw Data'!G5+'Raw Data'!I5+'Raw Data'!K5+'Raw Data'!M5+'Raw Data'!O5)</f>
        <v/>
      </c>
    </row>
    <row r="107">
      <c r="G107">
        <f>SUM('Raw Data'!G6+'Raw Data'!I6+'Raw Data'!K6+'Raw Data'!M6+'Raw Data'!O6)</f>
        <v/>
      </c>
    </row>
    <row r="108">
      <c r="G108">
        <f>SUM('Raw Data'!G7+'Raw Data'!I7+'Raw Data'!K7+'Raw Data'!M7+'Raw Data'!O7)</f>
        <v/>
      </c>
    </row>
    <row r="109">
      <c r="G109">
        <f>SUM('Raw Data'!G8+'Raw Data'!I8+'Raw Data'!K8+'Raw Data'!M8+'Raw Data'!O8)</f>
        <v/>
      </c>
    </row>
    <row r="110">
      <c r="G110">
        <f>SUM('Raw Data'!G9+'Raw Data'!I9+'Raw Data'!K9+'Raw Data'!M9+'Raw Data'!O9)</f>
        <v/>
      </c>
    </row>
    <row r="111">
      <c r="G111">
        <f>SUM('Raw Data'!G10+'Raw Data'!I10+'Raw Data'!K10+'Raw Data'!M10+'Raw Data'!O10)</f>
        <v/>
      </c>
    </row>
    <row r="112">
      <c r="G112">
        <f>SUM('Raw Data'!G11+'Raw Data'!I11+'Raw Data'!K11+'Raw Data'!M11+'Raw Data'!O11)</f>
        <v/>
      </c>
    </row>
    <row r="113">
      <c r="G113">
        <f>SUM('Raw Data'!G12+'Raw Data'!I12+'Raw Data'!K12+'Raw Data'!M12+'Raw Data'!O12)</f>
        <v/>
      </c>
    </row>
    <row r="114">
      <c r="G114">
        <f>SUM('Raw Data'!G13+'Raw Data'!I13+'Raw Data'!K13+'Raw Data'!M13+'Raw Data'!O13)</f>
        <v/>
      </c>
    </row>
    <row r="115">
      <c r="G115">
        <f>SUM('Raw Data'!G14+'Raw Data'!I14+'Raw Data'!K14+'Raw Data'!M14+'Raw Data'!O14)</f>
        <v/>
      </c>
    </row>
    <row r="116">
      <c r="G116">
        <f>SUM('Raw Data'!G15+'Raw Data'!I15+'Raw Data'!K15+'Raw Data'!M15+'Raw Data'!O15)</f>
        <v/>
      </c>
    </row>
    <row r="117">
      <c r="G117">
        <f>SUM('Raw Data'!G16+'Raw Data'!I16+'Raw Data'!K16+'Raw Data'!M16+'Raw Data'!O16)</f>
        <v/>
      </c>
    </row>
    <row r="118">
      <c r="G118">
        <f>SUM('Raw Data'!G17+'Raw Data'!I17+'Raw Data'!K17+'Raw Data'!M17+'Raw Data'!O17)</f>
        <v/>
      </c>
    </row>
    <row r="119">
      <c r="G119">
        <f>SUM('Raw Data'!G18+'Raw Data'!I18+'Raw Data'!K18+'Raw Data'!M18+'Raw Data'!O18)</f>
        <v/>
      </c>
    </row>
    <row r="120">
      <c r="G120">
        <f>SUM('Raw Data'!G19+'Raw Data'!I19+'Raw Data'!K19+'Raw Data'!M19+'Raw Data'!O19)</f>
        <v/>
      </c>
    </row>
    <row r="121">
      <c r="G121">
        <f>SUM('Raw Data'!G20+'Raw Data'!I20+'Raw Data'!K20+'Raw Data'!M20+'Raw Data'!O20)</f>
        <v/>
      </c>
    </row>
    <row r="122">
      <c r="G122">
        <f>SUM('Raw Data'!G21+'Raw Data'!I21+'Raw Data'!K21+'Raw Data'!M21+'Raw Data'!O21)</f>
        <v/>
      </c>
    </row>
    <row r="123">
      <c r="G123">
        <f>SUM('Raw Data'!G22+'Raw Data'!I22+'Raw Data'!K22+'Raw Data'!M22+'Raw Data'!O22)</f>
        <v/>
      </c>
    </row>
    <row r="124">
      <c r="G124">
        <f>SUM('Raw Data'!G23+'Raw Data'!I23+'Raw Data'!K23+'Raw Data'!M23+'Raw Data'!O23)</f>
        <v/>
      </c>
    </row>
    <row r="125">
      <c r="G125">
        <f>SUM('Raw Data'!G24+'Raw Data'!I24+'Raw Data'!K24+'Raw Data'!M24+'Raw Data'!O24)</f>
        <v/>
      </c>
    </row>
    <row r="126">
      <c r="G126">
        <f>SUM('Raw Data'!G25+'Raw Data'!I25+'Raw Data'!K25+'Raw Data'!M25+'Raw Data'!O25)</f>
        <v/>
      </c>
    </row>
    <row r="127">
      <c r="G127">
        <f>SUM('Raw Data'!G26+'Raw Data'!I26+'Raw Data'!K26+'Raw Data'!M26+'Raw Data'!O26)</f>
        <v/>
      </c>
    </row>
    <row r="128">
      <c r="G128">
        <f>SUM('Raw Data'!G27+'Raw Data'!I27+'Raw Data'!K27+'Raw Data'!M27+'Raw Data'!O27)</f>
        <v/>
      </c>
    </row>
    <row r="129">
      <c r="G129">
        <f>SUM('Raw Data'!G28+'Raw Data'!I28+'Raw Data'!K28+'Raw Data'!M28+'Raw Data'!O28)</f>
        <v/>
      </c>
    </row>
    <row r="130">
      <c r="G130">
        <f>SUM('Raw Data'!G29+'Raw Data'!I29+'Raw Data'!K29+'Raw Data'!M29+'Raw Data'!O29)</f>
        <v/>
      </c>
    </row>
    <row r="131">
      <c r="G131">
        <f>SUM('Raw Data'!G30+'Raw Data'!I30+'Raw Data'!K30+'Raw Data'!M30+'Raw Data'!O30)</f>
        <v/>
      </c>
    </row>
    <row r="132">
      <c r="G132">
        <f>SUM('Raw Data'!G31+'Raw Data'!I31+'Raw Data'!K31+'Raw Data'!M31+'Raw Data'!O31)</f>
        <v/>
      </c>
    </row>
    <row r="133">
      <c r="G133">
        <f>SUM('Raw Data'!G32+'Raw Data'!I32+'Raw Data'!K32+'Raw Data'!M32+'Raw Data'!O32)</f>
        <v/>
      </c>
    </row>
    <row r="134">
      <c r="G134">
        <f>SUM('Raw Data'!G33+'Raw Data'!I33+'Raw Data'!K33+'Raw Data'!M33+'Raw Data'!O33)</f>
        <v/>
      </c>
    </row>
    <row r="135">
      <c r="G135">
        <f>SUM('Raw Data'!G34+'Raw Data'!I34+'Raw Data'!K34+'Raw Data'!M34+'Raw Data'!O34)</f>
        <v/>
      </c>
    </row>
    <row r="136">
      <c r="G136">
        <f>SUM('Raw Data'!G35+'Raw Data'!I35+'Raw Data'!K35+'Raw Data'!M35+'Raw Data'!O35)</f>
        <v/>
      </c>
    </row>
    <row r="137">
      <c r="G137">
        <f>SUM('Raw Data'!G36+'Raw Data'!I36+'Raw Data'!K36+'Raw Data'!M36+'Raw Data'!O36)</f>
        <v/>
      </c>
    </row>
    <row r="138">
      <c r="G138">
        <f>SUM('Raw Data'!G37+'Raw Data'!I37+'Raw Data'!K37+'Raw Data'!M37+'Raw Data'!O37)</f>
        <v/>
      </c>
    </row>
    <row r="139">
      <c r="G139">
        <f>SUM('Raw Data'!G38+'Raw Data'!I38+'Raw Data'!K38+'Raw Data'!M38+'Raw Data'!O38)</f>
        <v/>
      </c>
    </row>
    <row r="140">
      <c r="G140">
        <f>SUM('Raw Data'!G39+'Raw Data'!I39+'Raw Data'!K39+'Raw Data'!M39+'Raw Data'!O39)</f>
        <v/>
      </c>
    </row>
    <row r="141">
      <c r="G141">
        <f>SUM('Raw Data'!G40+'Raw Data'!I40+'Raw Data'!K40+'Raw Data'!M40+'Raw Data'!O40)</f>
        <v/>
      </c>
    </row>
    <row r="142">
      <c r="G142">
        <f>SUM('Raw Data'!G41+'Raw Data'!I41+'Raw Data'!K41+'Raw Data'!M41+'Raw Data'!O41)</f>
        <v/>
      </c>
    </row>
    <row r="143">
      <c r="G143">
        <f>SUM('Raw Data'!G42+'Raw Data'!I42+'Raw Data'!K42+'Raw Data'!M42+'Raw Data'!O42)</f>
        <v/>
      </c>
    </row>
    <row r="144">
      <c r="G144">
        <f>SUM('Raw Data'!G43+'Raw Data'!I43+'Raw Data'!K43+'Raw Data'!M43+'Raw Data'!O43)</f>
        <v/>
      </c>
    </row>
    <row r="145">
      <c r="G145">
        <f>SUM('Raw Data'!G44+'Raw Data'!I44+'Raw Data'!K44+'Raw Data'!M44+'Raw Data'!O44)</f>
        <v/>
      </c>
    </row>
    <row r="146">
      <c r="G146">
        <f>SUM('Raw Data'!G45+'Raw Data'!I45+'Raw Data'!K45+'Raw Data'!M45+'Raw Data'!O45)</f>
        <v/>
      </c>
    </row>
    <row r="147">
      <c r="G147">
        <f>SUM('Raw Data'!G46+'Raw Data'!I46+'Raw Data'!K46+'Raw Data'!M46+'Raw Data'!O46)</f>
        <v/>
      </c>
    </row>
    <row r="148">
      <c r="G148">
        <f>SUM('Raw Data'!G47+'Raw Data'!I47+'Raw Data'!K47+'Raw Data'!M47+'Raw Data'!O47)</f>
        <v/>
      </c>
    </row>
    <row r="149">
      <c r="G149">
        <f>SUM('Raw Data'!G48+'Raw Data'!I48+'Raw Data'!K48+'Raw Data'!M48+'Raw Data'!O48)</f>
        <v/>
      </c>
    </row>
    <row r="150">
      <c r="G150">
        <f>SUM('Raw Data'!G49+'Raw Data'!I49+'Raw Data'!K49+'Raw Data'!M49+'Raw Data'!O49)</f>
        <v/>
      </c>
    </row>
    <row r="151">
      <c r="G151">
        <f>SUM('Raw Data'!G50+'Raw Data'!I50+'Raw Data'!K50+'Raw Data'!M50+'Raw Data'!O50)</f>
        <v/>
      </c>
    </row>
    <row r="152">
      <c r="G152">
        <f>SUM('Raw Data'!G51+'Raw Data'!I51+'Raw Data'!K51+'Raw Data'!M51+'Raw Data'!O51)</f>
        <v/>
      </c>
    </row>
    <row r="153">
      <c r="G153">
        <f>SUM('Raw Data'!G52+'Raw Data'!I52+'Raw Data'!K52+'Raw Data'!M52+'Raw Data'!O52)</f>
        <v/>
      </c>
    </row>
    <row r="154">
      <c r="G154">
        <f>SUM('Raw Data'!G53+'Raw Data'!I53+'Raw Data'!K53+'Raw Data'!M53+'Raw Data'!O53)</f>
        <v/>
      </c>
    </row>
    <row r="155">
      <c r="G155">
        <f>SUM('Raw Data'!Q4+'Raw Data'!S4+'Raw Data'!U4+'Raw Data'!W4+'Raw Data'!Y4)</f>
        <v/>
      </c>
    </row>
    <row r="156">
      <c r="G156">
        <f>SUM('Raw Data'!Q5+'Raw Data'!S5+'Raw Data'!U5+'Raw Data'!W5+'Raw Data'!Y5)</f>
        <v/>
      </c>
    </row>
    <row r="157">
      <c r="G157">
        <f>SUM('Raw Data'!Q6+'Raw Data'!S6+'Raw Data'!U6+'Raw Data'!W6+'Raw Data'!Y6)</f>
        <v/>
      </c>
    </row>
    <row r="158">
      <c r="G158">
        <f>SUM('Raw Data'!Q7+'Raw Data'!S7+'Raw Data'!U7+'Raw Data'!W7+'Raw Data'!Y7)</f>
        <v/>
      </c>
    </row>
    <row r="159">
      <c r="G159">
        <f>SUM('Raw Data'!Q8+'Raw Data'!S8+'Raw Data'!U8+'Raw Data'!W8+'Raw Data'!Y8)</f>
        <v/>
      </c>
    </row>
    <row r="160">
      <c r="G160">
        <f>SUM('Raw Data'!Q9+'Raw Data'!S9+'Raw Data'!U9+'Raw Data'!W9+'Raw Data'!Y9)</f>
        <v/>
      </c>
    </row>
    <row r="161">
      <c r="G161">
        <f>SUM('Raw Data'!Q10+'Raw Data'!S10+'Raw Data'!U10+'Raw Data'!W10+'Raw Data'!Y10)</f>
        <v/>
      </c>
    </row>
    <row r="162">
      <c r="G162">
        <f>SUM('Raw Data'!Q11+'Raw Data'!S11+'Raw Data'!U11+'Raw Data'!W11+'Raw Data'!Y11)</f>
        <v/>
      </c>
    </row>
    <row r="163">
      <c r="G163">
        <f>SUM('Raw Data'!Q12+'Raw Data'!S12+'Raw Data'!U12+'Raw Data'!W12+'Raw Data'!Y12)</f>
        <v/>
      </c>
    </row>
    <row r="164">
      <c r="G164">
        <f>SUM('Raw Data'!Q13+'Raw Data'!S13+'Raw Data'!U13+'Raw Data'!W13+'Raw Data'!Y13)</f>
        <v/>
      </c>
    </row>
    <row r="165">
      <c r="G165">
        <f>SUM('Raw Data'!Q14+'Raw Data'!S14+'Raw Data'!U14+'Raw Data'!W14+'Raw Data'!Y14)</f>
        <v/>
      </c>
    </row>
    <row r="166">
      <c r="G166">
        <f>SUM('Raw Data'!Q15+'Raw Data'!S15+'Raw Data'!U15+'Raw Data'!W15+'Raw Data'!Y15)</f>
        <v/>
      </c>
    </row>
    <row r="167">
      <c r="G167">
        <f>SUM('Raw Data'!Q16+'Raw Data'!S16+'Raw Data'!U16+'Raw Data'!W16+'Raw Data'!Y16)</f>
        <v/>
      </c>
    </row>
    <row r="168">
      <c r="G168">
        <f>SUM('Raw Data'!Q17+'Raw Data'!S17+'Raw Data'!U17+'Raw Data'!W17+'Raw Data'!Y17)</f>
        <v/>
      </c>
    </row>
    <row r="169">
      <c r="G169">
        <f>SUM('Raw Data'!Q18+'Raw Data'!S18+'Raw Data'!U18+'Raw Data'!W18+'Raw Data'!Y18)</f>
        <v/>
      </c>
    </row>
    <row r="170">
      <c r="G170">
        <f>SUM('Raw Data'!Q19+'Raw Data'!S19+'Raw Data'!U19+'Raw Data'!W19+'Raw Data'!Y19)</f>
        <v/>
      </c>
    </row>
    <row r="171">
      <c r="G171">
        <f>SUM('Raw Data'!Q20+'Raw Data'!S20+'Raw Data'!U20+'Raw Data'!W20+'Raw Data'!Y20)</f>
        <v/>
      </c>
    </row>
    <row r="172">
      <c r="G172">
        <f>SUM('Raw Data'!Q21+'Raw Data'!S21+'Raw Data'!U21+'Raw Data'!W21+'Raw Data'!Y21)</f>
        <v/>
      </c>
    </row>
    <row r="173">
      <c r="G173">
        <f>SUM('Raw Data'!Q22+'Raw Data'!S22+'Raw Data'!U22+'Raw Data'!W22+'Raw Data'!Y22)</f>
        <v/>
      </c>
    </row>
    <row r="174">
      <c r="G174">
        <f>SUM('Raw Data'!Q23+'Raw Data'!S23+'Raw Data'!U23+'Raw Data'!W23+'Raw Data'!Y23)</f>
        <v/>
      </c>
    </row>
    <row r="175">
      <c r="G175">
        <f>SUM('Raw Data'!Q24+'Raw Data'!S24+'Raw Data'!U24+'Raw Data'!W24+'Raw Data'!Y24)</f>
        <v/>
      </c>
    </row>
    <row r="176">
      <c r="G176">
        <f>SUM('Raw Data'!Q25+'Raw Data'!S25+'Raw Data'!U25+'Raw Data'!W25+'Raw Data'!Y25)</f>
        <v/>
      </c>
    </row>
    <row r="177">
      <c r="G177">
        <f>SUM('Raw Data'!Q26+'Raw Data'!S26+'Raw Data'!U26+'Raw Data'!W26+'Raw Data'!Y26)</f>
        <v/>
      </c>
    </row>
    <row r="178">
      <c r="G178">
        <f>SUM('Raw Data'!Q27+'Raw Data'!S27+'Raw Data'!U27+'Raw Data'!W27+'Raw Data'!Y27)</f>
        <v/>
      </c>
    </row>
    <row r="179">
      <c r="G179">
        <f>SUM('Raw Data'!Q28+'Raw Data'!S28+'Raw Data'!U28+'Raw Data'!W28+'Raw Data'!Y28)</f>
        <v/>
      </c>
    </row>
    <row r="180">
      <c r="G180">
        <f>SUM('Raw Data'!Q29+'Raw Data'!S29+'Raw Data'!U29+'Raw Data'!W29+'Raw Data'!Y29)</f>
        <v/>
      </c>
    </row>
    <row r="181">
      <c r="G181">
        <f>SUM('Raw Data'!Q30+'Raw Data'!S30+'Raw Data'!U30+'Raw Data'!W30+'Raw Data'!Y30)</f>
        <v/>
      </c>
    </row>
    <row r="182">
      <c r="G182">
        <f>SUM('Raw Data'!Q31+'Raw Data'!S31+'Raw Data'!U31+'Raw Data'!W31+'Raw Data'!Y31)</f>
        <v/>
      </c>
    </row>
    <row r="183">
      <c r="G183">
        <f>SUM('Raw Data'!Q32+'Raw Data'!S32+'Raw Data'!U32+'Raw Data'!W32+'Raw Data'!Y32)</f>
        <v/>
      </c>
    </row>
    <row r="184">
      <c r="G184">
        <f>SUM('Raw Data'!Q33+'Raw Data'!S33+'Raw Data'!U33+'Raw Data'!W33+'Raw Data'!Y33)</f>
        <v/>
      </c>
    </row>
    <row r="185">
      <c r="G185">
        <f>SUM('Raw Data'!Q34+'Raw Data'!S34+'Raw Data'!U34+'Raw Data'!W34+'Raw Data'!Y34)</f>
        <v/>
      </c>
    </row>
    <row r="186">
      <c r="G186">
        <f>SUM('Raw Data'!Q35+'Raw Data'!S35+'Raw Data'!U35+'Raw Data'!W35+'Raw Data'!Y35)</f>
        <v/>
      </c>
    </row>
    <row r="187">
      <c r="G187">
        <f>SUM('Raw Data'!Q36+'Raw Data'!S36+'Raw Data'!U36+'Raw Data'!W36+'Raw Data'!Y36)</f>
        <v/>
      </c>
    </row>
    <row r="188">
      <c r="G188">
        <f>SUM('Raw Data'!Q37+'Raw Data'!S37+'Raw Data'!U37+'Raw Data'!W37+'Raw Data'!Y37)</f>
        <v/>
      </c>
    </row>
    <row r="189">
      <c r="G189">
        <f>SUM('Raw Data'!Q38+'Raw Data'!S38+'Raw Data'!U38+'Raw Data'!W38+'Raw Data'!Y38)</f>
        <v/>
      </c>
    </row>
    <row r="190">
      <c r="G190">
        <f>SUM('Raw Data'!Q39+'Raw Data'!S39+'Raw Data'!U39+'Raw Data'!W39+'Raw Data'!Y39)</f>
        <v/>
      </c>
    </row>
    <row r="191">
      <c r="G191">
        <f>SUM('Raw Data'!Q40+'Raw Data'!S40+'Raw Data'!U40+'Raw Data'!W40+'Raw Data'!Y40)</f>
        <v/>
      </c>
    </row>
    <row r="192">
      <c r="G192">
        <f>SUM('Raw Data'!Q41+'Raw Data'!S41+'Raw Data'!U41+'Raw Data'!W41+'Raw Data'!Y41)</f>
        <v/>
      </c>
    </row>
    <row r="193">
      <c r="G193">
        <f>SUM('Raw Data'!Q42+'Raw Data'!S42+'Raw Data'!U42+'Raw Data'!W42+'Raw Data'!Y42)</f>
        <v/>
      </c>
    </row>
    <row r="194">
      <c r="G194">
        <f>SUM('Raw Data'!Q43+'Raw Data'!S43+'Raw Data'!U43+'Raw Data'!W43+'Raw Data'!Y43)</f>
        <v/>
      </c>
    </row>
    <row r="195">
      <c r="G195">
        <f>SUM('Raw Data'!Q44+'Raw Data'!S44+'Raw Data'!U44+'Raw Data'!W44+'Raw Data'!Y44)</f>
        <v/>
      </c>
    </row>
    <row r="196">
      <c r="G196">
        <f>SUM('Raw Data'!Q45+'Raw Data'!S45+'Raw Data'!U45+'Raw Data'!W45+'Raw Data'!Y45)</f>
        <v/>
      </c>
    </row>
    <row r="197">
      <c r="G197">
        <f>SUM('Raw Data'!Q46+'Raw Data'!S46+'Raw Data'!U46+'Raw Data'!W46+'Raw Data'!Y46)</f>
        <v/>
      </c>
    </row>
    <row r="198">
      <c r="G198">
        <f>SUM('Raw Data'!Q47+'Raw Data'!S47+'Raw Data'!U47+'Raw Data'!W47+'Raw Data'!Y47)</f>
        <v/>
      </c>
    </row>
    <row r="199">
      <c r="G199">
        <f>SUM('Raw Data'!Q48+'Raw Data'!S48+'Raw Data'!U48+'Raw Data'!W48+'Raw Data'!Y48)</f>
        <v/>
      </c>
    </row>
    <row r="200">
      <c r="G200">
        <f>SUM('Raw Data'!Q49+'Raw Data'!S49+'Raw Data'!U49+'Raw Data'!W49+'Raw Data'!Y49)</f>
        <v/>
      </c>
    </row>
    <row r="201">
      <c r="G201">
        <f>SUM('Raw Data'!Q50+'Raw Data'!S50+'Raw Data'!U50+'Raw Data'!W50+'Raw Data'!Y50)</f>
        <v/>
      </c>
    </row>
    <row r="202">
      <c r="G202">
        <f>SUM('Raw Data'!Q51+'Raw Data'!S51+'Raw Data'!U51+'Raw Data'!W51+'Raw Data'!Y51)</f>
        <v/>
      </c>
    </row>
    <row r="203">
      <c r="G203">
        <f>SUM('Raw Data'!Q52+'Raw Data'!S52+'Raw Data'!U52+'Raw Data'!W52+'Raw Data'!Y52)</f>
        <v/>
      </c>
    </row>
    <row r="204">
      <c r="G204">
        <f>SUM('Raw Data'!Q53+'Raw Data'!S53+'Raw Data'!U53+'Raw Data'!W53+'Raw Data'!Y53)</f>
        <v/>
      </c>
    </row>
    <row r="205">
      <c r="G205">
        <f>SUM('Raw Data'!AA4+'Raw Data'!AC4+'Raw Data'!AE4+'Raw Data'!AG4+'Raw Data'!AI4)</f>
        <v/>
      </c>
    </row>
    <row r="206">
      <c r="G206">
        <f>SUM('Raw Data'!AA5+'Raw Data'!AC5+'Raw Data'!AE5+'Raw Data'!AG5+'Raw Data'!AI5)</f>
        <v/>
      </c>
    </row>
    <row r="207">
      <c r="G207">
        <f>SUM('Raw Data'!AA6+'Raw Data'!AC6+'Raw Data'!AE6+'Raw Data'!AG6+'Raw Data'!AI6)</f>
        <v/>
      </c>
    </row>
    <row r="208">
      <c r="G208">
        <f>SUM('Raw Data'!AA7+'Raw Data'!AC7+'Raw Data'!AE7+'Raw Data'!AG7+'Raw Data'!AI7)</f>
        <v/>
      </c>
    </row>
    <row r="209">
      <c r="G209">
        <f>SUM('Raw Data'!AA8+'Raw Data'!AC8+'Raw Data'!AE8+'Raw Data'!AG8+'Raw Data'!AI8)</f>
        <v/>
      </c>
    </row>
    <row r="210">
      <c r="G210">
        <f>SUM('Raw Data'!AA9+'Raw Data'!AC9+'Raw Data'!AE9+'Raw Data'!AG9+'Raw Data'!AI9)</f>
        <v/>
      </c>
    </row>
    <row r="211">
      <c r="G211">
        <f>SUM('Raw Data'!AA10+'Raw Data'!AC10+'Raw Data'!AE10+'Raw Data'!AG10+'Raw Data'!AI10)</f>
        <v/>
      </c>
    </row>
    <row r="212">
      <c r="G212">
        <f>SUM('Raw Data'!AA11+'Raw Data'!AC11+'Raw Data'!AE11+'Raw Data'!AG11+'Raw Data'!AI11)</f>
        <v/>
      </c>
    </row>
    <row r="213">
      <c r="G213">
        <f>SUM('Raw Data'!AA12+'Raw Data'!AC12+'Raw Data'!AE12+'Raw Data'!AG12+'Raw Data'!AI12)</f>
        <v/>
      </c>
    </row>
    <row r="214">
      <c r="G214">
        <f>SUM('Raw Data'!AA13+'Raw Data'!AC13+'Raw Data'!AE13+'Raw Data'!AG13+'Raw Data'!AI13)</f>
        <v/>
      </c>
    </row>
    <row r="215">
      <c r="G215">
        <f>SUM('Raw Data'!AA14+'Raw Data'!AC14+'Raw Data'!AE14+'Raw Data'!AG14+'Raw Data'!AI14)</f>
        <v/>
      </c>
    </row>
    <row r="216">
      <c r="G216">
        <f>SUM('Raw Data'!AA15+'Raw Data'!AC15+'Raw Data'!AE15+'Raw Data'!AG15+'Raw Data'!AI15)</f>
        <v/>
      </c>
    </row>
    <row r="217">
      <c r="G217">
        <f>SUM('Raw Data'!AA16+'Raw Data'!AC16+'Raw Data'!AE16+'Raw Data'!AG16+'Raw Data'!AI16)</f>
        <v/>
      </c>
    </row>
    <row r="218">
      <c r="G218">
        <f>SUM('Raw Data'!AA17+'Raw Data'!AC17+'Raw Data'!AE17+'Raw Data'!AG17+'Raw Data'!AI17)</f>
        <v/>
      </c>
    </row>
    <row r="219">
      <c r="G219">
        <f>SUM('Raw Data'!AA18+'Raw Data'!AC18+'Raw Data'!AE18+'Raw Data'!AG18+'Raw Data'!AI18)</f>
        <v/>
      </c>
    </row>
    <row r="220">
      <c r="G220">
        <f>SUM('Raw Data'!AA19+'Raw Data'!AC19+'Raw Data'!AE19+'Raw Data'!AG19+'Raw Data'!AI19)</f>
        <v/>
      </c>
    </row>
    <row r="221">
      <c r="G221">
        <f>SUM('Raw Data'!AA20+'Raw Data'!AC20+'Raw Data'!AE20+'Raw Data'!AG20+'Raw Data'!AI20)</f>
        <v/>
      </c>
    </row>
    <row r="222">
      <c r="G222">
        <f>SUM('Raw Data'!AA21+'Raw Data'!AC21+'Raw Data'!AE21+'Raw Data'!AG21+'Raw Data'!AI21)</f>
        <v/>
      </c>
    </row>
    <row r="223">
      <c r="G223">
        <f>SUM('Raw Data'!AA22+'Raw Data'!AC22+'Raw Data'!AE22+'Raw Data'!AG22+'Raw Data'!AI22)</f>
        <v/>
      </c>
    </row>
    <row r="224">
      <c r="G224">
        <f>SUM('Raw Data'!AA23+'Raw Data'!AC23+'Raw Data'!AE23+'Raw Data'!AG23+'Raw Data'!AI23)</f>
        <v/>
      </c>
    </row>
    <row r="225">
      <c r="G225">
        <f>SUM('Raw Data'!AA24+'Raw Data'!AC24+'Raw Data'!AE24+'Raw Data'!AG24+'Raw Data'!AI24)</f>
        <v/>
      </c>
    </row>
    <row r="226">
      <c r="G226">
        <f>SUM('Raw Data'!AA25+'Raw Data'!AC25+'Raw Data'!AE25+'Raw Data'!AG25+'Raw Data'!AI25)</f>
        <v/>
      </c>
    </row>
    <row r="227">
      <c r="G227">
        <f>SUM('Raw Data'!AA26+'Raw Data'!AC26+'Raw Data'!AE26+'Raw Data'!AG26+'Raw Data'!AI26)</f>
        <v/>
      </c>
    </row>
    <row r="228">
      <c r="G228">
        <f>SUM('Raw Data'!AA27+'Raw Data'!AC27+'Raw Data'!AE27+'Raw Data'!AG27+'Raw Data'!AI27)</f>
        <v/>
      </c>
    </row>
    <row r="229">
      <c r="G229">
        <f>SUM('Raw Data'!AA28+'Raw Data'!AC28+'Raw Data'!AE28+'Raw Data'!AG28+'Raw Data'!AI28)</f>
        <v/>
      </c>
    </row>
    <row r="230">
      <c r="G230">
        <f>SUM('Raw Data'!AA29+'Raw Data'!AC29+'Raw Data'!AE29+'Raw Data'!AG29+'Raw Data'!AI29)</f>
        <v/>
      </c>
    </row>
    <row r="231">
      <c r="G231">
        <f>SUM('Raw Data'!AA30+'Raw Data'!AC30+'Raw Data'!AE30+'Raw Data'!AG30+'Raw Data'!AI30)</f>
        <v/>
      </c>
    </row>
    <row r="232">
      <c r="G232">
        <f>SUM('Raw Data'!AA31+'Raw Data'!AC31+'Raw Data'!AE31+'Raw Data'!AG31+'Raw Data'!AI31)</f>
        <v/>
      </c>
    </row>
    <row r="233">
      <c r="G233">
        <f>SUM('Raw Data'!AA32+'Raw Data'!AC32+'Raw Data'!AE32+'Raw Data'!AG32+'Raw Data'!AI32)</f>
        <v/>
      </c>
    </row>
    <row r="234">
      <c r="G234">
        <f>SUM('Raw Data'!AA33+'Raw Data'!AC33+'Raw Data'!AE33+'Raw Data'!AG33+'Raw Data'!AI33)</f>
        <v/>
      </c>
    </row>
    <row r="235">
      <c r="G235">
        <f>SUM('Raw Data'!AA34+'Raw Data'!AC34+'Raw Data'!AE34+'Raw Data'!AG34+'Raw Data'!AI34)</f>
        <v/>
      </c>
    </row>
    <row r="236">
      <c r="G236">
        <f>SUM('Raw Data'!AA35+'Raw Data'!AC35+'Raw Data'!AE35+'Raw Data'!AG35+'Raw Data'!AI35)</f>
        <v/>
      </c>
    </row>
    <row r="237">
      <c r="G237">
        <f>SUM('Raw Data'!AA36+'Raw Data'!AC36+'Raw Data'!AE36+'Raw Data'!AG36+'Raw Data'!AI36)</f>
        <v/>
      </c>
    </row>
    <row r="238">
      <c r="G238">
        <f>SUM('Raw Data'!AA37+'Raw Data'!AC37+'Raw Data'!AE37+'Raw Data'!AG37+'Raw Data'!AI37)</f>
        <v/>
      </c>
    </row>
    <row r="239">
      <c r="G239">
        <f>SUM('Raw Data'!AA38+'Raw Data'!AC38+'Raw Data'!AE38+'Raw Data'!AG38+'Raw Data'!AI38)</f>
        <v/>
      </c>
    </row>
    <row r="240">
      <c r="G240">
        <f>SUM('Raw Data'!AA39+'Raw Data'!AC39+'Raw Data'!AE39+'Raw Data'!AG39+'Raw Data'!AI39)</f>
        <v/>
      </c>
    </row>
    <row r="241">
      <c r="G241">
        <f>SUM('Raw Data'!AA40+'Raw Data'!AC40+'Raw Data'!AE40+'Raw Data'!AG40+'Raw Data'!AI40)</f>
        <v/>
      </c>
    </row>
    <row r="242">
      <c r="G242">
        <f>SUM('Raw Data'!AA41+'Raw Data'!AC41+'Raw Data'!AE41+'Raw Data'!AG41+'Raw Data'!AI41)</f>
        <v/>
      </c>
    </row>
    <row r="243">
      <c r="G243">
        <f>SUM('Raw Data'!AA42+'Raw Data'!AC42+'Raw Data'!AE42+'Raw Data'!AG42+'Raw Data'!AI42)</f>
        <v/>
      </c>
    </row>
    <row r="244">
      <c r="G244">
        <f>SUM('Raw Data'!AA43+'Raw Data'!AC43+'Raw Data'!AE43+'Raw Data'!AG43+'Raw Data'!AI43)</f>
        <v/>
      </c>
    </row>
    <row r="245">
      <c r="G245">
        <f>SUM('Raw Data'!AA44+'Raw Data'!AC44+'Raw Data'!AE44+'Raw Data'!AG44+'Raw Data'!AI44)</f>
        <v/>
      </c>
    </row>
    <row r="246">
      <c r="G246">
        <f>SUM('Raw Data'!AA45+'Raw Data'!AC45+'Raw Data'!AE45+'Raw Data'!AG45+'Raw Data'!AI45)</f>
        <v/>
      </c>
    </row>
    <row r="247">
      <c r="G247">
        <f>SUM('Raw Data'!AA46+'Raw Data'!AC46+'Raw Data'!AE46+'Raw Data'!AG46+'Raw Data'!AI46)</f>
        <v/>
      </c>
    </row>
    <row r="248">
      <c r="G248">
        <f>SUM('Raw Data'!AA47+'Raw Data'!AC47+'Raw Data'!AE47+'Raw Data'!AG47+'Raw Data'!AI47)</f>
        <v/>
      </c>
    </row>
    <row r="249">
      <c r="G249">
        <f>SUM('Raw Data'!AA48+'Raw Data'!AC48+'Raw Data'!AE48+'Raw Data'!AG48+'Raw Data'!AI48)</f>
        <v/>
      </c>
    </row>
    <row r="250">
      <c r="G250">
        <f>SUM('Raw Data'!AA49+'Raw Data'!AC49+'Raw Data'!AE49+'Raw Data'!AG49+'Raw Data'!AI49)</f>
        <v/>
      </c>
    </row>
    <row r="251">
      <c r="G251">
        <f>SUM('Raw Data'!AA50+'Raw Data'!AC50+'Raw Data'!AE50+'Raw Data'!AG50+'Raw Data'!AI50)</f>
        <v/>
      </c>
    </row>
    <row r="252">
      <c r="G252">
        <f>SUM('Raw Data'!AA51+'Raw Data'!AC51+'Raw Data'!AE51+'Raw Data'!AG51+'Raw Data'!AI51)</f>
        <v/>
      </c>
    </row>
    <row r="253">
      <c r="G253">
        <f>SUM('Raw Data'!AA52+'Raw Data'!AC52+'Raw Data'!AE52+'Raw Data'!AG52+'Raw Data'!AI52)</f>
        <v/>
      </c>
    </row>
    <row r="254">
      <c r="G254">
        <f>SUM('Raw Data'!AA53+'Raw Data'!AC53+'Raw Data'!AE53+'Raw Data'!AG53+'Raw Data'!AI53)</f>
        <v/>
      </c>
    </row>
    <row r="255">
      <c r="G255">
        <f>SUM('Raw Data'!AK4+'Raw Data'!AM4+'Raw Data'!AO4+'Raw Data'!AQ4+'Raw Data'!AS4)</f>
        <v/>
      </c>
    </row>
    <row r="256">
      <c r="G256">
        <f>SUM('Raw Data'!AK5+'Raw Data'!AM5+'Raw Data'!AO5+'Raw Data'!AQ5+'Raw Data'!AS5)</f>
        <v/>
      </c>
    </row>
    <row r="257">
      <c r="G257">
        <f>SUM('Raw Data'!AK6+'Raw Data'!AM6+'Raw Data'!AO6+'Raw Data'!AQ6+'Raw Data'!AS6)</f>
        <v/>
      </c>
    </row>
    <row r="258">
      <c r="G258">
        <f>SUM('Raw Data'!AK7+'Raw Data'!AM7+'Raw Data'!AO7+'Raw Data'!AQ7+'Raw Data'!AS7)</f>
        <v/>
      </c>
    </row>
    <row r="259">
      <c r="G259">
        <f>SUM('Raw Data'!AK8+'Raw Data'!AM8+'Raw Data'!AO8+'Raw Data'!AQ8+'Raw Data'!AS8)</f>
        <v/>
      </c>
    </row>
    <row r="260">
      <c r="G260">
        <f>SUM('Raw Data'!AK9+'Raw Data'!AM9+'Raw Data'!AO9+'Raw Data'!AQ9+'Raw Data'!AS9)</f>
        <v/>
      </c>
    </row>
    <row r="261">
      <c r="G261">
        <f>SUM('Raw Data'!AK10+'Raw Data'!AM10+'Raw Data'!AO10+'Raw Data'!AQ10+'Raw Data'!AS10)</f>
        <v/>
      </c>
    </row>
    <row r="262">
      <c r="G262">
        <f>SUM('Raw Data'!AK11+'Raw Data'!AM11+'Raw Data'!AO11+'Raw Data'!AQ11+'Raw Data'!AS11)</f>
        <v/>
      </c>
    </row>
    <row r="263">
      <c r="G263">
        <f>SUM('Raw Data'!AK12+'Raw Data'!AM12+'Raw Data'!AO12+'Raw Data'!AQ12+'Raw Data'!AS12)</f>
        <v/>
      </c>
    </row>
    <row r="264">
      <c r="G264">
        <f>SUM('Raw Data'!AK13+'Raw Data'!AM13+'Raw Data'!AO13+'Raw Data'!AQ13+'Raw Data'!AS13)</f>
        <v/>
      </c>
    </row>
    <row r="265">
      <c r="G265">
        <f>SUM('Raw Data'!AK14+'Raw Data'!AM14+'Raw Data'!AO14+'Raw Data'!AQ14+'Raw Data'!AS14)</f>
        <v/>
      </c>
    </row>
    <row r="266">
      <c r="G266">
        <f>SUM('Raw Data'!AK15+'Raw Data'!AM15+'Raw Data'!AO15+'Raw Data'!AQ15+'Raw Data'!AS15)</f>
        <v/>
      </c>
    </row>
    <row r="267">
      <c r="G267">
        <f>SUM('Raw Data'!AK16+'Raw Data'!AM16+'Raw Data'!AO16+'Raw Data'!AQ16+'Raw Data'!AS16)</f>
        <v/>
      </c>
    </row>
    <row r="268">
      <c r="G268">
        <f>SUM('Raw Data'!AK17+'Raw Data'!AM17+'Raw Data'!AO17+'Raw Data'!AQ17+'Raw Data'!AS17)</f>
        <v/>
      </c>
    </row>
    <row r="269">
      <c r="G269">
        <f>SUM('Raw Data'!AK18+'Raw Data'!AM18+'Raw Data'!AO18+'Raw Data'!AQ18+'Raw Data'!AS18)</f>
        <v/>
      </c>
    </row>
    <row r="270">
      <c r="G270">
        <f>SUM('Raw Data'!AK19+'Raw Data'!AM19+'Raw Data'!AO19+'Raw Data'!AQ19+'Raw Data'!AS19)</f>
        <v/>
      </c>
    </row>
    <row r="271">
      <c r="G271">
        <f>SUM('Raw Data'!AK20+'Raw Data'!AM20+'Raw Data'!AO20+'Raw Data'!AQ20+'Raw Data'!AS20)</f>
        <v/>
      </c>
    </row>
    <row r="272">
      <c r="G272">
        <f>SUM('Raw Data'!AK21+'Raw Data'!AM21+'Raw Data'!AO21+'Raw Data'!AQ21+'Raw Data'!AS21)</f>
        <v/>
      </c>
    </row>
    <row r="273">
      <c r="G273">
        <f>SUM('Raw Data'!AK22+'Raw Data'!AM22+'Raw Data'!AO22+'Raw Data'!AQ22+'Raw Data'!AS22)</f>
        <v/>
      </c>
    </row>
    <row r="274">
      <c r="G274">
        <f>SUM('Raw Data'!AK23+'Raw Data'!AM23+'Raw Data'!AO23+'Raw Data'!AQ23+'Raw Data'!AS23)</f>
        <v/>
      </c>
    </row>
    <row r="275">
      <c r="G275">
        <f>SUM('Raw Data'!AK24+'Raw Data'!AM24+'Raw Data'!AO24+'Raw Data'!AQ24+'Raw Data'!AS24)</f>
        <v/>
      </c>
    </row>
    <row r="276">
      <c r="G276">
        <f>SUM('Raw Data'!AK25+'Raw Data'!AM25+'Raw Data'!AO25+'Raw Data'!AQ25+'Raw Data'!AS25)</f>
        <v/>
      </c>
    </row>
    <row r="277">
      <c r="G277">
        <f>SUM('Raw Data'!AK26+'Raw Data'!AM26+'Raw Data'!AO26+'Raw Data'!AQ26+'Raw Data'!AS26)</f>
        <v/>
      </c>
    </row>
    <row r="278">
      <c r="G278">
        <f>SUM('Raw Data'!AK27+'Raw Data'!AM27+'Raw Data'!AO27+'Raw Data'!AQ27+'Raw Data'!AS27)</f>
        <v/>
      </c>
    </row>
    <row r="279">
      <c r="G279">
        <f>SUM('Raw Data'!AK28+'Raw Data'!AM28+'Raw Data'!AO28+'Raw Data'!AQ28+'Raw Data'!AS28)</f>
        <v/>
      </c>
    </row>
    <row r="280">
      <c r="G280">
        <f>SUM('Raw Data'!AK29+'Raw Data'!AM29+'Raw Data'!AO29+'Raw Data'!AQ29+'Raw Data'!AS29)</f>
        <v/>
      </c>
    </row>
    <row r="281">
      <c r="G281">
        <f>SUM('Raw Data'!AK30+'Raw Data'!AM30+'Raw Data'!AO30+'Raw Data'!AQ30+'Raw Data'!AS30)</f>
        <v/>
      </c>
    </row>
    <row r="282">
      <c r="G282">
        <f>SUM('Raw Data'!AK31+'Raw Data'!AM31+'Raw Data'!AO31+'Raw Data'!AQ31+'Raw Data'!AS31)</f>
        <v/>
      </c>
    </row>
    <row r="283">
      <c r="G283">
        <f>SUM('Raw Data'!AK32+'Raw Data'!AM32+'Raw Data'!AO32+'Raw Data'!AQ32+'Raw Data'!AS32)</f>
        <v/>
      </c>
    </row>
    <row r="284">
      <c r="G284">
        <f>SUM('Raw Data'!AK33+'Raw Data'!AM33+'Raw Data'!AO33+'Raw Data'!AQ33+'Raw Data'!AS33)</f>
        <v/>
      </c>
    </row>
    <row r="285">
      <c r="G285">
        <f>SUM('Raw Data'!AK34+'Raw Data'!AM34+'Raw Data'!AO34+'Raw Data'!AQ34+'Raw Data'!AS34)</f>
        <v/>
      </c>
    </row>
    <row r="286">
      <c r="G286">
        <f>SUM('Raw Data'!AK35+'Raw Data'!AM35+'Raw Data'!AO35+'Raw Data'!AQ35+'Raw Data'!AS35)</f>
        <v/>
      </c>
    </row>
    <row r="287">
      <c r="G287">
        <f>SUM('Raw Data'!AK36+'Raw Data'!AM36+'Raw Data'!AO36+'Raw Data'!AQ36+'Raw Data'!AS36)</f>
        <v/>
      </c>
    </row>
    <row r="288">
      <c r="G288">
        <f>SUM('Raw Data'!AK37+'Raw Data'!AM37+'Raw Data'!AO37+'Raw Data'!AQ37+'Raw Data'!AS37)</f>
        <v/>
      </c>
    </row>
    <row r="289">
      <c r="G289">
        <f>SUM('Raw Data'!AK38+'Raw Data'!AM38+'Raw Data'!AO38+'Raw Data'!AQ38+'Raw Data'!AS38)</f>
        <v/>
      </c>
    </row>
    <row r="290">
      <c r="G290">
        <f>SUM('Raw Data'!AK39+'Raw Data'!AM39+'Raw Data'!AO39+'Raw Data'!AQ39+'Raw Data'!AS39)</f>
        <v/>
      </c>
    </row>
    <row r="291">
      <c r="G291">
        <f>SUM('Raw Data'!AK40+'Raw Data'!AM40+'Raw Data'!AO40+'Raw Data'!AQ40+'Raw Data'!AS40)</f>
        <v/>
      </c>
    </row>
    <row r="292">
      <c r="G292">
        <f>SUM('Raw Data'!AK41+'Raw Data'!AM41+'Raw Data'!AO41+'Raw Data'!AQ41+'Raw Data'!AS41)</f>
        <v/>
      </c>
    </row>
    <row r="293">
      <c r="G293">
        <f>SUM('Raw Data'!AK42+'Raw Data'!AM42+'Raw Data'!AO42+'Raw Data'!AQ42+'Raw Data'!AS42)</f>
        <v/>
      </c>
    </row>
    <row r="294">
      <c r="G294">
        <f>SUM('Raw Data'!AK43+'Raw Data'!AM43+'Raw Data'!AO43+'Raw Data'!AQ43+'Raw Data'!AS43)</f>
        <v/>
      </c>
    </row>
    <row r="295">
      <c r="G295">
        <f>SUM('Raw Data'!AK44+'Raw Data'!AM44+'Raw Data'!AO44+'Raw Data'!AQ44+'Raw Data'!AS44)</f>
        <v/>
      </c>
    </row>
    <row r="296">
      <c r="G296">
        <f>SUM('Raw Data'!AK45+'Raw Data'!AM45+'Raw Data'!AO45+'Raw Data'!AQ45+'Raw Data'!AS45)</f>
        <v/>
      </c>
    </row>
    <row r="297">
      <c r="G297">
        <f>SUM('Raw Data'!AK46+'Raw Data'!AM46+'Raw Data'!AO46+'Raw Data'!AQ46+'Raw Data'!AS46)</f>
        <v/>
      </c>
    </row>
    <row r="298">
      <c r="G298">
        <f>SUM('Raw Data'!AK47+'Raw Data'!AM47+'Raw Data'!AO47+'Raw Data'!AQ47+'Raw Data'!AS47)</f>
        <v/>
      </c>
    </row>
    <row r="299">
      <c r="G299">
        <f>SUM('Raw Data'!AK48+'Raw Data'!AM48+'Raw Data'!AO48+'Raw Data'!AQ48+'Raw Data'!AS48)</f>
        <v/>
      </c>
    </row>
    <row r="300">
      <c r="G300">
        <f>SUM('Raw Data'!AK49+'Raw Data'!AM49+'Raw Data'!AO49+'Raw Data'!AQ49+'Raw Data'!AS49)</f>
        <v/>
      </c>
    </row>
    <row r="301">
      <c r="G301">
        <f>SUM('Raw Data'!AK50+'Raw Data'!AM50+'Raw Data'!AO50+'Raw Data'!AQ50+'Raw Data'!AS50)</f>
        <v/>
      </c>
    </row>
    <row r="302">
      <c r="G302">
        <f>SUM('Raw Data'!AK51+'Raw Data'!AM51+'Raw Data'!AO51+'Raw Data'!AQ51+'Raw Data'!AS51)</f>
        <v/>
      </c>
    </row>
    <row r="303">
      <c r="G303">
        <f>SUM('Raw Data'!AK52+'Raw Data'!AM52+'Raw Data'!AO52+'Raw Data'!AQ52+'Raw Data'!AS52)</f>
        <v/>
      </c>
    </row>
    <row r="304">
      <c r="G304">
        <f>SUM('Raw Data'!AK53+'Raw Data'!AM53+'Raw Data'!AO53+'Raw Data'!AQ53+'Raw Data'!AS53)</f>
        <v/>
      </c>
    </row>
    <row r="305">
      <c r="G305">
        <f>SUM('Raw Data'!AU4+'Raw Data'!AW4+'Raw Data'!AY4+'Raw Data'!BA4+'Raw Data'!BC4)</f>
        <v/>
      </c>
    </row>
    <row r="306">
      <c r="G306">
        <f>SUM('Raw Data'!AU5+'Raw Data'!AW5+'Raw Data'!AY5+'Raw Data'!BA5+'Raw Data'!BC5)</f>
        <v/>
      </c>
    </row>
    <row r="307">
      <c r="G307">
        <f>SUM('Raw Data'!AU6+'Raw Data'!AW6+'Raw Data'!AY6+'Raw Data'!BA6+'Raw Data'!BC6)</f>
        <v/>
      </c>
    </row>
    <row r="308">
      <c r="G308">
        <f>SUM('Raw Data'!AU7+'Raw Data'!AW7+'Raw Data'!AY7+'Raw Data'!BA7+'Raw Data'!BC7)</f>
        <v/>
      </c>
    </row>
    <row r="309">
      <c r="G309">
        <f>SUM('Raw Data'!AU8+'Raw Data'!AW8+'Raw Data'!AY8+'Raw Data'!BA8+'Raw Data'!BC8)</f>
        <v/>
      </c>
    </row>
    <row r="310">
      <c r="G310">
        <f>SUM('Raw Data'!AU9+'Raw Data'!AW9+'Raw Data'!AY9+'Raw Data'!BA9+'Raw Data'!BC9)</f>
        <v/>
      </c>
    </row>
    <row r="311">
      <c r="G311">
        <f>SUM('Raw Data'!AU10+'Raw Data'!AW10+'Raw Data'!AY10+'Raw Data'!BA10+'Raw Data'!BC10)</f>
        <v/>
      </c>
    </row>
    <row r="312">
      <c r="G312">
        <f>SUM('Raw Data'!AU11+'Raw Data'!AW11+'Raw Data'!AY11+'Raw Data'!BA11+'Raw Data'!BC11)</f>
        <v/>
      </c>
    </row>
    <row r="313">
      <c r="G313">
        <f>SUM('Raw Data'!AU12+'Raw Data'!AW12+'Raw Data'!AY12+'Raw Data'!BA12+'Raw Data'!BC12)</f>
        <v/>
      </c>
    </row>
    <row r="314">
      <c r="G314">
        <f>SUM('Raw Data'!AU13+'Raw Data'!AW13+'Raw Data'!AY13+'Raw Data'!BA13+'Raw Data'!BC13)</f>
        <v/>
      </c>
    </row>
    <row r="315">
      <c r="G315">
        <f>SUM('Raw Data'!AU14+'Raw Data'!AW14+'Raw Data'!AY14+'Raw Data'!BA14+'Raw Data'!BC14)</f>
        <v/>
      </c>
    </row>
    <row r="316">
      <c r="G316">
        <f>SUM('Raw Data'!AU15+'Raw Data'!AW15+'Raw Data'!AY15+'Raw Data'!BA15+'Raw Data'!BC15)</f>
        <v/>
      </c>
    </row>
    <row r="317">
      <c r="G317">
        <f>SUM('Raw Data'!AU16+'Raw Data'!AW16+'Raw Data'!AY16+'Raw Data'!BA16+'Raw Data'!BC16)</f>
        <v/>
      </c>
    </row>
    <row r="318">
      <c r="G318">
        <f>SUM('Raw Data'!AU17+'Raw Data'!AW17+'Raw Data'!AY17+'Raw Data'!BA17+'Raw Data'!BC17)</f>
        <v/>
      </c>
    </row>
    <row r="319">
      <c r="G319">
        <f>SUM('Raw Data'!AU18+'Raw Data'!AW18+'Raw Data'!AY18+'Raw Data'!BA18+'Raw Data'!BC18)</f>
        <v/>
      </c>
    </row>
    <row r="320">
      <c r="G320">
        <f>SUM('Raw Data'!AU19+'Raw Data'!AW19+'Raw Data'!AY19+'Raw Data'!BA19+'Raw Data'!BC19)</f>
        <v/>
      </c>
    </row>
    <row r="321">
      <c r="G321">
        <f>SUM('Raw Data'!AU20+'Raw Data'!AW20+'Raw Data'!AY20+'Raw Data'!BA20+'Raw Data'!BC20)</f>
        <v/>
      </c>
    </row>
    <row r="322">
      <c r="G322">
        <f>SUM('Raw Data'!AU21+'Raw Data'!AW21+'Raw Data'!AY21+'Raw Data'!BA21+'Raw Data'!BC21)</f>
        <v/>
      </c>
    </row>
    <row r="323">
      <c r="G323">
        <f>SUM('Raw Data'!AU22+'Raw Data'!AW22+'Raw Data'!AY22+'Raw Data'!BA22+'Raw Data'!BC22)</f>
        <v/>
      </c>
    </row>
    <row r="324">
      <c r="G324">
        <f>SUM('Raw Data'!AU23+'Raw Data'!AW23+'Raw Data'!AY23+'Raw Data'!BA23+'Raw Data'!BC23)</f>
        <v/>
      </c>
    </row>
    <row r="325">
      <c r="G325">
        <f>SUM('Raw Data'!AU24+'Raw Data'!AW24+'Raw Data'!AY24+'Raw Data'!BA24+'Raw Data'!BC24)</f>
        <v/>
      </c>
    </row>
    <row r="326">
      <c r="G326">
        <f>SUM('Raw Data'!AU25+'Raw Data'!AW25+'Raw Data'!AY25+'Raw Data'!BA25+'Raw Data'!BC25)</f>
        <v/>
      </c>
    </row>
    <row r="327">
      <c r="G327">
        <f>SUM('Raw Data'!AU26+'Raw Data'!AW26+'Raw Data'!AY26+'Raw Data'!BA26+'Raw Data'!BC26)</f>
        <v/>
      </c>
    </row>
    <row r="328">
      <c r="G328">
        <f>SUM('Raw Data'!AU27+'Raw Data'!AW27+'Raw Data'!AY27+'Raw Data'!BA27+'Raw Data'!BC27)</f>
        <v/>
      </c>
    </row>
    <row r="329">
      <c r="G329">
        <f>SUM('Raw Data'!AU28+'Raw Data'!AW28+'Raw Data'!AY28+'Raw Data'!BA28+'Raw Data'!BC28)</f>
        <v/>
      </c>
    </row>
    <row r="330">
      <c r="G330">
        <f>SUM('Raw Data'!AU29+'Raw Data'!AW29+'Raw Data'!AY29+'Raw Data'!BA29+'Raw Data'!BC29)</f>
        <v/>
      </c>
    </row>
    <row r="331">
      <c r="G331">
        <f>SUM('Raw Data'!AU30+'Raw Data'!AW30+'Raw Data'!AY30+'Raw Data'!BA30+'Raw Data'!BC30)</f>
        <v/>
      </c>
    </row>
    <row r="332">
      <c r="G332">
        <f>SUM('Raw Data'!AU31+'Raw Data'!AW31+'Raw Data'!AY31+'Raw Data'!BA31+'Raw Data'!BC31)</f>
        <v/>
      </c>
    </row>
    <row r="333">
      <c r="G333">
        <f>SUM('Raw Data'!AU32+'Raw Data'!AW32+'Raw Data'!AY32+'Raw Data'!BA32+'Raw Data'!BC32)</f>
        <v/>
      </c>
    </row>
    <row r="334">
      <c r="G334">
        <f>SUM('Raw Data'!AU33+'Raw Data'!AW33+'Raw Data'!AY33+'Raw Data'!BA33+'Raw Data'!BC33)</f>
        <v/>
      </c>
    </row>
    <row r="335">
      <c r="G335">
        <f>SUM('Raw Data'!AU34+'Raw Data'!AW34+'Raw Data'!AY34+'Raw Data'!BA34+'Raw Data'!BC34)</f>
        <v/>
      </c>
    </row>
    <row r="336">
      <c r="G336">
        <f>SUM('Raw Data'!AU35+'Raw Data'!AW35+'Raw Data'!AY35+'Raw Data'!BA35+'Raw Data'!BC35)</f>
        <v/>
      </c>
    </row>
    <row r="337">
      <c r="G337">
        <f>SUM('Raw Data'!AU36+'Raw Data'!AW36+'Raw Data'!AY36+'Raw Data'!BA36+'Raw Data'!BC36)</f>
        <v/>
      </c>
    </row>
    <row r="338">
      <c r="G338">
        <f>SUM('Raw Data'!AU37+'Raw Data'!AW37+'Raw Data'!AY37+'Raw Data'!BA37+'Raw Data'!BC37)</f>
        <v/>
      </c>
    </row>
    <row r="339">
      <c r="G339">
        <f>SUM('Raw Data'!AU38+'Raw Data'!AW38+'Raw Data'!AY38+'Raw Data'!BA38+'Raw Data'!BC38)</f>
        <v/>
      </c>
    </row>
    <row r="340">
      <c r="G340">
        <f>SUM('Raw Data'!AU39+'Raw Data'!AW39+'Raw Data'!AY39+'Raw Data'!BA39+'Raw Data'!BC39)</f>
        <v/>
      </c>
    </row>
    <row r="341">
      <c r="G341">
        <f>SUM('Raw Data'!AU40+'Raw Data'!AW40+'Raw Data'!AY40+'Raw Data'!BA40+'Raw Data'!BC40)</f>
        <v/>
      </c>
    </row>
    <row r="342">
      <c r="G342">
        <f>SUM('Raw Data'!AU41+'Raw Data'!AW41+'Raw Data'!AY41+'Raw Data'!BA41+'Raw Data'!BC41)</f>
        <v/>
      </c>
    </row>
    <row r="343">
      <c r="G343">
        <f>SUM('Raw Data'!AU42+'Raw Data'!AW42+'Raw Data'!AY42+'Raw Data'!BA42+'Raw Data'!BC42)</f>
        <v/>
      </c>
    </row>
    <row r="344">
      <c r="G344">
        <f>SUM('Raw Data'!AU43+'Raw Data'!AW43+'Raw Data'!AY43+'Raw Data'!BA43+'Raw Data'!BC43)</f>
        <v/>
      </c>
    </row>
    <row r="345">
      <c r="G345">
        <f>SUM('Raw Data'!AU44+'Raw Data'!AW44+'Raw Data'!AY44+'Raw Data'!BA44+'Raw Data'!BC44)</f>
        <v/>
      </c>
    </row>
    <row r="346">
      <c r="G346">
        <f>SUM('Raw Data'!AU45+'Raw Data'!AW45+'Raw Data'!AY45+'Raw Data'!BA45+'Raw Data'!BC45)</f>
        <v/>
      </c>
    </row>
    <row r="347">
      <c r="G347">
        <f>SUM('Raw Data'!AU46+'Raw Data'!AW46+'Raw Data'!AY46+'Raw Data'!BA46+'Raw Data'!BC46)</f>
        <v/>
      </c>
    </row>
    <row r="348">
      <c r="G348">
        <f>SUM('Raw Data'!AU47+'Raw Data'!AW47+'Raw Data'!AY47+'Raw Data'!BA47+'Raw Data'!BC47)</f>
        <v/>
      </c>
    </row>
    <row r="349">
      <c r="G349">
        <f>SUM('Raw Data'!AU48+'Raw Data'!AW48+'Raw Data'!AY48+'Raw Data'!BA48+'Raw Data'!BC48)</f>
        <v/>
      </c>
    </row>
    <row r="350">
      <c r="G350">
        <f>SUM('Raw Data'!AU49+'Raw Data'!AW49+'Raw Data'!AY49+'Raw Data'!BA49+'Raw Data'!BC49)</f>
        <v/>
      </c>
    </row>
    <row r="351">
      <c r="G351">
        <f>SUM('Raw Data'!AU50+'Raw Data'!AW50+'Raw Data'!AY50+'Raw Data'!BA50+'Raw Data'!BC50)</f>
        <v/>
      </c>
    </row>
    <row r="352">
      <c r="G352">
        <f>SUM('Raw Data'!AU51+'Raw Data'!AW51+'Raw Data'!AY51+'Raw Data'!BA51+'Raw Data'!BC51)</f>
        <v/>
      </c>
    </row>
    <row r="353">
      <c r="G353">
        <f>SUM('Raw Data'!AU52+'Raw Data'!AW52+'Raw Data'!AY52+'Raw Data'!BA52+'Raw Data'!BC52)</f>
        <v/>
      </c>
    </row>
    <row r="354">
      <c r="G354">
        <f>SUM('Raw Data'!AU53+'Raw Data'!AW53+'Raw Data'!AY53+'Raw Data'!BA53+'Raw Data'!BC53)</f>
        <v/>
      </c>
    </row>
    <row r="355">
      <c r="G355">
        <f>SUM('Raw Data'!BE4+'Raw Data'!BG4+'Raw Data'!BI4+'Raw Data'!BK4+'Raw Data'!BM4)</f>
        <v/>
      </c>
    </row>
    <row r="356">
      <c r="G356">
        <f>SUM('Raw Data'!BE5+'Raw Data'!BG5+'Raw Data'!BI5+'Raw Data'!BK5+'Raw Data'!BM5)</f>
        <v/>
      </c>
    </row>
    <row r="357">
      <c r="G357">
        <f>SUM('Raw Data'!BE6+'Raw Data'!BG6+'Raw Data'!BI6+'Raw Data'!BK6+'Raw Data'!BM6)</f>
        <v/>
      </c>
    </row>
    <row r="358">
      <c r="G358">
        <f>SUM('Raw Data'!BE7+'Raw Data'!BG7+'Raw Data'!BI7+'Raw Data'!BK7+'Raw Data'!BM7)</f>
        <v/>
      </c>
    </row>
    <row r="359">
      <c r="G359">
        <f>SUM('Raw Data'!BE8+'Raw Data'!BG8+'Raw Data'!BI8+'Raw Data'!BK8+'Raw Data'!BM8)</f>
        <v/>
      </c>
    </row>
    <row r="360">
      <c r="G360">
        <f>SUM('Raw Data'!BE9+'Raw Data'!BG9+'Raw Data'!BI9+'Raw Data'!BK9+'Raw Data'!BM9)</f>
        <v/>
      </c>
    </row>
    <row r="361">
      <c r="G361">
        <f>SUM('Raw Data'!BE10+'Raw Data'!BG10+'Raw Data'!BI10+'Raw Data'!BK10+'Raw Data'!BM10)</f>
        <v/>
      </c>
    </row>
    <row r="362">
      <c r="G362">
        <f>SUM('Raw Data'!BE11+'Raw Data'!BG11+'Raw Data'!BI11+'Raw Data'!BK11+'Raw Data'!BM11)</f>
        <v/>
      </c>
    </row>
    <row r="363">
      <c r="G363">
        <f>SUM('Raw Data'!BE12+'Raw Data'!BG12+'Raw Data'!BI12+'Raw Data'!BK12+'Raw Data'!BM12)</f>
        <v/>
      </c>
    </row>
    <row r="364">
      <c r="G364">
        <f>SUM('Raw Data'!BE13+'Raw Data'!BG13+'Raw Data'!BI13+'Raw Data'!BK13+'Raw Data'!BM13)</f>
        <v/>
      </c>
    </row>
    <row r="365">
      <c r="G365">
        <f>SUM('Raw Data'!BE14+'Raw Data'!BG14+'Raw Data'!BI14+'Raw Data'!BK14+'Raw Data'!BM14)</f>
        <v/>
      </c>
    </row>
    <row r="366">
      <c r="G366">
        <f>SUM('Raw Data'!BE15+'Raw Data'!BG15+'Raw Data'!BI15+'Raw Data'!BK15+'Raw Data'!BM15)</f>
        <v/>
      </c>
    </row>
    <row r="367">
      <c r="G367">
        <f>SUM('Raw Data'!BE16+'Raw Data'!BG16+'Raw Data'!BI16+'Raw Data'!BK16+'Raw Data'!BM16)</f>
        <v/>
      </c>
    </row>
    <row r="368">
      <c r="G368">
        <f>SUM('Raw Data'!BE17+'Raw Data'!BG17+'Raw Data'!BI17+'Raw Data'!BK17+'Raw Data'!BM17)</f>
        <v/>
      </c>
    </row>
    <row r="369">
      <c r="G369">
        <f>SUM('Raw Data'!BE18+'Raw Data'!BG18+'Raw Data'!BI18+'Raw Data'!BK18+'Raw Data'!BM18)</f>
        <v/>
      </c>
    </row>
    <row r="370">
      <c r="G370">
        <f>SUM('Raw Data'!BE19+'Raw Data'!BG19+'Raw Data'!BI19+'Raw Data'!BK19+'Raw Data'!BM19)</f>
        <v/>
      </c>
    </row>
    <row r="371">
      <c r="G371">
        <f>SUM('Raw Data'!BE20+'Raw Data'!BG20+'Raw Data'!BI20+'Raw Data'!BK20+'Raw Data'!BM20)</f>
        <v/>
      </c>
    </row>
    <row r="372">
      <c r="G372">
        <f>SUM('Raw Data'!BE21+'Raw Data'!BG21+'Raw Data'!BI21+'Raw Data'!BK21+'Raw Data'!BM21)</f>
        <v/>
      </c>
    </row>
    <row r="373">
      <c r="G373">
        <f>SUM('Raw Data'!BE22+'Raw Data'!BG22+'Raw Data'!BI22+'Raw Data'!BK22+'Raw Data'!BM22)</f>
        <v/>
      </c>
    </row>
    <row r="374">
      <c r="G374">
        <f>SUM('Raw Data'!BE23+'Raw Data'!BG23+'Raw Data'!BI23+'Raw Data'!BK23+'Raw Data'!BM23)</f>
        <v/>
      </c>
    </row>
    <row r="375">
      <c r="G375">
        <f>SUM('Raw Data'!BE24+'Raw Data'!BG24+'Raw Data'!BI24+'Raw Data'!BK24+'Raw Data'!BM24)</f>
        <v/>
      </c>
    </row>
    <row r="376">
      <c r="G376">
        <f>SUM('Raw Data'!BE25+'Raw Data'!BG25+'Raw Data'!BI25+'Raw Data'!BK25+'Raw Data'!BM25)</f>
        <v/>
      </c>
    </row>
    <row r="377">
      <c r="G377">
        <f>SUM('Raw Data'!BE26+'Raw Data'!BG26+'Raw Data'!BI26+'Raw Data'!BK26+'Raw Data'!BM26)</f>
        <v/>
      </c>
    </row>
    <row r="378">
      <c r="G378">
        <f>SUM('Raw Data'!BE27+'Raw Data'!BG27+'Raw Data'!BI27+'Raw Data'!BK27+'Raw Data'!BM27)</f>
        <v/>
      </c>
    </row>
    <row r="379">
      <c r="G379">
        <f>SUM('Raw Data'!BE28+'Raw Data'!BG28+'Raw Data'!BI28+'Raw Data'!BK28+'Raw Data'!BM28)</f>
        <v/>
      </c>
    </row>
    <row r="380">
      <c r="G380">
        <f>SUM('Raw Data'!BE29+'Raw Data'!BG29+'Raw Data'!BI29+'Raw Data'!BK29+'Raw Data'!BM29)</f>
        <v/>
      </c>
    </row>
    <row r="381">
      <c r="G381">
        <f>SUM('Raw Data'!BE30+'Raw Data'!BG30+'Raw Data'!BI30+'Raw Data'!BK30+'Raw Data'!BM30)</f>
        <v/>
      </c>
    </row>
    <row r="382">
      <c r="G382">
        <f>SUM('Raw Data'!BE31+'Raw Data'!BG31+'Raw Data'!BI31+'Raw Data'!BK31+'Raw Data'!BM31)</f>
        <v/>
      </c>
    </row>
    <row r="383">
      <c r="G383">
        <f>SUM('Raw Data'!BE32+'Raw Data'!BG32+'Raw Data'!BI32+'Raw Data'!BK32+'Raw Data'!BM32)</f>
        <v/>
      </c>
    </row>
    <row r="384">
      <c r="G384">
        <f>SUM('Raw Data'!BE33+'Raw Data'!BG33+'Raw Data'!BI33+'Raw Data'!BK33+'Raw Data'!BM33)</f>
        <v/>
      </c>
    </row>
    <row r="385">
      <c r="G385">
        <f>SUM('Raw Data'!BE34+'Raw Data'!BG34+'Raw Data'!BI34+'Raw Data'!BK34+'Raw Data'!BM34)</f>
        <v/>
      </c>
    </row>
    <row r="386">
      <c r="G386">
        <f>SUM('Raw Data'!BE35+'Raw Data'!BG35+'Raw Data'!BI35+'Raw Data'!BK35+'Raw Data'!BM35)</f>
        <v/>
      </c>
    </row>
    <row r="387">
      <c r="G387">
        <f>SUM('Raw Data'!BE36+'Raw Data'!BG36+'Raw Data'!BI36+'Raw Data'!BK36+'Raw Data'!BM36)</f>
        <v/>
      </c>
    </row>
    <row r="388">
      <c r="G388">
        <f>SUM('Raw Data'!BE37+'Raw Data'!BG37+'Raw Data'!BI37+'Raw Data'!BK37+'Raw Data'!BM37)</f>
        <v/>
      </c>
    </row>
    <row r="389">
      <c r="G389">
        <f>SUM('Raw Data'!BE38+'Raw Data'!BG38+'Raw Data'!BI38+'Raw Data'!BK38+'Raw Data'!BM38)</f>
        <v/>
      </c>
    </row>
    <row r="390">
      <c r="G390">
        <f>SUM('Raw Data'!BE39+'Raw Data'!BG39+'Raw Data'!BI39+'Raw Data'!BK39+'Raw Data'!BM39)</f>
        <v/>
      </c>
    </row>
    <row r="391">
      <c r="G391">
        <f>SUM('Raw Data'!BE40+'Raw Data'!BG40+'Raw Data'!BI40+'Raw Data'!BK40+'Raw Data'!BM40)</f>
        <v/>
      </c>
    </row>
    <row r="392">
      <c r="G392">
        <f>SUM('Raw Data'!BE41+'Raw Data'!BG41+'Raw Data'!BI41+'Raw Data'!BK41+'Raw Data'!BM41)</f>
        <v/>
      </c>
    </row>
    <row r="393">
      <c r="G393">
        <f>SUM('Raw Data'!BE42+'Raw Data'!BG42+'Raw Data'!BI42+'Raw Data'!BK42+'Raw Data'!BM42)</f>
        <v/>
      </c>
    </row>
    <row r="394">
      <c r="G394">
        <f>SUM('Raw Data'!BE43+'Raw Data'!BG43+'Raw Data'!BI43+'Raw Data'!BK43+'Raw Data'!BM43)</f>
        <v/>
      </c>
    </row>
    <row r="395">
      <c r="G395">
        <f>SUM('Raw Data'!BE44+'Raw Data'!BG44+'Raw Data'!BI44+'Raw Data'!BK44+'Raw Data'!BM44)</f>
        <v/>
      </c>
    </row>
    <row r="396">
      <c r="G396">
        <f>SUM('Raw Data'!BE45+'Raw Data'!BG45+'Raw Data'!BI45+'Raw Data'!BK45+'Raw Data'!BM45)</f>
        <v/>
      </c>
    </row>
    <row r="397">
      <c r="G397">
        <f>SUM('Raw Data'!BE46+'Raw Data'!BG46+'Raw Data'!BI46+'Raw Data'!BK46+'Raw Data'!BM46)</f>
        <v/>
      </c>
    </row>
    <row r="398">
      <c r="G398">
        <f>SUM('Raw Data'!BE47+'Raw Data'!BG47+'Raw Data'!BI47+'Raw Data'!BK47+'Raw Data'!BM47)</f>
        <v/>
      </c>
    </row>
    <row r="399">
      <c r="G399">
        <f>SUM('Raw Data'!BE48+'Raw Data'!BG48+'Raw Data'!BI48+'Raw Data'!BK48+'Raw Data'!BM48)</f>
        <v/>
      </c>
    </row>
    <row r="400">
      <c r="G400">
        <f>SUM('Raw Data'!BE49+'Raw Data'!BG49+'Raw Data'!BI49+'Raw Data'!BK49+'Raw Data'!BM49)</f>
        <v/>
      </c>
    </row>
    <row r="401">
      <c r="G401">
        <f>SUM('Raw Data'!BE50+'Raw Data'!BG50+'Raw Data'!BI50+'Raw Data'!BK50+'Raw Data'!BM50)</f>
        <v/>
      </c>
    </row>
    <row r="402">
      <c r="G402">
        <f>SUM('Raw Data'!BE51+'Raw Data'!BG51+'Raw Data'!BI51+'Raw Data'!BK51+'Raw Data'!BM51)</f>
        <v/>
      </c>
    </row>
    <row r="403">
      <c r="G403">
        <f>SUM('Raw Data'!BE52+'Raw Data'!BG52+'Raw Data'!BI52+'Raw Data'!BK52+'Raw Data'!BM52)</f>
        <v/>
      </c>
    </row>
    <row r="404">
      <c r="G404">
        <f>SUM('Raw Data'!BE53+'Raw Data'!BG53+'Raw Data'!BI53+'Raw Data'!BK53+'Raw Data'!BM53)</f>
        <v/>
      </c>
    </row>
  </sheetData>
  <mergeCells count="3">
    <mergeCell ref="A2:H2"/>
    <mergeCell ref="A12:F12"/>
    <mergeCell ref="A1:H1"/>
  </mergeCells>
  <conditionalFormatting sqref="E5:E10">
    <cfRule type="colorScale" priority="1">
      <colorScale>
        <cfvo type="num" val="0.5"/>
        <cfvo type="num" val="0.7"/>
        <cfvo type="num" val="0.95"/>
        <color rgb="00C00000"/>
        <color rgb="00FFC000"/>
        <color rgb="0000B050"/>
      </colorScale>
    </cfRule>
  </conditionalFormatting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22" customWidth="1" min="4" max="4"/>
  </cols>
  <sheetData>
    <row r="1" ht="28" customHeight="1">
      <c r="A1" s="11" t="inlineStr">
        <is>
          <t>Driver Analysis -- Correlation with Overall Experience Index</t>
        </is>
      </c>
    </row>
    <row r="2">
      <c r="A2" s="2" t="inlineStr">
        <is>
          <t>CORREL() function measures the strength of each dimension's relationship with the Overall Index.</t>
        </is>
      </c>
    </row>
    <row r="4">
      <c r="A4" s="3" t="inlineStr">
        <is>
          <t>Dimension</t>
        </is>
      </c>
      <c r="B4" s="3" t="inlineStr">
        <is>
          <t>Correlation with Overall Index</t>
        </is>
      </c>
      <c r="C4" s="3" t="inlineStr">
        <is>
          <t>Strength</t>
        </is>
      </c>
      <c r="D4" s="3" t="inlineStr">
        <is>
          <t>Rank (1=Strongest)</t>
        </is>
      </c>
    </row>
    <row r="5">
      <c r="A5" s="4" t="inlineStr">
        <is>
          <t>Job Fit</t>
        </is>
      </c>
      <c r="B5" s="60">
        <f>CORREL('Scoring Engine'!G17:G66,'Scoring Engine'!Y17:Y66)</f>
        <v/>
      </c>
      <c r="C5" s="4">
        <f>IF(ABS(B5)&gt;=0.7,"Strong",IF(ABS(B5)&gt;=0.5,"Moderate",IF(ABS(B5)&gt;=0.3,"Weak","Negligible")))</f>
        <v/>
      </c>
      <c r="D5" s="4">
        <f>IF(B5&lt;&gt;"",RANK(B5,$B$5:$B$10),"")</f>
        <v/>
      </c>
    </row>
    <row r="6">
      <c r="A6" s="13" t="inlineStr">
        <is>
          <t>Manager Effectiveness</t>
        </is>
      </c>
      <c r="B6" s="61">
        <f>CORREL('Scoring Engine'!J17:J66,'Scoring Engine'!Y17:Y66)</f>
        <v/>
      </c>
      <c r="C6" s="13">
        <f>IF(ABS(B6)&gt;=0.7,"Strong",IF(ABS(B6)&gt;=0.5,"Moderate",IF(ABS(B6)&gt;=0.3,"Weak","Negligible")))</f>
        <v/>
      </c>
      <c r="D6" s="13">
        <f>IF(B6&lt;&gt;"",RANK(B6,$B$5:$B$10),"")</f>
        <v/>
      </c>
    </row>
    <row r="7">
      <c r="A7" s="4" t="inlineStr">
        <is>
          <t>Team Collaboration</t>
        </is>
      </c>
      <c r="B7" s="60">
        <f>CORREL('Scoring Engine'!M17:M66,'Scoring Engine'!Y17:Y66)</f>
        <v/>
      </c>
      <c r="C7" s="4">
        <f>IF(ABS(B7)&gt;=0.7,"Strong",IF(ABS(B7)&gt;=0.5,"Moderate",IF(ABS(B7)&gt;=0.3,"Weak","Negligible")))</f>
        <v/>
      </c>
      <c r="D7" s="4">
        <f>IF(B7&lt;&gt;"",RANK(B7,$B$5:$B$10),"")</f>
        <v/>
      </c>
    </row>
    <row r="8">
      <c r="A8" s="13" t="inlineStr">
        <is>
          <t>Workplace Culture</t>
        </is>
      </c>
      <c r="B8" s="61">
        <f>CORREL('Scoring Engine'!P17:P66,'Scoring Engine'!Y17:Y66)</f>
        <v/>
      </c>
      <c r="C8" s="13">
        <f>IF(ABS(B8)&gt;=0.7,"Strong",IF(ABS(B8)&gt;=0.5,"Moderate",IF(ABS(B8)&gt;=0.3,"Weak","Negligible")))</f>
        <v/>
      </c>
      <c r="D8" s="13">
        <f>IF(B8&lt;&gt;"",RANK(B8,$B$5:$B$10),"")</f>
        <v/>
      </c>
    </row>
    <row r="9">
      <c r="A9" s="4" t="inlineStr">
        <is>
          <t>Innovation &amp; Empowerment</t>
        </is>
      </c>
      <c r="B9" s="60">
        <f>CORREL('Scoring Engine'!S17:S66,'Scoring Engine'!Y17:Y66)</f>
        <v/>
      </c>
      <c r="C9" s="4">
        <f>IF(ABS(B9)&gt;=0.7,"Strong",IF(ABS(B9)&gt;=0.5,"Moderate",IF(ABS(B9)&gt;=0.3,"Weak","Negligible")))</f>
        <v/>
      </c>
      <c r="D9" s="4">
        <f>IF(B9&lt;&gt;"",RANK(B9,$B$5:$B$10),"")</f>
        <v/>
      </c>
    </row>
    <row r="10">
      <c r="A10" s="13" t="inlineStr">
        <is>
          <t>Rewards &amp; Growth</t>
        </is>
      </c>
      <c r="B10" s="61">
        <f>CORREL('Scoring Engine'!V17:V66,'Scoring Engine'!Y17:Y66)</f>
        <v/>
      </c>
      <c r="C10" s="13">
        <f>IF(ABS(B10)&gt;=0.7,"Strong",IF(ABS(B10)&gt;=0.5,"Moderate",IF(ABS(B10)&gt;=0.3,"Weak","Negligible")))</f>
        <v/>
      </c>
      <c r="D10" s="13">
        <f>IF(B10&lt;&gt;"",RANK(B10,$B$5:$B$10),"")</f>
        <v/>
      </c>
    </row>
    <row r="13">
      <c r="A13" s="10" t="inlineStr">
        <is>
          <t>Driver Analysis interprets CORREL() results: values near +1 = strong positive relationship; near 0 = no relationship. The higher the correlation, the more that dimension drives the overall experience score.</t>
        </is>
      </c>
    </row>
    <row r="14">
      <c r="A14" s="10" t="inlineStr">
        <is>
          <t>Action: Focus improvement efforts on dimensions with the strongest correlation AND the largest gap -- these are 'high-impact' drivers.</t>
        </is>
      </c>
    </row>
  </sheetData>
  <mergeCells count="4">
    <mergeCell ref="A2:H2"/>
    <mergeCell ref="A13:D13"/>
    <mergeCell ref="A14:D14"/>
    <mergeCell ref="A1:H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6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6" customWidth="1" min="5" max="5"/>
    <col width="20" customWidth="1" min="6" max="6"/>
    <col width="14" customWidth="1" min="7" max="7"/>
  </cols>
  <sheetData>
    <row r="1" ht="28" customHeight="1">
      <c r="A1" s="11" t="inlineStr">
        <is>
          <t>Turnover Prediction Model -- Retention Risk Assessment</t>
        </is>
      </c>
    </row>
    <row r="2">
      <c r="A2" s="2" t="inlineStr">
        <is>
          <t>Model (illustrative index, not a fitted probability): 0.5 x Retention Risk/100 + 0.3 x Manager Gap/9 + 0.2 x Culture Gap/9, capped at 100%</t>
        </is>
      </c>
    </row>
    <row r="4">
      <c r="A4" s="27" t="inlineStr">
        <is>
          <t>Aggregate Turnover Prediction</t>
        </is>
      </c>
    </row>
    <row r="5">
      <c r="A5" s="62" t="inlineStr">
        <is>
          <t>Retention Risk Score</t>
        </is>
      </c>
      <c r="B5" s="63">
        <f>'Scoring Engine'!B12</f>
        <v/>
      </c>
    </row>
    <row r="6">
      <c r="A6" s="62" t="inlineStr">
        <is>
          <t>Manager Gap (weight 30%)</t>
        </is>
      </c>
      <c r="B6" s="64">
        <f>'Scoring Engine'!D6</f>
        <v/>
      </c>
    </row>
    <row r="7">
      <c r="A7" s="62" t="inlineStr">
        <is>
          <t>Culture Gap (weight 20%)</t>
        </is>
      </c>
      <c r="B7" s="64">
        <f>'Scoring Engine'!D8</f>
        <v/>
      </c>
    </row>
    <row r="8">
      <c r="A8" s="23" t="inlineStr">
        <is>
          <t>Turnover Probability</t>
        </is>
      </c>
      <c r="B8" s="65">
        <f>MIN(1,(0.5*B5/100)+(0.3*MAX(0,B6)/9)+(0.2*MAX(0,B7)/9))</f>
        <v/>
      </c>
    </row>
    <row r="9">
      <c r="A9" s="62" t="inlineStr">
        <is>
          <t>Risk Classification</t>
        </is>
      </c>
      <c r="B9" s="66">
        <f>IF(B8&lt;=0.2,"Very Low",IF(B8&lt;=0.4,"Low",IF(B8&lt;=0.6,"Moderate",IF(B8&lt;=0.8,"High","Critical"))))</f>
        <v/>
      </c>
    </row>
    <row r="12">
      <c r="A12" s="27" t="inlineStr">
        <is>
          <t>Per-Respondent Turnover Risk</t>
        </is>
      </c>
    </row>
    <row r="13">
      <c r="A13" s="3" t="inlineStr">
        <is>
          <t>RespID</t>
        </is>
      </c>
      <c r="B13" s="3" t="inlineStr">
        <is>
          <t>Department</t>
        </is>
      </c>
      <c r="C13" s="3" t="inlineStr">
        <is>
          <t>Manager Gap</t>
        </is>
      </c>
      <c r="D13" s="3" t="inlineStr">
        <is>
          <t>Culture Gap</t>
        </is>
      </c>
      <c r="E13" s="3" t="inlineStr">
        <is>
          <t>Retention Risk</t>
        </is>
      </c>
      <c r="F13" s="3" t="inlineStr">
        <is>
          <t>Turnover Probability</t>
        </is>
      </c>
      <c r="G13" s="3" t="inlineStr">
        <is>
          <t>Risk Level</t>
        </is>
      </c>
    </row>
    <row r="14">
      <c r="A14" s="13">
        <f>'Scoring Engine'!A17</f>
        <v/>
      </c>
      <c r="B14" s="13">
        <f>'Scoring Engine'!B17</f>
        <v/>
      </c>
      <c r="C14" s="17">
        <f>'Scoring Engine'!K17</f>
        <v/>
      </c>
      <c r="D14" s="17">
        <f>'Scoring Engine'!Q17</f>
        <v/>
      </c>
      <c r="E14" s="18">
        <f>'Scoring Engine'!AA17</f>
        <v/>
      </c>
      <c r="F14" s="29">
        <f>'Scoring Engine'!AB17</f>
        <v/>
      </c>
      <c r="G14" s="13">
        <f>IF(F14&lt;=0.2,"Very Low",IF(F14&lt;=0.4,"Low",IF(F14&lt;=0.6,"Moderate",IF(F14&lt;=0.8,"High","Critical"))))</f>
        <v/>
      </c>
    </row>
    <row r="15">
      <c r="A15" s="4">
        <f>'Scoring Engine'!A18</f>
        <v/>
      </c>
      <c r="B15" s="4">
        <f>'Scoring Engine'!B18</f>
        <v/>
      </c>
      <c r="C15" s="14">
        <f>'Scoring Engine'!K18</f>
        <v/>
      </c>
      <c r="D15" s="14">
        <f>'Scoring Engine'!Q18</f>
        <v/>
      </c>
      <c r="E15" s="15">
        <f>'Scoring Engine'!AA18</f>
        <v/>
      </c>
      <c r="F15" s="28">
        <f>'Scoring Engine'!AB18</f>
        <v/>
      </c>
      <c r="G15" s="4">
        <f>IF(F15&lt;=0.2,"Very Low",IF(F15&lt;=0.4,"Low",IF(F15&lt;=0.6,"Moderate",IF(F15&lt;=0.8,"High","Critical"))))</f>
        <v/>
      </c>
    </row>
    <row r="16">
      <c r="A16" s="13">
        <f>'Scoring Engine'!A19</f>
        <v/>
      </c>
      <c r="B16" s="13">
        <f>'Scoring Engine'!B19</f>
        <v/>
      </c>
      <c r="C16" s="17">
        <f>'Scoring Engine'!K19</f>
        <v/>
      </c>
      <c r="D16" s="17">
        <f>'Scoring Engine'!Q19</f>
        <v/>
      </c>
      <c r="E16" s="18">
        <f>'Scoring Engine'!AA19</f>
        <v/>
      </c>
      <c r="F16" s="29">
        <f>'Scoring Engine'!AB19</f>
        <v/>
      </c>
      <c r="G16" s="13">
        <f>IF(F16&lt;=0.2,"Very Low",IF(F16&lt;=0.4,"Low",IF(F16&lt;=0.6,"Moderate",IF(F16&lt;=0.8,"High","Critical"))))</f>
        <v/>
      </c>
    </row>
    <row r="17">
      <c r="A17" s="4">
        <f>'Scoring Engine'!A20</f>
        <v/>
      </c>
      <c r="B17" s="4">
        <f>'Scoring Engine'!B20</f>
        <v/>
      </c>
      <c r="C17" s="14">
        <f>'Scoring Engine'!K20</f>
        <v/>
      </c>
      <c r="D17" s="14">
        <f>'Scoring Engine'!Q20</f>
        <v/>
      </c>
      <c r="E17" s="15">
        <f>'Scoring Engine'!AA20</f>
        <v/>
      </c>
      <c r="F17" s="28">
        <f>'Scoring Engine'!AB20</f>
        <v/>
      </c>
      <c r="G17" s="4">
        <f>IF(F17&lt;=0.2,"Very Low",IF(F17&lt;=0.4,"Low",IF(F17&lt;=0.6,"Moderate",IF(F17&lt;=0.8,"High","Critical"))))</f>
        <v/>
      </c>
    </row>
    <row r="18">
      <c r="A18" s="13">
        <f>'Scoring Engine'!A21</f>
        <v/>
      </c>
      <c r="B18" s="13">
        <f>'Scoring Engine'!B21</f>
        <v/>
      </c>
      <c r="C18" s="17">
        <f>'Scoring Engine'!K21</f>
        <v/>
      </c>
      <c r="D18" s="17">
        <f>'Scoring Engine'!Q21</f>
        <v/>
      </c>
      <c r="E18" s="18">
        <f>'Scoring Engine'!AA21</f>
        <v/>
      </c>
      <c r="F18" s="29">
        <f>'Scoring Engine'!AB21</f>
        <v/>
      </c>
      <c r="G18" s="13">
        <f>IF(F18&lt;=0.2,"Very Low",IF(F18&lt;=0.4,"Low",IF(F18&lt;=0.6,"Moderate",IF(F18&lt;=0.8,"High","Critical"))))</f>
        <v/>
      </c>
    </row>
    <row r="19">
      <c r="A19" s="4">
        <f>'Scoring Engine'!A22</f>
        <v/>
      </c>
      <c r="B19" s="4">
        <f>'Scoring Engine'!B22</f>
        <v/>
      </c>
      <c r="C19" s="14">
        <f>'Scoring Engine'!K22</f>
        <v/>
      </c>
      <c r="D19" s="14">
        <f>'Scoring Engine'!Q22</f>
        <v/>
      </c>
      <c r="E19" s="15">
        <f>'Scoring Engine'!AA22</f>
        <v/>
      </c>
      <c r="F19" s="28">
        <f>'Scoring Engine'!AB22</f>
        <v/>
      </c>
      <c r="G19" s="4">
        <f>IF(F19&lt;=0.2,"Very Low",IF(F19&lt;=0.4,"Low",IF(F19&lt;=0.6,"Moderate",IF(F19&lt;=0.8,"High","Critical"))))</f>
        <v/>
      </c>
    </row>
    <row r="20">
      <c r="A20" s="13">
        <f>'Scoring Engine'!A23</f>
        <v/>
      </c>
      <c r="B20" s="13">
        <f>'Scoring Engine'!B23</f>
        <v/>
      </c>
      <c r="C20" s="17">
        <f>'Scoring Engine'!K23</f>
        <v/>
      </c>
      <c r="D20" s="17">
        <f>'Scoring Engine'!Q23</f>
        <v/>
      </c>
      <c r="E20" s="18">
        <f>'Scoring Engine'!AA23</f>
        <v/>
      </c>
      <c r="F20" s="29">
        <f>'Scoring Engine'!AB23</f>
        <v/>
      </c>
      <c r="G20" s="13">
        <f>IF(F20&lt;=0.2,"Very Low",IF(F20&lt;=0.4,"Low",IF(F20&lt;=0.6,"Moderate",IF(F20&lt;=0.8,"High","Critical"))))</f>
        <v/>
      </c>
    </row>
    <row r="21">
      <c r="A21" s="4">
        <f>'Scoring Engine'!A24</f>
        <v/>
      </c>
      <c r="B21" s="4">
        <f>'Scoring Engine'!B24</f>
        <v/>
      </c>
      <c r="C21" s="14">
        <f>'Scoring Engine'!K24</f>
        <v/>
      </c>
      <c r="D21" s="14">
        <f>'Scoring Engine'!Q24</f>
        <v/>
      </c>
      <c r="E21" s="15">
        <f>'Scoring Engine'!AA24</f>
        <v/>
      </c>
      <c r="F21" s="28">
        <f>'Scoring Engine'!AB24</f>
        <v/>
      </c>
      <c r="G21" s="4">
        <f>IF(F21&lt;=0.2,"Very Low",IF(F21&lt;=0.4,"Low",IF(F21&lt;=0.6,"Moderate",IF(F21&lt;=0.8,"High","Critical"))))</f>
        <v/>
      </c>
    </row>
    <row r="22">
      <c r="A22" s="13">
        <f>'Scoring Engine'!A25</f>
        <v/>
      </c>
      <c r="B22" s="13">
        <f>'Scoring Engine'!B25</f>
        <v/>
      </c>
      <c r="C22" s="17">
        <f>'Scoring Engine'!K25</f>
        <v/>
      </c>
      <c r="D22" s="17">
        <f>'Scoring Engine'!Q25</f>
        <v/>
      </c>
      <c r="E22" s="18">
        <f>'Scoring Engine'!AA25</f>
        <v/>
      </c>
      <c r="F22" s="29">
        <f>'Scoring Engine'!AB25</f>
        <v/>
      </c>
      <c r="G22" s="13">
        <f>IF(F22&lt;=0.2,"Very Low",IF(F22&lt;=0.4,"Low",IF(F22&lt;=0.6,"Moderate",IF(F22&lt;=0.8,"High","Critical"))))</f>
        <v/>
      </c>
    </row>
    <row r="23">
      <c r="A23" s="4">
        <f>'Scoring Engine'!A26</f>
        <v/>
      </c>
      <c r="B23" s="4">
        <f>'Scoring Engine'!B26</f>
        <v/>
      </c>
      <c r="C23" s="14">
        <f>'Scoring Engine'!K26</f>
        <v/>
      </c>
      <c r="D23" s="14">
        <f>'Scoring Engine'!Q26</f>
        <v/>
      </c>
      <c r="E23" s="15">
        <f>'Scoring Engine'!AA26</f>
        <v/>
      </c>
      <c r="F23" s="28">
        <f>'Scoring Engine'!AB26</f>
        <v/>
      </c>
      <c r="G23" s="4">
        <f>IF(F23&lt;=0.2,"Very Low",IF(F23&lt;=0.4,"Low",IF(F23&lt;=0.6,"Moderate",IF(F23&lt;=0.8,"High","Critical"))))</f>
        <v/>
      </c>
    </row>
    <row r="24">
      <c r="A24" s="13">
        <f>'Scoring Engine'!A27</f>
        <v/>
      </c>
      <c r="B24" s="13">
        <f>'Scoring Engine'!B27</f>
        <v/>
      </c>
      <c r="C24" s="17">
        <f>'Scoring Engine'!K27</f>
        <v/>
      </c>
      <c r="D24" s="17">
        <f>'Scoring Engine'!Q27</f>
        <v/>
      </c>
      <c r="E24" s="18">
        <f>'Scoring Engine'!AA27</f>
        <v/>
      </c>
      <c r="F24" s="29">
        <f>'Scoring Engine'!AB27</f>
        <v/>
      </c>
      <c r="G24" s="13">
        <f>IF(F24&lt;=0.2,"Very Low",IF(F24&lt;=0.4,"Low",IF(F24&lt;=0.6,"Moderate",IF(F24&lt;=0.8,"High","Critical"))))</f>
        <v/>
      </c>
    </row>
    <row r="25">
      <c r="A25" s="4">
        <f>'Scoring Engine'!A28</f>
        <v/>
      </c>
      <c r="B25" s="4">
        <f>'Scoring Engine'!B28</f>
        <v/>
      </c>
      <c r="C25" s="14">
        <f>'Scoring Engine'!K28</f>
        <v/>
      </c>
      <c r="D25" s="14">
        <f>'Scoring Engine'!Q28</f>
        <v/>
      </c>
      <c r="E25" s="15">
        <f>'Scoring Engine'!AA28</f>
        <v/>
      </c>
      <c r="F25" s="28">
        <f>'Scoring Engine'!AB28</f>
        <v/>
      </c>
      <c r="G25" s="4">
        <f>IF(F25&lt;=0.2,"Very Low",IF(F25&lt;=0.4,"Low",IF(F25&lt;=0.6,"Moderate",IF(F25&lt;=0.8,"High","Critical"))))</f>
        <v/>
      </c>
    </row>
    <row r="26">
      <c r="A26" s="13">
        <f>'Scoring Engine'!A29</f>
        <v/>
      </c>
      <c r="B26" s="13">
        <f>'Scoring Engine'!B29</f>
        <v/>
      </c>
      <c r="C26" s="17">
        <f>'Scoring Engine'!K29</f>
        <v/>
      </c>
      <c r="D26" s="17">
        <f>'Scoring Engine'!Q29</f>
        <v/>
      </c>
      <c r="E26" s="18">
        <f>'Scoring Engine'!AA29</f>
        <v/>
      </c>
      <c r="F26" s="29">
        <f>'Scoring Engine'!AB29</f>
        <v/>
      </c>
      <c r="G26" s="13">
        <f>IF(F26&lt;=0.2,"Very Low",IF(F26&lt;=0.4,"Low",IF(F26&lt;=0.6,"Moderate",IF(F26&lt;=0.8,"High","Critical"))))</f>
        <v/>
      </c>
    </row>
    <row r="27">
      <c r="A27" s="4">
        <f>'Scoring Engine'!A30</f>
        <v/>
      </c>
      <c r="B27" s="4">
        <f>'Scoring Engine'!B30</f>
        <v/>
      </c>
      <c r="C27" s="14">
        <f>'Scoring Engine'!K30</f>
        <v/>
      </c>
      <c r="D27" s="14">
        <f>'Scoring Engine'!Q30</f>
        <v/>
      </c>
      <c r="E27" s="15">
        <f>'Scoring Engine'!AA30</f>
        <v/>
      </c>
      <c r="F27" s="28">
        <f>'Scoring Engine'!AB30</f>
        <v/>
      </c>
      <c r="G27" s="4">
        <f>IF(F27&lt;=0.2,"Very Low",IF(F27&lt;=0.4,"Low",IF(F27&lt;=0.6,"Moderate",IF(F27&lt;=0.8,"High","Critical"))))</f>
        <v/>
      </c>
    </row>
    <row r="28">
      <c r="A28" s="13">
        <f>'Scoring Engine'!A31</f>
        <v/>
      </c>
      <c r="B28" s="13">
        <f>'Scoring Engine'!B31</f>
        <v/>
      </c>
      <c r="C28" s="17">
        <f>'Scoring Engine'!K31</f>
        <v/>
      </c>
      <c r="D28" s="17">
        <f>'Scoring Engine'!Q31</f>
        <v/>
      </c>
      <c r="E28" s="18">
        <f>'Scoring Engine'!AA31</f>
        <v/>
      </c>
      <c r="F28" s="29">
        <f>'Scoring Engine'!AB31</f>
        <v/>
      </c>
      <c r="G28" s="13">
        <f>IF(F28&lt;=0.2,"Very Low",IF(F28&lt;=0.4,"Low",IF(F28&lt;=0.6,"Moderate",IF(F28&lt;=0.8,"High","Critical"))))</f>
        <v/>
      </c>
    </row>
    <row r="29">
      <c r="A29" s="4">
        <f>'Scoring Engine'!A32</f>
        <v/>
      </c>
      <c r="B29" s="4">
        <f>'Scoring Engine'!B32</f>
        <v/>
      </c>
      <c r="C29" s="14">
        <f>'Scoring Engine'!K32</f>
        <v/>
      </c>
      <c r="D29" s="14">
        <f>'Scoring Engine'!Q32</f>
        <v/>
      </c>
      <c r="E29" s="15">
        <f>'Scoring Engine'!AA32</f>
        <v/>
      </c>
      <c r="F29" s="28">
        <f>'Scoring Engine'!AB32</f>
        <v/>
      </c>
      <c r="G29" s="4">
        <f>IF(F29&lt;=0.2,"Very Low",IF(F29&lt;=0.4,"Low",IF(F29&lt;=0.6,"Moderate",IF(F29&lt;=0.8,"High","Critical"))))</f>
        <v/>
      </c>
    </row>
    <row r="30">
      <c r="A30" s="13">
        <f>'Scoring Engine'!A33</f>
        <v/>
      </c>
      <c r="B30" s="13">
        <f>'Scoring Engine'!B33</f>
        <v/>
      </c>
      <c r="C30" s="17">
        <f>'Scoring Engine'!K33</f>
        <v/>
      </c>
      <c r="D30" s="17">
        <f>'Scoring Engine'!Q33</f>
        <v/>
      </c>
      <c r="E30" s="18">
        <f>'Scoring Engine'!AA33</f>
        <v/>
      </c>
      <c r="F30" s="29">
        <f>'Scoring Engine'!AB33</f>
        <v/>
      </c>
      <c r="G30" s="13">
        <f>IF(F30&lt;=0.2,"Very Low",IF(F30&lt;=0.4,"Low",IF(F30&lt;=0.6,"Moderate",IF(F30&lt;=0.8,"High","Critical"))))</f>
        <v/>
      </c>
    </row>
    <row r="31">
      <c r="A31" s="4">
        <f>'Scoring Engine'!A34</f>
        <v/>
      </c>
      <c r="B31" s="4">
        <f>'Scoring Engine'!B34</f>
        <v/>
      </c>
      <c r="C31" s="14">
        <f>'Scoring Engine'!K34</f>
        <v/>
      </c>
      <c r="D31" s="14">
        <f>'Scoring Engine'!Q34</f>
        <v/>
      </c>
      <c r="E31" s="15">
        <f>'Scoring Engine'!AA34</f>
        <v/>
      </c>
      <c r="F31" s="28">
        <f>'Scoring Engine'!AB34</f>
        <v/>
      </c>
      <c r="G31" s="4">
        <f>IF(F31&lt;=0.2,"Very Low",IF(F31&lt;=0.4,"Low",IF(F31&lt;=0.6,"Moderate",IF(F31&lt;=0.8,"High","Critical"))))</f>
        <v/>
      </c>
    </row>
    <row r="32">
      <c r="A32" s="13">
        <f>'Scoring Engine'!A35</f>
        <v/>
      </c>
      <c r="B32" s="13">
        <f>'Scoring Engine'!B35</f>
        <v/>
      </c>
      <c r="C32" s="17">
        <f>'Scoring Engine'!K35</f>
        <v/>
      </c>
      <c r="D32" s="17">
        <f>'Scoring Engine'!Q35</f>
        <v/>
      </c>
      <c r="E32" s="18">
        <f>'Scoring Engine'!AA35</f>
        <v/>
      </c>
      <c r="F32" s="29">
        <f>'Scoring Engine'!AB35</f>
        <v/>
      </c>
      <c r="G32" s="13">
        <f>IF(F32&lt;=0.2,"Very Low",IF(F32&lt;=0.4,"Low",IF(F32&lt;=0.6,"Moderate",IF(F32&lt;=0.8,"High","Critical"))))</f>
        <v/>
      </c>
    </row>
    <row r="33">
      <c r="A33" s="4">
        <f>'Scoring Engine'!A36</f>
        <v/>
      </c>
      <c r="B33" s="4">
        <f>'Scoring Engine'!B36</f>
        <v/>
      </c>
      <c r="C33" s="14">
        <f>'Scoring Engine'!K36</f>
        <v/>
      </c>
      <c r="D33" s="14">
        <f>'Scoring Engine'!Q36</f>
        <v/>
      </c>
      <c r="E33" s="15">
        <f>'Scoring Engine'!AA36</f>
        <v/>
      </c>
      <c r="F33" s="28">
        <f>'Scoring Engine'!AB36</f>
        <v/>
      </c>
      <c r="G33" s="4">
        <f>IF(F33&lt;=0.2,"Very Low",IF(F33&lt;=0.4,"Low",IF(F33&lt;=0.6,"Moderate",IF(F33&lt;=0.8,"High","Critical"))))</f>
        <v/>
      </c>
    </row>
    <row r="34">
      <c r="A34" s="13">
        <f>'Scoring Engine'!A37</f>
        <v/>
      </c>
      <c r="B34" s="13">
        <f>'Scoring Engine'!B37</f>
        <v/>
      </c>
      <c r="C34" s="17">
        <f>'Scoring Engine'!K37</f>
        <v/>
      </c>
      <c r="D34" s="17">
        <f>'Scoring Engine'!Q37</f>
        <v/>
      </c>
      <c r="E34" s="18">
        <f>'Scoring Engine'!AA37</f>
        <v/>
      </c>
      <c r="F34" s="29">
        <f>'Scoring Engine'!AB37</f>
        <v/>
      </c>
      <c r="G34" s="13">
        <f>IF(F34&lt;=0.2,"Very Low",IF(F34&lt;=0.4,"Low",IF(F34&lt;=0.6,"Moderate",IF(F34&lt;=0.8,"High","Critical"))))</f>
        <v/>
      </c>
    </row>
    <row r="35">
      <c r="A35" s="4">
        <f>'Scoring Engine'!A38</f>
        <v/>
      </c>
      <c r="B35" s="4">
        <f>'Scoring Engine'!B38</f>
        <v/>
      </c>
      <c r="C35" s="14">
        <f>'Scoring Engine'!K38</f>
        <v/>
      </c>
      <c r="D35" s="14">
        <f>'Scoring Engine'!Q38</f>
        <v/>
      </c>
      <c r="E35" s="15">
        <f>'Scoring Engine'!AA38</f>
        <v/>
      </c>
      <c r="F35" s="28">
        <f>'Scoring Engine'!AB38</f>
        <v/>
      </c>
      <c r="G35" s="4">
        <f>IF(F35&lt;=0.2,"Very Low",IF(F35&lt;=0.4,"Low",IF(F35&lt;=0.6,"Moderate",IF(F35&lt;=0.8,"High","Critical"))))</f>
        <v/>
      </c>
    </row>
    <row r="36">
      <c r="A36" s="13">
        <f>'Scoring Engine'!A39</f>
        <v/>
      </c>
      <c r="B36" s="13">
        <f>'Scoring Engine'!B39</f>
        <v/>
      </c>
      <c r="C36" s="17">
        <f>'Scoring Engine'!K39</f>
        <v/>
      </c>
      <c r="D36" s="17">
        <f>'Scoring Engine'!Q39</f>
        <v/>
      </c>
      <c r="E36" s="18">
        <f>'Scoring Engine'!AA39</f>
        <v/>
      </c>
      <c r="F36" s="29">
        <f>'Scoring Engine'!AB39</f>
        <v/>
      </c>
      <c r="G36" s="13">
        <f>IF(F36&lt;=0.2,"Very Low",IF(F36&lt;=0.4,"Low",IF(F36&lt;=0.6,"Moderate",IF(F36&lt;=0.8,"High","Critical"))))</f>
        <v/>
      </c>
    </row>
    <row r="37">
      <c r="A37" s="4">
        <f>'Scoring Engine'!A40</f>
        <v/>
      </c>
      <c r="B37" s="4">
        <f>'Scoring Engine'!B40</f>
        <v/>
      </c>
      <c r="C37" s="14">
        <f>'Scoring Engine'!K40</f>
        <v/>
      </c>
      <c r="D37" s="14">
        <f>'Scoring Engine'!Q40</f>
        <v/>
      </c>
      <c r="E37" s="15">
        <f>'Scoring Engine'!AA40</f>
        <v/>
      </c>
      <c r="F37" s="28">
        <f>'Scoring Engine'!AB40</f>
        <v/>
      </c>
      <c r="G37" s="4">
        <f>IF(F37&lt;=0.2,"Very Low",IF(F37&lt;=0.4,"Low",IF(F37&lt;=0.6,"Moderate",IF(F37&lt;=0.8,"High","Critical"))))</f>
        <v/>
      </c>
    </row>
    <row r="38">
      <c r="A38" s="13">
        <f>'Scoring Engine'!A41</f>
        <v/>
      </c>
      <c r="B38" s="13">
        <f>'Scoring Engine'!B41</f>
        <v/>
      </c>
      <c r="C38" s="17">
        <f>'Scoring Engine'!K41</f>
        <v/>
      </c>
      <c r="D38" s="17">
        <f>'Scoring Engine'!Q41</f>
        <v/>
      </c>
      <c r="E38" s="18">
        <f>'Scoring Engine'!AA41</f>
        <v/>
      </c>
      <c r="F38" s="29">
        <f>'Scoring Engine'!AB41</f>
        <v/>
      </c>
      <c r="G38" s="13">
        <f>IF(F38&lt;=0.2,"Very Low",IF(F38&lt;=0.4,"Low",IF(F38&lt;=0.6,"Moderate",IF(F38&lt;=0.8,"High","Critical"))))</f>
        <v/>
      </c>
    </row>
    <row r="39">
      <c r="A39" s="4">
        <f>'Scoring Engine'!A42</f>
        <v/>
      </c>
      <c r="B39" s="4">
        <f>'Scoring Engine'!B42</f>
        <v/>
      </c>
      <c r="C39" s="14">
        <f>'Scoring Engine'!K42</f>
        <v/>
      </c>
      <c r="D39" s="14">
        <f>'Scoring Engine'!Q42</f>
        <v/>
      </c>
      <c r="E39" s="15">
        <f>'Scoring Engine'!AA42</f>
        <v/>
      </c>
      <c r="F39" s="28">
        <f>'Scoring Engine'!AB42</f>
        <v/>
      </c>
      <c r="G39" s="4">
        <f>IF(F39&lt;=0.2,"Very Low",IF(F39&lt;=0.4,"Low",IF(F39&lt;=0.6,"Moderate",IF(F39&lt;=0.8,"High","Critical"))))</f>
        <v/>
      </c>
    </row>
    <row r="40">
      <c r="A40" s="13">
        <f>'Scoring Engine'!A43</f>
        <v/>
      </c>
      <c r="B40" s="13">
        <f>'Scoring Engine'!B43</f>
        <v/>
      </c>
      <c r="C40" s="17">
        <f>'Scoring Engine'!K43</f>
        <v/>
      </c>
      <c r="D40" s="17">
        <f>'Scoring Engine'!Q43</f>
        <v/>
      </c>
      <c r="E40" s="18">
        <f>'Scoring Engine'!AA43</f>
        <v/>
      </c>
      <c r="F40" s="29">
        <f>'Scoring Engine'!AB43</f>
        <v/>
      </c>
      <c r="G40" s="13">
        <f>IF(F40&lt;=0.2,"Very Low",IF(F40&lt;=0.4,"Low",IF(F40&lt;=0.6,"Moderate",IF(F40&lt;=0.8,"High","Critical"))))</f>
        <v/>
      </c>
    </row>
    <row r="41">
      <c r="A41" s="4">
        <f>'Scoring Engine'!A44</f>
        <v/>
      </c>
      <c r="B41" s="4">
        <f>'Scoring Engine'!B44</f>
        <v/>
      </c>
      <c r="C41" s="14">
        <f>'Scoring Engine'!K44</f>
        <v/>
      </c>
      <c r="D41" s="14">
        <f>'Scoring Engine'!Q44</f>
        <v/>
      </c>
      <c r="E41" s="15">
        <f>'Scoring Engine'!AA44</f>
        <v/>
      </c>
      <c r="F41" s="28">
        <f>'Scoring Engine'!AB44</f>
        <v/>
      </c>
      <c r="G41" s="4">
        <f>IF(F41&lt;=0.2,"Very Low",IF(F41&lt;=0.4,"Low",IF(F41&lt;=0.6,"Moderate",IF(F41&lt;=0.8,"High","Critical"))))</f>
        <v/>
      </c>
    </row>
    <row r="42">
      <c r="A42" s="13">
        <f>'Scoring Engine'!A45</f>
        <v/>
      </c>
      <c r="B42" s="13">
        <f>'Scoring Engine'!B45</f>
        <v/>
      </c>
      <c r="C42" s="17">
        <f>'Scoring Engine'!K45</f>
        <v/>
      </c>
      <c r="D42" s="17">
        <f>'Scoring Engine'!Q45</f>
        <v/>
      </c>
      <c r="E42" s="18">
        <f>'Scoring Engine'!AA45</f>
        <v/>
      </c>
      <c r="F42" s="29">
        <f>'Scoring Engine'!AB45</f>
        <v/>
      </c>
      <c r="G42" s="13">
        <f>IF(F42&lt;=0.2,"Very Low",IF(F42&lt;=0.4,"Low",IF(F42&lt;=0.6,"Moderate",IF(F42&lt;=0.8,"High","Critical"))))</f>
        <v/>
      </c>
    </row>
    <row r="43">
      <c r="A43" s="4">
        <f>'Scoring Engine'!A46</f>
        <v/>
      </c>
      <c r="B43" s="4">
        <f>'Scoring Engine'!B46</f>
        <v/>
      </c>
      <c r="C43" s="14">
        <f>'Scoring Engine'!K46</f>
        <v/>
      </c>
      <c r="D43" s="14">
        <f>'Scoring Engine'!Q46</f>
        <v/>
      </c>
      <c r="E43" s="15">
        <f>'Scoring Engine'!AA46</f>
        <v/>
      </c>
      <c r="F43" s="28">
        <f>'Scoring Engine'!AB46</f>
        <v/>
      </c>
      <c r="G43" s="4">
        <f>IF(F43&lt;=0.2,"Very Low",IF(F43&lt;=0.4,"Low",IF(F43&lt;=0.6,"Moderate",IF(F43&lt;=0.8,"High","Critical"))))</f>
        <v/>
      </c>
    </row>
    <row r="44">
      <c r="A44" s="13">
        <f>'Scoring Engine'!A47</f>
        <v/>
      </c>
      <c r="B44" s="13">
        <f>'Scoring Engine'!B47</f>
        <v/>
      </c>
      <c r="C44" s="17">
        <f>'Scoring Engine'!K47</f>
        <v/>
      </c>
      <c r="D44" s="17">
        <f>'Scoring Engine'!Q47</f>
        <v/>
      </c>
      <c r="E44" s="18">
        <f>'Scoring Engine'!AA47</f>
        <v/>
      </c>
      <c r="F44" s="29">
        <f>'Scoring Engine'!AB47</f>
        <v/>
      </c>
      <c r="G44" s="13">
        <f>IF(F44&lt;=0.2,"Very Low",IF(F44&lt;=0.4,"Low",IF(F44&lt;=0.6,"Moderate",IF(F44&lt;=0.8,"High","Critical"))))</f>
        <v/>
      </c>
    </row>
    <row r="45">
      <c r="A45" s="4">
        <f>'Scoring Engine'!A48</f>
        <v/>
      </c>
      <c r="B45" s="4">
        <f>'Scoring Engine'!B48</f>
        <v/>
      </c>
      <c r="C45" s="14">
        <f>'Scoring Engine'!K48</f>
        <v/>
      </c>
      <c r="D45" s="14">
        <f>'Scoring Engine'!Q48</f>
        <v/>
      </c>
      <c r="E45" s="15">
        <f>'Scoring Engine'!AA48</f>
        <v/>
      </c>
      <c r="F45" s="28">
        <f>'Scoring Engine'!AB48</f>
        <v/>
      </c>
      <c r="G45" s="4">
        <f>IF(F45&lt;=0.2,"Very Low",IF(F45&lt;=0.4,"Low",IF(F45&lt;=0.6,"Moderate",IF(F45&lt;=0.8,"High","Critical"))))</f>
        <v/>
      </c>
    </row>
    <row r="46">
      <c r="A46" s="13">
        <f>'Scoring Engine'!A49</f>
        <v/>
      </c>
      <c r="B46" s="13">
        <f>'Scoring Engine'!B49</f>
        <v/>
      </c>
      <c r="C46" s="17">
        <f>'Scoring Engine'!K49</f>
        <v/>
      </c>
      <c r="D46" s="17">
        <f>'Scoring Engine'!Q49</f>
        <v/>
      </c>
      <c r="E46" s="18">
        <f>'Scoring Engine'!AA49</f>
        <v/>
      </c>
      <c r="F46" s="29">
        <f>'Scoring Engine'!AB49</f>
        <v/>
      </c>
      <c r="G46" s="13">
        <f>IF(F46&lt;=0.2,"Very Low",IF(F46&lt;=0.4,"Low",IF(F46&lt;=0.6,"Moderate",IF(F46&lt;=0.8,"High","Critical"))))</f>
        <v/>
      </c>
    </row>
    <row r="47">
      <c r="A47" s="4">
        <f>'Scoring Engine'!A50</f>
        <v/>
      </c>
      <c r="B47" s="4">
        <f>'Scoring Engine'!B50</f>
        <v/>
      </c>
      <c r="C47" s="14">
        <f>'Scoring Engine'!K50</f>
        <v/>
      </c>
      <c r="D47" s="14">
        <f>'Scoring Engine'!Q50</f>
        <v/>
      </c>
      <c r="E47" s="15">
        <f>'Scoring Engine'!AA50</f>
        <v/>
      </c>
      <c r="F47" s="28">
        <f>'Scoring Engine'!AB50</f>
        <v/>
      </c>
      <c r="G47" s="4">
        <f>IF(F47&lt;=0.2,"Very Low",IF(F47&lt;=0.4,"Low",IF(F47&lt;=0.6,"Moderate",IF(F47&lt;=0.8,"High","Critical"))))</f>
        <v/>
      </c>
    </row>
    <row r="48">
      <c r="A48" s="13">
        <f>'Scoring Engine'!A51</f>
        <v/>
      </c>
      <c r="B48" s="13">
        <f>'Scoring Engine'!B51</f>
        <v/>
      </c>
      <c r="C48" s="17">
        <f>'Scoring Engine'!K51</f>
        <v/>
      </c>
      <c r="D48" s="17">
        <f>'Scoring Engine'!Q51</f>
        <v/>
      </c>
      <c r="E48" s="18">
        <f>'Scoring Engine'!AA51</f>
        <v/>
      </c>
      <c r="F48" s="29">
        <f>'Scoring Engine'!AB51</f>
        <v/>
      </c>
      <c r="G48" s="13">
        <f>IF(F48&lt;=0.2,"Very Low",IF(F48&lt;=0.4,"Low",IF(F48&lt;=0.6,"Moderate",IF(F48&lt;=0.8,"High","Critical"))))</f>
        <v/>
      </c>
    </row>
    <row r="49">
      <c r="A49" s="4">
        <f>'Scoring Engine'!A52</f>
        <v/>
      </c>
      <c r="B49" s="4">
        <f>'Scoring Engine'!B52</f>
        <v/>
      </c>
      <c r="C49" s="14">
        <f>'Scoring Engine'!K52</f>
        <v/>
      </c>
      <c r="D49" s="14">
        <f>'Scoring Engine'!Q52</f>
        <v/>
      </c>
      <c r="E49" s="15">
        <f>'Scoring Engine'!AA52</f>
        <v/>
      </c>
      <c r="F49" s="28">
        <f>'Scoring Engine'!AB52</f>
        <v/>
      </c>
      <c r="G49" s="4">
        <f>IF(F49&lt;=0.2,"Very Low",IF(F49&lt;=0.4,"Low",IF(F49&lt;=0.6,"Moderate",IF(F49&lt;=0.8,"High","Critical"))))</f>
        <v/>
      </c>
    </row>
    <row r="50">
      <c r="A50" s="13">
        <f>'Scoring Engine'!A53</f>
        <v/>
      </c>
      <c r="B50" s="13">
        <f>'Scoring Engine'!B53</f>
        <v/>
      </c>
      <c r="C50" s="17">
        <f>'Scoring Engine'!K53</f>
        <v/>
      </c>
      <c r="D50" s="17">
        <f>'Scoring Engine'!Q53</f>
        <v/>
      </c>
      <c r="E50" s="18">
        <f>'Scoring Engine'!AA53</f>
        <v/>
      </c>
      <c r="F50" s="29">
        <f>'Scoring Engine'!AB53</f>
        <v/>
      </c>
      <c r="G50" s="13">
        <f>IF(F50&lt;=0.2,"Very Low",IF(F50&lt;=0.4,"Low",IF(F50&lt;=0.6,"Moderate",IF(F50&lt;=0.8,"High","Critical"))))</f>
        <v/>
      </c>
    </row>
    <row r="51">
      <c r="A51" s="4">
        <f>'Scoring Engine'!A54</f>
        <v/>
      </c>
      <c r="B51" s="4">
        <f>'Scoring Engine'!B54</f>
        <v/>
      </c>
      <c r="C51" s="14">
        <f>'Scoring Engine'!K54</f>
        <v/>
      </c>
      <c r="D51" s="14">
        <f>'Scoring Engine'!Q54</f>
        <v/>
      </c>
      <c r="E51" s="15">
        <f>'Scoring Engine'!AA54</f>
        <v/>
      </c>
      <c r="F51" s="28">
        <f>'Scoring Engine'!AB54</f>
        <v/>
      </c>
      <c r="G51" s="4">
        <f>IF(F51&lt;=0.2,"Very Low",IF(F51&lt;=0.4,"Low",IF(F51&lt;=0.6,"Moderate",IF(F51&lt;=0.8,"High","Critical"))))</f>
        <v/>
      </c>
    </row>
    <row r="52">
      <c r="A52" s="13">
        <f>'Scoring Engine'!A55</f>
        <v/>
      </c>
      <c r="B52" s="13">
        <f>'Scoring Engine'!B55</f>
        <v/>
      </c>
      <c r="C52" s="17">
        <f>'Scoring Engine'!K55</f>
        <v/>
      </c>
      <c r="D52" s="17">
        <f>'Scoring Engine'!Q55</f>
        <v/>
      </c>
      <c r="E52" s="18">
        <f>'Scoring Engine'!AA55</f>
        <v/>
      </c>
      <c r="F52" s="29">
        <f>'Scoring Engine'!AB55</f>
        <v/>
      </c>
      <c r="G52" s="13">
        <f>IF(F52&lt;=0.2,"Very Low",IF(F52&lt;=0.4,"Low",IF(F52&lt;=0.6,"Moderate",IF(F52&lt;=0.8,"High","Critical"))))</f>
        <v/>
      </c>
    </row>
    <row r="53">
      <c r="A53" s="4">
        <f>'Scoring Engine'!A56</f>
        <v/>
      </c>
      <c r="B53" s="4">
        <f>'Scoring Engine'!B56</f>
        <v/>
      </c>
      <c r="C53" s="14">
        <f>'Scoring Engine'!K56</f>
        <v/>
      </c>
      <c r="D53" s="14">
        <f>'Scoring Engine'!Q56</f>
        <v/>
      </c>
      <c r="E53" s="15">
        <f>'Scoring Engine'!AA56</f>
        <v/>
      </c>
      <c r="F53" s="28">
        <f>'Scoring Engine'!AB56</f>
        <v/>
      </c>
      <c r="G53" s="4">
        <f>IF(F53&lt;=0.2,"Very Low",IF(F53&lt;=0.4,"Low",IF(F53&lt;=0.6,"Moderate",IF(F53&lt;=0.8,"High","Critical"))))</f>
        <v/>
      </c>
    </row>
    <row r="54">
      <c r="A54" s="13">
        <f>'Scoring Engine'!A57</f>
        <v/>
      </c>
      <c r="B54" s="13">
        <f>'Scoring Engine'!B57</f>
        <v/>
      </c>
      <c r="C54" s="17">
        <f>'Scoring Engine'!K57</f>
        <v/>
      </c>
      <c r="D54" s="17">
        <f>'Scoring Engine'!Q57</f>
        <v/>
      </c>
      <c r="E54" s="18">
        <f>'Scoring Engine'!AA57</f>
        <v/>
      </c>
      <c r="F54" s="29">
        <f>'Scoring Engine'!AB57</f>
        <v/>
      </c>
      <c r="G54" s="13">
        <f>IF(F54&lt;=0.2,"Very Low",IF(F54&lt;=0.4,"Low",IF(F54&lt;=0.6,"Moderate",IF(F54&lt;=0.8,"High","Critical"))))</f>
        <v/>
      </c>
    </row>
    <row r="55">
      <c r="A55" s="4">
        <f>'Scoring Engine'!A58</f>
        <v/>
      </c>
      <c r="B55" s="4">
        <f>'Scoring Engine'!B58</f>
        <v/>
      </c>
      <c r="C55" s="14">
        <f>'Scoring Engine'!K58</f>
        <v/>
      </c>
      <c r="D55" s="14">
        <f>'Scoring Engine'!Q58</f>
        <v/>
      </c>
      <c r="E55" s="15">
        <f>'Scoring Engine'!AA58</f>
        <v/>
      </c>
      <c r="F55" s="28">
        <f>'Scoring Engine'!AB58</f>
        <v/>
      </c>
      <c r="G55" s="4">
        <f>IF(F55&lt;=0.2,"Very Low",IF(F55&lt;=0.4,"Low",IF(F55&lt;=0.6,"Moderate",IF(F55&lt;=0.8,"High","Critical"))))</f>
        <v/>
      </c>
    </row>
    <row r="56">
      <c r="A56" s="13">
        <f>'Scoring Engine'!A59</f>
        <v/>
      </c>
      <c r="B56" s="13">
        <f>'Scoring Engine'!B59</f>
        <v/>
      </c>
      <c r="C56" s="17">
        <f>'Scoring Engine'!K59</f>
        <v/>
      </c>
      <c r="D56" s="17">
        <f>'Scoring Engine'!Q59</f>
        <v/>
      </c>
      <c r="E56" s="18">
        <f>'Scoring Engine'!AA59</f>
        <v/>
      </c>
      <c r="F56" s="29">
        <f>'Scoring Engine'!AB59</f>
        <v/>
      </c>
      <c r="G56" s="13">
        <f>IF(F56&lt;=0.2,"Very Low",IF(F56&lt;=0.4,"Low",IF(F56&lt;=0.6,"Moderate",IF(F56&lt;=0.8,"High","Critical"))))</f>
        <v/>
      </c>
    </row>
    <row r="57">
      <c r="A57" s="4">
        <f>'Scoring Engine'!A60</f>
        <v/>
      </c>
      <c r="B57" s="4">
        <f>'Scoring Engine'!B60</f>
        <v/>
      </c>
      <c r="C57" s="14">
        <f>'Scoring Engine'!K60</f>
        <v/>
      </c>
      <c r="D57" s="14">
        <f>'Scoring Engine'!Q60</f>
        <v/>
      </c>
      <c r="E57" s="15">
        <f>'Scoring Engine'!AA60</f>
        <v/>
      </c>
      <c r="F57" s="28">
        <f>'Scoring Engine'!AB60</f>
        <v/>
      </c>
      <c r="G57" s="4">
        <f>IF(F57&lt;=0.2,"Very Low",IF(F57&lt;=0.4,"Low",IF(F57&lt;=0.6,"Moderate",IF(F57&lt;=0.8,"High","Critical"))))</f>
        <v/>
      </c>
    </row>
    <row r="58">
      <c r="A58" s="13">
        <f>'Scoring Engine'!A61</f>
        <v/>
      </c>
      <c r="B58" s="13">
        <f>'Scoring Engine'!B61</f>
        <v/>
      </c>
      <c r="C58" s="17">
        <f>'Scoring Engine'!K61</f>
        <v/>
      </c>
      <c r="D58" s="17">
        <f>'Scoring Engine'!Q61</f>
        <v/>
      </c>
      <c r="E58" s="18">
        <f>'Scoring Engine'!AA61</f>
        <v/>
      </c>
      <c r="F58" s="29">
        <f>'Scoring Engine'!AB61</f>
        <v/>
      </c>
      <c r="G58" s="13">
        <f>IF(F58&lt;=0.2,"Very Low",IF(F58&lt;=0.4,"Low",IF(F58&lt;=0.6,"Moderate",IF(F58&lt;=0.8,"High","Critical"))))</f>
        <v/>
      </c>
    </row>
    <row r="59">
      <c r="A59" s="4">
        <f>'Scoring Engine'!A62</f>
        <v/>
      </c>
      <c r="B59" s="4">
        <f>'Scoring Engine'!B62</f>
        <v/>
      </c>
      <c r="C59" s="14">
        <f>'Scoring Engine'!K62</f>
        <v/>
      </c>
      <c r="D59" s="14">
        <f>'Scoring Engine'!Q62</f>
        <v/>
      </c>
      <c r="E59" s="15">
        <f>'Scoring Engine'!AA62</f>
        <v/>
      </c>
      <c r="F59" s="28">
        <f>'Scoring Engine'!AB62</f>
        <v/>
      </c>
      <c r="G59" s="4">
        <f>IF(F59&lt;=0.2,"Very Low",IF(F59&lt;=0.4,"Low",IF(F59&lt;=0.6,"Moderate",IF(F59&lt;=0.8,"High","Critical"))))</f>
        <v/>
      </c>
    </row>
    <row r="60">
      <c r="A60" s="13">
        <f>'Scoring Engine'!A63</f>
        <v/>
      </c>
      <c r="B60" s="13">
        <f>'Scoring Engine'!B63</f>
        <v/>
      </c>
      <c r="C60" s="17">
        <f>'Scoring Engine'!K63</f>
        <v/>
      </c>
      <c r="D60" s="17">
        <f>'Scoring Engine'!Q63</f>
        <v/>
      </c>
      <c r="E60" s="18">
        <f>'Scoring Engine'!AA63</f>
        <v/>
      </c>
      <c r="F60" s="29">
        <f>'Scoring Engine'!AB63</f>
        <v/>
      </c>
      <c r="G60" s="13">
        <f>IF(F60&lt;=0.2,"Very Low",IF(F60&lt;=0.4,"Low",IF(F60&lt;=0.6,"Moderate",IF(F60&lt;=0.8,"High","Critical"))))</f>
        <v/>
      </c>
    </row>
    <row r="61">
      <c r="A61" s="4">
        <f>'Scoring Engine'!A64</f>
        <v/>
      </c>
      <c r="B61" s="4">
        <f>'Scoring Engine'!B64</f>
        <v/>
      </c>
      <c r="C61" s="14">
        <f>'Scoring Engine'!K64</f>
        <v/>
      </c>
      <c r="D61" s="14">
        <f>'Scoring Engine'!Q64</f>
        <v/>
      </c>
      <c r="E61" s="15">
        <f>'Scoring Engine'!AA64</f>
        <v/>
      </c>
      <c r="F61" s="28">
        <f>'Scoring Engine'!AB64</f>
        <v/>
      </c>
      <c r="G61" s="4">
        <f>IF(F61&lt;=0.2,"Very Low",IF(F61&lt;=0.4,"Low",IF(F61&lt;=0.6,"Moderate",IF(F61&lt;=0.8,"High","Critical"))))</f>
        <v/>
      </c>
    </row>
    <row r="62">
      <c r="A62" s="13">
        <f>'Scoring Engine'!A65</f>
        <v/>
      </c>
      <c r="B62" s="13">
        <f>'Scoring Engine'!B65</f>
        <v/>
      </c>
      <c r="C62" s="17">
        <f>'Scoring Engine'!K65</f>
        <v/>
      </c>
      <c r="D62" s="17">
        <f>'Scoring Engine'!Q65</f>
        <v/>
      </c>
      <c r="E62" s="18">
        <f>'Scoring Engine'!AA65</f>
        <v/>
      </c>
      <c r="F62" s="29">
        <f>'Scoring Engine'!AB65</f>
        <v/>
      </c>
      <c r="G62" s="13">
        <f>IF(F62&lt;=0.2,"Very Low",IF(F62&lt;=0.4,"Low",IF(F62&lt;=0.6,"Moderate",IF(F62&lt;=0.8,"High","Critical"))))</f>
        <v/>
      </c>
    </row>
    <row r="63">
      <c r="A63" s="4">
        <f>'Scoring Engine'!A66</f>
        <v/>
      </c>
      <c r="B63" s="4">
        <f>'Scoring Engine'!B66</f>
        <v/>
      </c>
      <c r="C63" s="14">
        <f>'Scoring Engine'!K66</f>
        <v/>
      </c>
      <c r="D63" s="14">
        <f>'Scoring Engine'!Q66</f>
        <v/>
      </c>
      <c r="E63" s="15">
        <f>'Scoring Engine'!AA66</f>
        <v/>
      </c>
      <c r="F63" s="28">
        <f>'Scoring Engine'!AB66</f>
        <v/>
      </c>
      <c r="G63" s="4">
        <f>IF(F63&lt;=0.2,"Very Low",IF(F63&lt;=0.4,"Low",IF(F63&lt;=0.6,"Moderate",IF(F63&lt;=0.8,"High","Critical"))))</f>
        <v/>
      </c>
    </row>
    <row r="65">
      <c r="A65" s="27" t="inlineStr">
        <is>
          <t>Summary Statistics</t>
        </is>
      </c>
    </row>
    <row r="66">
      <c r="A66" s="62" t="inlineStr">
        <is>
          <t>Average Turnover Probability</t>
        </is>
      </c>
      <c r="B66" s="67">
        <f>AVERAGE(F14:F63)</f>
        <v/>
      </c>
    </row>
    <row r="67">
      <c r="A67" s="62" t="inlineStr">
        <is>
          <t>High Risk Employees (&gt;=60%)</t>
        </is>
      </c>
      <c r="B67" s="68">
        <f>COUNTIF(F14:F63,"&gt;=0.6")</f>
        <v/>
      </c>
    </row>
    <row r="68">
      <c r="A68" s="62" t="inlineStr">
        <is>
          <t>Moderate Risk (40-60%)</t>
        </is>
      </c>
      <c r="B68" s="69">
        <f>COUNTIFS(F14:F63,"&gt;=0.4",F14:F63,"&lt;0.6")</f>
        <v/>
      </c>
    </row>
    <row r="69">
      <c r="A69" s="62" t="inlineStr">
        <is>
          <t>Low Risk (&lt;40%)</t>
        </is>
      </c>
      <c r="B69" s="70">
        <f>COUNTIF(F14:F63,"&lt;0.4")</f>
        <v/>
      </c>
    </row>
  </sheetData>
  <mergeCells count="5">
    <mergeCell ref="A12:H12"/>
    <mergeCell ref="A1:H1"/>
    <mergeCell ref="A2:H2"/>
    <mergeCell ref="A4:F4"/>
    <mergeCell ref="A65:G65"/>
  </mergeCells>
  <conditionalFormatting sqref="F14:F63">
    <cfRule type="colorScale" priority="1">
      <colorScale>
        <cfvo type="num" val="0"/>
        <cfvo type="num" val="0.4"/>
        <cfvo type="num" val="0.8"/>
        <color rgb="0000B050"/>
        <color rgb="00FFC000"/>
        <color rgb="00C00000"/>
      </colorScale>
    </cfRule>
  </conditionalFormatting>
  <conditionalFormatting sqref="G14:G63">
    <cfRule type="cellIs" priority="2" operator="equal" dxfId="0">
      <formula>"Very Low"</formula>
    </cfRule>
    <cfRule type="cellIs" priority="3" operator="equal" dxfId="0">
      <formula>"Low"</formula>
    </cfRule>
    <cfRule type="cellIs" priority="4" operator="equal" dxfId="1">
      <formula>"Moderate"</formula>
    </cfRule>
    <cfRule type="cellIs" priority="5" operator="equal" dxfId="2">
      <formula>"High"</formula>
    </cfRule>
    <cfRule type="cellIs" priority="6" operator="equal" dxfId="3">
      <formula>"Critical"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2026-10-18T20:53:49Z</dcterms:created>
  <dcterms:modified xmlns:dcterms="http://purl.org/dc/terms/" xmlns:xsi="http://www.w3.org/2001/XMLSchema-instance" xsi:type="dcterms:W3CDTF">2026-10-18T20:53:50Z</dcterms:modified>
</cp:coreProperties>
</file>